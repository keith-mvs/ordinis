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jfle\Workspace\ordinis\docs\knowledge-base\inbox\"/>
    </mc:Choice>
  </mc:AlternateContent>
  <xr:revisionPtr revIDLastSave="0" documentId="8_{68CB1E1D-B977-4F13-BA60-05EFBEFAF7CF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Sheet 1" sheetId="1" r:id="rId1"/>
    <sheet name="Sheet 2" sheetId="2" r:id="rId2"/>
    <sheet name="Sheet 3" sheetId="3" r:id="rId3"/>
  </sheets>
  <definedNames>
    <definedName name="data_type">'Sheet 2'!#REF!</definedName>
    <definedName name="debt">'Sheet 1'!$Z$3</definedName>
    <definedName name="effc">'Sheet 1'!$AD$3</definedName>
    <definedName name="proft">'Sheet 1'!$AA$3</definedName>
    <definedName name="ratio">'Sheet 1'!$X$3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 a="1"/>
  <c r="A8" i="1" s="1"/>
  <c r="B8" i="1" a="1"/>
  <c r="B8" i="1" s="1"/>
  <c r="AJ8" i="1" a="1"/>
  <c r="AJ8" i="1" s="1"/>
  <c r="A9" i="1" a="1"/>
  <c r="A9" i="1" s="1"/>
  <c r="B9" i="1" a="1"/>
  <c r="B9" i="1" s="1"/>
  <c r="AJ9" i="1" a="1"/>
  <c r="AJ9" i="1" s="1"/>
  <c r="A10" i="1" a="1"/>
  <c r="A10" i="1" s="1"/>
  <c r="B10" i="1" a="1"/>
  <c r="B10" i="1" s="1"/>
  <c r="AJ10" i="1" a="1"/>
  <c r="AJ10" i="1" s="1"/>
  <c r="A11" i="1" a="1"/>
  <c r="A11" i="1" s="1"/>
  <c r="B11" i="1" a="1"/>
  <c r="B11" i="1" s="1"/>
  <c r="AJ11" i="1" a="1"/>
  <c r="AJ11" i="1" s="1"/>
  <c r="A12" i="1" a="1"/>
  <c r="A12" i="1" s="1"/>
  <c r="B12" i="1" a="1"/>
  <c r="B12" i="1" s="1"/>
  <c r="AJ12" i="1" a="1"/>
  <c r="AJ12" i="1" s="1"/>
  <c r="A13" i="1" a="1"/>
  <c r="A13" i="1" s="1"/>
  <c r="B13" i="1" a="1"/>
  <c r="B13" i="1" s="1"/>
  <c r="AJ13" i="1" a="1"/>
  <c r="AJ13" i="1" s="1"/>
  <c r="A14" i="1" a="1"/>
  <c r="A14" i="1" s="1"/>
  <c r="B14" i="1" a="1"/>
  <c r="B14" i="1" s="1"/>
  <c r="U14" i="1" a="1"/>
  <c r="U14" i="1" s="1"/>
  <c r="AJ14" i="1" a="1"/>
  <c r="AJ14" i="1" s="1"/>
  <c r="A6" i="1" l="1" a="1"/>
  <c r="A6" i="1" s="1"/>
  <c r="B6" i="1" a="1"/>
  <c r="B6" i="1" s="1"/>
  <c r="AJ6" i="1" a="1"/>
  <c r="AJ6" i="1" s="1"/>
  <c r="A7" i="1" a="1"/>
  <c r="A7" i="1" s="1"/>
  <c r="B7" i="1" a="1"/>
  <c r="B7" i="1" s="1"/>
  <c r="AJ7" i="1" a="1"/>
  <c r="AJ7" i="1" s="1"/>
  <c r="V339" i="2"/>
  <c r="AF14" i="1" s="1" a="1"/>
  <c r="AF14" i="1" s="1"/>
  <c r="AA338" i="2"/>
  <c r="V338" i="2"/>
  <c r="AI337" i="2"/>
  <c r="AH337" i="2"/>
  <c r="AG337" i="2"/>
  <c r="AF337" i="2"/>
  <c r="AE337" i="2"/>
  <c r="AA337" i="2"/>
  <c r="V337" i="2"/>
  <c r="AE14" i="1" s="1" a="1"/>
  <c r="AE14" i="1" s="1"/>
  <c r="AI336" i="2"/>
  <c r="AH336" i="2"/>
  <c r="AG336" i="2"/>
  <c r="AF336" i="2"/>
  <c r="AE336" i="2"/>
  <c r="AA336" i="2"/>
  <c r="V336" i="2"/>
  <c r="AD14" i="1" s="1" a="1"/>
  <c r="AD14" i="1" s="1"/>
  <c r="AI335" i="2"/>
  <c r="AH335" i="2"/>
  <c r="AG335" i="2"/>
  <c r="AF335" i="2"/>
  <c r="AE335" i="2"/>
  <c r="AI334" i="2"/>
  <c r="AH334" i="2"/>
  <c r="AG334" i="2"/>
  <c r="AF334" i="2"/>
  <c r="AE334" i="2"/>
  <c r="AA333" i="2"/>
  <c r="V333" i="2"/>
  <c r="AC14" i="1" s="1" a="1"/>
  <c r="AC14" i="1" s="1"/>
  <c r="P333" i="2"/>
  <c r="O333" i="2"/>
  <c r="N333" i="2"/>
  <c r="M333" i="2"/>
  <c r="L333" i="2"/>
  <c r="J333" i="2"/>
  <c r="I333" i="2"/>
  <c r="H333" i="2"/>
  <c r="G333" i="2"/>
  <c r="F333" i="2"/>
  <c r="AI332" i="2"/>
  <c r="AH332" i="2"/>
  <c r="AG332" i="2"/>
  <c r="AF332" i="2"/>
  <c r="AE332" i="2"/>
  <c r="AA332" i="2"/>
  <c r="V332" i="2"/>
  <c r="AB14" i="1" s="1" a="1"/>
  <c r="AB14" i="1" s="1"/>
  <c r="AI331" i="2"/>
  <c r="AH331" i="2"/>
  <c r="AG331" i="2"/>
  <c r="AF331" i="2"/>
  <c r="AE331" i="2"/>
  <c r="AA331" i="2"/>
  <c r="V331" i="2"/>
  <c r="AA14" i="1" s="1" a="1"/>
  <c r="AA14" i="1" s="1"/>
  <c r="AI330" i="2"/>
  <c r="AH330" i="2"/>
  <c r="AG330" i="2"/>
  <c r="AF330" i="2"/>
  <c r="AE330" i="2"/>
  <c r="AA330" i="2"/>
  <c r="V330" i="2"/>
  <c r="F14" i="1" s="1" a="1"/>
  <c r="F14" i="1" s="1"/>
  <c r="AI329" i="2"/>
  <c r="AH329" i="2"/>
  <c r="AG329" i="2"/>
  <c r="AF329" i="2"/>
  <c r="AE329" i="2"/>
  <c r="AI328" i="2"/>
  <c r="AH328" i="2"/>
  <c r="AG328" i="2"/>
  <c r="AF328" i="2"/>
  <c r="AE328" i="2"/>
  <c r="AA327" i="2"/>
  <c r="AI326" i="2"/>
  <c r="AH326" i="2"/>
  <c r="AG326" i="2"/>
  <c r="AF326" i="2"/>
  <c r="AE326" i="2"/>
  <c r="AA326" i="2"/>
  <c r="AI325" i="2"/>
  <c r="AH325" i="2"/>
  <c r="AG325" i="2"/>
  <c r="AF325" i="2"/>
  <c r="AE325" i="2"/>
  <c r="AA325" i="2"/>
  <c r="V325" i="2"/>
  <c r="O14" i="1" s="1" a="1"/>
  <c r="O14" i="1" s="1"/>
  <c r="AI324" i="2"/>
  <c r="AH324" i="2"/>
  <c r="AG324" i="2"/>
  <c r="AF324" i="2"/>
  <c r="AE324" i="2"/>
  <c r="AA324" i="2"/>
  <c r="V324" i="2"/>
  <c r="Q14" i="1" s="1" a="1"/>
  <c r="Q14" i="1" s="1"/>
  <c r="AI323" i="2"/>
  <c r="AH323" i="2"/>
  <c r="AG323" i="2"/>
  <c r="AF323" i="2"/>
  <c r="AE323" i="2"/>
  <c r="V323" i="2"/>
  <c r="K14" i="1" s="1" a="1"/>
  <c r="K14" i="1" s="1"/>
  <c r="AI322" i="2"/>
  <c r="AH322" i="2"/>
  <c r="AG322" i="2"/>
  <c r="AF322" i="2"/>
  <c r="AE322" i="2"/>
  <c r="V322" i="2"/>
  <c r="M14" i="1" s="1" a="1"/>
  <c r="M14" i="1" s="1"/>
  <c r="P322" i="2"/>
  <c r="O322" i="2"/>
  <c r="N322" i="2"/>
  <c r="M322" i="2"/>
  <c r="L322" i="2"/>
  <c r="J322" i="2"/>
  <c r="I322" i="2"/>
  <c r="H322" i="2"/>
  <c r="G322" i="2"/>
  <c r="F322" i="2"/>
  <c r="AI321" i="2"/>
  <c r="AH321" i="2"/>
  <c r="AG321" i="2"/>
  <c r="AF321" i="2"/>
  <c r="AE321" i="2"/>
  <c r="AA321" i="2"/>
  <c r="Z14" i="1" s="1" a="1"/>
  <c r="Z14" i="1" s="1"/>
  <c r="V321" i="2"/>
  <c r="I14" i="1" s="1" a="1"/>
  <c r="I14" i="1" s="1"/>
  <c r="AI320" i="2"/>
  <c r="AH320" i="2"/>
  <c r="AG320" i="2"/>
  <c r="AF320" i="2"/>
  <c r="AE320" i="2"/>
  <c r="AA320" i="2"/>
  <c r="Y14" i="1" s="1" a="1"/>
  <c r="Y14" i="1" s="1"/>
  <c r="AI319" i="2"/>
  <c r="AH319" i="2"/>
  <c r="AG319" i="2"/>
  <c r="AF319" i="2"/>
  <c r="AE319" i="2"/>
  <c r="AA319" i="2"/>
  <c r="X14" i="1" s="1" a="1"/>
  <c r="X14" i="1" s="1"/>
  <c r="AI316" i="2"/>
  <c r="AH316" i="2"/>
  <c r="AG316" i="2"/>
  <c r="AF316" i="2"/>
  <c r="AE316" i="2"/>
  <c r="AI314" i="2"/>
  <c r="AH314" i="2"/>
  <c r="AG314" i="2"/>
  <c r="AF314" i="2"/>
  <c r="V314" i="2"/>
  <c r="E14" i="1" s="1" a="1"/>
  <c r="E14" i="1" s="1"/>
  <c r="AI313" i="2"/>
  <c r="AH313" i="2"/>
  <c r="AG313" i="2"/>
  <c r="AF313" i="2"/>
  <c r="V313" i="2"/>
  <c r="D14" i="1" s="1" a="1"/>
  <c r="D14" i="1" s="1"/>
  <c r="AI312" i="2"/>
  <c r="AH312" i="2"/>
  <c r="AG312" i="2"/>
  <c r="AF312" i="2"/>
  <c r="V312" i="2"/>
  <c r="C14" i="1" s="1" a="1"/>
  <c r="C14" i="1" s="1"/>
  <c r="AI311" i="2"/>
  <c r="AH311" i="2"/>
  <c r="AG311" i="2"/>
  <c r="AF311" i="2"/>
  <c r="AI310" i="2"/>
  <c r="AH310" i="2"/>
  <c r="AG310" i="2"/>
  <c r="AF310" i="2"/>
  <c r="V305" i="2"/>
  <c r="AF13" i="1" s="1" a="1"/>
  <c r="AF13" i="1" s="1"/>
  <c r="AA304" i="2"/>
  <c r="V304" i="2"/>
  <c r="AI303" i="2"/>
  <c r="AH303" i="2"/>
  <c r="AG303" i="2"/>
  <c r="AF303" i="2"/>
  <c r="AE303" i="2"/>
  <c r="AA303" i="2"/>
  <c r="V303" i="2"/>
  <c r="AE13" i="1" s="1" a="1"/>
  <c r="AE13" i="1" s="1"/>
  <c r="AI302" i="2"/>
  <c r="AH302" i="2"/>
  <c r="AG302" i="2"/>
  <c r="AF302" i="2"/>
  <c r="AE302" i="2"/>
  <c r="AA302" i="2"/>
  <c r="V302" i="2"/>
  <c r="AD13" i="1" s="1" a="1"/>
  <c r="AD13" i="1" s="1"/>
  <c r="AI301" i="2"/>
  <c r="AH301" i="2"/>
  <c r="AG301" i="2"/>
  <c r="AF301" i="2"/>
  <c r="AE301" i="2"/>
  <c r="AI300" i="2"/>
  <c r="AH300" i="2"/>
  <c r="AG300" i="2"/>
  <c r="AF300" i="2"/>
  <c r="AE300" i="2"/>
  <c r="AA299" i="2"/>
  <c r="V299" i="2"/>
  <c r="AC13" i="1" s="1" a="1"/>
  <c r="AC13" i="1" s="1"/>
  <c r="P299" i="2"/>
  <c r="O299" i="2"/>
  <c r="N299" i="2"/>
  <c r="M299" i="2"/>
  <c r="L299" i="2"/>
  <c r="J299" i="2"/>
  <c r="I299" i="2"/>
  <c r="H299" i="2"/>
  <c r="G299" i="2"/>
  <c r="F299" i="2"/>
  <c r="AI298" i="2"/>
  <c r="AH298" i="2"/>
  <c r="AG298" i="2"/>
  <c r="AF298" i="2"/>
  <c r="AE298" i="2"/>
  <c r="AA298" i="2"/>
  <c r="V298" i="2"/>
  <c r="AB13" i="1" s="1" a="1"/>
  <c r="AB13" i="1" s="1"/>
  <c r="AI297" i="2"/>
  <c r="AH297" i="2"/>
  <c r="AG297" i="2"/>
  <c r="AF297" i="2"/>
  <c r="AE297" i="2"/>
  <c r="AA297" i="2"/>
  <c r="V297" i="2"/>
  <c r="AA13" i="1" s="1" a="1"/>
  <c r="AA13" i="1" s="1"/>
  <c r="AI296" i="2"/>
  <c r="AH296" i="2"/>
  <c r="AG296" i="2"/>
  <c r="AF296" i="2"/>
  <c r="AE296" i="2"/>
  <c r="AA296" i="2"/>
  <c r="V296" i="2"/>
  <c r="F13" i="1" s="1" a="1"/>
  <c r="F13" i="1" s="1"/>
  <c r="AI295" i="2"/>
  <c r="AH295" i="2"/>
  <c r="AG295" i="2"/>
  <c r="AF295" i="2"/>
  <c r="AE295" i="2"/>
  <c r="AI294" i="2"/>
  <c r="AH294" i="2"/>
  <c r="AG294" i="2"/>
  <c r="AF294" i="2"/>
  <c r="AE294" i="2"/>
  <c r="AA293" i="2"/>
  <c r="AI292" i="2"/>
  <c r="AH292" i="2"/>
  <c r="AG292" i="2"/>
  <c r="AF292" i="2"/>
  <c r="AE292" i="2"/>
  <c r="AA292" i="2"/>
  <c r="AI291" i="2"/>
  <c r="AH291" i="2"/>
  <c r="AG291" i="2"/>
  <c r="AF291" i="2"/>
  <c r="AE291" i="2"/>
  <c r="AA291" i="2"/>
  <c r="AI290" i="2"/>
  <c r="AH290" i="2"/>
  <c r="AG290" i="2"/>
  <c r="AF290" i="2"/>
  <c r="AE290" i="2"/>
  <c r="AA290" i="2"/>
  <c r="V290" i="2"/>
  <c r="Q13" i="1" s="1" a="1"/>
  <c r="Q13" i="1" s="1"/>
  <c r="AI289" i="2"/>
  <c r="AH289" i="2"/>
  <c r="AG289" i="2"/>
  <c r="AF289" i="2"/>
  <c r="AE289" i="2"/>
  <c r="V289" i="2"/>
  <c r="K13" i="1" s="1" a="1"/>
  <c r="K13" i="1" s="1"/>
  <c r="AI288" i="2"/>
  <c r="AH288" i="2"/>
  <c r="AG288" i="2"/>
  <c r="AF288" i="2"/>
  <c r="AE288" i="2"/>
  <c r="V288" i="2"/>
  <c r="M13" i="1" s="1" a="1"/>
  <c r="M13" i="1" s="1"/>
  <c r="P288" i="2"/>
  <c r="O288" i="2"/>
  <c r="N288" i="2"/>
  <c r="M288" i="2"/>
  <c r="L288" i="2"/>
  <c r="J288" i="2"/>
  <c r="I288" i="2"/>
  <c r="H288" i="2"/>
  <c r="G288" i="2"/>
  <c r="F288" i="2"/>
  <c r="AI287" i="2"/>
  <c r="AH287" i="2"/>
  <c r="AG287" i="2"/>
  <c r="AF287" i="2"/>
  <c r="AE287" i="2"/>
  <c r="AA287" i="2"/>
  <c r="Z13" i="1" s="1" a="1"/>
  <c r="Z13" i="1" s="1"/>
  <c r="V287" i="2"/>
  <c r="I13" i="1" s="1" a="1"/>
  <c r="I13" i="1" s="1"/>
  <c r="AI286" i="2"/>
  <c r="AH286" i="2"/>
  <c r="AG286" i="2"/>
  <c r="AF286" i="2"/>
  <c r="AE286" i="2"/>
  <c r="AA286" i="2"/>
  <c r="Y13" i="1" s="1" a="1"/>
  <c r="Y13" i="1" s="1"/>
  <c r="AI285" i="2"/>
  <c r="AH285" i="2"/>
  <c r="AG285" i="2"/>
  <c r="AF285" i="2"/>
  <c r="AE285" i="2"/>
  <c r="AA285" i="2"/>
  <c r="X13" i="1" s="1" a="1"/>
  <c r="X13" i="1" s="1"/>
  <c r="AI282" i="2"/>
  <c r="AH282" i="2"/>
  <c r="AG282" i="2"/>
  <c r="AF282" i="2"/>
  <c r="AE282" i="2"/>
  <c r="AI280" i="2"/>
  <c r="AH280" i="2"/>
  <c r="AG280" i="2"/>
  <c r="AF280" i="2"/>
  <c r="V280" i="2"/>
  <c r="E13" i="1" s="1" a="1"/>
  <c r="E13" i="1" s="1"/>
  <c r="AI279" i="2"/>
  <c r="AH279" i="2"/>
  <c r="AG279" i="2"/>
  <c r="AF279" i="2"/>
  <c r="V279" i="2"/>
  <c r="D13" i="1" s="1" a="1"/>
  <c r="D13" i="1" s="1"/>
  <c r="AI278" i="2"/>
  <c r="AH278" i="2"/>
  <c r="AG278" i="2"/>
  <c r="AF278" i="2"/>
  <c r="AA278" i="2" s="1"/>
  <c r="V278" i="2"/>
  <c r="AI277" i="2"/>
  <c r="AH277" i="2"/>
  <c r="AG277" i="2"/>
  <c r="AF277" i="2"/>
  <c r="AI276" i="2"/>
  <c r="AH276" i="2"/>
  <c r="AG276" i="2"/>
  <c r="AF276" i="2"/>
  <c r="V271" i="2"/>
  <c r="AF12" i="1" s="1" a="1"/>
  <c r="AF12" i="1" s="1"/>
  <c r="AA270" i="2"/>
  <c r="V270" i="2"/>
  <c r="AI269" i="2"/>
  <c r="AH269" i="2"/>
  <c r="AG269" i="2"/>
  <c r="AF269" i="2"/>
  <c r="AE269" i="2"/>
  <c r="AA269" i="2"/>
  <c r="V269" i="2"/>
  <c r="AE12" i="1" s="1" a="1"/>
  <c r="AE12" i="1" s="1"/>
  <c r="AI268" i="2"/>
  <c r="AH268" i="2"/>
  <c r="AG268" i="2"/>
  <c r="AF268" i="2"/>
  <c r="AE268" i="2"/>
  <c r="AA268" i="2"/>
  <c r="V268" i="2"/>
  <c r="AD12" i="1" s="1" a="1"/>
  <c r="AD12" i="1" s="1"/>
  <c r="AI267" i="2"/>
  <c r="AH267" i="2"/>
  <c r="AG267" i="2"/>
  <c r="AF267" i="2"/>
  <c r="AE267" i="2"/>
  <c r="AI266" i="2"/>
  <c r="AH266" i="2"/>
  <c r="AG266" i="2"/>
  <c r="AF266" i="2"/>
  <c r="AE266" i="2"/>
  <c r="AA265" i="2"/>
  <c r="V265" i="2"/>
  <c r="AC12" i="1" s="1" a="1"/>
  <c r="AC12" i="1" s="1"/>
  <c r="P265" i="2"/>
  <c r="O265" i="2"/>
  <c r="N265" i="2"/>
  <c r="M265" i="2"/>
  <c r="L265" i="2"/>
  <c r="J265" i="2"/>
  <c r="I265" i="2"/>
  <c r="H265" i="2"/>
  <c r="G265" i="2"/>
  <c r="F265" i="2"/>
  <c r="AI264" i="2"/>
  <c r="AH264" i="2"/>
  <c r="AG264" i="2"/>
  <c r="AF264" i="2"/>
  <c r="AE264" i="2"/>
  <c r="AA264" i="2"/>
  <c r="V264" i="2"/>
  <c r="AB12" i="1" s="1" a="1"/>
  <c r="AB12" i="1" s="1"/>
  <c r="AI263" i="2"/>
  <c r="AH263" i="2"/>
  <c r="AG263" i="2"/>
  <c r="AF263" i="2"/>
  <c r="AE263" i="2"/>
  <c r="AA263" i="2"/>
  <c r="V263" i="2"/>
  <c r="AA12" i="1" s="1" a="1"/>
  <c r="AA12" i="1" s="1"/>
  <c r="AI262" i="2"/>
  <c r="AH262" i="2"/>
  <c r="AG262" i="2"/>
  <c r="AF262" i="2"/>
  <c r="AE262" i="2"/>
  <c r="AA262" i="2"/>
  <c r="V262" i="2"/>
  <c r="F12" i="1" s="1" a="1"/>
  <c r="F12" i="1" s="1"/>
  <c r="AI261" i="2"/>
  <c r="AH261" i="2"/>
  <c r="AG261" i="2"/>
  <c r="AF261" i="2"/>
  <c r="AE261" i="2"/>
  <c r="AI260" i="2"/>
  <c r="AH260" i="2"/>
  <c r="AG260" i="2"/>
  <c r="AF260" i="2"/>
  <c r="AE260" i="2"/>
  <c r="AA259" i="2"/>
  <c r="AI258" i="2"/>
  <c r="AH258" i="2"/>
  <c r="AG258" i="2"/>
  <c r="AF258" i="2"/>
  <c r="AE258" i="2"/>
  <c r="AA258" i="2"/>
  <c r="AI257" i="2"/>
  <c r="AH257" i="2"/>
  <c r="AG257" i="2"/>
  <c r="AF257" i="2"/>
  <c r="AE257" i="2"/>
  <c r="AA257" i="2"/>
  <c r="V257" i="2"/>
  <c r="O12" i="1" s="1" a="1"/>
  <c r="O12" i="1" s="1"/>
  <c r="AI256" i="2"/>
  <c r="AH256" i="2"/>
  <c r="AG256" i="2"/>
  <c r="AF256" i="2"/>
  <c r="AE256" i="2"/>
  <c r="AA256" i="2"/>
  <c r="V256" i="2"/>
  <c r="Q12" i="1" s="1" a="1"/>
  <c r="Q12" i="1" s="1"/>
  <c r="AI255" i="2"/>
  <c r="AH255" i="2"/>
  <c r="AG255" i="2"/>
  <c r="AF255" i="2"/>
  <c r="AE255" i="2"/>
  <c r="V255" i="2"/>
  <c r="K12" i="1" s="1" a="1"/>
  <c r="K12" i="1" s="1"/>
  <c r="AI254" i="2"/>
  <c r="AH254" i="2"/>
  <c r="AG254" i="2"/>
  <c r="AF254" i="2"/>
  <c r="AE254" i="2"/>
  <c r="V254" i="2"/>
  <c r="M12" i="1" s="1" a="1"/>
  <c r="M12" i="1" s="1"/>
  <c r="P254" i="2"/>
  <c r="O254" i="2"/>
  <c r="N254" i="2"/>
  <c r="M254" i="2"/>
  <c r="L254" i="2"/>
  <c r="J254" i="2"/>
  <c r="I254" i="2"/>
  <c r="H254" i="2"/>
  <c r="G254" i="2"/>
  <c r="F254" i="2"/>
  <c r="AI253" i="2"/>
  <c r="AH253" i="2"/>
  <c r="AG253" i="2"/>
  <c r="AF253" i="2"/>
  <c r="AE253" i="2"/>
  <c r="AA253" i="2"/>
  <c r="Z12" i="1" s="1" a="1"/>
  <c r="Z12" i="1" s="1"/>
  <c r="V253" i="2"/>
  <c r="I12" i="1" s="1" a="1"/>
  <c r="I12" i="1" s="1"/>
  <c r="AI252" i="2"/>
  <c r="AH252" i="2"/>
  <c r="AG252" i="2"/>
  <c r="AF252" i="2"/>
  <c r="AE252" i="2"/>
  <c r="AA252" i="2"/>
  <c r="Y12" i="1" s="1" a="1"/>
  <c r="Y12" i="1" s="1"/>
  <c r="AI251" i="2"/>
  <c r="AH251" i="2"/>
  <c r="AG251" i="2"/>
  <c r="AF251" i="2"/>
  <c r="AE251" i="2"/>
  <c r="AA251" i="2"/>
  <c r="X12" i="1" s="1" a="1"/>
  <c r="X12" i="1" s="1"/>
  <c r="AI248" i="2"/>
  <c r="AH248" i="2"/>
  <c r="AG248" i="2"/>
  <c r="AF248" i="2"/>
  <c r="AE248" i="2"/>
  <c r="AI246" i="2"/>
  <c r="AH246" i="2"/>
  <c r="AG246" i="2"/>
  <c r="AF246" i="2"/>
  <c r="V246" i="2"/>
  <c r="E12" i="1" s="1" a="1"/>
  <c r="E12" i="1" s="1"/>
  <c r="AI245" i="2"/>
  <c r="AH245" i="2"/>
  <c r="AG245" i="2"/>
  <c r="AF245" i="2"/>
  <c r="AI244" i="2"/>
  <c r="AH244" i="2"/>
  <c r="AG244" i="2"/>
  <c r="AF244" i="2"/>
  <c r="V244" i="2"/>
  <c r="AI243" i="2"/>
  <c r="AH243" i="2"/>
  <c r="AG243" i="2"/>
  <c r="AF243" i="2"/>
  <c r="AI242" i="2"/>
  <c r="AH242" i="2"/>
  <c r="AG242" i="2"/>
  <c r="AF242" i="2"/>
  <c r="V237" i="2"/>
  <c r="AF11" i="1" s="1" a="1"/>
  <c r="AF11" i="1" s="1"/>
  <c r="AA236" i="2"/>
  <c r="V236" i="2"/>
  <c r="AI235" i="2"/>
  <c r="AH235" i="2"/>
  <c r="AG235" i="2"/>
  <c r="AF235" i="2"/>
  <c r="AE235" i="2"/>
  <c r="AA235" i="2"/>
  <c r="V235" i="2"/>
  <c r="AE11" i="1" s="1" a="1"/>
  <c r="AE11" i="1" s="1"/>
  <c r="AI234" i="2"/>
  <c r="AH234" i="2"/>
  <c r="AG234" i="2"/>
  <c r="AF234" i="2"/>
  <c r="AE234" i="2"/>
  <c r="AA234" i="2"/>
  <c r="V234" i="2"/>
  <c r="AD11" i="1" s="1" a="1"/>
  <c r="AD11" i="1" s="1"/>
  <c r="AI233" i="2"/>
  <c r="AH233" i="2"/>
  <c r="AG233" i="2"/>
  <c r="AF233" i="2"/>
  <c r="AE233" i="2"/>
  <c r="AI232" i="2"/>
  <c r="AH232" i="2"/>
  <c r="AG232" i="2"/>
  <c r="AF232" i="2"/>
  <c r="AE232" i="2"/>
  <c r="AA231" i="2"/>
  <c r="V231" i="2"/>
  <c r="AC11" i="1" s="1" a="1"/>
  <c r="AC11" i="1" s="1"/>
  <c r="P231" i="2"/>
  <c r="O231" i="2"/>
  <c r="N231" i="2"/>
  <c r="M231" i="2"/>
  <c r="L231" i="2"/>
  <c r="J231" i="2"/>
  <c r="I231" i="2"/>
  <c r="H231" i="2"/>
  <c r="G231" i="2"/>
  <c r="F231" i="2"/>
  <c r="AI230" i="2"/>
  <c r="AH230" i="2"/>
  <c r="AG230" i="2"/>
  <c r="AF230" i="2"/>
  <c r="AE230" i="2"/>
  <c r="AA230" i="2"/>
  <c r="V230" i="2"/>
  <c r="AB11" i="1" s="1" a="1"/>
  <c r="AB11" i="1" s="1"/>
  <c r="AI229" i="2"/>
  <c r="AH229" i="2"/>
  <c r="AG229" i="2"/>
  <c r="AF229" i="2"/>
  <c r="AE229" i="2"/>
  <c r="AA229" i="2"/>
  <c r="V229" i="2"/>
  <c r="AA11" i="1" s="1" a="1"/>
  <c r="AA11" i="1" s="1"/>
  <c r="AI228" i="2"/>
  <c r="AH228" i="2"/>
  <c r="AG228" i="2"/>
  <c r="AF228" i="2"/>
  <c r="AE228" i="2"/>
  <c r="AA228" i="2"/>
  <c r="V228" i="2"/>
  <c r="F11" i="1" s="1" a="1"/>
  <c r="F11" i="1" s="1"/>
  <c r="AI227" i="2"/>
  <c r="AH227" i="2"/>
  <c r="AG227" i="2"/>
  <c r="AF227" i="2"/>
  <c r="AE227" i="2"/>
  <c r="AI226" i="2"/>
  <c r="AH226" i="2"/>
  <c r="AG226" i="2"/>
  <c r="AF226" i="2"/>
  <c r="AE226" i="2"/>
  <c r="AA225" i="2"/>
  <c r="AI224" i="2"/>
  <c r="AH224" i="2"/>
  <c r="AG224" i="2"/>
  <c r="AF224" i="2"/>
  <c r="AE224" i="2"/>
  <c r="AA224" i="2"/>
  <c r="AI223" i="2"/>
  <c r="AH223" i="2"/>
  <c r="AG223" i="2"/>
  <c r="AF223" i="2"/>
  <c r="AE223" i="2"/>
  <c r="AA223" i="2"/>
  <c r="V223" i="2"/>
  <c r="O11" i="1" s="1" a="1"/>
  <c r="O11" i="1" s="1"/>
  <c r="AI222" i="2"/>
  <c r="AH222" i="2"/>
  <c r="AG222" i="2"/>
  <c r="AF222" i="2"/>
  <c r="AE222" i="2"/>
  <c r="AA222" i="2"/>
  <c r="V222" i="2"/>
  <c r="Q11" i="1" s="1" a="1"/>
  <c r="Q11" i="1" s="1"/>
  <c r="AI221" i="2"/>
  <c r="AH221" i="2"/>
  <c r="AG221" i="2"/>
  <c r="AF221" i="2"/>
  <c r="AE221" i="2"/>
  <c r="V221" i="2"/>
  <c r="K11" i="1" s="1" a="1"/>
  <c r="K11" i="1" s="1"/>
  <c r="AI220" i="2"/>
  <c r="AH220" i="2"/>
  <c r="AG220" i="2"/>
  <c r="AF220" i="2"/>
  <c r="AE220" i="2"/>
  <c r="V220" i="2"/>
  <c r="M11" i="1" s="1" a="1"/>
  <c r="M11" i="1" s="1"/>
  <c r="P220" i="2"/>
  <c r="O220" i="2"/>
  <c r="N220" i="2"/>
  <c r="M220" i="2"/>
  <c r="L220" i="2"/>
  <c r="J220" i="2"/>
  <c r="I220" i="2"/>
  <c r="H220" i="2"/>
  <c r="G220" i="2"/>
  <c r="F220" i="2"/>
  <c r="AI219" i="2"/>
  <c r="AH219" i="2"/>
  <c r="AG219" i="2"/>
  <c r="AF219" i="2"/>
  <c r="AE219" i="2"/>
  <c r="AA219" i="2"/>
  <c r="Z11" i="1" s="1" a="1"/>
  <c r="Z11" i="1" s="1"/>
  <c r="V219" i="2"/>
  <c r="I11" i="1" s="1" a="1"/>
  <c r="I11" i="1" s="1"/>
  <c r="AI218" i="2"/>
  <c r="AH218" i="2"/>
  <c r="AG218" i="2"/>
  <c r="AF218" i="2"/>
  <c r="AE218" i="2"/>
  <c r="AA218" i="2"/>
  <c r="Y11" i="1" s="1" a="1"/>
  <c r="Y11" i="1" s="1"/>
  <c r="AI217" i="2"/>
  <c r="AH217" i="2"/>
  <c r="AG217" i="2"/>
  <c r="AF217" i="2"/>
  <c r="AE217" i="2"/>
  <c r="AA217" i="2"/>
  <c r="X11" i="1" s="1" a="1"/>
  <c r="X11" i="1" s="1"/>
  <c r="AI214" i="2"/>
  <c r="AH214" i="2"/>
  <c r="AG214" i="2"/>
  <c r="AF214" i="2"/>
  <c r="AE214" i="2"/>
  <c r="AI212" i="2"/>
  <c r="AH212" i="2"/>
  <c r="AG212" i="2"/>
  <c r="AF212" i="2"/>
  <c r="V212" i="2"/>
  <c r="E11" i="1" s="1" a="1"/>
  <c r="E11" i="1" s="1"/>
  <c r="AI211" i="2"/>
  <c r="AH211" i="2"/>
  <c r="AG211" i="2"/>
  <c r="AF211" i="2"/>
  <c r="AA211" i="2" s="1"/>
  <c r="AI210" i="2"/>
  <c r="AH210" i="2"/>
  <c r="AG210" i="2"/>
  <c r="AF210" i="2"/>
  <c r="V210" i="2"/>
  <c r="AI209" i="2"/>
  <c r="AH209" i="2"/>
  <c r="AG209" i="2"/>
  <c r="AF209" i="2"/>
  <c r="AI208" i="2"/>
  <c r="AH208" i="2"/>
  <c r="AG208" i="2"/>
  <c r="AF208" i="2"/>
  <c r="V203" i="2"/>
  <c r="AF10" i="1" s="1" a="1"/>
  <c r="AF10" i="1" s="1"/>
  <c r="AA202" i="2"/>
  <c r="V202" i="2"/>
  <c r="AI201" i="2"/>
  <c r="AH201" i="2"/>
  <c r="AG201" i="2"/>
  <c r="AF201" i="2"/>
  <c r="AE201" i="2"/>
  <c r="AA201" i="2"/>
  <c r="V201" i="2"/>
  <c r="AE10" i="1" s="1" a="1"/>
  <c r="AE10" i="1" s="1"/>
  <c r="AI200" i="2"/>
  <c r="AH200" i="2"/>
  <c r="AG200" i="2"/>
  <c r="AF200" i="2"/>
  <c r="AE200" i="2"/>
  <c r="AA200" i="2"/>
  <c r="V200" i="2"/>
  <c r="AD10" i="1" s="1" a="1"/>
  <c r="AD10" i="1" s="1"/>
  <c r="AI199" i="2"/>
  <c r="AH199" i="2"/>
  <c r="AG199" i="2"/>
  <c r="AF199" i="2"/>
  <c r="AE199" i="2"/>
  <c r="AI198" i="2"/>
  <c r="AH198" i="2"/>
  <c r="AG198" i="2"/>
  <c r="AF198" i="2"/>
  <c r="AE198" i="2"/>
  <c r="AA197" i="2"/>
  <c r="V197" i="2"/>
  <c r="AC10" i="1" s="1" a="1"/>
  <c r="AC10" i="1" s="1"/>
  <c r="P197" i="2"/>
  <c r="O197" i="2"/>
  <c r="N197" i="2"/>
  <c r="M197" i="2"/>
  <c r="L197" i="2"/>
  <c r="J197" i="2"/>
  <c r="I197" i="2"/>
  <c r="H197" i="2"/>
  <c r="G197" i="2"/>
  <c r="F197" i="2"/>
  <c r="AI196" i="2"/>
  <c r="AH196" i="2"/>
  <c r="AG196" i="2"/>
  <c r="AF196" i="2"/>
  <c r="AE196" i="2"/>
  <c r="AA196" i="2"/>
  <c r="V196" i="2"/>
  <c r="AB10" i="1" s="1" a="1"/>
  <c r="AB10" i="1" s="1"/>
  <c r="AI195" i="2"/>
  <c r="AH195" i="2"/>
  <c r="AG195" i="2"/>
  <c r="AF195" i="2"/>
  <c r="AE195" i="2"/>
  <c r="AA195" i="2"/>
  <c r="V195" i="2"/>
  <c r="AA10" i="1" s="1" a="1"/>
  <c r="AA10" i="1" s="1"/>
  <c r="AI194" i="2"/>
  <c r="AH194" i="2"/>
  <c r="AG194" i="2"/>
  <c r="AF194" i="2"/>
  <c r="AE194" i="2"/>
  <c r="AA194" i="2"/>
  <c r="V194" i="2"/>
  <c r="F10" i="1" s="1" a="1"/>
  <c r="F10" i="1" s="1"/>
  <c r="AI193" i="2"/>
  <c r="AH193" i="2"/>
  <c r="AG193" i="2"/>
  <c r="AF193" i="2"/>
  <c r="AE193" i="2"/>
  <c r="AI192" i="2"/>
  <c r="AH192" i="2"/>
  <c r="AG192" i="2"/>
  <c r="AF192" i="2"/>
  <c r="AE192" i="2"/>
  <c r="AA191" i="2"/>
  <c r="AI190" i="2"/>
  <c r="AH190" i="2"/>
  <c r="AG190" i="2"/>
  <c r="AF190" i="2"/>
  <c r="AE190" i="2"/>
  <c r="AA190" i="2"/>
  <c r="AI189" i="2"/>
  <c r="AH189" i="2"/>
  <c r="AG189" i="2"/>
  <c r="AF189" i="2"/>
  <c r="AE189" i="2"/>
  <c r="AA189" i="2"/>
  <c r="AI188" i="2"/>
  <c r="AH188" i="2"/>
  <c r="AG188" i="2"/>
  <c r="AF188" i="2"/>
  <c r="AE188" i="2"/>
  <c r="AA188" i="2"/>
  <c r="V188" i="2"/>
  <c r="Q10" i="1" s="1" a="1"/>
  <c r="Q10" i="1" s="1"/>
  <c r="AI187" i="2"/>
  <c r="AH187" i="2"/>
  <c r="AG187" i="2"/>
  <c r="AF187" i="2"/>
  <c r="AE187" i="2"/>
  <c r="V187" i="2"/>
  <c r="K10" i="1" s="1" a="1"/>
  <c r="K10" i="1" s="1"/>
  <c r="AI186" i="2"/>
  <c r="AH186" i="2"/>
  <c r="AG186" i="2"/>
  <c r="AF186" i="2"/>
  <c r="AE186" i="2"/>
  <c r="V186" i="2"/>
  <c r="M10" i="1" s="1" a="1"/>
  <c r="M10" i="1" s="1"/>
  <c r="P186" i="2"/>
  <c r="O186" i="2"/>
  <c r="N186" i="2"/>
  <c r="M186" i="2"/>
  <c r="L186" i="2"/>
  <c r="J186" i="2"/>
  <c r="I186" i="2"/>
  <c r="H186" i="2"/>
  <c r="G186" i="2"/>
  <c r="F186" i="2"/>
  <c r="AI185" i="2"/>
  <c r="AH185" i="2"/>
  <c r="AG185" i="2"/>
  <c r="AF185" i="2"/>
  <c r="AE185" i="2"/>
  <c r="AA185" i="2"/>
  <c r="Z10" i="1" s="1" a="1"/>
  <c r="Z10" i="1" s="1"/>
  <c r="V185" i="2"/>
  <c r="I10" i="1" s="1" a="1"/>
  <c r="I10" i="1" s="1"/>
  <c r="AI184" i="2"/>
  <c r="AH184" i="2"/>
  <c r="AG184" i="2"/>
  <c r="AF184" i="2"/>
  <c r="AE184" i="2"/>
  <c r="AA184" i="2"/>
  <c r="Y10" i="1" s="1" a="1"/>
  <c r="Y10" i="1" s="1"/>
  <c r="AI183" i="2"/>
  <c r="AH183" i="2"/>
  <c r="AG183" i="2"/>
  <c r="AF183" i="2"/>
  <c r="AE183" i="2"/>
  <c r="AA183" i="2"/>
  <c r="X10" i="1" s="1" a="1"/>
  <c r="X10" i="1" s="1"/>
  <c r="AI180" i="2"/>
  <c r="AH180" i="2"/>
  <c r="AG180" i="2"/>
  <c r="AF180" i="2"/>
  <c r="AE180" i="2"/>
  <c r="AI178" i="2"/>
  <c r="AH178" i="2"/>
  <c r="AG178" i="2"/>
  <c r="AF178" i="2"/>
  <c r="V178" i="2"/>
  <c r="E10" i="1" s="1" a="1"/>
  <c r="E10" i="1" s="1"/>
  <c r="AI177" i="2"/>
  <c r="AH177" i="2"/>
  <c r="AG177" i="2"/>
  <c r="AF177" i="2"/>
  <c r="V177" i="2"/>
  <c r="D10" i="1" s="1" a="1"/>
  <c r="D10" i="1" s="1"/>
  <c r="AI176" i="2"/>
  <c r="AH176" i="2"/>
  <c r="AG176" i="2"/>
  <c r="AF176" i="2"/>
  <c r="V176" i="2"/>
  <c r="AI175" i="2"/>
  <c r="AH175" i="2"/>
  <c r="AG175" i="2"/>
  <c r="AF175" i="2"/>
  <c r="AI174" i="2"/>
  <c r="AH174" i="2"/>
  <c r="AG174" i="2"/>
  <c r="AF174" i="2"/>
  <c r="V169" i="2"/>
  <c r="AF9" i="1" s="1" a="1"/>
  <c r="AF9" i="1" s="1"/>
  <c r="AA168" i="2"/>
  <c r="V168" i="2"/>
  <c r="AI167" i="2"/>
  <c r="AH167" i="2"/>
  <c r="AG167" i="2"/>
  <c r="AF167" i="2"/>
  <c r="AE167" i="2"/>
  <c r="AA167" i="2"/>
  <c r="V167" i="2"/>
  <c r="AE9" i="1" s="1" a="1"/>
  <c r="AE9" i="1" s="1"/>
  <c r="AI166" i="2"/>
  <c r="AH166" i="2"/>
  <c r="AG166" i="2"/>
  <c r="AF166" i="2"/>
  <c r="AE166" i="2"/>
  <c r="AA166" i="2"/>
  <c r="V166" i="2"/>
  <c r="AD9" i="1" s="1" a="1"/>
  <c r="AD9" i="1" s="1"/>
  <c r="AI165" i="2"/>
  <c r="AH165" i="2"/>
  <c r="AG165" i="2"/>
  <c r="AF165" i="2"/>
  <c r="AE165" i="2"/>
  <c r="AI164" i="2"/>
  <c r="AH164" i="2"/>
  <c r="AG164" i="2"/>
  <c r="AF164" i="2"/>
  <c r="AE164" i="2"/>
  <c r="AA163" i="2"/>
  <c r="V163" i="2"/>
  <c r="AC9" i="1" s="1" a="1"/>
  <c r="AC9" i="1" s="1"/>
  <c r="P163" i="2"/>
  <c r="O163" i="2"/>
  <c r="N163" i="2"/>
  <c r="M163" i="2"/>
  <c r="L163" i="2"/>
  <c r="J163" i="2"/>
  <c r="I163" i="2"/>
  <c r="H163" i="2"/>
  <c r="G163" i="2"/>
  <c r="F163" i="2"/>
  <c r="AI162" i="2"/>
  <c r="AH162" i="2"/>
  <c r="AG162" i="2"/>
  <c r="AF162" i="2"/>
  <c r="AE162" i="2"/>
  <c r="AA162" i="2"/>
  <c r="V162" i="2"/>
  <c r="AB9" i="1" s="1" a="1"/>
  <c r="AB9" i="1" s="1"/>
  <c r="AI161" i="2"/>
  <c r="AH161" i="2"/>
  <c r="AG161" i="2"/>
  <c r="AF161" i="2"/>
  <c r="AE161" i="2"/>
  <c r="AA161" i="2"/>
  <c r="V161" i="2"/>
  <c r="AA9" i="1" s="1" a="1"/>
  <c r="AA9" i="1" s="1"/>
  <c r="AI160" i="2"/>
  <c r="AH160" i="2"/>
  <c r="AG160" i="2"/>
  <c r="AF160" i="2"/>
  <c r="AE160" i="2"/>
  <c r="AA160" i="2"/>
  <c r="V160" i="2"/>
  <c r="F9" i="1" s="1" a="1"/>
  <c r="F9" i="1" s="1"/>
  <c r="AI159" i="2"/>
  <c r="AH159" i="2"/>
  <c r="AG159" i="2"/>
  <c r="AF159" i="2"/>
  <c r="AE159" i="2"/>
  <c r="AI158" i="2"/>
  <c r="AH158" i="2"/>
  <c r="AG158" i="2"/>
  <c r="AF158" i="2"/>
  <c r="AE158" i="2"/>
  <c r="AA157" i="2"/>
  <c r="AN14" i="1" s="1" a="1"/>
  <c r="AN14" i="1" s="1"/>
  <c r="AI156" i="2"/>
  <c r="AH156" i="2"/>
  <c r="AG156" i="2"/>
  <c r="AF156" i="2"/>
  <c r="AE156" i="2"/>
  <c r="AA156" i="2"/>
  <c r="AL14" i="1" s="1" a="1"/>
  <c r="AL14" i="1" s="1"/>
  <c r="AI155" i="2"/>
  <c r="AH155" i="2"/>
  <c r="AG155" i="2"/>
  <c r="AF155" i="2"/>
  <c r="AE155" i="2"/>
  <c r="AA155" i="2"/>
  <c r="AI154" i="2"/>
  <c r="AH154" i="2"/>
  <c r="AG154" i="2"/>
  <c r="AF154" i="2"/>
  <c r="AE154" i="2"/>
  <c r="AA154" i="2"/>
  <c r="AH14" i="1" s="1" a="1"/>
  <c r="AH14" i="1" s="1"/>
  <c r="V154" i="2"/>
  <c r="Q9" i="1" s="1" a="1"/>
  <c r="Q9" i="1" s="1"/>
  <c r="AI153" i="2"/>
  <c r="AH153" i="2"/>
  <c r="AG153" i="2"/>
  <c r="AF153" i="2"/>
  <c r="AE153" i="2"/>
  <c r="V153" i="2"/>
  <c r="K9" i="1" s="1" a="1"/>
  <c r="K9" i="1" s="1"/>
  <c r="AI152" i="2"/>
  <c r="AH152" i="2"/>
  <c r="AG152" i="2"/>
  <c r="AF152" i="2"/>
  <c r="AE152" i="2"/>
  <c r="V152" i="2"/>
  <c r="M9" i="1" s="1" a="1"/>
  <c r="M9" i="1" s="1"/>
  <c r="P152" i="2"/>
  <c r="O152" i="2"/>
  <c r="N152" i="2"/>
  <c r="M152" i="2"/>
  <c r="L152" i="2"/>
  <c r="J152" i="2"/>
  <c r="I152" i="2"/>
  <c r="H152" i="2"/>
  <c r="G152" i="2"/>
  <c r="F152" i="2"/>
  <c r="AI151" i="2"/>
  <c r="AH151" i="2"/>
  <c r="AG151" i="2"/>
  <c r="AF151" i="2"/>
  <c r="AE151" i="2"/>
  <c r="AA151" i="2"/>
  <c r="Z9" i="1" s="1" a="1"/>
  <c r="Z9" i="1" s="1"/>
  <c r="V151" i="2"/>
  <c r="I9" i="1" s="1" a="1"/>
  <c r="I9" i="1" s="1"/>
  <c r="AI150" i="2"/>
  <c r="AH150" i="2"/>
  <c r="AG150" i="2"/>
  <c r="AF150" i="2"/>
  <c r="AE150" i="2"/>
  <c r="AA150" i="2"/>
  <c r="Y9" i="1" s="1" a="1"/>
  <c r="Y9" i="1" s="1"/>
  <c r="AI149" i="2"/>
  <c r="AH149" i="2"/>
  <c r="AG149" i="2"/>
  <c r="AF149" i="2"/>
  <c r="AE149" i="2"/>
  <c r="AA149" i="2"/>
  <c r="X9" i="1" s="1" a="1"/>
  <c r="X9" i="1" s="1"/>
  <c r="AI146" i="2"/>
  <c r="AH146" i="2"/>
  <c r="AG146" i="2"/>
  <c r="AF146" i="2"/>
  <c r="AE146" i="2"/>
  <c r="AI144" i="2"/>
  <c r="AH144" i="2"/>
  <c r="AG144" i="2"/>
  <c r="AF144" i="2"/>
  <c r="AA144" i="2"/>
  <c r="AN13" i="1" s="1" a="1"/>
  <c r="AN13" i="1" s="1"/>
  <c r="V144" i="2"/>
  <c r="E9" i="1" s="1" a="1"/>
  <c r="E9" i="1" s="1"/>
  <c r="AI143" i="2"/>
  <c r="AH143" i="2"/>
  <c r="AG143" i="2"/>
  <c r="AA143" i="2" s="1"/>
  <c r="AL13" i="1" s="1" a="1"/>
  <c r="AL13" i="1" s="1"/>
  <c r="AF143" i="2"/>
  <c r="AI142" i="2"/>
  <c r="AH142" i="2"/>
  <c r="AG142" i="2"/>
  <c r="AF142" i="2"/>
  <c r="AA142" i="2" s="1"/>
  <c r="V142" i="2"/>
  <c r="AI141" i="2"/>
  <c r="AH141" i="2"/>
  <c r="AG141" i="2"/>
  <c r="AF141" i="2"/>
  <c r="AI140" i="2"/>
  <c r="AH140" i="2"/>
  <c r="AG140" i="2"/>
  <c r="AF140" i="2"/>
  <c r="V135" i="2"/>
  <c r="AF8" i="1" s="1" a="1"/>
  <c r="AF8" i="1" s="1"/>
  <c r="AA134" i="2"/>
  <c r="V134" i="2"/>
  <c r="AI133" i="2"/>
  <c r="AH133" i="2"/>
  <c r="AG133" i="2"/>
  <c r="AF133" i="2"/>
  <c r="AE133" i="2"/>
  <c r="AA133" i="2"/>
  <c r="V133" i="2"/>
  <c r="AE8" i="1" s="1" a="1"/>
  <c r="AE8" i="1" s="1"/>
  <c r="AI132" i="2"/>
  <c r="AH132" i="2"/>
  <c r="AG132" i="2"/>
  <c r="AF132" i="2"/>
  <c r="AE132" i="2"/>
  <c r="AA132" i="2"/>
  <c r="V132" i="2"/>
  <c r="AD8" i="1" s="1" a="1"/>
  <c r="AD8" i="1" s="1"/>
  <c r="AI131" i="2"/>
  <c r="AH131" i="2"/>
  <c r="AG131" i="2"/>
  <c r="AF131" i="2"/>
  <c r="AE131" i="2"/>
  <c r="AI130" i="2"/>
  <c r="AH130" i="2"/>
  <c r="AG130" i="2"/>
  <c r="AF130" i="2"/>
  <c r="AE130" i="2"/>
  <c r="AA129" i="2"/>
  <c r="V129" i="2"/>
  <c r="AC8" i="1" s="1" a="1"/>
  <c r="AC8" i="1" s="1"/>
  <c r="P129" i="2"/>
  <c r="O129" i="2"/>
  <c r="N129" i="2"/>
  <c r="M129" i="2"/>
  <c r="L129" i="2"/>
  <c r="J129" i="2"/>
  <c r="I129" i="2"/>
  <c r="H129" i="2"/>
  <c r="G129" i="2"/>
  <c r="F129" i="2"/>
  <c r="AI128" i="2"/>
  <c r="AH128" i="2"/>
  <c r="AG128" i="2"/>
  <c r="AF128" i="2"/>
  <c r="AE128" i="2"/>
  <c r="AA128" i="2"/>
  <c r="V128" i="2"/>
  <c r="AB8" i="1" s="1" a="1"/>
  <c r="AB8" i="1" s="1"/>
  <c r="AI127" i="2"/>
  <c r="AH127" i="2"/>
  <c r="AG127" i="2"/>
  <c r="AF127" i="2"/>
  <c r="AE127" i="2"/>
  <c r="AA127" i="2"/>
  <c r="V127" i="2"/>
  <c r="AA8" i="1" s="1" a="1"/>
  <c r="AA8" i="1" s="1"/>
  <c r="AI126" i="2"/>
  <c r="AH126" i="2"/>
  <c r="AG126" i="2"/>
  <c r="AF126" i="2"/>
  <c r="AE126" i="2"/>
  <c r="AA126" i="2"/>
  <c r="V126" i="2"/>
  <c r="F8" i="1" s="1" a="1"/>
  <c r="F8" i="1" s="1"/>
  <c r="AI125" i="2"/>
  <c r="AH125" i="2"/>
  <c r="AG125" i="2"/>
  <c r="AF125" i="2"/>
  <c r="AE125" i="2"/>
  <c r="AI124" i="2"/>
  <c r="AH124" i="2"/>
  <c r="AG124" i="2"/>
  <c r="AF124" i="2"/>
  <c r="AE124" i="2"/>
  <c r="AA123" i="2"/>
  <c r="AN12" i="1" s="1" a="1"/>
  <c r="AN12" i="1" s="1"/>
  <c r="AI122" i="2"/>
  <c r="AH122" i="2"/>
  <c r="AG122" i="2"/>
  <c r="AF122" i="2"/>
  <c r="AE122" i="2"/>
  <c r="AA122" i="2"/>
  <c r="AL12" i="1" s="1" a="1"/>
  <c r="AL12" i="1" s="1"/>
  <c r="AI121" i="2"/>
  <c r="AH121" i="2"/>
  <c r="AG121" i="2"/>
  <c r="AF121" i="2"/>
  <c r="AE121" i="2"/>
  <c r="AA121" i="2"/>
  <c r="V121" i="2"/>
  <c r="O8" i="1" s="1" a="1"/>
  <c r="O8" i="1" s="1"/>
  <c r="AI120" i="2"/>
  <c r="AH120" i="2"/>
  <c r="AG120" i="2"/>
  <c r="AF120" i="2"/>
  <c r="AE120" i="2"/>
  <c r="AA120" i="2"/>
  <c r="AH12" i="1" s="1" a="1"/>
  <c r="AH12" i="1" s="1"/>
  <c r="V120" i="2"/>
  <c r="Q8" i="1" s="1" a="1"/>
  <c r="Q8" i="1" s="1"/>
  <c r="AI119" i="2"/>
  <c r="AH119" i="2"/>
  <c r="AG119" i="2"/>
  <c r="AF119" i="2"/>
  <c r="AE119" i="2"/>
  <c r="V119" i="2"/>
  <c r="K8" i="1" s="1" a="1"/>
  <c r="K8" i="1" s="1"/>
  <c r="AI118" i="2"/>
  <c r="AH118" i="2"/>
  <c r="AG118" i="2"/>
  <c r="AF118" i="2"/>
  <c r="AE118" i="2"/>
  <c r="V118" i="2"/>
  <c r="M8" i="1" s="1" a="1"/>
  <c r="M8" i="1" s="1"/>
  <c r="P118" i="2"/>
  <c r="O118" i="2"/>
  <c r="N118" i="2"/>
  <c r="M118" i="2"/>
  <c r="L118" i="2"/>
  <c r="J118" i="2"/>
  <c r="I118" i="2"/>
  <c r="H118" i="2"/>
  <c r="G118" i="2"/>
  <c r="F118" i="2"/>
  <c r="AI117" i="2"/>
  <c r="AH117" i="2"/>
  <c r="AG117" i="2"/>
  <c r="AF117" i="2"/>
  <c r="AE117" i="2"/>
  <c r="AA117" i="2"/>
  <c r="Z8" i="1" s="1" a="1"/>
  <c r="Z8" i="1" s="1"/>
  <c r="V117" i="2"/>
  <c r="I8" i="1" s="1" a="1"/>
  <c r="I8" i="1" s="1"/>
  <c r="AI116" i="2"/>
  <c r="AH116" i="2"/>
  <c r="AG116" i="2"/>
  <c r="AF116" i="2"/>
  <c r="AE116" i="2"/>
  <c r="AA116" i="2"/>
  <c r="Y8" i="1" s="1" a="1"/>
  <c r="Y8" i="1" s="1"/>
  <c r="AI115" i="2"/>
  <c r="AH115" i="2"/>
  <c r="AG115" i="2"/>
  <c r="AF115" i="2"/>
  <c r="AE115" i="2"/>
  <c r="AA115" i="2"/>
  <c r="X8" i="1" s="1" a="1"/>
  <c r="X8" i="1" s="1"/>
  <c r="AI112" i="2"/>
  <c r="AH112" i="2"/>
  <c r="AG112" i="2"/>
  <c r="AF112" i="2"/>
  <c r="AE112" i="2"/>
  <c r="AI110" i="2"/>
  <c r="AH110" i="2"/>
  <c r="AG110" i="2"/>
  <c r="AF110" i="2"/>
  <c r="V110" i="2"/>
  <c r="E8" i="1" s="1" a="1"/>
  <c r="E8" i="1" s="1"/>
  <c r="AI109" i="2"/>
  <c r="AH109" i="2"/>
  <c r="AG109" i="2"/>
  <c r="AF109" i="2"/>
  <c r="AI108" i="2"/>
  <c r="AH108" i="2"/>
  <c r="AG108" i="2"/>
  <c r="AF108" i="2"/>
  <c r="V108" i="2"/>
  <c r="AI107" i="2"/>
  <c r="AH107" i="2"/>
  <c r="AG107" i="2"/>
  <c r="AF107" i="2"/>
  <c r="AI106" i="2"/>
  <c r="AH106" i="2"/>
  <c r="AG106" i="2"/>
  <c r="AF106" i="2"/>
  <c r="V101" i="2"/>
  <c r="AF7" i="1" s="1" a="1"/>
  <c r="AF7" i="1" s="1"/>
  <c r="AA100" i="2"/>
  <c r="V100" i="2"/>
  <c r="AI99" i="2"/>
  <c r="AH99" i="2"/>
  <c r="AG99" i="2"/>
  <c r="AF99" i="2"/>
  <c r="AE99" i="2"/>
  <c r="AA99" i="2"/>
  <c r="V99" i="2"/>
  <c r="AE7" i="1" s="1" a="1"/>
  <c r="AE7" i="1" s="1"/>
  <c r="AI98" i="2"/>
  <c r="AH98" i="2"/>
  <c r="AG98" i="2"/>
  <c r="AF98" i="2"/>
  <c r="AE98" i="2"/>
  <c r="AA98" i="2"/>
  <c r="V98" i="2"/>
  <c r="AD7" i="1" s="1" a="1"/>
  <c r="AD7" i="1" s="1"/>
  <c r="AI97" i="2"/>
  <c r="AH97" i="2"/>
  <c r="AG97" i="2"/>
  <c r="AF97" i="2"/>
  <c r="AE97" i="2"/>
  <c r="AI96" i="2"/>
  <c r="AH96" i="2"/>
  <c r="AG96" i="2"/>
  <c r="AF96" i="2"/>
  <c r="AE96" i="2"/>
  <c r="AA95" i="2"/>
  <c r="V95" i="2"/>
  <c r="AC7" i="1" s="1" a="1"/>
  <c r="AC7" i="1" s="1"/>
  <c r="P95" i="2"/>
  <c r="O95" i="2"/>
  <c r="N95" i="2"/>
  <c r="M95" i="2"/>
  <c r="L95" i="2"/>
  <c r="J95" i="2"/>
  <c r="I95" i="2"/>
  <c r="H95" i="2"/>
  <c r="G95" i="2"/>
  <c r="F95" i="2"/>
  <c r="AI94" i="2"/>
  <c r="AH94" i="2"/>
  <c r="AG94" i="2"/>
  <c r="AF94" i="2"/>
  <c r="AE94" i="2"/>
  <c r="AA94" i="2"/>
  <c r="V94" i="2"/>
  <c r="AB7" i="1" s="1" a="1"/>
  <c r="AB7" i="1" s="1"/>
  <c r="AI93" i="2"/>
  <c r="AH93" i="2"/>
  <c r="AG93" i="2"/>
  <c r="AF93" i="2"/>
  <c r="AE93" i="2"/>
  <c r="AA93" i="2"/>
  <c r="V93" i="2"/>
  <c r="AA7" i="1" s="1" a="1"/>
  <c r="AA7" i="1" s="1"/>
  <c r="AI92" i="2"/>
  <c r="AH92" i="2"/>
  <c r="AG92" i="2"/>
  <c r="AF92" i="2"/>
  <c r="AE92" i="2"/>
  <c r="AA92" i="2"/>
  <c r="V92" i="2"/>
  <c r="F7" i="1" s="1" a="1"/>
  <c r="F7" i="1" s="1"/>
  <c r="AI91" i="2"/>
  <c r="AH91" i="2"/>
  <c r="AG91" i="2"/>
  <c r="AF91" i="2"/>
  <c r="AE91" i="2"/>
  <c r="AI90" i="2"/>
  <c r="AH90" i="2"/>
  <c r="AG90" i="2"/>
  <c r="AF90" i="2"/>
  <c r="AE90" i="2"/>
  <c r="AA89" i="2"/>
  <c r="AN10" i="1" s="1" a="1"/>
  <c r="AN10" i="1" s="1"/>
  <c r="AI88" i="2"/>
  <c r="AH88" i="2"/>
  <c r="AG88" i="2"/>
  <c r="AF88" i="2"/>
  <c r="AE88" i="2"/>
  <c r="AA88" i="2"/>
  <c r="AL10" i="1" s="1" a="1"/>
  <c r="AL10" i="1" s="1"/>
  <c r="AI87" i="2"/>
  <c r="AH87" i="2"/>
  <c r="AG87" i="2"/>
  <c r="AF87" i="2"/>
  <c r="AE87" i="2"/>
  <c r="AA87" i="2"/>
  <c r="V87" i="2"/>
  <c r="O7" i="1" s="1" a="1"/>
  <c r="O7" i="1" s="1"/>
  <c r="AI86" i="2"/>
  <c r="AH86" i="2"/>
  <c r="AG86" i="2"/>
  <c r="AF86" i="2"/>
  <c r="AE86" i="2"/>
  <c r="AA86" i="2"/>
  <c r="AH10" i="1" s="1" a="1"/>
  <c r="AH10" i="1" s="1"/>
  <c r="V86" i="2"/>
  <c r="Q7" i="1" s="1" a="1"/>
  <c r="Q7" i="1" s="1"/>
  <c r="AI85" i="2"/>
  <c r="AH85" i="2"/>
  <c r="AG85" i="2"/>
  <c r="AF85" i="2"/>
  <c r="AE85" i="2"/>
  <c r="V85" i="2"/>
  <c r="K7" i="1" s="1" a="1"/>
  <c r="K7" i="1" s="1"/>
  <c r="AI84" i="2"/>
  <c r="AH84" i="2"/>
  <c r="AG84" i="2"/>
  <c r="AF84" i="2"/>
  <c r="AE84" i="2"/>
  <c r="V84" i="2"/>
  <c r="M7" i="1" s="1" a="1"/>
  <c r="M7" i="1" s="1"/>
  <c r="P84" i="2"/>
  <c r="O84" i="2"/>
  <c r="N84" i="2"/>
  <c r="M84" i="2"/>
  <c r="L84" i="2"/>
  <c r="J84" i="2"/>
  <c r="I84" i="2"/>
  <c r="H84" i="2"/>
  <c r="G84" i="2"/>
  <c r="F84" i="2"/>
  <c r="AI83" i="2"/>
  <c r="AH83" i="2"/>
  <c r="AG83" i="2"/>
  <c r="AF83" i="2"/>
  <c r="AE83" i="2"/>
  <c r="AA83" i="2"/>
  <c r="Z7" i="1" s="1" a="1"/>
  <c r="Z7" i="1" s="1"/>
  <c r="V83" i="2"/>
  <c r="I7" i="1" s="1" a="1"/>
  <c r="I7" i="1" s="1"/>
  <c r="AI82" i="2"/>
  <c r="AH82" i="2"/>
  <c r="AG82" i="2"/>
  <c r="AF82" i="2"/>
  <c r="AE82" i="2"/>
  <c r="AA82" i="2"/>
  <c r="Y7" i="1" s="1" a="1"/>
  <c r="Y7" i="1" s="1"/>
  <c r="AI81" i="2"/>
  <c r="AH81" i="2"/>
  <c r="AG81" i="2"/>
  <c r="AF81" i="2"/>
  <c r="AE81" i="2"/>
  <c r="AA81" i="2"/>
  <c r="X7" i="1" s="1" a="1"/>
  <c r="X7" i="1" s="1"/>
  <c r="AI78" i="2"/>
  <c r="AH78" i="2"/>
  <c r="AG78" i="2"/>
  <c r="AF78" i="2"/>
  <c r="AE78" i="2"/>
  <c r="AI76" i="2"/>
  <c r="AH76" i="2"/>
  <c r="AG76" i="2"/>
  <c r="AF76" i="2"/>
  <c r="V76" i="2"/>
  <c r="E7" i="1" s="1" a="1"/>
  <c r="E7" i="1" s="1"/>
  <c r="AI75" i="2"/>
  <c r="AH75" i="2"/>
  <c r="AG75" i="2"/>
  <c r="AF75" i="2"/>
  <c r="AI74" i="2"/>
  <c r="AH74" i="2"/>
  <c r="AG74" i="2"/>
  <c r="AF74" i="2"/>
  <c r="V74" i="2"/>
  <c r="V89" i="2" s="1"/>
  <c r="AI73" i="2"/>
  <c r="AH73" i="2"/>
  <c r="AG73" i="2"/>
  <c r="AF73" i="2"/>
  <c r="AI72" i="2"/>
  <c r="AH72" i="2"/>
  <c r="AG72" i="2"/>
  <c r="AF72" i="2"/>
  <c r="V67" i="2"/>
  <c r="AF6" i="1" s="1" a="1"/>
  <c r="AF6" i="1" s="1"/>
  <c r="AA66" i="2"/>
  <c r="V66" i="2"/>
  <c r="AI65" i="2"/>
  <c r="AH65" i="2"/>
  <c r="AG65" i="2"/>
  <c r="AF65" i="2"/>
  <c r="AE65" i="2"/>
  <c r="AA65" i="2"/>
  <c r="V65" i="2"/>
  <c r="AE6" i="1" s="1" a="1"/>
  <c r="AE6" i="1" s="1"/>
  <c r="AI64" i="2"/>
  <c r="AH64" i="2"/>
  <c r="AG64" i="2"/>
  <c r="AF64" i="2"/>
  <c r="AE64" i="2"/>
  <c r="AA64" i="2"/>
  <c r="V64" i="2"/>
  <c r="AD6" i="1" s="1" a="1"/>
  <c r="AD6" i="1" s="1"/>
  <c r="AI63" i="2"/>
  <c r="AH63" i="2"/>
  <c r="AG63" i="2"/>
  <c r="AF63" i="2"/>
  <c r="AE63" i="2"/>
  <c r="AI62" i="2"/>
  <c r="AH62" i="2"/>
  <c r="AG62" i="2"/>
  <c r="AF62" i="2"/>
  <c r="AE62" i="2"/>
  <c r="AA61" i="2"/>
  <c r="V61" i="2"/>
  <c r="AC6" i="1" s="1" a="1"/>
  <c r="AC6" i="1" s="1"/>
  <c r="P61" i="2"/>
  <c r="O61" i="2"/>
  <c r="N61" i="2"/>
  <c r="M61" i="2"/>
  <c r="L61" i="2"/>
  <c r="J61" i="2"/>
  <c r="I61" i="2"/>
  <c r="H61" i="2"/>
  <c r="G61" i="2"/>
  <c r="F61" i="2"/>
  <c r="AI60" i="2"/>
  <c r="AH60" i="2"/>
  <c r="AG60" i="2"/>
  <c r="AF60" i="2"/>
  <c r="AE60" i="2"/>
  <c r="AA60" i="2"/>
  <c r="V60" i="2"/>
  <c r="AB6" i="1" s="1" a="1"/>
  <c r="AB6" i="1" s="1"/>
  <c r="AI59" i="2"/>
  <c r="AH59" i="2"/>
  <c r="AG59" i="2"/>
  <c r="AF59" i="2"/>
  <c r="AE59" i="2"/>
  <c r="AA59" i="2"/>
  <c r="V59" i="2"/>
  <c r="AA6" i="1" s="1" a="1"/>
  <c r="AA6" i="1" s="1"/>
  <c r="AI58" i="2"/>
  <c r="AH58" i="2"/>
  <c r="AG58" i="2"/>
  <c r="AF58" i="2"/>
  <c r="AE58" i="2"/>
  <c r="AA58" i="2"/>
  <c r="V58" i="2"/>
  <c r="F6" i="1" s="1" a="1"/>
  <c r="F6" i="1" s="1"/>
  <c r="AI57" i="2"/>
  <c r="AH57" i="2"/>
  <c r="AG57" i="2"/>
  <c r="AF57" i="2"/>
  <c r="AE57" i="2"/>
  <c r="AI56" i="2"/>
  <c r="AH56" i="2"/>
  <c r="AG56" i="2"/>
  <c r="AF56" i="2"/>
  <c r="AE56" i="2"/>
  <c r="AA55" i="2"/>
  <c r="AN8" i="1" s="1" a="1"/>
  <c r="AN8" i="1" s="1"/>
  <c r="AI54" i="2"/>
  <c r="AH54" i="2"/>
  <c r="AG54" i="2"/>
  <c r="AF54" i="2"/>
  <c r="AE54" i="2"/>
  <c r="AA54" i="2"/>
  <c r="AL8" i="1" s="1" a="1"/>
  <c r="AL8" i="1" s="1"/>
  <c r="AI53" i="2"/>
  <c r="AH53" i="2"/>
  <c r="AG53" i="2"/>
  <c r="AF53" i="2"/>
  <c r="AE53" i="2"/>
  <c r="AA53" i="2"/>
  <c r="V53" i="2"/>
  <c r="O6" i="1" s="1" a="1"/>
  <c r="O6" i="1" s="1"/>
  <c r="AI52" i="2"/>
  <c r="AH52" i="2"/>
  <c r="AG52" i="2"/>
  <c r="AF52" i="2"/>
  <c r="AE52" i="2"/>
  <c r="AA52" i="2"/>
  <c r="AH8" i="1" s="1" a="1"/>
  <c r="AH8" i="1" s="1"/>
  <c r="V52" i="2"/>
  <c r="Q6" i="1" s="1" a="1"/>
  <c r="Q6" i="1" s="1"/>
  <c r="AI51" i="2"/>
  <c r="AH51" i="2"/>
  <c r="AG51" i="2"/>
  <c r="AF51" i="2"/>
  <c r="AE51" i="2"/>
  <c r="V51" i="2"/>
  <c r="K6" i="1" s="1" a="1"/>
  <c r="K6" i="1" s="1"/>
  <c r="AI50" i="2"/>
  <c r="AH50" i="2"/>
  <c r="AG50" i="2"/>
  <c r="AF50" i="2"/>
  <c r="AE50" i="2"/>
  <c r="V50" i="2"/>
  <c r="M6" i="1" s="1" a="1"/>
  <c r="M6" i="1" s="1"/>
  <c r="P50" i="2"/>
  <c r="O50" i="2"/>
  <c r="N50" i="2"/>
  <c r="M50" i="2"/>
  <c r="L50" i="2"/>
  <c r="J50" i="2"/>
  <c r="I50" i="2"/>
  <c r="H50" i="2"/>
  <c r="G50" i="2"/>
  <c r="F50" i="2"/>
  <c r="AI49" i="2"/>
  <c r="AH49" i="2"/>
  <c r="AG49" i="2"/>
  <c r="AF49" i="2"/>
  <c r="AE49" i="2"/>
  <c r="AA49" i="2"/>
  <c r="Z6" i="1" s="1" a="1"/>
  <c r="Z6" i="1" s="1"/>
  <c r="V49" i="2"/>
  <c r="I6" i="1" s="1" a="1"/>
  <c r="I6" i="1" s="1"/>
  <c r="AI48" i="2"/>
  <c r="AH48" i="2"/>
  <c r="AG48" i="2"/>
  <c r="AF48" i="2"/>
  <c r="AE48" i="2"/>
  <c r="AA48" i="2"/>
  <c r="Y6" i="1" s="1" a="1"/>
  <c r="Y6" i="1" s="1"/>
  <c r="AI47" i="2"/>
  <c r="AH47" i="2"/>
  <c r="AG47" i="2"/>
  <c r="AF47" i="2"/>
  <c r="AE47" i="2"/>
  <c r="AA47" i="2"/>
  <c r="X6" i="1" s="1" a="1"/>
  <c r="X6" i="1" s="1"/>
  <c r="AI44" i="2"/>
  <c r="AH44" i="2"/>
  <c r="AG44" i="2"/>
  <c r="AF44" i="2"/>
  <c r="AE44" i="2"/>
  <c r="AI42" i="2"/>
  <c r="AH42" i="2"/>
  <c r="AG42" i="2"/>
  <c r="AF42" i="2"/>
  <c r="V42" i="2"/>
  <c r="E6" i="1" s="1" a="1"/>
  <c r="E6" i="1" s="1"/>
  <c r="AI41" i="2"/>
  <c r="AH41" i="2"/>
  <c r="AA41" i="2" s="1"/>
  <c r="AL7" i="1" s="1" a="1"/>
  <c r="AL7" i="1" s="1"/>
  <c r="AG41" i="2"/>
  <c r="AF41" i="2"/>
  <c r="AI40" i="2"/>
  <c r="AH40" i="2"/>
  <c r="AG40" i="2"/>
  <c r="AF40" i="2"/>
  <c r="V40" i="2"/>
  <c r="V55" i="2" s="1"/>
  <c r="U6" i="1" s="1" a="1"/>
  <c r="U6" i="1" s="1"/>
  <c r="AI39" i="2"/>
  <c r="AH39" i="2"/>
  <c r="AG39" i="2"/>
  <c r="AF39" i="2"/>
  <c r="AI38" i="2"/>
  <c r="AH38" i="2"/>
  <c r="AG38" i="2"/>
  <c r="AF38" i="2"/>
  <c r="V33" i="2"/>
  <c r="AF5" i="1" s="1" a="1"/>
  <c r="AF5" i="1" s="1"/>
  <c r="AA32" i="2"/>
  <c r="V32" i="2"/>
  <c r="AI31" i="2"/>
  <c r="AH31" i="2"/>
  <c r="AG31" i="2"/>
  <c r="AF31" i="2"/>
  <c r="AE31" i="2"/>
  <c r="AA31" i="2"/>
  <c r="V31" i="2"/>
  <c r="AI30" i="2"/>
  <c r="AH30" i="2"/>
  <c r="AG30" i="2"/>
  <c r="AF30" i="2"/>
  <c r="AE30" i="2"/>
  <c r="AA30" i="2"/>
  <c r="V30" i="2"/>
  <c r="AD5" i="1" s="1" a="1"/>
  <c r="AD5" i="1" s="1"/>
  <c r="AI29" i="2"/>
  <c r="AH29" i="2"/>
  <c r="AG29" i="2"/>
  <c r="AF29" i="2"/>
  <c r="AE29" i="2"/>
  <c r="AI28" i="2"/>
  <c r="AH28" i="2"/>
  <c r="AG28" i="2"/>
  <c r="AF28" i="2"/>
  <c r="AE28" i="2"/>
  <c r="AA27" i="2"/>
  <c r="V27" i="2"/>
  <c r="AC5" i="1" s="1" a="1"/>
  <c r="AC5" i="1" s="1"/>
  <c r="AC4" i="1" s="1"/>
  <c r="P27" i="2"/>
  <c r="O27" i="2"/>
  <c r="N27" i="2"/>
  <c r="M27" i="2"/>
  <c r="L27" i="2"/>
  <c r="J27" i="2"/>
  <c r="I27" i="2"/>
  <c r="H27" i="2"/>
  <c r="G27" i="2"/>
  <c r="F27" i="2"/>
  <c r="AI26" i="2"/>
  <c r="AH26" i="2"/>
  <c r="AG26" i="2"/>
  <c r="AF26" i="2"/>
  <c r="AE26" i="2"/>
  <c r="AA26" i="2"/>
  <c r="V26" i="2"/>
  <c r="AI25" i="2"/>
  <c r="AH25" i="2"/>
  <c r="AG25" i="2"/>
  <c r="AF25" i="2"/>
  <c r="AE25" i="2"/>
  <c r="AA25" i="2"/>
  <c r="V25" i="2"/>
  <c r="AA5" i="1" s="1" a="1"/>
  <c r="AA5" i="1" s="1"/>
  <c r="AI24" i="2"/>
  <c r="AH24" i="2"/>
  <c r="AG24" i="2"/>
  <c r="AF24" i="2"/>
  <c r="AE24" i="2"/>
  <c r="AA24" i="2"/>
  <c r="V24" i="2"/>
  <c r="AI23" i="2"/>
  <c r="AH23" i="2"/>
  <c r="AG23" i="2"/>
  <c r="AF23" i="2"/>
  <c r="AE23" i="2"/>
  <c r="AI22" i="2"/>
  <c r="AH22" i="2"/>
  <c r="AG22" i="2"/>
  <c r="AF22" i="2"/>
  <c r="AE22" i="2"/>
  <c r="AA21" i="2"/>
  <c r="AN6" i="1" s="1" a="1"/>
  <c r="AN6" i="1" s="1"/>
  <c r="AI20" i="2"/>
  <c r="AH20" i="2"/>
  <c r="AG20" i="2"/>
  <c r="AF20" i="2"/>
  <c r="AE20" i="2"/>
  <c r="AA20" i="2"/>
  <c r="AL6" i="1" s="1" a="1"/>
  <c r="AL6" i="1" s="1"/>
  <c r="AI19" i="2"/>
  <c r="AH19" i="2"/>
  <c r="AG19" i="2"/>
  <c r="AF19" i="2"/>
  <c r="AE19" i="2"/>
  <c r="AA19" i="2"/>
  <c r="V19" i="2"/>
  <c r="AI18" i="2"/>
  <c r="AH18" i="2"/>
  <c r="AG18" i="2"/>
  <c r="AF18" i="2"/>
  <c r="AE18" i="2"/>
  <c r="AA18" i="2"/>
  <c r="AH6" i="1" s="1" a="1"/>
  <c r="AH6" i="1" s="1"/>
  <c r="V18" i="2"/>
  <c r="AI17" i="2"/>
  <c r="AH17" i="2"/>
  <c r="AG17" i="2"/>
  <c r="AF17" i="2"/>
  <c r="AE17" i="2"/>
  <c r="V17" i="2"/>
  <c r="K5" i="1" s="1" a="1"/>
  <c r="K5" i="1" s="1"/>
  <c r="AI16" i="2"/>
  <c r="AH16" i="2"/>
  <c r="AG16" i="2"/>
  <c r="AF16" i="2"/>
  <c r="AE16" i="2"/>
  <c r="V16" i="2"/>
  <c r="M5" i="1" s="1" a="1"/>
  <c r="M5" i="1" s="1"/>
  <c r="P16" i="2"/>
  <c r="O16" i="2"/>
  <c r="N16" i="2"/>
  <c r="M16" i="2"/>
  <c r="L16" i="2"/>
  <c r="J16" i="2"/>
  <c r="I16" i="2"/>
  <c r="H16" i="2"/>
  <c r="G16" i="2"/>
  <c r="F16" i="2"/>
  <c r="AI15" i="2"/>
  <c r="AH15" i="2"/>
  <c r="AG15" i="2"/>
  <c r="AF15" i="2"/>
  <c r="AE15" i="2"/>
  <c r="AA15" i="2"/>
  <c r="Z5" i="1" s="1" a="1"/>
  <c r="Z5" i="1" s="1"/>
  <c r="Z4" i="1" s="1"/>
  <c r="V15" i="2"/>
  <c r="I5" i="1" s="1" a="1"/>
  <c r="I5" i="1" s="1"/>
  <c r="AI14" i="2"/>
  <c r="AH14" i="2"/>
  <c r="AG14" i="2"/>
  <c r="AF14" i="2"/>
  <c r="AE14" i="2"/>
  <c r="AA14" i="2"/>
  <c r="Y5" i="1" s="1" a="1"/>
  <c r="Y5" i="1" s="1"/>
  <c r="Y4" i="1" s="1"/>
  <c r="AI13" i="2"/>
  <c r="AH13" i="2"/>
  <c r="AG13" i="2"/>
  <c r="AF13" i="2"/>
  <c r="AE13" i="2"/>
  <c r="AA13" i="2"/>
  <c r="AI10" i="2"/>
  <c r="AH10" i="2"/>
  <c r="AG10" i="2"/>
  <c r="AF10" i="2"/>
  <c r="AE10" i="2"/>
  <c r="AI8" i="2"/>
  <c r="AH8" i="2"/>
  <c r="AG8" i="2"/>
  <c r="AF8" i="2"/>
  <c r="V8" i="2"/>
  <c r="E5" i="1" s="1" a="1"/>
  <c r="E5" i="1" s="1"/>
  <c r="AI7" i="2"/>
  <c r="AH7" i="2"/>
  <c r="AG7" i="2"/>
  <c r="AF7" i="2"/>
  <c r="AI6" i="2"/>
  <c r="AH6" i="2"/>
  <c r="AG6" i="2"/>
  <c r="AF6" i="2"/>
  <c r="V6" i="2"/>
  <c r="AI5" i="2"/>
  <c r="AH5" i="2"/>
  <c r="AG5" i="2"/>
  <c r="AF5" i="2"/>
  <c r="AI4" i="2"/>
  <c r="AH4" i="2"/>
  <c r="AG4" i="2"/>
  <c r="AF4" i="2"/>
  <c r="AJ5" i="1" a="1"/>
  <c r="AJ5" i="1" s="1"/>
  <c r="AJ4" i="1" s="1"/>
  <c r="AE5" i="1" a="1"/>
  <c r="AE5" i="1" s="1"/>
  <c r="AE4" i="1" s="1"/>
  <c r="AB5" i="1" a="1"/>
  <c r="AB5" i="1" s="1"/>
  <c r="AB4" i="1" s="1"/>
  <c r="X5" i="1" a="1"/>
  <c r="X5" i="1" s="1"/>
  <c r="Q5" i="1" a="1"/>
  <c r="Q5" i="1" s="1"/>
  <c r="Q4" i="1" s="1"/>
  <c r="O5" i="1" a="1"/>
  <c r="O5" i="1" s="1"/>
  <c r="F5" i="1" a="1"/>
  <c r="F5" i="1" s="1"/>
  <c r="C5" i="1" a="1"/>
  <c r="C5" i="1" s="1"/>
  <c r="B5" i="1" a="1"/>
  <c r="B5" i="1" s="1"/>
  <c r="A5" i="1" a="1"/>
  <c r="A5" i="1" s="1"/>
  <c r="AP4" i="1"/>
  <c r="AI4" i="1"/>
  <c r="V291" i="2" l="1"/>
  <c r="O13" i="1" s="1" a="1"/>
  <c r="O13" i="1" s="1"/>
  <c r="C13" i="1" a="1"/>
  <c r="C13" i="1" s="1"/>
  <c r="V258" i="2"/>
  <c r="S12" i="1" s="1" a="1"/>
  <c r="S12" i="1" s="1"/>
  <c r="C12" i="1" a="1"/>
  <c r="C12" i="1" s="1"/>
  <c r="V225" i="2"/>
  <c r="U10" i="1" s="1" a="1"/>
  <c r="U10" i="1" s="1"/>
  <c r="C11" i="1" a="1"/>
  <c r="C11" i="1" s="1"/>
  <c r="AA73" i="2"/>
  <c r="AH9" i="1" s="1" a="1"/>
  <c r="AH9" i="1" s="1"/>
  <c r="V189" i="2"/>
  <c r="O10" i="1" s="1" a="1"/>
  <c r="O10" i="1" s="1"/>
  <c r="C10" i="1" a="1"/>
  <c r="C10" i="1" s="1"/>
  <c r="AA176" i="2"/>
  <c r="AA210" i="2"/>
  <c r="V122" i="2"/>
  <c r="S8" i="1" s="1" a="1"/>
  <c r="S8" i="1" s="1"/>
  <c r="C8" i="1" a="1"/>
  <c r="C8" i="1" s="1"/>
  <c r="U7" i="1" a="1"/>
  <c r="U7" i="1" s="1"/>
  <c r="AA245" i="2"/>
  <c r="AA108" i="2"/>
  <c r="AA75" i="2"/>
  <c r="AL9" i="1" s="1" a="1"/>
  <c r="AL9" i="1" s="1"/>
  <c r="AA280" i="2"/>
  <c r="AA314" i="2"/>
  <c r="AA4" i="1"/>
  <c r="V281" i="2"/>
  <c r="V315" i="2"/>
  <c r="AA76" i="2"/>
  <c r="AN9" i="1" s="1" a="1"/>
  <c r="AN9" i="1" s="1"/>
  <c r="V327" i="2"/>
  <c r="U13" i="1" s="1" a="1"/>
  <c r="U13" i="1" s="1"/>
  <c r="V155" i="2"/>
  <c r="O9" i="1" s="1" a="1"/>
  <c r="O9" i="1" s="1"/>
  <c r="C9" i="1" a="1"/>
  <c r="C9" i="1" s="1"/>
  <c r="M4" i="1"/>
  <c r="AA209" i="2"/>
  <c r="AA8" i="2"/>
  <c r="AN5" i="1" s="1" a="1"/>
  <c r="AN5" i="1" s="1"/>
  <c r="AA7" i="2"/>
  <c r="AL5" i="1" s="1" a="1"/>
  <c r="AL5" i="1" s="1"/>
  <c r="AA6" i="2"/>
  <c r="K4" i="1"/>
  <c r="O4" i="1"/>
  <c r="X4" i="1"/>
  <c r="V20" i="2"/>
  <c r="S5" i="1" s="1" a="1"/>
  <c r="S5" i="1" s="1"/>
  <c r="V7" i="2"/>
  <c r="D5" i="1" s="1" a="1"/>
  <c r="D5" i="1" s="1"/>
  <c r="U5" i="1" a="1"/>
  <c r="U5" i="1" s="1"/>
  <c r="U4" i="1" s="1"/>
  <c r="V9" i="2"/>
  <c r="AA5" i="2"/>
  <c r="AH5" i="1" s="1" a="1"/>
  <c r="AH5" i="1" s="1"/>
  <c r="V54" i="2"/>
  <c r="S6" i="1" s="1" a="1"/>
  <c r="S6" i="1" s="1"/>
  <c r="C6" i="1" a="1"/>
  <c r="C6" i="1" s="1"/>
  <c r="AA40" i="2"/>
  <c r="V41" i="2"/>
  <c r="D6" i="1" s="1" a="1"/>
  <c r="D6" i="1" s="1"/>
  <c r="AA107" i="2"/>
  <c r="AH11" i="1" s="1" a="1"/>
  <c r="AH11" i="1" s="1"/>
  <c r="AA110" i="2"/>
  <c r="AN11" i="1" s="1" a="1"/>
  <c r="AN11" i="1" s="1"/>
  <c r="AA141" i="2"/>
  <c r="AH13" i="1" s="1" a="1"/>
  <c r="AH13" i="1" s="1"/>
  <c r="V145" i="2"/>
  <c r="AA175" i="2"/>
  <c r="V191" i="2"/>
  <c r="U9" i="1" s="1" a="1"/>
  <c r="U9" i="1" s="1"/>
  <c r="V224" i="2"/>
  <c r="S11" i="1" s="1" a="1"/>
  <c r="S11" i="1" s="1"/>
  <c r="AA279" i="2"/>
  <c r="V293" i="2"/>
  <c r="U12" i="1" s="1" a="1"/>
  <c r="U12" i="1" s="1"/>
  <c r="AA313" i="2"/>
  <c r="V326" i="2"/>
  <c r="S14" i="1" s="1" a="1"/>
  <c r="S14" i="1" s="1"/>
  <c r="AA39" i="2"/>
  <c r="AH7" i="1" s="1" a="1"/>
  <c r="AH7" i="1" s="1"/>
  <c r="AA74" i="2"/>
  <c r="AA109" i="2"/>
  <c r="AL11" i="1" s="1" a="1"/>
  <c r="AL11" i="1" s="1"/>
  <c r="V143" i="2"/>
  <c r="D9" i="1" s="1" a="1"/>
  <c r="D9" i="1" s="1"/>
  <c r="AA178" i="2"/>
  <c r="V179" i="2"/>
  <c r="V190" i="2"/>
  <c r="S10" i="1" s="1" a="1"/>
  <c r="S10" i="1" s="1"/>
  <c r="AA212" i="2"/>
  <c r="AA244" i="2"/>
  <c r="AA277" i="2"/>
  <c r="AA312" i="2"/>
  <c r="AA42" i="2"/>
  <c r="AN7" i="1" s="1" a="1"/>
  <c r="AN7" i="1" s="1"/>
  <c r="V43" i="2"/>
  <c r="V88" i="2"/>
  <c r="S7" i="1" s="1" a="1"/>
  <c r="S7" i="1" s="1"/>
  <c r="V157" i="2"/>
  <c r="U8" i="1" s="1" a="1"/>
  <c r="U8" i="1" s="1"/>
  <c r="AA177" i="2"/>
  <c r="AA243" i="2"/>
  <c r="AA246" i="2"/>
  <c r="AA311" i="2"/>
  <c r="C7" i="1" a="1"/>
  <c r="C7" i="1" s="1"/>
  <c r="AD4" i="1"/>
  <c r="AF4" i="1"/>
  <c r="I4" i="1"/>
  <c r="V109" i="2"/>
  <c r="D8" i="1" s="1" a="1"/>
  <c r="D8" i="1" s="1"/>
  <c r="V111" i="2"/>
  <c r="V123" i="2"/>
  <c r="V156" i="2"/>
  <c r="S9" i="1" s="1" a="1"/>
  <c r="S9" i="1" s="1"/>
  <c r="V245" i="2"/>
  <c r="D12" i="1" s="1" a="1"/>
  <c r="D12" i="1" s="1"/>
  <c r="V247" i="2"/>
  <c r="V259" i="2"/>
  <c r="U11" i="1" s="1" a="1"/>
  <c r="U11" i="1" s="1"/>
  <c r="V292" i="2"/>
  <c r="S13" i="1" s="1" a="1"/>
  <c r="S13" i="1" s="1"/>
  <c r="V75" i="2"/>
  <c r="D7" i="1" s="1" a="1"/>
  <c r="D7" i="1" s="1"/>
  <c r="V77" i="2"/>
  <c r="V211" i="2"/>
  <c r="D11" i="1" s="1" a="1"/>
  <c r="D11" i="1" s="1"/>
  <c r="V213" i="2"/>
  <c r="AL4" i="1" l="1"/>
  <c r="AH4" i="1"/>
  <c r="AN4" i="1"/>
  <c r="S4" i="1"/>
</calcChain>
</file>

<file path=xl/sharedStrings.xml><?xml version="1.0" encoding="utf-8"?>
<sst xmlns="http://schemas.openxmlformats.org/spreadsheetml/2006/main" count="1100" uniqueCount="107">
  <si>
    <t>Quote</t>
  </si>
  <si>
    <t xml:space="preserve">Valuation </t>
  </si>
  <si>
    <t>Financial Health</t>
  </si>
  <si>
    <t>Profitability</t>
  </si>
  <si>
    <t>Effectiveness</t>
  </si>
  <si>
    <t>Growth</t>
  </si>
  <si>
    <t>Dividend</t>
  </si>
  <si>
    <t>Symbol</t>
  </si>
  <si>
    <t>Last Price</t>
  </si>
  <si>
    <t>Market Capitalization</t>
  </si>
  <si>
    <t xml:space="preserve">Enterprise Value </t>
  </si>
  <si>
    <t>Book Value</t>
  </si>
  <si>
    <t>Sales</t>
  </si>
  <si>
    <t>P / E</t>
  </si>
  <si>
    <t>P / S</t>
  </si>
  <si>
    <t>P / B</t>
  </si>
  <si>
    <t>P / FCF</t>
  </si>
  <si>
    <t>P / CFO</t>
  </si>
  <si>
    <t>EV / EBITDA</t>
  </si>
  <si>
    <t>EV / S</t>
  </si>
  <si>
    <t>Current Ratio</t>
  </si>
  <si>
    <t>Financial Leverage</t>
  </si>
  <si>
    <t>Debt / Equity</t>
  </si>
  <si>
    <t>Gross Margin</t>
  </si>
  <si>
    <t>Net Margin</t>
  </si>
  <si>
    <t>Operating Margin</t>
  </si>
  <si>
    <t>Return on Equity</t>
  </si>
  <si>
    <t>Return on Assets</t>
  </si>
  <si>
    <t>Asset Turnover</t>
  </si>
  <si>
    <t>Revenue</t>
  </si>
  <si>
    <t>Operating Income %</t>
  </si>
  <si>
    <t>Net Income</t>
  </si>
  <si>
    <t>Earnings Per Share</t>
  </si>
  <si>
    <t>Yield</t>
  </si>
  <si>
    <t>CCUR</t>
  </si>
  <si>
    <t>USD</t>
  </si>
  <si>
    <t>Income Statement</t>
  </si>
  <si>
    <t>2016-10</t>
  </si>
  <si>
    <t>2017-01</t>
  </si>
  <si>
    <t>2017-04</t>
  </si>
  <si>
    <t>2017-07</t>
  </si>
  <si>
    <t>2017-10</t>
  </si>
  <si>
    <t>TTM</t>
  </si>
  <si>
    <t>5-Year Average</t>
  </si>
  <si>
    <t>Key Ratios ― Growth, YOY</t>
  </si>
  <si>
    <t>Revenue %</t>
  </si>
  <si>
    <t>Cost of revenue</t>
  </si>
  <si>
    <t>Operating Income</t>
  </si>
  <si>
    <t>Gross profit</t>
  </si>
  <si>
    <t>Net Income %</t>
  </si>
  <si>
    <t>Operating income</t>
  </si>
  <si>
    <t>Earnings per share %</t>
  </si>
  <si>
    <t>Net income</t>
  </si>
  <si>
    <t>Type</t>
  </si>
  <si>
    <t>Earnings per share</t>
  </si>
  <si>
    <t>Dividend Yield</t>
  </si>
  <si>
    <t>Financials</t>
  </si>
  <si>
    <t>Weighted average share…</t>
  </si>
  <si>
    <t>EBITDA</t>
  </si>
  <si>
    <t>Valuation</t>
  </si>
  <si>
    <t>Gross Margin %</t>
  </si>
  <si>
    <t>Balance Sheet</t>
  </si>
  <si>
    <t>Operating Margin %</t>
  </si>
  <si>
    <t>Cash and cash equivale…</t>
  </si>
  <si>
    <t>Total cash</t>
  </si>
  <si>
    <t>Total current assets</t>
  </si>
  <si>
    <t>Gross Profit</t>
  </si>
  <si>
    <t>Shares</t>
  </si>
  <si>
    <t>Total assets</t>
  </si>
  <si>
    <t>Book Value Per Share</t>
  </si>
  <si>
    <t>Short-term debt</t>
  </si>
  <si>
    <t>Total current liabilities</t>
  </si>
  <si>
    <t>Long-term debt</t>
  </si>
  <si>
    <t>Net Margin %</t>
  </si>
  <si>
    <t>Total liabilities</t>
  </si>
  <si>
    <t>Total Cash</t>
  </si>
  <si>
    <t>Return on Equity %</t>
  </si>
  <si>
    <t>Total stockholders' eq…</t>
  </si>
  <si>
    <t xml:space="preserve">Current Assets </t>
  </si>
  <si>
    <t>Return on Assets %</t>
  </si>
  <si>
    <t>Current Liabilities</t>
  </si>
  <si>
    <t>Cash Flow</t>
  </si>
  <si>
    <t>Total Debt</t>
  </si>
  <si>
    <t>Operating cash flow</t>
  </si>
  <si>
    <t>Capital expenditure</t>
  </si>
  <si>
    <t>Cash Flow Statement</t>
  </si>
  <si>
    <t>Free cash flow</t>
  </si>
  <si>
    <t>Operating Cash Flow</t>
  </si>
  <si>
    <t>Capital Expenditure</t>
  </si>
  <si>
    <t>Return on Capital Employed</t>
  </si>
  <si>
    <t>Free Cash Flow</t>
  </si>
  <si>
    <t>CRAY</t>
  </si>
  <si>
    <t>ADI</t>
  </si>
  <si>
    <t>HPE</t>
  </si>
  <si>
    <t>HPQ</t>
  </si>
  <si>
    <t>NCR</t>
  </si>
  <si>
    <t>OSS</t>
  </si>
  <si>
    <t>PAR</t>
  </si>
  <si>
    <t>TDC</t>
  </si>
  <si>
    <t>XPLR</t>
  </si>
  <si>
    <t>source</t>
  </si>
  <si>
    <t>USD in Billion</t>
  </si>
  <si>
    <t>Year over Year</t>
  </si>
  <si>
    <t>Quick Ratio</t>
  </si>
  <si>
    <t>USD in Million</t>
  </si>
  <si>
    <t>3-Year Average</t>
  </si>
  <si>
    <t>USD in 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</si>
</sst>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0.0"/>
    <numFmt numFmtId="165" formatCode="0_);[Red]\(0\)"/>
    <numFmt numFmtId="166" formatCode="0.00_);[Red]\(0.00\)"/>
    <numFmt numFmtId="167" formatCode="0.0%"/>
    <numFmt numFmtId="168" formatCode="#,##0.0"/>
    <numFmt numFmtId="169" formatCode="&quot;$&quot;#,##0.0"/>
    <numFmt numFmtId="170" formatCode="&quot;$&quot;#,##0.00"/>
    <numFmt numFmtId="171" formatCode="0.0_);[Red]\(0.0\)"/>
  </numFmts>
  <fonts count="2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9292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1"/>
      </bottom>
      <diagonal/>
    </border>
    <border>
      <left/>
      <right/>
      <top style="medium">
        <color theme="4" tint="0.39997558519241921"/>
      </top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9.9978637043366805E-2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thin">
        <color rgb="FF333333"/>
      </bottom>
      <diagonal/>
    </border>
    <border>
      <left/>
      <right style="medium">
        <color theme="1"/>
      </right>
      <top style="medium">
        <color theme="1"/>
      </top>
      <bottom style="thin">
        <color rgb="FF333333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medium">
        <color theme="1"/>
      </right>
      <top style="thin">
        <color rgb="FF333333"/>
      </top>
      <bottom style="thin">
        <color rgb="FF333333"/>
      </bottom>
      <diagonal/>
    </border>
    <border>
      <left style="medium">
        <color theme="1"/>
      </left>
      <right style="medium">
        <color theme="1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rgb="FF333333"/>
      </bottom>
      <diagonal/>
    </border>
    <border>
      <left/>
      <right/>
      <top style="medium">
        <color rgb="FF333333"/>
      </top>
      <bottom style="thin">
        <color rgb="FF333333"/>
      </bottom>
      <diagonal/>
    </border>
  </borders>
  <cellStyleXfs count="7">
    <xf numFmtId="0" fontId="0" fillId="0" borderId="0"/>
    <xf numFmtId="0" fontId="1" fillId="0" borderId="1"/>
    <xf numFmtId="0" fontId="2" fillId="0" borderId="2"/>
    <xf numFmtId="0" fontId="3" fillId="0" borderId="3"/>
    <xf numFmtId="0" fontId="4" fillId="0" borderId="4"/>
    <xf numFmtId="0" fontId="5" fillId="2" borderId="5"/>
    <xf numFmtId="0" fontId="6" fillId="3" borderId="5"/>
  </cellStyleXfs>
  <cellXfs count="32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0" xfId="0" applyFont="1" applyFill="1"/>
    <xf numFmtId="0" fontId="13" fillId="4" borderId="16" xfId="0" applyFont="1" applyFill="1" applyBorder="1"/>
    <xf numFmtId="0" fontId="13" fillId="4" borderId="23" xfId="0" applyFont="1" applyFill="1" applyBorder="1"/>
    <xf numFmtId="0" fontId="13" fillId="5" borderId="16" xfId="0" applyFont="1" applyFill="1" applyBorder="1" applyAlignment="1">
      <alignment horizontal="left" indent="1"/>
    </xf>
    <xf numFmtId="2" fontId="13" fillId="4" borderId="16" xfId="0" applyNumberFormat="1" applyFont="1" applyFill="1" applyBorder="1" applyAlignment="1">
      <alignment horizontal="center" vertical="center"/>
    </xf>
    <xf numFmtId="2" fontId="13" fillId="4" borderId="16" xfId="0" applyNumberFormat="1" applyFont="1" applyFill="1" applyBorder="1"/>
    <xf numFmtId="0" fontId="8" fillId="4" borderId="0" xfId="2" applyFont="1" applyFill="1" applyBorder="1" applyAlignment="1">
      <alignment horizontal="right"/>
    </xf>
    <xf numFmtId="0" fontId="8" fillId="4" borderId="0" xfId="2" applyFont="1" applyFill="1" applyBorder="1" applyAlignment="1">
      <alignment horizontal="left" vertical="center" indent="1"/>
    </xf>
    <xf numFmtId="0" fontId="14" fillId="4" borderId="0" xfId="2" applyFont="1" applyFill="1" applyBorder="1" applyAlignment="1">
      <alignment vertical="center"/>
    </xf>
    <xf numFmtId="0" fontId="14" fillId="4" borderId="0" xfId="2" applyFont="1" applyFill="1" applyBorder="1" applyAlignment="1">
      <alignment horizontal="right" vertical="center"/>
    </xf>
    <xf numFmtId="0" fontId="14" fillId="4" borderId="6" xfId="2" applyFont="1" applyFill="1" applyBorder="1" applyAlignment="1">
      <alignment vertical="center"/>
    </xf>
    <xf numFmtId="0" fontId="14" fillId="4" borderId="6" xfId="2" applyFont="1" applyFill="1" applyBorder="1" applyAlignment="1">
      <alignment horizontal="left" vertical="center"/>
    </xf>
    <xf numFmtId="2" fontId="14" fillId="4" borderId="6" xfId="2" applyNumberFormat="1" applyFont="1" applyFill="1" applyBorder="1" applyAlignment="1">
      <alignment horizontal="center" vertical="center"/>
    </xf>
    <xf numFmtId="2" fontId="14" fillId="4" borderId="0" xfId="2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right" indent="1"/>
    </xf>
    <xf numFmtId="0" fontId="14" fillId="4" borderId="0" xfId="0" applyFont="1" applyFill="1" applyAlignment="1">
      <alignment horizontal="center" vertical="center"/>
    </xf>
    <xf numFmtId="0" fontId="14" fillId="4" borderId="0" xfId="0" applyFont="1" applyFill="1"/>
    <xf numFmtId="0" fontId="8" fillId="4" borderId="0" xfId="1" applyFont="1" applyFill="1" applyBorder="1" applyAlignment="1">
      <alignment vertical="center"/>
    </xf>
    <xf numFmtId="0" fontId="7" fillId="4" borderId="1" xfId="1" applyFont="1" applyFill="1" applyAlignment="1">
      <alignment vertical="center"/>
    </xf>
    <xf numFmtId="38" fontId="7" fillId="4" borderId="0" xfId="2" applyNumberFormat="1" applyFont="1" applyFill="1" applyBorder="1" applyAlignment="1">
      <alignment horizontal="right" vertical="center" indent="1"/>
    </xf>
    <xf numFmtId="38" fontId="16" fillId="4" borderId="0" xfId="1" applyNumberFormat="1" applyFont="1" applyFill="1" applyBorder="1" applyAlignment="1">
      <alignment horizontal="right" vertical="center" indent="1"/>
    </xf>
    <xf numFmtId="0" fontId="7" fillId="4" borderId="13" xfId="2" applyFont="1" applyFill="1" applyBorder="1" applyAlignment="1">
      <alignment horizontal="left" vertical="center" indent="1"/>
    </xf>
    <xf numFmtId="0" fontId="7" fillId="4" borderId="13" xfId="2" applyFont="1" applyFill="1" applyBorder="1" applyAlignment="1">
      <alignment horizontal="left" vertical="center"/>
    </xf>
    <xf numFmtId="4" fontId="7" fillId="4" borderId="13" xfId="2" applyNumberFormat="1" applyFont="1" applyFill="1" applyBorder="1" applyAlignment="1">
      <alignment horizontal="center" vertical="center"/>
    </xf>
    <xf numFmtId="3" fontId="16" fillId="4" borderId="13" xfId="5" applyNumberFormat="1" applyFont="1" applyFill="1" applyBorder="1" applyAlignment="1">
      <alignment horizontal="right" vertical="center" indent="2"/>
    </xf>
    <xf numFmtId="0" fontId="7" fillId="4" borderId="7" xfId="1" applyFont="1" applyFill="1" applyBorder="1" applyAlignment="1">
      <alignment horizontal="left" vertical="center" indent="1"/>
    </xf>
    <xf numFmtId="0" fontId="7" fillId="4" borderId="7" xfId="1" applyFont="1" applyFill="1" applyBorder="1" applyAlignment="1">
      <alignment vertical="center"/>
    </xf>
    <xf numFmtId="38" fontId="16" fillId="4" borderId="7" xfId="1" applyNumberFormat="1" applyFont="1" applyFill="1" applyBorder="1" applyAlignment="1">
      <alignment horizontal="right" vertical="center" indent="1"/>
    </xf>
    <xf numFmtId="4" fontId="7" fillId="4" borderId="13" xfId="2" applyNumberFormat="1" applyFont="1" applyFill="1" applyBorder="1" applyAlignment="1">
      <alignment horizontal="left" vertical="center"/>
    </xf>
    <xf numFmtId="0" fontId="8" fillId="4" borderId="0" xfId="1" applyFont="1" applyFill="1" applyBorder="1" applyAlignment="1">
      <alignment horizontal="right" vertical="center"/>
    </xf>
    <xf numFmtId="38" fontId="17" fillId="4" borderId="1" xfId="1" applyNumberFormat="1" applyFont="1" applyFill="1" applyAlignment="1">
      <alignment horizontal="right" vertical="center" indent="1"/>
    </xf>
    <xf numFmtId="4" fontId="7" fillId="4" borderId="13" xfId="2" applyNumberFormat="1" applyFont="1" applyFill="1" applyBorder="1" applyAlignment="1">
      <alignment horizontal="right" vertical="center" indent="2"/>
    </xf>
    <xf numFmtId="38" fontId="7" fillId="4" borderId="0" xfId="1" applyNumberFormat="1" applyFont="1" applyFill="1" applyBorder="1" applyAlignment="1">
      <alignment horizontal="right" vertical="center" indent="1"/>
    </xf>
    <xf numFmtId="2" fontId="9" fillId="4" borderId="0" xfId="5" applyNumberFormat="1" applyFont="1" applyFill="1" applyBorder="1" applyAlignment="1">
      <alignment horizontal="right" vertical="center"/>
    </xf>
    <xf numFmtId="0" fontId="7" fillId="4" borderId="6" xfId="0" applyFont="1" applyFill="1" applyBorder="1"/>
    <xf numFmtId="2" fontId="14" fillId="4" borderId="6" xfId="2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/>
    </xf>
    <xf numFmtId="0" fontId="14" fillId="4" borderId="7" xfId="1" applyFont="1" applyFill="1" applyBorder="1" applyAlignment="1">
      <alignment vertical="center"/>
    </xf>
    <xf numFmtId="38" fontId="17" fillId="4" borderId="7" xfId="1" applyNumberFormat="1" applyFont="1" applyFill="1" applyBorder="1" applyAlignment="1">
      <alignment horizontal="right" vertical="center" indent="1"/>
    </xf>
    <xf numFmtId="0" fontId="7" fillId="4" borderId="11" xfId="2" applyFont="1" applyFill="1" applyBorder="1" applyAlignment="1">
      <alignment horizontal="left" vertical="center" indent="1"/>
    </xf>
    <xf numFmtId="0" fontId="7" fillId="4" borderId="11" xfId="2" applyFont="1" applyFill="1" applyBorder="1" applyAlignment="1">
      <alignment horizontal="left" vertical="center"/>
    </xf>
    <xf numFmtId="2" fontId="17" fillId="4" borderId="11" xfId="5" applyNumberFormat="1" applyFont="1" applyFill="1" applyBorder="1" applyAlignment="1">
      <alignment horizontal="right" vertical="center" indent="2"/>
    </xf>
    <xf numFmtId="0" fontId="7" fillId="4" borderId="11" xfId="0" applyFont="1" applyFill="1" applyBorder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right" vertical="center" indent="2"/>
    </xf>
    <xf numFmtId="40" fontId="16" fillId="4" borderId="1" xfId="1" applyNumberFormat="1" applyFont="1" applyFill="1" applyAlignment="1">
      <alignment horizontal="right" vertical="center" indent="1"/>
    </xf>
    <xf numFmtId="40" fontId="7" fillId="4" borderId="0" xfId="2" applyNumberFormat="1" applyFont="1" applyFill="1" applyBorder="1" applyAlignment="1">
      <alignment horizontal="right" vertical="center" indent="1"/>
    </xf>
    <xf numFmtId="40" fontId="16" fillId="4" borderId="1" xfId="1" applyNumberFormat="1" applyFont="1" applyFill="1" applyAlignment="1">
      <alignment horizontal="right" vertical="center" wrapText="1" indent="1"/>
    </xf>
    <xf numFmtId="0" fontId="7" fillId="4" borderId="14" xfId="2" applyFont="1" applyFill="1" applyBorder="1" applyAlignment="1">
      <alignment horizontal="left" vertical="center" indent="1"/>
    </xf>
    <xf numFmtId="0" fontId="7" fillId="4" borderId="14" xfId="2" applyFont="1" applyFill="1" applyBorder="1" applyAlignment="1">
      <alignment horizontal="left" vertical="center"/>
    </xf>
    <xf numFmtId="2" fontId="17" fillId="4" borderId="14" xfId="5" applyNumberFormat="1" applyFont="1" applyFill="1" applyBorder="1" applyAlignment="1">
      <alignment horizontal="right" vertical="center" indent="2"/>
    </xf>
    <xf numFmtId="0" fontId="7" fillId="4" borderId="1" xfId="1" applyFont="1" applyFill="1" applyAlignment="1">
      <alignment horizontal="left" vertical="center" indent="1"/>
    </xf>
    <xf numFmtId="0" fontId="14" fillId="4" borderId="1" xfId="1" applyFont="1" applyFill="1" applyAlignment="1">
      <alignment vertical="center"/>
    </xf>
    <xf numFmtId="38" fontId="16" fillId="4" borderId="1" xfId="1" applyNumberFormat="1" applyFont="1" applyFill="1" applyAlignment="1">
      <alignment horizontal="right" vertical="center" indent="1"/>
    </xf>
    <xf numFmtId="0" fontId="7" fillId="4" borderId="13" xfId="0" applyFont="1" applyFill="1" applyBorder="1" applyAlignment="1">
      <alignment horizontal="left" vertical="center" indent="1"/>
    </xf>
    <xf numFmtId="0" fontId="7" fillId="4" borderId="13" xfId="0" applyFont="1" applyFill="1" applyBorder="1" applyAlignment="1">
      <alignment horizontal="left" vertical="center"/>
    </xf>
    <xf numFmtId="2" fontId="17" fillId="4" borderId="13" xfId="5" applyNumberFormat="1" applyFont="1" applyFill="1" applyBorder="1" applyAlignment="1">
      <alignment horizontal="right" vertical="center" indent="2"/>
    </xf>
    <xf numFmtId="2" fontId="7" fillId="4" borderId="11" xfId="2" applyNumberFormat="1" applyFont="1" applyFill="1" applyBorder="1" applyAlignment="1">
      <alignment horizontal="left" vertical="center" indent="1"/>
    </xf>
    <xf numFmtId="2" fontId="7" fillId="4" borderId="11" xfId="2" applyNumberFormat="1" applyFont="1" applyFill="1" applyBorder="1" applyAlignment="1">
      <alignment horizontal="left" vertical="center"/>
    </xf>
    <xf numFmtId="2" fontId="7" fillId="4" borderId="13" xfId="2" applyNumberFormat="1" applyFont="1" applyFill="1" applyBorder="1" applyAlignment="1">
      <alignment horizontal="left" vertical="center" indent="1"/>
    </xf>
    <xf numFmtId="2" fontId="7" fillId="4" borderId="13" xfId="2" applyNumberFormat="1" applyFont="1" applyFill="1" applyBorder="1" applyAlignment="1">
      <alignment horizontal="left" vertical="center"/>
    </xf>
    <xf numFmtId="38" fontId="16" fillId="4" borderId="13" xfId="5" applyNumberFormat="1" applyFont="1" applyFill="1" applyBorder="1" applyAlignment="1">
      <alignment horizontal="right" vertical="center" indent="2"/>
    </xf>
    <xf numFmtId="38" fontId="7" fillId="4" borderId="0" xfId="0" applyNumberFormat="1" applyFont="1" applyFill="1" applyAlignment="1">
      <alignment horizontal="right" vertical="center" indent="1"/>
    </xf>
    <xf numFmtId="0" fontId="14" fillId="4" borderId="6" xfId="0" applyFont="1" applyFill="1" applyBorder="1" applyAlignment="1">
      <alignment horizontal="left" vertical="center"/>
    </xf>
    <xf numFmtId="0" fontId="8" fillId="4" borderId="0" xfId="1" applyFont="1" applyFill="1" applyBorder="1"/>
    <xf numFmtId="0" fontId="7" fillId="4" borderId="0" xfId="1" applyFont="1" applyFill="1" applyBorder="1" applyAlignment="1">
      <alignment horizontal="left" vertical="center" indent="1"/>
    </xf>
    <xf numFmtId="0" fontId="14" fillId="4" borderId="0" xfId="1" applyFont="1" applyFill="1" applyBorder="1" applyAlignment="1">
      <alignment vertical="center"/>
    </xf>
    <xf numFmtId="38" fontId="16" fillId="4" borderId="0" xfId="1" applyNumberFormat="1" applyFont="1" applyFill="1" applyBorder="1" applyAlignment="1">
      <alignment horizontal="right" vertical="center" indent="2"/>
    </xf>
    <xf numFmtId="0" fontId="7" fillId="4" borderId="0" xfId="4" applyFont="1" applyFill="1" applyBorder="1" applyAlignment="1">
      <alignment horizontal="right" indent="1"/>
    </xf>
    <xf numFmtId="0" fontId="7" fillId="4" borderId="11" xfId="0" applyFont="1" applyFill="1" applyBorder="1" applyAlignment="1">
      <alignment horizontal="left" vertical="center"/>
    </xf>
    <xf numFmtId="3" fontId="17" fillId="4" borderId="11" xfId="5" applyNumberFormat="1" applyFont="1" applyFill="1" applyBorder="1" applyAlignment="1">
      <alignment horizontal="right" vertical="center" indent="2"/>
    </xf>
    <xf numFmtId="38" fontId="14" fillId="4" borderId="0" xfId="2" applyNumberFormat="1" applyFont="1" applyFill="1" applyBorder="1" applyAlignment="1">
      <alignment horizontal="right" vertical="center" indent="1"/>
    </xf>
    <xf numFmtId="0" fontId="7" fillId="4" borderId="13" xfId="0" applyFont="1" applyFill="1" applyBorder="1"/>
    <xf numFmtId="0" fontId="7" fillId="4" borderId="15" xfId="0" applyFont="1" applyFill="1" applyBorder="1" applyAlignment="1">
      <alignment horizontal="left" vertical="center" indent="1"/>
    </xf>
    <xf numFmtId="0" fontId="7" fillId="4" borderId="15" xfId="0" applyFont="1" applyFill="1" applyBorder="1"/>
    <xf numFmtId="38" fontId="16" fillId="4" borderId="15" xfId="5" applyNumberFormat="1" applyFont="1" applyFill="1" applyBorder="1" applyAlignment="1">
      <alignment horizontal="right" vertical="center" indent="2"/>
    </xf>
    <xf numFmtId="38" fontId="14" fillId="4" borderId="0" xfId="0" applyNumberFormat="1" applyFont="1" applyFill="1" applyAlignment="1">
      <alignment horizontal="right" vertical="center" indent="1"/>
    </xf>
    <xf numFmtId="2" fontId="14" fillId="4" borderId="6" xfId="2" applyNumberFormat="1" applyFont="1" applyFill="1" applyBorder="1" applyAlignment="1">
      <alignment horizontal="right" vertical="center"/>
    </xf>
    <xf numFmtId="3" fontId="16" fillId="4" borderId="11" xfId="5" applyNumberFormat="1" applyFont="1" applyFill="1" applyBorder="1" applyAlignment="1">
      <alignment horizontal="right" vertical="center" indent="2"/>
    </xf>
    <xf numFmtId="3" fontId="16" fillId="4" borderId="13" xfId="0" applyNumberFormat="1" applyFont="1" applyFill="1" applyBorder="1" applyAlignment="1">
      <alignment horizontal="right" vertical="center" indent="2"/>
    </xf>
    <xf numFmtId="0" fontId="14" fillId="4" borderId="8" xfId="0" applyFont="1" applyFill="1" applyBorder="1" applyAlignment="1">
      <alignment horizontal="left" vertical="center" indent="1"/>
    </xf>
    <xf numFmtId="0" fontId="14" fillId="4" borderId="8" xfId="0" applyFont="1" applyFill="1" applyBorder="1" applyAlignment="1">
      <alignment horizontal="left" vertical="center"/>
    </xf>
    <xf numFmtId="0" fontId="8" fillId="4" borderId="0" xfId="1" applyFont="1" applyFill="1" applyBorder="1" applyAlignment="1">
      <alignment horizontal="left" vertical="center"/>
    </xf>
    <xf numFmtId="2" fontId="16" fillId="4" borderId="0" xfId="1" applyNumberFormat="1" applyFont="1" applyFill="1" applyBorder="1" applyAlignment="1">
      <alignment horizontal="right" vertical="center" indent="3"/>
    </xf>
    <xf numFmtId="0" fontId="9" fillId="4" borderId="0" xfId="1" applyFont="1" applyFill="1" applyBorder="1" applyAlignment="1">
      <alignment horizontal="right" vertical="center"/>
    </xf>
    <xf numFmtId="0" fontId="14" fillId="4" borderId="1" xfId="1" applyFont="1" applyFill="1" applyAlignment="1">
      <alignment horizontal="left" vertical="center" indent="1"/>
    </xf>
    <xf numFmtId="2" fontId="17" fillId="4" borderId="0" xfId="1" applyNumberFormat="1" applyFont="1" applyFill="1" applyBorder="1" applyAlignment="1">
      <alignment horizontal="right" vertical="center" indent="1"/>
    </xf>
    <xf numFmtId="0" fontId="8" fillId="4" borderId="0" xfId="1" applyFont="1" applyFill="1" applyBorder="1" applyAlignment="1">
      <alignment horizontal="right" indent="1"/>
    </xf>
    <xf numFmtId="0" fontId="7" fillId="4" borderId="6" xfId="0" applyFont="1" applyFill="1" applyBorder="1" applyAlignment="1">
      <alignment horizontal="left"/>
    </xf>
    <xf numFmtId="0" fontId="7" fillId="4" borderId="13" xfId="0" applyFont="1" applyFill="1" applyBorder="1" applyAlignment="1">
      <alignment vertical="center"/>
    </xf>
    <xf numFmtId="10" fontId="17" fillId="4" borderId="0" xfId="1" applyNumberFormat="1" applyFont="1" applyFill="1" applyBorder="1" applyAlignment="1">
      <alignment horizontal="right" vertical="center" indent="1"/>
    </xf>
    <xf numFmtId="0" fontId="12" fillId="4" borderId="0" xfId="4" applyFont="1" applyFill="1" applyBorder="1" applyAlignment="1">
      <alignment vertical="center"/>
    </xf>
    <xf numFmtId="38" fontId="12" fillId="4" borderId="0" xfId="4" applyNumberFormat="1" applyFont="1" applyFill="1" applyBorder="1" applyAlignment="1">
      <alignment horizontal="center"/>
    </xf>
    <xf numFmtId="38" fontId="12" fillId="4" borderId="0" xfId="4" applyNumberFormat="1" applyFont="1" applyFill="1" applyBorder="1" applyAlignment="1">
      <alignment vertical="center"/>
    </xf>
    <xf numFmtId="38" fontId="12" fillId="4" borderId="0" xfId="4" applyNumberFormat="1" applyFont="1" applyFill="1" applyBorder="1" applyAlignment="1">
      <alignment horizontal="right" vertical="center"/>
    </xf>
    <xf numFmtId="38" fontId="12" fillId="4" borderId="0" xfId="4" applyNumberFormat="1" applyFont="1" applyFill="1" applyBorder="1" applyAlignment="1">
      <alignment horizontal="center" vertical="center"/>
    </xf>
    <xf numFmtId="0" fontId="12" fillId="4" borderId="0" xfId="4" applyFont="1" applyFill="1" applyBorder="1"/>
    <xf numFmtId="0" fontId="7" fillId="5" borderId="10" xfId="0" applyFont="1" applyFill="1" applyBorder="1"/>
    <xf numFmtId="38" fontId="7" fillId="5" borderId="10" xfId="0" applyNumberFormat="1" applyFont="1" applyFill="1" applyBorder="1"/>
    <xf numFmtId="0" fontId="7" fillId="5" borderId="0" xfId="0" applyFont="1" applyFill="1"/>
    <xf numFmtId="0" fontId="8" fillId="5" borderId="0" xfId="2" applyFont="1" applyFill="1" applyBorder="1" applyAlignment="1">
      <alignment horizontal="right"/>
    </xf>
    <xf numFmtId="0" fontId="14" fillId="5" borderId="0" xfId="2" applyFont="1" applyFill="1" applyBorder="1" applyAlignment="1">
      <alignment horizontal="right" vertical="center"/>
    </xf>
    <xf numFmtId="0" fontId="11" fillId="5" borderId="0" xfId="3" applyFont="1" applyFill="1" applyBorder="1" applyAlignment="1">
      <alignment horizontal="left" vertical="center"/>
    </xf>
    <xf numFmtId="0" fontId="8" fillId="5" borderId="0" xfId="1" applyFont="1" applyFill="1" applyBorder="1" applyAlignment="1">
      <alignment vertical="center"/>
    </xf>
    <xf numFmtId="0" fontId="8" fillId="5" borderId="0" xfId="1" applyFont="1" applyFill="1" applyBorder="1" applyAlignment="1">
      <alignment horizontal="right" vertical="center"/>
    </xf>
    <xf numFmtId="0" fontId="8" fillId="5" borderId="0" xfId="1" applyFont="1" applyFill="1" applyBorder="1"/>
    <xf numFmtId="0" fontId="8" fillId="5" borderId="0" xfId="1" applyFont="1" applyFill="1" applyBorder="1" applyAlignment="1">
      <alignment horizontal="left" vertical="center"/>
    </xf>
    <xf numFmtId="0" fontId="9" fillId="5" borderId="0" xfId="1" applyFont="1" applyFill="1" applyBorder="1" applyAlignment="1">
      <alignment horizontal="right" vertical="center"/>
    </xf>
    <xf numFmtId="0" fontId="8" fillId="5" borderId="0" xfId="1" applyFont="1" applyFill="1" applyBorder="1" applyAlignment="1">
      <alignment horizontal="right" indent="1"/>
    </xf>
    <xf numFmtId="0" fontId="12" fillId="5" borderId="0" xfId="4" applyFont="1" applyFill="1" applyBorder="1"/>
    <xf numFmtId="0" fontId="12" fillId="5" borderId="0" xfId="4" applyFont="1" applyFill="1" applyBorder="1" applyAlignment="1">
      <alignment vertical="center"/>
    </xf>
    <xf numFmtId="0" fontId="9" fillId="4" borderId="6" xfId="2" applyFont="1" applyFill="1" applyBorder="1" applyAlignment="1">
      <alignment horizontal="left" vertical="center" indent="1"/>
    </xf>
    <xf numFmtId="0" fontId="8" fillId="4" borderId="6" xfId="2" applyFont="1" applyFill="1" applyBorder="1" applyAlignment="1">
      <alignment horizontal="left" vertical="center" indent="1"/>
    </xf>
    <xf numFmtId="0" fontId="7" fillId="4" borderId="12" xfId="0" applyFont="1" applyFill="1" applyBorder="1" applyAlignment="1">
      <alignment horizontal="left" vertical="center" indent="1"/>
    </xf>
    <xf numFmtId="0" fontId="7" fillId="4" borderId="0" xfId="0" applyFont="1" applyFill="1"/>
    <xf numFmtId="0" fontId="7" fillId="4" borderId="12" xfId="0" applyFont="1" applyFill="1" applyBorder="1"/>
    <xf numFmtId="10" fontId="16" fillId="4" borderId="12" xfId="0" applyNumberFormat="1" applyFont="1" applyFill="1" applyBorder="1" applyAlignment="1">
      <alignment horizontal="right" vertical="center" indent="2"/>
    </xf>
    <xf numFmtId="0" fontId="14" fillId="5" borderId="9" xfId="0" applyFont="1" applyFill="1" applyBorder="1" applyAlignment="1">
      <alignment horizontal="center" vertical="center"/>
    </xf>
    <xf numFmtId="0" fontId="14" fillId="5" borderId="9" xfId="1" applyFont="1" applyFill="1" applyBorder="1" applyAlignment="1">
      <alignment horizontal="center" vertical="center"/>
    </xf>
    <xf numFmtId="0" fontId="7" fillId="5" borderId="9" xfId="0" applyFont="1" applyFill="1" applyBorder="1"/>
    <xf numFmtId="0" fontId="11" fillId="5" borderId="18" xfId="4" applyFont="1" applyFill="1" applyBorder="1" applyAlignment="1">
      <alignment horizontal="center" vertical="center"/>
    </xf>
    <xf numFmtId="0" fontId="8" fillId="5" borderId="25" xfId="4" applyFont="1" applyFill="1" applyBorder="1" applyAlignment="1">
      <alignment horizontal="left" vertical="center"/>
    </xf>
    <xf numFmtId="0" fontId="8" fillId="5" borderId="18" xfId="4" applyFont="1" applyFill="1" applyBorder="1" applyAlignment="1">
      <alignment horizontal="left" vertical="center"/>
    </xf>
    <xf numFmtId="0" fontId="14" fillId="5" borderId="18" xfId="4" applyFont="1" applyFill="1" applyBorder="1" applyAlignment="1">
      <alignment horizontal="left" vertical="center" indent="1"/>
    </xf>
    <xf numFmtId="0" fontId="15" fillId="5" borderId="18" xfId="4" applyFont="1" applyFill="1" applyBorder="1" applyAlignment="1">
      <alignment horizontal="left" vertical="center" indent="1"/>
    </xf>
    <xf numFmtId="0" fontId="7" fillId="5" borderId="18" xfId="4" applyFont="1" applyFill="1" applyBorder="1" applyAlignment="1">
      <alignment horizontal="left"/>
    </xf>
    <xf numFmtId="0" fontId="7" fillId="5" borderId="18" xfId="4" applyFont="1" applyFill="1" applyBorder="1" applyAlignment="1">
      <alignment horizontal="center"/>
    </xf>
    <xf numFmtId="0" fontId="8" fillId="5" borderId="18" xfId="4" applyFont="1" applyFill="1" applyBorder="1"/>
    <xf numFmtId="0" fontId="8" fillId="5" borderId="18" xfId="4" applyFont="1" applyFill="1" applyBorder="1" applyAlignment="1">
      <alignment horizontal="left"/>
    </xf>
    <xf numFmtId="0" fontId="8" fillId="5" borderId="18" xfId="4" applyFont="1" applyFill="1" applyBorder="1" applyAlignment="1">
      <alignment horizontal="center" vertical="center"/>
    </xf>
    <xf numFmtId="0" fontId="8" fillId="5" borderId="25" xfId="4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left" vertical="center" indent="1"/>
    </xf>
    <xf numFmtId="0" fontId="15" fillId="5" borderId="26" xfId="4" applyFont="1" applyFill="1" applyBorder="1" applyAlignment="1">
      <alignment horizontal="left" vertical="center" indent="1"/>
    </xf>
    <xf numFmtId="0" fontId="8" fillId="5" borderId="18" xfId="4" applyFont="1" applyFill="1" applyBorder="1" applyAlignment="1">
      <alignment vertical="center"/>
    </xf>
    <xf numFmtId="0" fontId="7" fillId="5" borderId="18" xfId="0" applyFont="1" applyFill="1" applyBorder="1"/>
    <xf numFmtId="0" fontId="7" fillId="4" borderId="12" xfId="0" applyFont="1" applyFill="1" applyBorder="1" applyAlignment="1">
      <alignment horizontal="left" vertical="center"/>
    </xf>
    <xf numFmtId="2" fontId="7" fillId="4" borderId="12" xfId="2" applyNumberFormat="1" applyFont="1" applyFill="1" applyBorder="1" applyAlignment="1">
      <alignment horizontal="left" vertical="center" indent="1"/>
    </xf>
    <xf numFmtId="2" fontId="7" fillId="4" borderId="0" xfId="2" applyNumberFormat="1" applyFont="1" applyFill="1" applyBorder="1" applyAlignment="1">
      <alignment horizontal="left" vertical="center" indent="1"/>
    </xf>
    <xf numFmtId="2" fontId="7" fillId="4" borderId="12" xfId="2" applyNumberFormat="1" applyFont="1" applyFill="1" applyBorder="1" applyAlignment="1">
      <alignment horizontal="left" vertical="center"/>
    </xf>
    <xf numFmtId="38" fontId="16" fillId="4" borderId="12" xfId="5" applyNumberFormat="1" applyFont="1" applyFill="1" applyBorder="1" applyAlignment="1">
      <alignment horizontal="right" vertical="center" indent="2"/>
    </xf>
    <xf numFmtId="0" fontId="7" fillId="4" borderId="12" xfId="0" applyFont="1" applyFill="1" applyBorder="1" applyAlignment="1">
      <alignment vertical="center"/>
    </xf>
    <xf numFmtId="0" fontId="14" fillId="5" borderId="9" xfId="1" applyFont="1" applyFill="1" applyBorder="1" applyAlignment="1">
      <alignment horizontal="left" vertical="center" indent="1"/>
    </xf>
    <xf numFmtId="0" fontId="14" fillId="4" borderId="0" xfId="2" applyFont="1" applyFill="1" applyBorder="1" applyAlignment="1">
      <alignment horizontal="left" vertical="center" indent="1"/>
    </xf>
    <xf numFmtId="0" fontId="7" fillId="4" borderId="0" xfId="0" applyFont="1" applyFill="1" applyAlignment="1">
      <alignment horizontal="left" indent="1"/>
    </xf>
    <xf numFmtId="0" fontId="14" fillId="4" borderId="6" xfId="2" applyFont="1" applyFill="1" applyBorder="1" applyAlignment="1">
      <alignment horizontal="left" vertical="center" indent="1"/>
    </xf>
    <xf numFmtId="0" fontId="14" fillId="4" borderId="6" xfId="0" applyFont="1" applyFill="1" applyBorder="1" applyAlignment="1">
      <alignment horizontal="left" vertical="center" indent="1"/>
    </xf>
    <xf numFmtId="2" fontId="14" fillId="4" borderId="6" xfId="2" applyNumberFormat="1" applyFont="1" applyFill="1" applyBorder="1" applyAlignment="1">
      <alignment horizontal="left" vertical="center" indent="1"/>
    </xf>
    <xf numFmtId="0" fontId="12" fillId="4" borderId="0" xfId="4" applyFont="1" applyFill="1" applyBorder="1" applyAlignment="1">
      <alignment horizontal="left" indent="1"/>
    </xf>
    <xf numFmtId="0" fontId="7" fillId="5" borderId="10" xfId="0" applyFont="1" applyFill="1" applyBorder="1" applyAlignment="1">
      <alignment horizontal="left" indent="1"/>
    </xf>
    <xf numFmtId="0" fontId="8" fillId="5" borderId="18" xfId="4" applyFont="1" applyFill="1" applyBorder="1" applyAlignment="1">
      <alignment horizontal="left" indent="1"/>
    </xf>
    <xf numFmtId="0" fontId="8" fillId="5" borderId="18" xfId="4" applyFont="1" applyFill="1" applyBorder="1" applyAlignment="1">
      <alignment horizontal="left" vertical="center" indent="1"/>
    </xf>
    <xf numFmtId="0" fontId="7" fillId="4" borderId="6" xfId="0" applyFont="1" applyFill="1" applyBorder="1" applyAlignment="1">
      <alignment horizontal="right" vertical="center" indent="3"/>
    </xf>
    <xf numFmtId="0" fontId="7" fillId="4" borderId="6" xfId="4" applyFont="1" applyFill="1" applyBorder="1" applyAlignment="1">
      <alignment horizontal="right" vertical="center" indent="3"/>
    </xf>
    <xf numFmtId="0" fontId="7" fillId="4" borderId="8" xfId="0" applyFont="1" applyFill="1" applyBorder="1" applyAlignment="1">
      <alignment horizontal="right" vertical="center" indent="3"/>
    </xf>
    <xf numFmtId="2" fontId="10" fillId="5" borderId="22" xfId="1" applyNumberFormat="1" applyFont="1" applyFill="1" applyBorder="1" applyAlignment="1">
      <alignment horizontal="center" vertical="center" wrapText="1"/>
    </xf>
    <xf numFmtId="2" fontId="10" fillId="5" borderId="17" xfId="1" applyNumberFormat="1" applyFont="1" applyFill="1" applyBorder="1" applyAlignment="1">
      <alignment horizontal="center" vertical="center" wrapText="1"/>
    </xf>
    <xf numFmtId="2" fontId="13" fillId="5" borderId="22" xfId="2" applyNumberFormat="1" applyFont="1" applyFill="1" applyBorder="1" applyAlignment="1">
      <alignment horizontal="center" vertical="center"/>
    </xf>
    <xf numFmtId="2" fontId="13" fillId="5" borderId="17" xfId="2" applyNumberFormat="1" applyFont="1" applyFill="1" applyBorder="1" applyAlignment="1">
      <alignment horizontal="center" vertical="center"/>
    </xf>
    <xf numFmtId="2" fontId="13" fillId="5" borderId="24" xfId="2" applyNumberFormat="1" applyFont="1" applyFill="1" applyBorder="1" applyAlignment="1">
      <alignment horizontal="center" vertical="center"/>
    </xf>
    <xf numFmtId="2" fontId="10" fillId="5" borderId="17" xfId="1" applyNumberFormat="1" applyFont="1" applyFill="1" applyBorder="1" applyAlignment="1">
      <alignment horizontal="center"/>
    </xf>
    <xf numFmtId="0" fontId="12" fillId="4" borderId="0" xfId="4" applyFont="1" applyFill="1" applyBorder="1" applyAlignment="1">
      <alignment horizontal="left" vertical="center" indent="1"/>
    </xf>
    <xf numFmtId="10" fontId="16" fillId="4" borderId="0" xfId="0" applyNumberFormat="1" applyFont="1" applyFill="1" applyAlignment="1">
      <alignment horizontal="right" vertical="center" indent="2"/>
    </xf>
    <xf numFmtId="2" fontId="14" fillId="4" borderId="0" xfId="2" applyNumberFormat="1" applyFont="1" applyFill="1" applyBorder="1" applyAlignment="1">
      <alignment horizontal="left" vertical="center" indent="1"/>
    </xf>
    <xf numFmtId="2" fontId="14" fillId="4" borderId="0" xfId="2" applyNumberFormat="1" applyFont="1" applyFill="1" applyBorder="1" applyAlignment="1">
      <alignment horizontal="left" vertical="center"/>
    </xf>
    <xf numFmtId="0" fontId="7" fillId="4" borderId="0" xfId="0" applyFont="1" applyFill="1" applyAlignment="1">
      <alignment horizontal="left"/>
    </xf>
    <xf numFmtId="0" fontId="14" fillId="4" borderId="0" xfId="0" applyFont="1" applyFill="1" applyAlignment="1">
      <alignment horizontal="left" vertical="center" indent="1"/>
    </xf>
    <xf numFmtId="0" fontId="14" fillId="4" borderId="0" xfId="0" applyFont="1" applyFill="1" applyAlignment="1">
      <alignment horizontal="left" vertical="center"/>
    </xf>
    <xf numFmtId="0" fontId="7" fillId="4" borderId="0" xfId="4" applyFont="1" applyFill="1" applyBorder="1" applyAlignment="1">
      <alignment horizontal="right" vertical="center" indent="3"/>
    </xf>
    <xf numFmtId="167" fontId="13" fillId="4" borderId="0" xfId="0" applyNumberFormat="1" applyFont="1" applyFill="1"/>
    <xf numFmtId="167" fontId="13" fillId="5" borderId="17" xfId="2" applyNumberFormat="1" applyFont="1" applyFill="1" applyBorder="1" applyAlignment="1">
      <alignment horizontal="center" vertical="center"/>
    </xf>
    <xf numFmtId="167" fontId="13" fillId="5" borderId="22" xfId="2" applyNumberFormat="1" applyFont="1" applyFill="1" applyBorder="1" applyAlignment="1">
      <alignment horizontal="center" vertical="center"/>
    </xf>
    <xf numFmtId="165" fontId="7" fillId="4" borderId="0" xfId="0" applyNumberFormat="1" applyFont="1" applyFill="1"/>
    <xf numFmtId="165" fontId="14" fillId="5" borderId="9" xfId="1" applyNumberFormat="1" applyFont="1" applyFill="1" applyBorder="1" applyAlignment="1">
      <alignment horizontal="center" vertical="center"/>
    </xf>
    <xf numFmtId="165" fontId="8" fillId="5" borderId="18" xfId="4" applyNumberFormat="1" applyFont="1" applyFill="1" applyBorder="1" applyAlignment="1">
      <alignment vertical="center"/>
    </xf>
    <xf numFmtId="44" fontId="14" fillId="4" borderId="0" xfId="2" applyNumberFormat="1" applyFont="1" applyFill="1" applyBorder="1" applyAlignment="1">
      <alignment horizontal="center" vertical="center"/>
    </xf>
    <xf numFmtId="165" fontId="14" fillId="4" borderId="0" xfId="2" applyNumberFormat="1" applyFont="1" applyFill="1" applyBorder="1" applyAlignment="1">
      <alignment vertical="center"/>
    </xf>
    <xf numFmtId="165" fontId="7" fillId="4" borderId="6" xfId="4" applyNumberFormat="1" applyFont="1" applyFill="1" applyBorder="1" applyAlignment="1">
      <alignment horizontal="center" vertical="center"/>
    </xf>
    <xf numFmtId="165" fontId="7" fillId="4" borderId="0" xfId="2" applyNumberFormat="1" applyFont="1" applyFill="1" applyBorder="1" applyAlignment="1">
      <alignment horizontal="center" vertical="center"/>
    </xf>
    <xf numFmtId="170" fontId="17" fillId="4" borderId="12" xfId="4" applyNumberFormat="1" applyFont="1" applyFill="1" applyBorder="1" applyAlignment="1">
      <alignment horizontal="right" vertical="center" indent="2"/>
    </xf>
    <xf numFmtId="164" fontId="9" fillId="4" borderId="0" xfId="5" applyNumberFormat="1" applyFont="1" applyFill="1" applyBorder="1" applyAlignment="1">
      <alignment vertical="center"/>
    </xf>
    <xf numFmtId="167" fontId="17" fillId="4" borderId="11" xfId="5" applyNumberFormat="1" applyFont="1" applyFill="1" applyBorder="1" applyAlignment="1">
      <alignment horizontal="right" vertical="center" indent="2"/>
    </xf>
    <xf numFmtId="164" fontId="9" fillId="4" borderId="0" xfId="5" applyNumberFormat="1" applyFont="1" applyFill="1" applyBorder="1" applyAlignment="1">
      <alignment horizontal="right" vertical="center"/>
    </xf>
    <xf numFmtId="167" fontId="16" fillId="4" borderId="0" xfId="6" applyNumberFormat="1" applyFont="1" applyFill="1" applyBorder="1" applyAlignment="1">
      <alignment horizontal="right" vertical="center" indent="3"/>
    </xf>
    <xf numFmtId="167" fontId="17" fillId="4" borderId="13" xfId="5" applyNumberFormat="1" applyFont="1" applyFill="1" applyBorder="1" applyAlignment="1">
      <alignment horizontal="right" vertical="center" indent="2"/>
    </xf>
    <xf numFmtId="164" fontId="14" fillId="4" borderId="6" xfId="0" applyNumberFormat="1" applyFont="1" applyFill="1" applyBorder="1" applyAlignment="1">
      <alignment horizontal="right"/>
    </xf>
    <xf numFmtId="164" fontId="14" fillId="4" borderId="0" xfId="0" applyNumberFormat="1" applyFont="1" applyFill="1" applyAlignment="1">
      <alignment horizontal="right"/>
    </xf>
    <xf numFmtId="167" fontId="16" fillId="4" borderId="0" xfId="1" applyNumberFormat="1" applyFont="1" applyFill="1" applyBorder="1" applyAlignment="1">
      <alignment horizontal="right" vertical="center" indent="2"/>
    </xf>
    <xf numFmtId="165" fontId="7" fillId="4" borderId="6" xfId="2" applyNumberFormat="1" applyFont="1" applyFill="1" applyBorder="1" applyAlignment="1">
      <alignment horizontal="center" vertical="center"/>
    </xf>
    <xf numFmtId="165" fontId="14" fillId="4" borderId="0" xfId="2" applyNumberFormat="1" applyFont="1" applyFill="1" applyBorder="1" applyAlignment="1">
      <alignment horizontal="center" vertical="center"/>
    </xf>
    <xf numFmtId="165" fontId="7" fillId="4" borderId="6" xfId="1" applyNumberFormat="1" applyFont="1" applyFill="1" applyBorder="1" applyAlignment="1">
      <alignment horizontal="center" vertical="center" wrapText="1"/>
    </xf>
    <xf numFmtId="168" fontId="9" fillId="4" borderId="0" xfId="5" applyNumberFormat="1" applyFont="1" applyFill="1" applyBorder="1" applyAlignment="1">
      <alignment horizontal="right" vertical="center"/>
    </xf>
    <xf numFmtId="167" fontId="9" fillId="4" borderId="0" xfId="5" applyNumberFormat="1" applyFont="1" applyFill="1" applyBorder="1" applyAlignment="1">
      <alignment horizontal="right" vertical="center"/>
    </xf>
    <xf numFmtId="165" fontId="14" fillId="4" borderId="6" xfId="2" applyNumberFormat="1" applyFont="1" applyFill="1" applyBorder="1" applyAlignment="1">
      <alignment horizontal="center" vertical="center"/>
    </xf>
    <xf numFmtId="170" fontId="17" fillId="4" borderId="0" xfId="0" applyNumberFormat="1" applyFont="1" applyFill="1" applyAlignment="1">
      <alignment horizontal="right" vertical="center"/>
    </xf>
    <xf numFmtId="166" fontId="16" fillId="4" borderId="0" xfId="1" applyNumberFormat="1" applyFont="1" applyFill="1" applyBorder="1" applyAlignment="1">
      <alignment horizontal="right" vertical="center" indent="2"/>
    </xf>
    <xf numFmtId="171" fontId="16" fillId="4" borderId="0" xfId="1" applyNumberFormat="1" applyFont="1" applyFill="1" applyBorder="1" applyAlignment="1">
      <alignment horizontal="right" vertical="center" indent="2"/>
    </xf>
    <xf numFmtId="166" fontId="16" fillId="4" borderId="13" xfId="5" applyNumberFormat="1" applyFont="1" applyFill="1" applyBorder="1" applyAlignment="1">
      <alignment horizontal="right" vertical="center" indent="2"/>
    </xf>
    <xf numFmtId="165" fontId="7" fillId="4" borderId="6" xfId="2" applyNumberFormat="1" applyFont="1" applyFill="1" applyBorder="1" applyAlignment="1">
      <alignment horizontal="left" vertical="center"/>
    </xf>
    <xf numFmtId="167" fontId="16" fillId="4" borderId="0" xfId="1" applyNumberFormat="1" applyFont="1" applyFill="1" applyBorder="1" applyAlignment="1">
      <alignment horizontal="right" vertical="center" indent="3"/>
    </xf>
    <xf numFmtId="165" fontId="7" fillId="4" borderId="6" xfId="0" applyNumberFormat="1" applyFont="1" applyFill="1" applyBorder="1" applyAlignment="1">
      <alignment horizontal="center" vertical="center"/>
    </xf>
    <xf numFmtId="165" fontId="12" fillId="4" borderId="0" xfId="4" applyNumberFormat="1" applyFont="1" applyFill="1" applyBorder="1"/>
    <xf numFmtId="165" fontId="7" fillId="5" borderId="10" xfId="0" applyNumberFormat="1" applyFont="1" applyFill="1" applyBorder="1"/>
    <xf numFmtId="0" fontId="19" fillId="4" borderId="0" xfId="0" applyFont="1" applyFill="1" applyAlignment="1">
      <alignment horizontal="center" vertical="center"/>
    </xf>
    <xf numFmtId="0" fontId="19" fillId="4" borderId="0" xfId="0" applyFont="1" applyFill="1"/>
    <xf numFmtId="38" fontId="10" fillId="5" borderId="17" xfId="1" applyNumberFormat="1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left" vertical="center" indent="1"/>
    </xf>
    <xf numFmtId="0" fontId="20" fillId="5" borderId="0" xfId="0" applyFont="1" applyFill="1"/>
    <xf numFmtId="0" fontId="11" fillId="5" borderId="0" xfId="0" applyFont="1" applyFill="1"/>
    <xf numFmtId="0" fontId="10" fillId="5" borderId="16" xfId="3" applyFont="1" applyFill="1" applyBorder="1" applyAlignment="1">
      <alignment horizontal="left" vertical="center" indent="1"/>
    </xf>
    <xf numFmtId="0" fontId="10" fillId="5" borderId="0" xfId="3" applyFont="1" applyFill="1" applyBorder="1" applyAlignment="1">
      <alignment horizontal="left" vertical="center" indent="1"/>
    </xf>
    <xf numFmtId="0" fontId="10" fillId="5" borderId="0" xfId="3" applyFont="1" applyFill="1" applyBorder="1"/>
    <xf numFmtId="0" fontId="10" fillId="5" borderId="16" xfId="3" applyFont="1" applyFill="1" applyBorder="1"/>
    <xf numFmtId="0" fontId="10" fillId="5" borderId="0" xfId="3" applyFont="1" applyFill="1" applyBorder="1" applyAlignment="1">
      <alignment horizontal="left" vertical="center"/>
    </xf>
    <xf numFmtId="0" fontId="21" fillId="5" borderId="0" xfId="3" applyFont="1" applyFill="1" applyBorder="1" applyAlignment="1">
      <alignment horizontal="left" vertical="center"/>
    </xf>
    <xf numFmtId="0" fontId="21" fillId="5" borderId="0" xfId="3" applyFont="1" applyFill="1" applyBorder="1"/>
    <xf numFmtId="0" fontId="10" fillId="5" borderId="29" xfId="3" applyFont="1" applyFill="1" applyBorder="1" applyAlignment="1">
      <alignment horizontal="left" vertical="center" indent="1"/>
    </xf>
    <xf numFmtId="0" fontId="10" fillId="5" borderId="0" xfId="3" applyFont="1" applyFill="1" applyBorder="1" applyAlignment="1">
      <alignment vertical="center"/>
    </xf>
    <xf numFmtId="0" fontId="10" fillId="5" borderId="23" xfId="3" applyFont="1" applyFill="1" applyBorder="1" applyAlignment="1">
      <alignment horizontal="left" vertical="center" indent="1"/>
    </xf>
    <xf numFmtId="0" fontId="10" fillId="5" borderId="19" xfId="1" applyFont="1" applyFill="1" applyBorder="1" applyAlignment="1">
      <alignment horizontal="left" vertical="center" wrapText="1" indent="1"/>
    </xf>
    <xf numFmtId="0" fontId="10" fillId="5" borderId="30" xfId="1" applyFont="1" applyFill="1" applyBorder="1" applyAlignment="1">
      <alignment horizontal="left" vertical="center" wrapText="1" indent="1"/>
    </xf>
    <xf numFmtId="0" fontId="10" fillId="5" borderId="31" xfId="1" applyFont="1" applyFill="1" applyBorder="1" applyAlignment="1">
      <alignment horizontal="left" vertical="center" wrapText="1" indent="1"/>
    </xf>
    <xf numFmtId="0" fontId="10" fillId="5" borderId="20" xfId="1" applyFont="1" applyFill="1" applyBorder="1" applyAlignment="1">
      <alignment horizontal="left" vertical="center" wrapText="1" indent="1"/>
    </xf>
    <xf numFmtId="0" fontId="10" fillId="5" borderId="19" xfId="1" applyFont="1" applyFill="1" applyBorder="1" applyAlignment="1">
      <alignment horizontal="center" vertical="center" wrapText="1"/>
    </xf>
    <xf numFmtId="0" fontId="10" fillId="5" borderId="20" xfId="1" applyFont="1" applyFill="1" applyBorder="1" applyAlignment="1">
      <alignment horizontal="center" vertical="center" wrapText="1"/>
    </xf>
    <xf numFmtId="0" fontId="10" fillId="5" borderId="31" xfId="1" applyFont="1" applyFill="1" applyBorder="1" applyAlignment="1">
      <alignment horizontal="center" vertical="center" wrapText="1"/>
    </xf>
    <xf numFmtId="0" fontId="10" fillId="5" borderId="33" xfId="1" applyFont="1" applyFill="1" applyBorder="1" applyAlignment="1">
      <alignment horizontal="center" vertical="center" wrapText="1"/>
    </xf>
    <xf numFmtId="0" fontId="10" fillId="5" borderId="32" xfId="1" applyFont="1" applyFill="1" applyBorder="1" applyAlignment="1">
      <alignment horizontal="center" vertical="center" wrapText="1"/>
    </xf>
    <xf numFmtId="0" fontId="10" fillId="5" borderId="21" xfId="1" applyFont="1" applyFill="1" applyBorder="1" applyAlignment="1">
      <alignment horizontal="center" vertical="center" wrapText="1"/>
    </xf>
    <xf numFmtId="0" fontId="10" fillId="5" borderId="28" xfId="1" applyFont="1" applyFill="1" applyBorder="1" applyAlignment="1">
      <alignment horizontal="center" vertical="center"/>
    </xf>
    <xf numFmtId="0" fontId="10" fillId="5" borderId="19" xfId="1" applyFont="1" applyFill="1" applyBorder="1" applyAlignment="1">
      <alignment horizontal="center"/>
    </xf>
    <xf numFmtId="0" fontId="13" fillId="5" borderId="35" xfId="2" applyFont="1" applyFill="1" applyBorder="1" applyAlignment="1">
      <alignment horizontal="left" vertical="center" indent="1"/>
    </xf>
    <xf numFmtId="169" fontId="13" fillId="4" borderId="34" xfId="2" applyNumberFormat="1" applyFont="1" applyFill="1" applyBorder="1" applyAlignment="1">
      <alignment horizontal="center" vertical="center"/>
    </xf>
    <xf numFmtId="2" fontId="19" fillId="4" borderId="34" xfId="2" applyNumberFormat="1" applyFont="1" applyFill="1" applyBorder="1" applyAlignment="1">
      <alignment horizontal="center" vertical="center"/>
    </xf>
    <xf numFmtId="2" fontId="13" fillId="4" borderId="34" xfId="2" applyNumberFormat="1" applyFont="1" applyFill="1" applyBorder="1" applyAlignment="1">
      <alignment horizontal="center" vertical="center"/>
    </xf>
    <xf numFmtId="164" fontId="13" fillId="4" borderId="34" xfId="2" applyNumberFormat="1" applyFont="1" applyFill="1" applyBorder="1" applyAlignment="1">
      <alignment horizontal="center" vertical="center"/>
    </xf>
    <xf numFmtId="164" fontId="13" fillId="4" borderId="35" xfId="2" applyNumberFormat="1" applyFont="1" applyFill="1" applyBorder="1" applyAlignment="1">
      <alignment horizontal="center" vertical="center"/>
    </xf>
    <xf numFmtId="2" fontId="13" fillId="4" borderId="35" xfId="2" applyNumberFormat="1" applyFont="1" applyFill="1" applyBorder="1" applyAlignment="1">
      <alignment horizontal="center" vertical="center"/>
    </xf>
    <xf numFmtId="167" fontId="13" fillId="4" borderId="34" xfId="2" applyNumberFormat="1" applyFont="1" applyFill="1" applyBorder="1" applyAlignment="1">
      <alignment horizontal="center" vertical="center"/>
    </xf>
    <xf numFmtId="167" fontId="13" fillId="4" borderId="35" xfId="2" applyNumberFormat="1" applyFont="1" applyFill="1" applyBorder="1" applyAlignment="1">
      <alignment horizontal="center" vertical="center"/>
    </xf>
    <xf numFmtId="10" fontId="13" fillId="4" borderId="35" xfId="2" applyNumberFormat="1" applyFont="1" applyFill="1" applyBorder="1" applyAlignment="1">
      <alignment horizontal="center" vertical="center"/>
    </xf>
    <xf numFmtId="10" fontId="13" fillId="4" borderId="36" xfId="2" applyNumberFormat="1" applyFont="1" applyFill="1" applyBorder="1" applyAlignment="1">
      <alignment horizontal="center" vertical="center"/>
    </xf>
    <xf numFmtId="0" fontId="13" fillId="4" borderId="34" xfId="2" applyFont="1" applyFill="1" applyBorder="1" applyAlignment="1">
      <alignment horizontal="center"/>
    </xf>
    <xf numFmtId="0" fontId="13" fillId="5" borderId="38" xfId="2" applyFont="1" applyFill="1" applyBorder="1" applyAlignment="1">
      <alignment horizontal="left" vertical="center" indent="1"/>
    </xf>
    <xf numFmtId="169" fontId="13" fillId="4" borderId="37" xfId="2" applyNumberFormat="1" applyFont="1" applyFill="1" applyBorder="1" applyAlignment="1">
      <alignment horizontal="center" vertical="center"/>
    </xf>
    <xf numFmtId="2" fontId="19" fillId="4" borderId="37" xfId="2" applyNumberFormat="1" applyFont="1" applyFill="1" applyBorder="1" applyAlignment="1">
      <alignment horizontal="center" vertical="center"/>
    </xf>
    <xf numFmtId="2" fontId="13" fillId="4" borderId="37" xfId="2" applyNumberFormat="1" applyFont="1" applyFill="1" applyBorder="1" applyAlignment="1">
      <alignment horizontal="center" vertical="center"/>
    </xf>
    <xf numFmtId="164" fontId="13" fillId="4" borderId="37" xfId="2" applyNumberFormat="1" applyFont="1" applyFill="1" applyBorder="1" applyAlignment="1">
      <alignment horizontal="center" vertical="center"/>
    </xf>
    <xf numFmtId="164" fontId="13" fillId="4" borderId="38" xfId="2" applyNumberFormat="1" applyFont="1" applyFill="1" applyBorder="1" applyAlignment="1">
      <alignment horizontal="center" vertical="center"/>
    </xf>
    <xf numFmtId="2" fontId="13" fillId="4" borderId="38" xfId="2" applyNumberFormat="1" applyFont="1" applyFill="1" applyBorder="1" applyAlignment="1">
      <alignment horizontal="center" vertical="center"/>
    </xf>
    <xf numFmtId="167" fontId="13" fillId="4" borderId="37" xfId="2" applyNumberFormat="1" applyFont="1" applyFill="1" applyBorder="1" applyAlignment="1">
      <alignment horizontal="center" vertical="center"/>
    </xf>
    <xf numFmtId="167" fontId="13" fillId="4" borderId="38" xfId="2" applyNumberFormat="1" applyFont="1" applyFill="1" applyBorder="1" applyAlignment="1">
      <alignment horizontal="center" vertical="center"/>
    </xf>
    <xf numFmtId="10" fontId="13" fillId="4" borderId="38" xfId="2" applyNumberFormat="1" applyFont="1" applyFill="1" applyBorder="1" applyAlignment="1">
      <alignment horizontal="center" vertical="center"/>
    </xf>
    <xf numFmtId="10" fontId="13" fillId="4" borderId="39" xfId="2" applyNumberFormat="1" applyFont="1" applyFill="1" applyBorder="1" applyAlignment="1">
      <alignment horizontal="center" vertical="center"/>
    </xf>
    <xf numFmtId="0" fontId="13" fillId="4" borderId="37" xfId="2" applyFont="1" applyFill="1" applyBorder="1" applyAlignment="1">
      <alignment horizontal="center"/>
    </xf>
    <xf numFmtId="0" fontId="10" fillId="5" borderId="0" xfId="0" applyFont="1" applyFill="1" applyAlignment="1">
      <alignment horizontal="left" vertical="center" indent="1"/>
    </xf>
    <xf numFmtId="38" fontId="22" fillId="5" borderId="22" xfId="2" applyNumberFormat="1" applyFont="1" applyFill="1" applyBorder="1" applyAlignment="1">
      <alignment horizontal="center" vertical="center"/>
    </xf>
    <xf numFmtId="170" fontId="22" fillId="4" borderId="34" xfId="2" applyNumberFormat="1" applyFont="1" applyFill="1" applyBorder="1" applyAlignment="1">
      <alignment horizontal="left" vertical="center" indent="1"/>
    </xf>
    <xf numFmtId="38" fontId="22" fillId="4" borderId="34" xfId="2" applyNumberFormat="1" applyFont="1" applyFill="1" applyBorder="1" applyAlignment="1">
      <alignment horizontal="left" vertical="center" indent="1"/>
    </xf>
    <xf numFmtId="38" fontId="22" fillId="4" borderId="35" xfId="2" applyNumberFormat="1" applyFont="1" applyFill="1" applyBorder="1" applyAlignment="1">
      <alignment horizontal="left" vertical="center" indent="1"/>
    </xf>
    <xf numFmtId="170" fontId="22" fillId="4" borderId="37" xfId="2" applyNumberFormat="1" applyFont="1" applyFill="1" applyBorder="1" applyAlignment="1">
      <alignment horizontal="left" vertical="center" indent="1"/>
    </xf>
    <xf numFmtId="38" fontId="22" fillId="4" borderId="37" xfId="2" applyNumberFormat="1" applyFont="1" applyFill="1" applyBorder="1" applyAlignment="1">
      <alignment horizontal="left" vertical="center" indent="1"/>
    </xf>
    <xf numFmtId="38" fontId="22" fillId="4" borderId="38" xfId="2" applyNumberFormat="1" applyFont="1" applyFill="1" applyBorder="1" applyAlignment="1">
      <alignment horizontal="left" vertical="center" indent="1"/>
    </xf>
    <xf numFmtId="0" fontId="22" fillId="4" borderId="0" xfId="0" applyFont="1" applyFill="1"/>
    <xf numFmtId="38" fontId="22" fillId="4" borderId="0" xfId="0" applyNumberFormat="1" applyFont="1" applyFill="1"/>
    <xf numFmtId="38" fontId="22" fillId="4" borderId="16" xfId="0" applyNumberFormat="1" applyFont="1" applyFill="1" applyBorder="1"/>
    <xf numFmtId="0" fontId="7" fillId="4" borderId="0" xfId="0" applyFont="1" applyFill="1" applyAlignment="1">
      <alignment vertical="center"/>
    </xf>
    <xf numFmtId="0" fontId="7" fillId="4" borderId="0" xfId="2" applyFont="1" applyFill="1" applyBorder="1" applyAlignment="1">
      <alignment horizontal="left" vertical="center" indent="1"/>
    </xf>
    <xf numFmtId="0" fontId="7" fillId="4" borderId="0" xfId="2" applyFont="1" applyFill="1" applyBorder="1" applyAlignment="1">
      <alignment horizontal="left" vertical="center"/>
    </xf>
    <xf numFmtId="4" fontId="7" fillId="4" borderId="0" xfId="2" applyNumberFormat="1" applyFont="1" applyFill="1" applyBorder="1" applyAlignment="1">
      <alignment horizontal="center" vertical="center"/>
    </xf>
    <xf numFmtId="4" fontId="7" fillId="4" borderId="0" xfId="2" applyNumberFormat="1" applyFont="1" applyFill="1" applyBorder="1" applyAlignment="1">
      <alignment horizontal="left" vertical="center"/>
    </xf>
    <xf numFmtId="2" fontId="7" fillId="4" borderId="0" xfId="2" applyNumberFormat="1" applyFont="1" applyFill="1" applyBorder="1" applyAlignment="1">
      <alignment horizontal="left" vertical="center"/>
    </xf>
    <xf numFmtId="0" fontId="14" fillId="4" borderId="40" xfId="2" applyFont="1" applyFill="1" applyBorder="1" applyAlignment="1">
      <alignment horizontal="left" vertical="center" indent="1"/>
    </xf>
    <xf numFmtId="0" fontId="14" fillId="4" borderId="40" xfId="2" applyFont="1" applyFill="1" applyBorder="1" applyAlignment="1">
      <alignment horizontal="left" vertical="center"/>
    </xf>
    <xf numFmtId="2" fontId="14" fillId="4" borderId="40" xfId="2" applyNumberFormat="1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left" vertical="center" indent="1"/>
    </xf>
    <xf numFmtId="0" fontId="14" fillId="4" borderId="40" xfId="0" applyFont="1" applyFill="1" applyBorder="1" applyAlignment="1">
      <alignment horizontal="left" vertical="center"/>
    </xf>
    <xf numFmtId="2" fontId="14" fillId="4" borderId="40" xfId="2" applyNumberFormat="1" applyFont="1" applyFill="1" applyBorder="1" applyAlignment="1">
      <alignment horizontal="left" vertical="center" indent="1"/>
    </xf>
    <xf numFmtId="170" fontId="17" fillId="4" borderId="0" xfId="4" applyNumberFormat="1" applyFont="1" applyFill="1" applyBorder="1" applyAlignment="1">
      <alignment horizontal="right" vertical="center" indent="1"/>
    </xf>
    <xf numFmtId="3" fontId="16" fillId="4" borderId="0" xfId="5" applyNumberFormat="1" applyFont="1" applyFill="1" applyBorder="1" applyAlignment="1">
      <alignment horizontal="right" vertical="center" indent="1"/>
    </xf>
    <xf numFmtId="4" fontId="7" fillId="4" borderId="0" xfId="2" applyNumberFormat="1" applyFont="1" applyFill="1" applyBorder="1" applyAlignment="1">
      <alignment horizontal="right" vertical="center" indent="1"/>
    </xf>
    <xf numFmtId="10" fontId="16" fillId="4" borderId="0" xfId="0" applyNumberFormat="1" applyFont="1" applyFill="1" applyAlignment="1">
      <alignment horizontal="right" vertical="center" indent="1"/>
    </xf>
    <xf numFmtId="2" fontId="17" fillId="4" borderId="0" xfId="5" applyNumberFormat="1" applyFont="1" applyFill="1" applyBorder="1" applyAlignment="1">
      <alignment horizontal="right" vertical="center" indent="1"/>
    </xf>
    <xf numFmtId="0" fontId="7" fillId="4" borderId="40" xfId="0" applyFont="1" applyFill="1" applyBorder="1" applyAlignment="1">
      <alignment horizontal="right" indent="1"/>
    </xf>
    <xf numFmtId="3" fontId="17" fillId="4" borderId="0" xfId="5" applyNumberFormat="1" applyFont="1" applyFill="1" applyBorder="1" applyAlignment="1">
      <alignment horizontal="right" vertical="center" indent="1"/>
    </xf>
    <xf numFmtId="167" fontId="17" fillId="4" borderId="0" xfId="5" applyNumberFormat="1" applyFont="1" applyFill="1" applyBorder="1" applyAlignment="1">
      <alignment horizontal="right" vertical="center" indent="1"/>
    </xf>
    <xf numFmtId="2" fontId="14" fillId="4" borderId="40" xfId="2" applyNumberFormat="1" applyFont="1" applyFill="1" applyBorder="1" applyAlignment="1">
      <alignment horizontal="right" vertical="center" indent="1"/>
    </xf>
    <xf numFmtId="0" fontId="7" fillId="4" borderId="40" xfId="0" applyFont="1" applyFill="1" applyBorder="1" applyAlignment="1">
      <alignment horizontal="center"/>
    </xf>
    <xf numFmtId="2" fontId="14" fillId="4" borderId="40" xfId="2" applyNumberFormat="1" applyFont="1" applyFill="1" applyBorder="1" applyAlignment="1">
      <alignment horizontal="left" vertical="center"/>
    </xf>
    <xf numFmtId="0" fontId="7" fillId="4" borderId="40" xfId="0" applyFont="1" applyFill="1" applyBorder="1" applyAlignment="1">
      <alignment horizontal="left"/>
    </xf>
    <xf numFmtId="0" fontId="7" fillId="4" borderId="40" xfId="0" applyFont="1" applyFill="1" applyBorder="1" applyAlignment="1">
      <alignment horizontal="right" vertical="center" indent="1"/>
    </xf>
    <xf numFmtId="165" fontId="7" fillId="4" borderId="0" xfId="0" applyNumberFormat="1" applyFont="1" applyFill="1" applyAlignment="1">
      <alignment horizontal="right" indent="1"/>
    </xf>
    <xf numFmtId="164" fontId="14" fillId="4" borderId="40" xfId="0" applyNumberFormat="1" applyFont="1" applyFill="1" applyBorder="1" applyAlignment="1">
      <alignment horizontal="right" indent="1"/>
    </xf>
    <xf numFmtId="164" fontId="14" fillId="4" borderId="0" xfId="0" applyNumberFormat="1" applyFont="1" applyFill="1" applyAlignment="1">
      <alignment horizontal="right" indent="1"/>
    </xf>
    <xf numFmtId="165" fontId="14" fillId="4" borderId="40" xfId="2" applyNumberFormat="1" applyFont="1" applyFill="1" applyBorder="1" applyAlignment="1">
      <alignment horizontal="right" vertical="center" indent="1"/>
    </xf>
    <xf numFmtId="38" fontId="16" fillId="4" borderId="0" xfId="5" applyNumberFormat="1" applyFont="1" applyFill="1" applyBorder="1" applyAlignment="1">
      <alignment horizontal="right" vertical="center" indent="1"/>
    </xf>
    <xf numFmtId="166" fontId="16" fillId="4" borderId="0" xfId="5" applyNumberFormat="1" applyFont="1" applyFill="1" applyBorder="1" applyAlignment="1">
      <alignment horizontal="right" vertical="center" indent="1"/>
    </xf>
    <xf numFmtId="165" fontId="7" fillId="4" borderId="40" xfId="2" applyNumberFormat="1" applyFont="1" applyFill="1" applyBorder="1" applyAlignment="1">
      <alignment horizontal="right" vertical="center" indent="1"/>
    </xf>
    <xf numFmtId="3" fontId="16" fillId="4" borderId="0" xfId="0" applyNumberFormat="1" applyFont="1" applyFill="1" applyAlignment="1">
      <alignment horizontal="right" vertical="center" indent="1"/>
    </xf>
    <xf numFmtId="0" fontId="7" fillId="4" borderId="41" xfId="1" applyFont="1" applyFill="1" applyBorder="1" applyAlignment="1">
      <alignment horizontal="left" vertical="center" indent="1"/>
    </xf>
    <xf numFmtId="0" fontId="7" fillId="4" borderId="41" xfId="1" applyFont="1" applyFill="1" applyBorder="1" applyAlignment="1">
      <alignment vertical="center"/>
    </xf>
    <xf numFmtId="38" fontId="16" fillId="4" borderId="41" xfId="1" applyNumberFormat="1" applyFont="1" applyFill="1" applyBorder="1" applyAlignment="1">
      <alignment horizontal="right" vertical="center" indent="1"/>
    </xf>
    <xf numFmtId="0" fontId="7" fillId="4" borderId="37" xfId="1" applyFont="1" applyFill="1" applyBorder="1" applyAlignment="1">
      <alignment horizontal="left" vertical="center" indent="1"/>
    </xf>
    <xf numFmtId="0" fontId="7" fillId="4" borderId="37" xfId="1" applyFont="1" applyFill="1" applyBorder="1" applyAlignment="1">
      <alignment vertical="center"/>
    </xf>
    <xf numFmtId="38" fontId="16" fillId="4" borderId="37" xfId="1" applyNumberFormat="1" applyFont="1" applyFill="1" applyBorder="1" applyAlignment="1">
      <alignment horizontal="right" vertical="center" indent="1"/>
    </xf>
    <xf numFmtId="0" fontId="14" fillId="4" borderId="41" xfId="1" applyFont="1" applyFill="1" applyBorder="1" applyAlignment="1">
      <alignment vertical="center"/>
    </xf>
    <xf numFmtId="0" fontId="14" fillId="4" borderId="37" xfId="1" applyFont="1" applyFill="1" applyBorder="1" applyAlignment="1">
      <alignment horizontal="left" vertical="center" indent="1"/>
    </xf>
    <xf numFmtId="0" fontId="14" fillId="4" borderId="37" xfId="1" applyFont="1" applyFill="1" applyBorder="1" applyAlignment="1">
      <alignment vertical="center"/>
    </xf>
    <xf numFmtId="38" fontId="17" fillId="4" borderId="37" xfId="1" applyNumberFormat="1" applyFont="1" applyFill="1" applyBorder="1" applyAlignment="1">
      <alignment horizontal="right" vertical="center" indent="1"/>
    </xf>
    <xf numFmtId="0" fontId="14" fillId="6" borderId="40" xfId="2" applyFont="1" applyFill="1" applyBorder="1" applyAlignment="1">
      <alignment horizontal="left" vertical="center" indent="1"/>
    </xf>
    <xf numFmtId="0" fontId="14" fillId="6" borderId="40" xfId="2" applyFont="1" applyFill="1" applyBorder="1" applyAlignment="1">
      <alignment vertical="center"/>
    </xf>
    <xf numFmtId="165" fontId="7" fillId="6" borderId="40" xfId="4" applyNumberFormat="1" applyFont="1" applyFill="1" applyBorder="1" applyAlignment="1">
      <alignment horizontal="center" vertical="center"/>
    </xf>
    <xf numFmtId="165" fontId="7" fillId="6" borderId="40" xfId="2" applyNumberFormat="1" applyFont="1" applyFill="1" applyBorder="1" applyAlignment="1">
      <alignment horizontal="center" vertical="center"/>
    </xf>
    <xf numFmtId="165" fontId="7" fillId="6" borderId="40" xfId="1" applyNumberFormat="1" applyFont="1" applyFill="1" applyBorder="1" applyAlignment="1">
      <alignment horizontal="center" vertical="center" wrapText="1"/>
    </xf>
    <xf numFmtId="165" fontId="7" fillId="6" borderId="40" xfId="0" applyNumberFormat="1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right" vertical="center" indent="3"/>
    </xf>
    <xf numFmtId="0" fontId="7" fillId="4" borderId="40" xfId="4" applyFont="1" applyFill="1" applyBorder="1" applyAlignment="1">
      <alignment horizontal="right" vertical="center" indent="3"/>
    </xf>
    <xf numFmtId="0" fontId="12" fillId="5" borderId="27" xfId="4" applyFont="1" applyFill="1" applyBorder="1" applyAlignment="1">
      <alignment horizontal="center" vertical="center"/>
    </xf>
    <xf numFmtId="0" fontId="7" fillId="5" borderId="18" xfId="0" applyFont="1" applyFill="1" applyBorder="1"/>
  </cellXfs>
  <cellStyles count="7">
    <cellStyle name="Calculation" xfId="6" builtinId="22"/>
    <cellStyle name="Heading 1" xfId="3" builtinId="16"/>
    <cellStyle name="Heading 2" xfId="4" builtinId="17"/>
    <cellStyle name="Heading 3" xfId="1" builtinId="18"/>
    <cellStyle name="Input" xfId="5" builtinId="20"/>
    <cellStyle name="Normal" xfId="0" builtinId="0"/>
    <cellStyle name="Total" xfId="2" builtinId="25"/>
  </cellStyles>
  <dxfs count="0"/>
  <tableStyles count="0" defaultTableStyle="TableStyleMedium9" defaultPivotStyle="PivotStyleLight16"/>
  <colors>
    <mruColors>
      <color rgb="FF29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P423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4" defaultRowHeight="21.75" customHeight="1" x14ac:dyDescent="0.25"/>
  <cols>
    <col min="1" max="1" width="16.7109375" style="11" customWidth="1"/>
    <col min="2" max="2" width="15.140625" style="271" customWidth="1"/>
    <col min="3" max="5" width="25.7109375" style="272" customWidth="1"/>
    <col min="6" max="6" width="25.7109375" style="273" customWidth="1"/>
    <col min="7" max="8" width="2.7109375" style="8" customWidth="1"/>
    <col min="9" max="9" width="11.7109375" style="212" customWidth="1"/>
    <col min="10" max="10" width="2.7109375" style="8" customWidth="1"/>
    <col min="11" max="11" width="11.7109375" style="212" customWidth="1"/>
    <col min="12" max="12" width="2.7109375" style="8" customWidth="1"/>
    <col min="13" max="13" width="11.7109375" style="212" customWidth="1"/>
    <col min="14" max="14" width="2.7109375" style="8" customWidth="1"/>
    <col min="15" max="15" width="11.7109375" style="212" customWidth="1"/>
    <col min="16" max="16" width="2.7109375" style="8" customWidth="1"/>
    <col min="17" max="17" width="11.7109375" style="212" customWidth="1"/>
    <col min="18" max="18" width="2.7109375" style="8" customWidth="1"/>
    <col min="19" max="19" width="11.7109375" style="212" customWidth="1"/>
    <col min="20" max="20" width="2.7109375" style="8" customWidth="1"/>
    <col min="21" max="21" width="11.7109375" style="212" customWidth="1"/>
    <col min="22" max="22" width="2.7109375" style="8" customWidth="1"/>
    <col min="23" max="23" width="2.7109375" style="9" customWidth="1"/>
    <col min="24" max="25" width="22.85546875" style="8" customWidth="1"/>
    <col min="26" max="26" width="22.85546875" style="9" customWidth="1"/>
    <col min="27" max="28" width="22.85546875" style="8" customWidth="1"/>
    <col min="29" max="29" width="22.85546875" style="9" customWidth="1"/>
    <col min="30" max="31" width="22.85546875" style="8" customWidth="1"/>
    <col min="32" max="32" width="22.85546875" style="13" customWidth="1"/>
    <col min="33" max="33" width="2.42578125" style="8" customWidth="1"/>
    <col min="34" max="34" width="20.7109375" style="177" customWidth="1"/>
    <col min="35" max="35" width="2.42578125" style="177" hidden="1" customWidth="1"/>
    <col min="36" max="36" width="18.85546875" style="177" hidden="1" customWidth="1"/>
    <col min="37" max="37" width="2.42578125" style="177" customWidth="1"/>
    <col min="38" max="38" width="20.7109375" style="177" customWidth="1"/>
    <col min="39" max="39" width="2.42578125" style="177" customWidth="1"/>
    <col min="40" max="40" width="20.7109375" style="177" customWidth="1"/>
    <col min="41" max="41" width="2.42578125" style="9" customWidth="1"/>
    <col min="42" max="42" width="16.42578125" style="10" customWidth="1"/>
    <col min="43" max="47" width="14" style="8" customWidth="1"/>
    <col min="48" max="16384" width="14" style="8"/>
  </cols>
  <sheetData>
    <row r="1" spans="1:42" s="216" customFormat="1" ht="22.5" customHeight="1" x14ac:dyDescent="0.25">
      <c r="A1" s="214"/>
      <c r="B1" s="263"/>
      <c r="C1" s="263"/>
      <c r="D1" s="263"/>
      <c r="E1" s="263"/>
      <c r="F1" s="263"/>
      <c r="G1" s="214"/>
      <c r="H1" s="214"/>
      <c r="I1" s="215"/>
      <c r="K1" s="215"/>
      <c r="M1" s="215"/>
      <c r="O1" s="215"/>
      <c r="Q1" s="215"/>
      <c r="S1" s="215"/>
      <c r="U1" s="215"/>
    </row>
    <row r="2" spans="1:42" s="219" customFormat="1" ht="22.5" customHeight="1" thickBot="1" x14ac:dyDescent="0.3">
      <c r="A2" s="217"/>
      <c r="B2" s="218" t="s">
        <v>0</v>
      </c>
      <c r="F2" s="220"/>
      <c r="G2" s="218" t="s">
        <v>1</v>
      </c>
      <c r="H2" s="221"/>
      <c r="I2" s="222"/>
      <c r="K2" s="223"/>
      <c r="M2" s="223"/>
      <c r="O2" s="223"/>
      <c r="Q2" s="223"/>
      <c r="S2" s="223"/>
      <c r="U2" s="223"/>
      <c r="W2" s="220"/>
      <c r="X2" s="218" t="s">
        <v>2</v>
      </c>
      <c r="Y2" s="218"/>
      <c r="Z2" s="220"/>
      <c r="AA2" s="218" t="s">
        <v>3</v>
      </c>
      <c r="AB2" s="218"/>
      <c r="AC2" s="217"/>
      <c r="AD2" s="218" t="s">
        <v>4</v>
      </c>
      <c r="AE2" s="218"/>
      <c r="AF2" s="217"/>
      <c r="AG2" s="218" t="s">
        <v>5</v>
      </c>
      <c r="AH2" s="224"/>
      <c r="AI2" s="218"/>
      <c r="AJ2" s="225"/>
      <c r="AK2" s="225"/>
      <c r="AO2" s="220"/>
      <c r="AP2" s="226" t="s">
        <v>6</v>
      </c>
    </row>
    <row r="3" spans="1:42" s="238" customFormat="1" ht="32.25" customHeight="1" thickBot="1" x14ac:dyDescent="0.3">
      <c r="A3" s="227" t="s">
        <v>7</v>
      </c>
      <c r="B3" s="228" t="s">
        <v>8</v>
      </c>
      <c r="C3" s="229" t="s">
        <v>9</v>
      </c>
      <c r="D3" s="229" t="s">
        <v>10</v>
      </c>
      <c r="E3" s="229" t="s">
        <v>11</v>
      </c>
      <c r="F3" s="230" t="s">
        <v>12</v>
      </c>
      <c r="G3" s="231"/>
      <c r="H3" s="231"/>
      <c r="I3" s="231" t="s">
        <v>13</v>
      </c>
      <c r="J3" s="231"/>
      <c r="K3" s="231" t="s">
        <v>14</v>
      </c>
      <c r="L3" s="231"/>
      <c r="M3" s="231" t="s">
        <v>15</v>
      </c>
      <c r="N3" s="231"/>
      <c r="O3" s="231" t="s">
        <v>16</v>
      </c>
      <c r="P3" s="231"/>
      <c r="Q3" s="231" t="s">
        <v>17</v>
      </c>
      <c r="R3" s="231"/>
      <c r="S3" s="231" t="s">
        <v>18</v>
      </c>
      <c r="T3" s="231"/>
      <c r="U3" s="231" t="s">
        <v>19</v>
      </c>
      <c r="V3" s="231"/>
      <c r="W3" s="232"/>
      <c r="X3" s="231" t="s">
        <v>20</v>
      </c>
      <c r="Y3" s="233" t="s">
        <v>21</v>
      </c>
      <c r="Z3" s="232" t="s">
        <v>22</v>
      </c>
      <c r="AA3" s="234" t="s">
        <v>23</v>
      </c>
      <c r="AB3" s="233" t="s">
        <v>24</v>
      </c>
      <c r="AC3" s="232" t="s">
        <v>25</v>
      </c>
      <c r="AD3" s="231" t="s">
        <v>26</v>
      </c>
      <c r="AE3" s="235" t="s">
        <v>27</v>
      </c>
      <c r="AF3" s="236" t="s">
        <v>28</v>
      </c>
      <c r="AG3" s="231"/>
      <c r="AH3" s="235" t="s">
        <v>29</v>
      </c>
      <c r="AI3" s="231"/>
      <c r="AJ3" s="231" t="s">
        <v>30</v>
      </c>
      <c r="AK3" s="235"/>
      <c r="AL3" s="233" t="s">
        <v>31</v>
      </c>
      <c r="AM3" s="231"/>
      <c r="AN3" s="233" t="s">
        <v>32</v>
      </c>
      <c r="AO3" s="232"/>
      <c r="AP3" s="237" t="s">
        <v>33</v>
      </c>
    </row>
    <row r="4" spans="1:42" s="168" customFormat="1" ht="22.5" customHeight="1" thickBot="1" x14ac:dyDescent="0.3">
      <c r="A4" s="163"/>
      <c r="B4" s="164"/>
      <c r="C4" s="213"/>
      <c r="D4" s="213"/>
      <c r="E4" s="213"/>
      <c r="F4" s="264"/>
      <c r="G4" s="166"/>
      <c r="H4" s="166"/>
      <c r="I4" s="166">
        <f>AVERAGE(I5:I500)</f>
        <v>27.300702733264803</v>
      </c>
      <c r="J4" s="166"/>
      <c r="K4" s="166" t="e">
        <f>AVERAGE(K5:K500)</f>
        <v>#DIV/0!</v>
      </c>
      <c r="L4" s="166"/>
      <c r="M4" s="166" t="e">
        <f>AVERAGE(M5:M500)</f>
        <v>#DIV/0!</v>
      </c>
      <c r="N4" s="166"/>
      <c r="O4" s="166" t="e">
        <f>AVERAGE(O5:O500)</f>
        <v>#DIV/0!</v>
      </c>
      <c r="P4" s="166"/>
      <c r="Q4" s="166" t="e">
        <f>AVERAGE(Q5:Q500)</f>
        <v>#DIV/0!</v>
      </c>
      <c r="R4" s="166"/>
      <c r="S4" s="166" t="e">
        <f>AVERAGE(S5:S500)</f>
        <v>#DIV/0!</v>
      </c>
      <c r="T4" s="166"/>
      <c r="U4" s="166" t="e">
        <f>AVERAGE(U5:U500)</f>
        <v>#DIV/0!</v>
      </c>
      <c r="V4" s="166"/>
      <c r="W4" s="165"/>
      <c r="X4" s="166" t="e">
        <f t="shared" ref="X4:AC4" si="0">AVERAGE(X5:X500)</f>
        <v>#DIV/0!</v>
      </c>
      <c r="Y4" s="166" t="e">
        <f t="shared" si="0"/>
        <v>#DIV/0!</v>
      </c>
      <c r="Z4" s="165" t="e">
        <f t="shared" si="0"/>
        <v>#DIV/0!</v>
      </c>
      <c r="AA4" s="178" t="e">
        <f t="shared" si="0"/>
        <v>#DIV/0!</v>
      </c>
      <c r="AB4" s="178" t="e">
        <f t="shared" si="0"/>
        <v>#DIV/0!</v>
      </c>
      <c r="AC4" s="179" t="e">
        <f t="shared" si="0"/>
        <v>#DIV/0!</v>
      </c>
      <c r="AD4" s="178" t="e">
        <f>AVERAGE(AD5:AD39)</f>
        <v>#DIV/0!</v>
      </c>
      <c r="AE4" s="178" t="e">
        <f>AVERAGE(AE5:AE39)</f>
        <v>#DIV/0!</v>
      </c>
      <c r="AF4" s="165" t="e">
        <f>AVERAGE(AF5:AF39)</f>
        <v>#DIV/0!</v>
      </c>
      <c r="AG4" s="178"/>
      <c r="AH4" s="178" t="e">
        <f>AVERAGE(AH5:AH500)</f>
        <v>#DIV/0!</v>
      </c>
      <c r="AI4" s="178" t="e">
        <f>AVERAGE(AI5:AI500)</f>
        <v>#DIV/0!</v>
      </c>
      <c r="AJ4" s="178" t="e">
        <f>AVERAGE(AJ5:AJ500)</f>
        <v>#NUM!</v>
      </c>
      <c r="AK4" s="178"/>
      <c r="AL4" s="178" t="e">
        <f>AVERAGE(AL5:AL500)</f>
        <v>#DIV/0!</v>
      </c>
      <c r="AM4" s="178"/>
      <c r="AN4" s="178" t="e">
        <f>AVERAGE(AN5:AN500)</f>
        <v>#DIV/0!</v>
      </c>
      <c r="AO4" s="165"/>
      <c r="AP4" s="167" t="e">
        <f>AVERAGE(AP5:AP500)</f>
        <v>#DIV/0!</v>
      </c>
    </row>
    <row r="5" spans="1:42" s="250" customFormat="1" ht="22.5" customHeight="1" x14ac:dyDescent="0.25">
      <c r="A5" s="239" t="str">
        <f t="array" ref="A5">INDEX('Sheet 2'!T$2:T$3173,SMALL(IF(A$3='Sheet 2'!$S$2:$S$3173,ROW('Sheet 2'!T$2:T$3173)-ROW('Sheet 2'!$T$2)+1),ROW(1:1)))</f>
        <v>CCUR</v>
      </c>
      <c r="B5" s="265">
        <f t="array" ref="B5">INDEX('Sheet 2'!V$5:V$3173,SMALL(IF(B$3='Sheet 2'!S$5:S$3173,ROW('Sheet 2'!V$5:V$3173)-ROW('Sheet 2'!V$5)+1),ROW(1:1)))</f>
        <v>5.42</v>
      </c>
      <c r="C5" s="266">
        <f t="array" ref="C5">INDEX('Sheet 2'!V$5:V$3173,SMALL(IF(C$3='Sheet 2'!S$5:S$3173,ROW('Sheet 2'!V$5:V$3173)-ROW('Sheet 2'!V$5)+1),ROW(1:1)))</f>
        <v>50682701.839999996</v>
      </c>
      <c r="D5" s="266">
        <f t="array" ref="D5">INDEX('Sheet 2'!V$5:V$3173,SMALL(IF(D$3='Sheet 2'!S$5:S$3173,ROW('Sheet 2'!V$5:V$3173)-ROW('Sheet 2'!V$5)+1),ROW(1:1)))</f>
        <v>-6864298.1600000039</v>
      </c>
      <c r="E5" s="266">
        <f t="array" ref="E5">INDEX('Sheet 2'!V$5:V$3173,SMALL(IF(E$3='Sheet 2'!S$5:S$3173,ROW('Sheet 2'!V$5:V$3173)-ROW('Sheet 2'!V$5)+1),ROW(1:1)))</f>
        <v>62117000</v>
      </c>
      <c r="F5" s="267">
        <f t="array" ref="F5">INDEX('Sheet 2'!V$5:V$3173,SMALL(IF(F$3='Sheet 2'!S$5:S$3173,ROW('Sheet 2'!V$5:V$3173)-ROW('Sheet 2'!V$5)+1),ROW(1:1)))</f>
        <v>250000000</v>
      </c>
      <c r="G5" s="240"/>
      <c r="H5" s="240"/>
      <c r="I5" s="241">
        <f t="array" ref="I5">INDEX('Sheet 2'!V$5:V$3173,SMALL(IF(I$3='Sheet 2'!S$5:S$3173,ROW('Sheet 2'!V$5:V$3173)-ROW('Sheet 2'!V$5)+1),ROW(1:1)))</f>
        <v>1.0037037037037035</v>
      </c>
      <c r="J5" s="242"/>
      <c r="K5" s="241">
        <f t="array" ref="K5">INDEX('Sheet 2'!V$5:V$3173,SMALL(IF(K$3='Sheet 2'!S$5:S$3173,ROW('Sheet 2'!V$5:V$3173)-ROW('Sheet 2'!V$5)+1),ROW(1:1)))</f>
        <v>0.20273080735999999</v>
      </c>
      <c r="L5" s="242"/>
      <c r="M5" s="241">
        <f t="array" ref="M5">INDEX('Sheet 2'!V$5:V$3173,SMALL(IF(M$3='Sheet 2'!S$5:S$3173,ROW('Sheet 2'!V$5:V$3173)-ROW('Sheet 2'!V$5)+1),ROW(1:1)))</f>
        <v>0.82340904905259427</v>
      </c>
      <c r="N5" s="242"/>
      <c r="O5" s="241" t="str">
        <f t="array" ref="O5">INDEX('Sheet 2'!V$5:V$3173,SMALL(IF(O$3='Sheet 2'!S$5:S$3173,ROW('Sheet 2'!V$5:V$3173)-ROW('Sheet 2'!V$5)+1),ROW(1:1)))</f>
        <v/>
      </c>
      <c r="P5" s="242"/>
      <c r="Q5" s="241" t="str">
        <f t="array" ref="Q5">INDEX('Sheet 2'!V$5:V$3173,SMALL(IF(Q$3='Sheet 2'!S$5:S$3173,ROW('Sheet 2'!V$5:V$3173)-ROW('Sheet 2'!V$5)+1),ROW(1:1)))</f>
        <v/>
      </c>
      <c r="R5" s="243"/>
      <c r="S5" s="241">
        <f t="array" ref="S5">INDEX('Sheet 2'!V$5:V$3173,SMALL(IF(S$3='Sheet 2'!S$5:S$3173,ROW('Sheet 2'!V$5:V$3173)-ROW('Sheet 2'!V$5)+1),ROW(1:1)))</f>
        <v>1.9163311446119498</v>
      </c>
      <c r="T5" s="243"/>
      <c r="U5" s="241">
        <f t="array" ref="U5">INDEX('Sheet 2'!V$5:V$3173,SMALL(IF(U$3='Sheet 2'!S$5:S$3173,ROW('Sheet 2'!V$5:V$3173)-ROW('Sheet 2'!V$5)+1),ROW(1:1)))</f>
        <v>4.294376301434804</v>
      </c>
      <c r="V5" s="243"/>
      <c r="W5" s="244"/>
      <c r="X5" s="242">
        <f t="array" ref="X5">INDEX('Sheet 2'!AA$13:AA$3173,SMALL(IF(X$3='Sheet 2'!X$13:X$3173,ROW('Sheet 2'!AA$13:AA$3173)-ROW('Sheet 2'!AA$13)+1),ROW(1:1)))</f>
        <v>5.4407029359149739</v>
      </c>
      <c r="Y5" s="242">
        <f t="array" ref="Y5">INDEX('Sheet 2'!AA$13:AA$3173,SMALL(IF(Y$3='Sheet 2'!X$13:X$3173,ROW('Sheet 2'!AA$13:AA$3173)-ROW('Sheet 2'!AA$13)+1),ROW(1:1)))</f>
        <v>1.3644478799137254</v>
      </c>
      <c r="Z5" s="245" t="e">
        <f t="array" ref="Z5">INDEX('Sheet 2'!AA$13:AA$3173,SMALL(IF(Z$3='Sheet 2'!X$13:X$3173,ROW('Sheet 2'!AA$13:AA$3173)-ROW('Sheet 2'!AA$13)+1),ROW(1:1)))</f>
        <v>#DIV/0!</v>
      </c>
      <c r="AA5" s="246">
        <f t="array" ref="AA5">INDEX('Sheet 2'!V$5:V$3173,SMALL(IF(AA$3='Sheet 2'!S$5:S$3173,ROW('Sheet 2'!V$5:V$3173)-ROW('Sheet 2'!V$5)+1),ROW(1:1)))</f>
        <v>1</v>
      </c>
      <c r="AB5" s="246">
        <f t="array" ref="AB5">INDEX('Sheet 2'!V$5:V$3173,SMALL(IF(AB$3='Sheet 2'!S$5:S$3173,ROW('Sheet 2'!V$5:V$3173)-ROW('Sheet 2'!V$5)+1),ROW(1:1)))</f>
        <v>0.2011</v>
      </c>
      <c r="AC5" s="247">
        <f t="array" ref="AC5">INDEX('Sheet 2'!V$5:V$3173,SMALL(IF(AC$3='Sheet 2'!S$5:S$3173,ROW('Sheet 2'!V$5:V$3173)-ROW('Sheet 2'!V$5)+1),ROW(1:1)))</f>
        <v>-0.11916400000000001</v>
      </c>
      <c r="AD5" s="246">
        <f t="array" ref="AD5">INDEX('Sheet 2'!V$5:V$3173,SMALL(IF(AD$3='Sheet 2'!S$5:S$3173,ROW('Sheet 2'!V$5:V$3173)-ROW('Sheet 2'!V$5)+1),ROW(1:1)))</f>
        <v>1.2535999700781708</v>
      </c>
      <c r="AE5" s="246">
        <f t="array" ref="AE5">INDEX('Sheet 2'!V$5:V$3173,SMALL(IF(AE$3='Sheet 2'!S$5:S$3173,ROW('Sheet 2'!V$5:V$3173)-ROW('Sheet 2'!V$5)+1),ROW(1:1)))</f>
        <v>0.91875987975256079</v>
      </c>
      <c r="AF5" s="245">
        <f t="array" ref="AF5">INDEX('Sheet 2'!V$5:V$3173,SMALL(IF(AF$3='Sheet 2'!S$5:S$3173,ROW('Sheet 2'!V$5:V$3173)-ROW('Sheet 2'!V$5)+1),ROW(1:1)))</f>
        <v>4.5686717043886658</v>
      </c>
      <c r="AG5" s="242"/>
      <c r="AH5" s="246">
        <f t="array" ref="AH5">INDEX('Sheet 2'!AA$5:AA$3173,SMALL(IF(AH$3='Sheet 2'!X$5:X$3173,ROW('Sheet 2'!AA$5:AA$3173)-ROW('Sheet 2'!AA$5)+1),ROW(1:1)))</f>
        <v>-0.14293524047931411</v>
      </c>
      <c r="AI5" s="246"/>
      <c r="AJ5" s="246" t="e">
        <f t="array" ref="AJ5">INDEX('Sheet 2'!V$5:V$3173,SMALL(IF(AJ$3='Sheet 2'!S$5:S$3173,ROW('Sheet 2'!V$5:V$3173)-ROW('Sheet 2'!V$5)+1),ROW(1:1)))</f>
        <v>#NUM!</v>
      </c>
      <c r="AK5" s="246"/>
      <c r="AL5" s="246">
        <f t="array" ref="AL5">INDEX('Sheet 2'!AA$5:AA$3173,SMALL(IF(AL$3='Sheet 2'!X$5:X$3173,ROW('Sheet 2'!AA$5:AA$3173)-ROW('Sheet 2'!AA$5)+1),ROW(1:1)))</f>
        <v>-13.927713297306148</v>
      </c>
      <c r="AM5" s="246"/>
      <c r="AN5" s="246">
        <f t="array" ref="AN5">INDEX('Sheet 2'!AA$5:AA$3173,SMALL(IF(AN$3='Sheet 2'!X$5:X$3173,ROW('Sheet 2'!AA$5:AA$3173)-ROW('Sheet 2'!AA$5)+1),ROW(1:1)))</f>
        <v>-13.002551020408161</v>
      </c>
      <c r="AO5" s="248"/>
      <c r="AP5" s="249"/>
    </row>
    <row r="6" spans="1:42" s="262" customFormat="1" ht="22.5" customHeight="1" x14ac:dyDescent="0.25">
      <c r="A6" s="251" t="str">
        <f t="array" ref="A6">INDEX('Sheet 2'!T$2:T$3173,SMALL(IF(A$3='Sheet 2'!$S$2:$S$3173,ROW('Sheet 2'!T$2:T$3173)-ROW('Sheet 2'!$T$2)+1),ROW(2:2)))</f>
        <v>CRAY</v>
      </c>
      <c r="B6" s="268">
        <f t="array" ref="B6">INDEX('Sheet 2'!V$5:V$3173,SMALL(IF(B$3='Sheet 2'!S$5:S$3173,ROW('Sheet 2'!V$5:V$3173)-ROW('Sheet 2'!V$5)+1),ROW(2:2)))</f>
        <v>21.25</v>
      </c>
      <c r="C6" s="269">
        <f t="array" ref="C6">INDEX('Sheet 2'!V$5:V$3173,SMALL(IF(C$3='Sheet 2'!S$5:S$3173,ROW('Sheet 2'!V$5:V$3173)-ROW('Sheet 2'!V$5)+1),ROW(2:2)))</f>
        <v>852953750</v>
      </c>
      <c r="D6" s="269">
        <f t="array" ref="D6">INDEX('Sheet 2'!V$5:V$3173,SMALL(IF(D$3='Sheet 2'!S$5:S$3173,ROW('Sheet 2'!V$5:V$3173)-ROW('Sheet 2'!V$5)+1),ROW(2:2)))</f>
        <v>715627750</v>
      </c>
      <c r="E6" s="269">
        <f t="array" ref="E6">INDEX('Sheet 2'!V$5:V$3173,SMALL(IF(E$3='Sheet 2'!S$5:S$3173,ROW('Sheet 2'!V$5:V$3173)-ROW('Sheet 2'!V$5)+1),ROW(2:2)))</f>
        <v>400297000</v>
      </c>
      <c r="F6" s="270">
        <f t="array" ref="F6">INDEX('Sheet 2'!V$5:V$3173,SMALL(IF(F$3='Sheet 2'!S$5:S$3173,ROW('Sheet 2'!V$5:V$3173)-ROW('Sheet 2'!V$5)+1),ROW(2:2)))</f>
        <v>392509000</v>
      </c>
      <c r="G6" s="252"/>
      <c r="H6" s="252"/>
      <c r="I6" s="253" t="str">
        <f t="array" ref="I6">INDEX('Sheet 2'!V$5:V$3173,SMALL(IF(I$3='Sheet 2'!S$5:S$3173,ROW('Sheet 2'!V$5:V$3173)-ROW('Sheet 2'!V$5)+1),ROW(2:2)))</f>
        <v/>
      </c>
      <c r="J6" s="254"/>
      <c r="K6" s="253">
        <f t="array" ref="K6">INDEX('Sheet 2'!V$5:V$3173,SMALL(IF(K$3='Sheet 2'!S$5:S$3173,ROW('Sheet 2'!V$5:V$3173)-ROW('Sheet 2'!V$5)+1),ROW(2:2)))</f>
        <v>2.1730807446453455</v>
      </c>
      <c r="L6" s="254"/>
      <c r="M6" s="253">
        <f t="array" ref="M6">INDEX('Sheet 2'!V$5:V$3173,SMALL(IF(M$3='Sheet 2'!S$5:S$3173,ROW('Sheet 2'!V$5:V$3173)-ROW('Sheet 2'!V$5)+1),ROW(2:2)))</f>
        <v>2.1398798891822821</v>
      </c>
      <c r="N6" s="254"/>
      <c r="O6" s="253" t="str">
        <f t="array" ref="O6">INDEX('Sheet 2'!V$5:V$3173,SMALL(IF(O$3='Sheet 2'!S$5:S$3173,ROW('Sheet 2'!V$5:V$3173)-ROW('Sheet 2'!V$5)+1),ROW(2:2)))</f>
        <v/>
      </c>
      <c r="P6" s="254"/>
      <c r="Q6" s="253">
        <f t="array" ref="Q6">INDEX('Sheet 2'!V$5:V$3173,SMALL(IF(Q$3='Sheet 2'!S$5:S$3173,ROW('Sheet 2'!V$5:V$3173)-ROW('Sheet 2'!V$5)+1),ROW(2:2)))</f>
        <v>115.77509953850331</v>
      </c>
      <c r="R6" s="255"/>
      <c r="S6" s="253">
        <f t="array" ref="S6">INDEX('Sheet 2'!V$5:V$3173,SMALL(IF(S$3='Sheet 2'!S$5:S$3173,ROW('Sheet 2'!V$5:V$3173)-ROW('Sheet 2'!V$5)+1),ROW(2:2)))</f>
        <v>77.090137886459118</v>
      </c>
      <c r="T6" s="255"/>
      <c r="U6" s="253" t="e">
        <f t="array" ref="U6">INDEX('Sheet 2'!V$5:V$3173,SMALL(IF(U$3='Sheet 2'!S$5:S$3173,ROW('Sheet 2'!V$5:V$3173)-ROW('Sheet 2'!V$5)+1),ROW(2:2)))</f>
        <v>#DIV/0!</v>
      </c>
      <c r="V6" s="255"/>
      <c r="W6" s="256"/>
      <c r="X6" s="254">
        <f t="array" ref="X6">INDEX('Sheet 2'!AA$13:AA$3173,SMALL(IF(X$3='Sheet 2'!X$13:X$3173,ROW('Sheet 2'!AA$13:AA$3173)-ROW('Sheet 2'!AA$13)+1),ROW(2:2)))</f>
        <v>3.429380535325099</v>
      </c>
      <c r="Y6" s="254">
        <f t="array" ref="Y6">INDEX('Sheet 2'!AA$13:AA$3173,SMALL(IF(Y$3='Sheet 2'!X$13:X$3173,ROW('Sheet 2'!AA$13:AA$3173)-ROW('Sheet 2'!AA$13)+1),ROW(2:2)))</f>
        <v>1.3927085753728874</v>
      </c>
      <c r="Z6" s="257" t="e">
        <f t="array" ref="Z6">INDEX('Sheet 2'!AA$13:AA$3173,SMALL(IF(Z$3='Sheet 2'!X$13:X$3173,ROW('Sheet 2'!AA$13:AA$3173)-ROW('Sheet 2'!AA$13)+1),ROW(2:2)))</f>
        <v>#DIV/0!</v>
      </c>
      <c r="AA6" s="258">
        <f t="array" ref="AA6">INDEX('Sheet 2'!V$5:V$3173,SMALL(IF(AA$3='Sheet 2'!S$5:S$3173,ROW('Sheet 2'!V$5:V$3173)-ROW('Sheet 2'!V$5)+1),ROW(2:2)))</f>
        <v>0.33299618607471421</v>
      </c>
      <c r="AB6" s="258">
        <f t="array" ref="AB6">INDEX('Sheet 2'!V$5:V$3173,SMALL(IF(AB$3='Sheet 2'!S$5:S$3173,ROW('Sheet 2'!V$5:V$3173)-ROW('Sheet 2'!V$5)+1),ROW(2:2)))</f>
        <v>-0.34095778695520357</v>
      </c>
      <c r="AC6" s="259">
        <f t="array" ref="AC6">INDEX('Sheet 2'!V$5:V$3173,SMALL(IF(AC$3='Sheet 2'!S$5:S$3173,ROW('Sheet 2'!V$5:V$3173)-ROW('Sheet 2'!V$5)+1),ROW(2:2)))</f>
        <v>-0.16725221587275707</v>
      </c>
      <c r="AD6" s="258">
        <f t="array" ref="AD6">INDEX('Sheet 2'!V$5:V$3173,SMALL(IF(AD$3='Sheet 2'!S$5:S$3173,ROW('Sheet 2'!V$5:V$3173)-ROW('Sheet 2'!V$5)+1),ROW(2:2)))</f>
        <v>-0.28077864572542632</v>
      </c>
      <c r="AE6" s="258">
        <f t="array" ref="AE6">INDEX('Sheet 2'!V$5:V$3173,SMALL(IF(AE$3='Sheet 2'!S$5:S$3173,ROW('Sheet 2'!V$5:V$3173)-ROW('Sheet 2'!V$5)+1),ROW(2:2)))</f>
        <v>-0.20160617281346882</v>
      </c>
      <c r="AF6" s="257">
        <f t="array" ref="AF6">INDEX('Sheet 2'!V$5:V$3173,SMALL(IF(AF$3='Sheet 2'!S$5:S$3173,ROW('Sheet 2'!V$5:V$3173)-ROW('Sheet 2'!V$5)+1),ROW(2:2)))</f>
        <v>0.59129364550913355</v>
      </c>
      <c r="AG6" s="254"/>
      <c r="AH6" s="258">
        <f t="array" ref="AH6">INDEX('Sheet 2'!AA$5:AA$3173,SMALL(IF(AH$3='Sheet 2'!X$5:X$3173,ROW('Sheet 2'!AA$5:AA$3173)-ROW('Sheet 2'!AA$5)+1),ROW(2:2)))</f>
        <v>250000000</v>
      </c>
      <c r="AI6" s="258"/>
      <c r="AJ6" s="258" t="e">
        <f t="array" ref="AJ6">INDEX('Sheet 2'!V$5:V$3173,SMALL(IF(AJ$3='Sheet 2'!S$5:S$3173,ROW('Sheet 2'!V$5:V$3173)-ROW('Sheet 2'!V$5)+1),ROW(2:2)))</f>
        <v>#NUM!</v>
      </c>
      <c r="AK6" s="258"/>
      <c r="AL6" s="258">
        <f t="array" ref="AL6">INDEX('Sheet 2'!AA$5:AA$3173,SMALL(IF(AL$3='Sheet 2'!X$5:X$3173,ROW('Sheet 2'!AA$5:AA$3173)-ROW('Sheet 2'!AA$5)+1),ROW(2:2)))</f>
        <v>50275000</v>
      </c>
      <c r="AM6" s="258"/>
      <c r="AN6" s="258">
        <f t="array" ref="AN6">INDEX('Sheet 2'!AA$5:AA$3173,SMALL(IF(AN$3='Sheet 2'!X$5:X$3173,ROW('Sheet 2'!AA$5:AA$3173)-ROW('Sheet 2'!AA$5)+1),ROW(2:2)))</f>
        <v>5.4</v>
      </c>
      <c r="AO6" s="260"/>
      <c r="AP6" s="261"/>
    </row>
    <row r="7" spans="1:42" s="262" customFormat="1" ht="22.5" customHeight="1" x14ac:dyDescent="0.25">
      <c r="A7" s="251" t="str">
        <f t="array" ref="A7">INDEX('Sheet 2'!T$2:T$3173,SMALL(IF(A$3='Sheet 2'!$S$2:$S$3173,ROW('Sheet 2'!T$2:T$3173)-ROW('Sheet 2'!$T$2)+1),ROW(3:3)))</f>
        <v>ADI</v>
      </c>
      <c r="B7" s="268">
        <f t="array" ref="B7">INDEX('Sheet 2'!V$5:V$3173,SMALL(IF(B$3='Sheet 2'!S$5:S$3173,ROW('Sheet 2'!V$5:V$3173)-ROW('Sheet 2'!V$5)+1),ROW(3:3)))</f>
        <v>88.54</v>
      </c>
      <c r="C7" s="269">
        <f t="array" ref="C7">INDEX('Sheet 2'!V$5:V$3173,SMALL(IF(C$3='Sheet 2'!S$5:S$3173,ROW('Sheet 2'!V$5:V$3173)-ROW('Sheet 2'!V$5)+1),ROW(3:3)))</f>
        <v>0</v>
      </c>
      <c r="D7" s="269">
        <f t="array" ref="D7">INDEX('Sheet 2'!V$5:V$3173,SMALL(IF(D$3='Sheet 2'!S$5:S$3173,ROW('Sheet 2'!V$5:V$3173)-ROW('Sheet 2'!V$5)+1),ROW(3:3)))</f>
        <v>0</v>
      </c>
      <c r="E7" s="269">
        <f t="array" ref="E7">INDEX('Sheet 2'!V$5:V$3173,SMALL(IF(E$3='Sheet 2'!S$5:S$3173,ROW('Sheet 2'!V$5:V$3173)-ROW('Sheet 2'!V$5)+1),ROW(3:3)))</f>
        <v>0</v>
      </c>
      <c r="F7" s="270">
        <f t="array" ref="F7">INDEX('Sheet 2'!V$5:V$3173,SMALL(IF(F$3='Sheet 2'!S$5:S$3173,ROW('Sheet 2'!V$5:V$3173)-ROW('Sheet 2'!V$5)+1),ROW(3:3)))</f>
        <v>0</v>
      </c>
      <c r="G7" s="252"/>
      <c r="H7" s="252"/>
      <c r="I7" s="253" t="str">
        <f t="array" ref="I7">INDEX('Sheet 2'!V$5:V$3173,SMALL(IF(I$3='Sheet 2'!S$5:S$3173,ROW('Sheet 2'!V$5:V$3173)-ROW('Sheet 2'!V$5)+1),ROW(3:3)))</f>
        <v/>
      </c>
      <c r="J7" s="254"/>
      <c r="K7" s="253" t="e">
        <f t="array" ref="K7">INDEX('Sheet 2'!V$5:V$3173,SMALL(IF(K$3='Sheet 2'!S$5:S$3173,ROW('Sheet 2'!V$5:V$3173)-ROW('Sheet 2'!V$5)+1),ROW(3:3)))</f>
        <v>#DIV/0!</v>
      </c>
      <c r="L7" s="254"/>
      <c r="M7" s="253" t="e">
        <f t="array" ref="M7">INDEX('Sheet 2'!V$5:V$3173,SMALL(IF(M$3='Sheet 2'!S$5:S$3173,ROW('Sheet 2'!V$5:V$3173)-ROW('Sheet 2'!V$5)+1),ROW(3:3)))</f>
        <v>#DIV/0!</v>
      </c>
      <c r="N7" s="254"/>
      <c r="O7" s="253" t="e">
        <f t="array" ref="O7">INDEX('Sheet 2'!V$5:V$3173,SMALL(IF(O$3='Sheet 2'!S$5:S$3173,ROW('Sheet 2'!V$5:V$3173)-ROW('Sheet 2'!V$5)+1),ROW(3:3)))</f>
        <v>#DIV/0!</v>
      </c>
      <c r="P7" s="254"/>
      <c r="Q7" s="253" t="e">
        <f t="array" ref="Q7">INDEX('Sheet 2'!V$5:V$3173,SMALL(IF(Q$3='Sheet 2'!S$5:S$3173,ROW('Sheet 2'!V$5:V$3173)-ROW('Sheet 2'!V$5)+1),ROW(3:3)))</f>
        <v>#DIV/0!</v>
      </c>
      <c r="R7" s="255"/>
      <c r="S7" s="253" t="e">
        <f t="array" ref="S7">INDEX('Sheet 2'!V$5:V$3173,SMALL(IF(S$3='Sheet 2'!S$5:S$3173,ROW('Sheet 2'!V$5:V$3173)-ROW('Sheet 2'!V$5)+1),ROW(3:3)))</f>
        <v>#DIV/0!</v>
      </c>
      <c r="T7" s="255"/>
      <c r="U7" s="253">
        <f t="array" ref="U7">INDEX('Sheet 2'!V$5:V$3173,SMALL(IF(U$3='Sheet 2'!S$5:S$3173,ROW('Sheet 2'!V$5:V$3173)-ROW('Sheet 2'!V$5)+1),ROW(3:3)))</f>
        <v>4.7990189766093305</v>
      </c>
      <c r="V7" s="255"/>
      <c r="W7" s="256"/>
      <c r="X7" s="254" t="e">
        <f t="array" ref="X7">INDEX('Sheet 2'!AA$13:AA$3173,SMALL(IF(X$3='Sheet 2'!X$13:X$3173,ROW('Sheet 2'!AA$13:AA$3173)-ROW('Sheet 2'!AA$13)+1),ROW(3:3)))</f>
        <v>#DIV/0!</v>
      </c>
      <c r="Y7" s="254" t="e">
        <f t="array" ref="Y7">INDEX('Sheet 2'!AA$13:AA$3173,SMALL(IF(Y$3='Sheet 2'!X$13:X$3173,ROW('Sheet 2'!AA$13:AA$3173)-ROW('Sheet 2'!AA$13)+1),ROW(3:3)))</f>
        <v>#DIV/0!</v>
      </c>
      <c r="Z7" s="257" t="e">
        <f t="array" ref="Z7">INDEX('Sheet 2'!AA$13:AA$3173,SMALL(IF(Z$3='Sheet 2'!X$13:X$3173,ROW('Sheet 2'!AA$13:AA$3173)-ROW('Sheet 2'!AA$13)+1),ROW(3:3)))</f>
        <v>#DIV/0!</v>
      </c>
      <c r="AA7" s="258" t="e">
        <f t="array" ref="AA7">INDEX('Sheet 2'!V$5:V$3173,SMALL(IF(AA$3='Sheet 2'!S$5:S$3173,ROW('Sheet 2'!V$5:V$3173)-ROW('Sheet 2'!V$5)+1),ROW(3:3)))</f>
        <v>#DIV/0!</v>
      </c>
      <c r="AB7" s="258" t="e">
        <f t="array" ref="AB7">INDEX('Sheet 2'!V$5:V$3173,SMALL(IF(AB$3='Sheet 2'!S$5:S$3173,ROW('Sheet 2'!V$5:V$3173)-ROW('Sheet 2'!V$5)+1),ROW(3:3)))</f>
        <v>#DIV/0!</v>
      </c>
      <c r="AC7" s="259" t="e">
        <f t="array" ref="AC7">INDEX('Sheet 2'!V$5:V$3173,SMALL(IF(AC$3='Sheet 2'!S$5:S$3173,ROW('Sheet 2'!V$5:V$3173)-ROW('Sheet 2'!V$5)+1),ROW(3:3)))</f>
        <v>#DIV/0!</v>
      </c>
      <c r="AD7" s="258" t="e">
        <f t="array" ref="AD7">INDEX('Sheet 2'!V$5:V$3173,SMALL(IF(AD$3='Sheet 2'!S$5:S$3173,ROW('Sheet 2'!V$5:V$3173)-ROW('Sheet 2'!V$5)+1),ROW(3:3)))</f>
        <v>#DIV/0!</v>
      </c>
      <c r="AE7" s="258" t="e">
        <f t="array" ref="AE7">INDEX('Sheet 2'!V$5:V$3173,SMALL(IF(AE$3='Sheet 2'!S$5:S$3173,ROW('Sheet 2'!V$5:V$3173)-ROW('Sheet 2'!V$5)+1),ROW(3:3)))</f>
        <v>#DIV/0!</v>
      </c>
      <c r="AF7" s="257" t="e">
        <f t="array" ref="AF7">INDEX('Sheet 2'!V$5:V$3173,SMALL(IF(AF$3='Sheet 2'!S$5:S$3173,ROW('Sheet 2'!V$5:V$3173)-ROW('Sheet 2'!V$5)+1),ROW(3:3)))</f>
        <v>#DIV/0!</v>
      </c>
      <c r="AG7" s="254"/>
      <c r="AH7" s="258">
        <f t="array" ref="AH7">INDEX('Sheet 2'!AA$5:AA$3173,SMALL(IF(AH$3='Sheet 2'!X$5:X$3173,ROW('Sheet 2'!AA$5:AA$3173)-ROW('Sheet 2'!AA$5)+1),ROW(3:3)))</f>
        <v>-3.7279355911500917E-2</v>
      </c>
      <c r="AI7" s="258"/>
      <c r="AJ7" s="258" t="e">
        <f t="array" ref="AJ7">INDEX('Sheet 2'!V$5:V$3173,SMALL(IF(AJ$3='Sheet 2'!S$5:S$3173,ROW('Sheet 2'!V$5:V$3173)-ROW('Sheet 2'!V$5)+1),ROW(3:3)))</f>
        <v>#NUM!</v>
      </c>
      <c r="AK7" s="258"/>
      <c r="AL7" s="258">
        <f t="array" ref="AL7">INDEX('Sheet 2'!AA$5:AA$3173,SMALL(IF(AL$3='Sheet 2'!X$5:X$3173,ROW('Sheet 2'!AA$5:AA$3173)-ROW('Sheet 2'!AA$5)+1),ROW(3:3)))</f>
        <v>-7.9519987996567856E-2</v>
      </c>
      <c r="AM7" s="258"/>
      <c r="AN7" s="258">
        <f t="array" ref="AN7">INDEX('Sheet 2'!AA$5:AA$3173,SMALL(IF(AN$3='Sheet 2'!X$5:X$3173,ROW('Sheet 2'!AA$5:AA$3173)-ROW('Sheet 2'!AA$5)+1),ROW(3:3)))</f>
        <v>-9.5128486177079474E-2</v>
      </c>
      <c r="AO7" s="260"/>
      <c r="AP7" s="261"/>
    </row>
    <row r="8" spans="1:42" s="262" customFormat="1" ht="22.5" customHeight="1" x14ac:dyDescent="0.25">
      <c r="A8" s="251" t="str">
        <f t="array" ref="A8">INDEX('Sheet 2'!T$2:T$3173,SMALL(IF(A$3='Sheet 2'!$S$2:$S$3173,ROW('Sheet 2'!T$2:T$3173)-ROW('Sheet 2'!$T$2)+1),ROW(4:4)))</f>
        <v>HPE</v>
      </c>
      <c r="B8" s="268">
        <f t="array" ref="B8">INDEX('Sheet 2'!V$5:V$3173,SMALL(IF(B$3='Sheet 2'!S$5:S$3173,ROW('Sheet 2'!V$5:V$3173)-ROW('Sheet 2'!V$5)+1),ROW(4:4)))</f>
        <v>18.780000999999999</v>
      </c>
      <c r="C8" s="269">
        <f t="array" ref="C8">INDEX('Sheet 2'!V$5:V$3173,SMALL(IF(C$3='Sheet 2'!S$5:S$3173,ROW('Sheet 2'!V$5:V$3173)-ROW('Sheet 2'!V$5)+1),ROW(4:4)))</f>
        <v>30545671626.499996</v>
      </c>
      <c r="D8" s="269">
        <f t="array" ref="D8">INDEX('Sheet 2'!V$5:V$3173,SMALL(IF(D$3='Sheet 2'!S$5:S$3173,ROW('Sheet 2'!V$5:V$3173)-ROW('Sheet 2'!V$5)+1),ROW(4:4)))</f>
        <v>36827671626.5</v>
      </c>
      <c r="E8" s="269">
        <f t="array" ref="E8">INDEX('Sheet 2'!V$5:V$3173,SMALL(IF(E$3='Sheet 2'!S$5:S$3173,ROW('Sheet 2'!V$5:V$3173)-ROW('Sheet 2'!V$5)+1),ROW(4:4)))</f>
        <v>23951000000</v>
      </c>
      <c r="F8" s="270">
        <f t="array" ref="F8">INDEX('Sheet 2'!V$5:V$3173,SMALL(IF(F$3='Sheet 2'!S$5:S$3173,ROW('Sheet 2'!V$5:V$3173)-ROW('Sheet 2'!V$5)+1),ROW(4:4)))</f>
        <v>29643000000</v>
      </c>
      <c r="G8" s="252"/>
      <c r="H8" s="252"/>
      <c r="I8" s="253">
        <f t="array" ref="I8">INDEX('Sheet 2'!V$5:V$3173,SMALL(IF(I$3='Sheet 2'!S$5:S$3173,ROW('Sheet 2'!V$5:V$3173)-ROW('Sheet 2'!V$5)+1),ROW(4:4)))</f>
        <v>19.768422105263156</v>
      </c>
      <c r="J8" s="254"/>
      <c r="K8" s="253">
        <f t="array" ref="K8">INDEX('Sheet 2'!V$5:V$3173,SMALL(IF(K$3='Sheet 2'!S$5:S$3173,ROW('Sheet 2'!V$5:V$3173)-ROW('Sheet 2'!V$5)+1),ROW(4:4)))</f>
        <v>1.0304514261883075</v>
      </c>
      <c r="L8" s="254"/>
      <c r="M8" s="253">
        <f t="array" ref="M8">INDEX('Sheet 2'!V$5:V$3173,SMALL(IF(M$3='Sheet 2'!S$5:S$3173,ROW('Sheet 2'!V$5:V$3173)-ROW('Sheet 2'!V$5)+1),ROW(4:4)))</f>
        <v>1.24750455475763</v>
      </c>
      <c r="N8" s="254"/>
      <c r="O8" s="253" t="str">
        <f t="array" ref="O8">INDEX('Sheet 2'!V$5:V$3173,SMALL(IF(O$3='Sheet 2'!S$5:S$3173,ROW('Sheet 2'!V$5:V$3173)-ROW('Sheet 2'!V$5)+1),ROW(4:4)))</f>
        <v/>
      </c>
      <c r="P8" s="254"/>
      <c r="Q8" s="253">
        <f t="array" ref="Q8">INDEX('Sheet 2'!V$5:V$3173,SMALL(IF(Q$3='Sheet 2'!S$5:S$3173,ROW('Sheet 2'!V$5:V$3173)-ROW('Sheet 2'!V$5)+1),ROW(4:4)))</f>
        <v>9.6378854521981481</v>
      </c>
      <c r="R8" s="255"/>
      <c r="S8" s="253">
        <f t="array" ref="S8">INDEX('Sheet 2'!V$5:V$3173,SMALL(IF(S$3='Sheet 2'!S$5:S$3173,ROW('Sheet 2'!V$5:V$3173)-ROW('Sheet 2'!V$5)+1),ROW(4:4)))</f>
        <v>32.024062283913047</v>
      </c>
      <c r="T8" s="255"/>
      <c r="U8" s="253">
        <f t="array" ref="U8">INDEX('Sheet 2'!V$5:V$3173,SMALL(IF(U$3='Sheet 2'!S$5:S$3173,ROW('Sheet 2'!V$5:V$3173)-ROW('Sheet 2'!V$5)+1),ROW(4:4)))</f>
        <v>2.850200569986912</v>
      </c>
      <c r="V8" s="255"/>
      <c r="W8" s="256"/>
      <c r="X8" s="254">
        <f t="array" ref="X8">INDEX('Sheet 2'!AA$13:AA$3173,SMALL(IF(X$3='Sheet 2'!X$13:X$3173,ROW('Sheet 2'!AA$13:AA$3173)-ROW('Sheet 2'!AA$13)+1),ROW(4:4)))</f>
        <v>1.1515703415897685</v>
      </c>
      <c r="Y8" s="254">
        <f t="array" ref="Y8">INDEX('Sheet 2'!AA$13:AA$3173,SMALL(IF(Y$3='Sheet 2'!X$13:X$3173,ROW('Sheet 2'!AA$13:AA$3173)-ROW('Sheet 2'!AA$13)+1),ROW(4:4)))</f>
        <v>2.4793816388467373</v>
      </c>
      <c r="Z8" s="257">
        <f t="array" ref="Z8">INDEX('Sheet 2'!AA$13:AA$3173,SMALL(IF(Z$3='Sheet 2'!X$13:X$3173,ROW('Sheet 2'!AA$13:AA$3173)-ROW('Sheet 2'!AA$13)+1),ROW(4:4)))</f>
        <v>0.44246016691957513</v>
      </c>
      <c r="AA8" s="258">
        <f t="array" ref="AA8">INDEX('Sheet 2'!V$5:V$3173,SMALL(IF(AA$3='Sheet 2'!S$5:S$3173,ROW('Sheet 2'!V$5:V$3173)-ROW('Sheet 2'!V$5)+1),ROW(4:4)))</f>
        <v>0.29227810950308675</v>
      </c>
      <c r="AB8" s="258">
        <f t="array" ref="AB8">INDEX('Sheet 2'!V$5:V$3173,SMALL(IF(AB$3='Sheet 2'!S$5:S$3173,ROW('Sheet 2'!V$5:V$3173)-ROW('Sheet 2'!V$5)+1),ROW(4:4)))</f>
        <v>5.1040717876058427E-2</v>
      </c>
      <c r="AC8" s="259">
        <f t="array" ref="AC8">INDEX('Sheet 2'!V$5:V$3173,SMALL(IF(AC$3='Sheet 2'!S$5:S$3173,ROW('Sheet 2'!V$5:V$3173)-ROW('Sheet 2'!V$5)+1),ROW(4:4)))</f>
        <v>1.8520392672806398E-2</v>
      </c>
      <c r="AD8" s="258">
        <f t="array" ref="AD8">INDEX('Sheet 2'!V$5:V$3173,SMALL(IF(AD$3='Sheet 2'!S$5:S$3173,ROW('Sheet 2'!V$5:V$3173)-ROW('Sheet 2'!V$5)+1),ROW(4:4)))</f>
        <v>5.7397572078907437E-2</v>
      </c>
      <c r="AE8" s="258">
        <f t="array" ref="AE8">INDEX('Sheet 2'!V$5:V$3173,SMALL(IF(AE$3='Sheet 2'!S$5:S$3173,ROW('Sheet 2'!V$5:V$3173)-ROW('Sheet 2'!V$5)+1),ROW(4:4)))</f>
        <v>2.3149954480426584E-2</v>
      </c>
      <c r="AF8" s="257">
        <f t="array" ref="AF8">INDEX('Sheet 2'!V$5:V$3173,SMALL(IF(AF$3='Sheet 2'!S$5:S$3173,ROW('Sheet 2'!V$5:V$3173)-ROW('Sheet 2'!V$5)+1),ROW(4:4)))</f>
        <v>0.45355855959238944</v>
      </c>
      <c r="AG8" s="254"/>
      <c r="AH8" s="258">
        <f t="array" ref="AH8">INDEX('Sheet 2'!AA$5:AA$3173,SMALL(IF(AH$3='Sheet 2'!X$5:X$3173,ROW('Sheet 2'!AA$5:AA$3173)-ROW('Sheet 2'!AA$5)+1),ROW(4:4)))</f>
        <v>392509000</v>
      </c>
      <c r="AI8" s="258"/>
      <c r="AJ8" s="258" t="e">
        <f t="array" ref="AJ8">INDEX('Sheet 2'!V$5:V$3173,SMALL(IF(AJ$3='Sheet 2'!S$5:S$3173,ROW('Sheet 2'!V$5:V$3173)-ROW('Sheet 2'!V$5)+1),ROW(4:4)))</f>
        <v>#NUM!</v>
      </c>
      <c r="AK8" s="258"/>
      <c r="AL8" s="258">
        <f t="array" ref="AL8">INDEX('Sheet 2'!AA$5:AA$3173,SMALL(IF(AL$3='Sheet 2'!X$5:X$3173,ROW('Sheet 2'!AA$5:AA$3173)-ROW('Sheet 2'!AA$5)+1),ROW(4:4)))</f>
        <v>-133829000</v>
      </c>
      <c r="AM8" s="258"/>
      <c r="AN8" s="258">
        <f t="array" ref="AN8">INDEX('Sheet 2'!AA$5:AA$3173,SMALL(IF(AN$3='Sheet 2'!X$5:X$3173,ROW('Sheet 2'!AA$5:AA$3173)-ROW('Sheet 2'!AA$5)+1),ROW(4:4)))</f>
        <v>-3.33</v>
      </c>
      <c r="AO8" s="260"/>
      <c r="AP8" s="261"/>
    </row>
    <row r="9" spans="1:42" s="262" customFormat="1" ht="22.5" customHeight="1" x14ac:dyDescent="0.25">
      <c r="A9" s="251" t="str">
        <f t="array" ref="A9">INDEX('Sheet 2'!T$2:T$3173,SMALL(IF(A$3='Sheet 2'!$S$2:$S$3173,ROW('Sheet 2'!T$2:T$3173)-ROW('Sheet 2'!$T$2)+1),ROW(5:5)))</f>
        <v>HPQ</v>
      </c>
      <c r="B9" s="268">
        <f t="array" ref="B9">INDEX('Sheet 2'!V$5:V$3173,SMALL(IF(B$3='Sheet 2'!S$5:S$3173,ROW('Sheet 2'!V$5:V$3173)-ROW('Sheet 2'!V$5)+1),ROW(5:5)))</f>
        <v>23.280000999999999</v>
      </c>
      <c r="C9" s="269">
        <f t="array" ref="C9">INDEX('Sheet 2'!V$5:V$3173,SMALL(IF(C$3='Sheet 2'!S$5:S$3173,ROW('Sheet 2'!V$5:V$3173)-ROW('Sheet 2'!V$5)+1),ROW(5:5)))</f>
        <v>38982361674.5</v>
      </c>
      <c r="D9" s="269">
        <f t="array" ref="D9">INDEX('Sheet 2'!V$5:V$3173,SMALL(IF(D$3='Sheet 2'!S$5:S$3173,ROW('Sheet 2'!V$5:V$3173)-ROW('Sheet 2'!V$5)+1),ROW(5:5)))</f>
        <v>41376361674.5</v>
      </c>
      <c r="E9" s="269">
        <f t="array" ref="E9">INDEX('Sheet 2'!V$5:V$3173,SMALL(IF(E$3='Sheet 2'!S$5:S$3173,ROW('Sheet 2'!V$5:V$3173)-ROW('Sheet 2'!V$5)+1),ROW(5:5)))</f>
        <v>-2742000000</v>
      </c>
      <c r="F9" s="270">
        <f t="array" ref="F9">INDEX('Sheet 2'!V$5:V$3173,SMALL(IF(F$3='Sheet 2'!S$5:S$3173,ROW('Sheet 2'!V$5:V$3173)-ROW('Sheet 2'!V$5)+1),ROW(5:5)))</f>
        <v>53889000000</v>
      </c>
      <c r="G9" s="252"/>
      <c r="H9" s="252"/>
      <c r="I9" s="253">
        <f t="array" ref="I9">INDEX('Sheet 2'!V$5:V$3173,SMALL(IF(I$3='Sheet 2'!S$5:S$3173,ROW('Sheet 2'!V$5:V$3173)-ROW('Sheet 2'!V$5)+1),ROW(5:5)))</f>
        <v>10.077922510822511</v>
      </c>
      <c r="J9" s="254"/>
      <c r="K9" s="253">
        <f t="array" ref="K9">INDEX('Sheet 2'!V$5:V$3173,SMALL(IF(K$3='Sheet 2'!S$5:S$3173,ROW('Sheet 2'!V$5:V$3173)-ROW('Sheet 2'!V$5)+1),ROW(5:5)))</f>
        <v>0.72338253956280496</v>
      </c>
      <c r="L9" s="254"/>
      <c r="M9" s="253">
        <f t="array" ref="M9">INDEX('Sheet 2'!V$5:V$3173,SMALL(IF(M$3='Sheet 2'!S$5:S$3173,ROW('Sheet 2'!V$5:V$3173)-ROW('Sheet 2'!V$5)+1),ROW(5:5)))</f>
        <v>-14.008753336980305</v>
      </c>
      <c r="N9" s="254"/>
      <c r="O9" s="253">
        <f t="array" ref="O9">INDEX('Sheet 2'!V$5:V$3173,SMALL(IF(O$3='Sheet 2'!S$5:S$3173,ROW('Sheet 2'!V$5:V$3173)-ROW('Sheet 2'!V$5)+1),ROW(5:5)))</f>
        <v>13.053586898481973</v>
      </c>
      <c r="P9" s="254"/>
      <c r="Q9" s="253">
        <f t="array" ref="Q9">INDEX('Sheet 2'!V$5:V$3173,SMALL(IF(Q$3='Sheet 2'!S$5:S$3173,ROW('Sheet 2'!V$5:V$3173)-ROW('Sheet 2'!V$5)+1),ROW(5:5)))</f>
        <v>8.7293487365454929</v>
      </c>
      <c r="R9" s="255"/>
      <c r="S9" s="253">
        <f t="array" ref="S9">INDEX('Sheet 2'!V$5:V$3173,SMALL(IF(S$3='Sheet 2'!S$5:S$3173,ROW('Sheet 2'!V$5:V$3173)-ROW('Sheet 2'!V$5)+1),ROW(5:5)))</f>
        <v>36.910224508920606</v>
      </c>
      <c r="T9" s="255"/>
      <c r="U9" s="253">
        <f t="array" ref="U9">INDEX('Sheet 2'!V$5:V$3173,SMALL(IF(U$3='Sheet 2'!S$5:S$3173,ROW('Sheet 2'!V$5:V$3173)-ROW('Sheet 2'!V$5)+1),ROW(5:5)))</f>
        <v>3.6331436588103254</v>
      </c>
      <c r="V9" s="255"/>
      <c r="W9" s="256"/>
      <c r="X9" s="254">
        <f t="array" ref="X9">INDEX('Sheet 2'!AA$13:AA$3173,SMALL(IF(X$3='Sheet 2'!X$13:X$3173,ROW('Sheet 2'!AA$13:AA$3173)-ROW('Sheet 2'!AA$13)+1),ROW(5:5)))</f>
        <v>0.96361006653167491</v>
      </c>
      <c r="Y9" s="254">
        <f t="array" ref="Y9">INDEX('Sheet 2'!AA$13:AA$3173,SMALL(IF(Y$3='Sheet 2'!X$13:X$3173,ROW('Sheet 2'!AA$13:AA$3173)-ROW('Sheet 2'!AA$13)+1),ROW(5:5)))</f>
        <v>-8.9156743284408755</v>
      </c>
      <c r="Z9" s="257">
        <f t="array" ref="Z9">INDEX('Sheet 2'!AA$13:AA$3173,SMALL(IF(Z$3='Sheet 2'!X$13:X$3173,ROW('Sheet 2'!AA$13:AA$3173)-ROW('Sheet 2'!AA$13)+1),ROW(5:5)))</f>
        <v>-1.837510384934921</v>
      </c>
      <c r="AA9" s="258">
        <f t="array" ref="AA9">INDEX('Sheet 2'!V$5:V$3173,SMALL(IF(AA$3='Sheet 2'!S$5:S$3173,ROW('Sheet 2'!V$5:V$3173)-ROW('Sheet 2'!V$5)+1),ROW(5:5)))</f>
        <v>0.18393364137393531</v>
      </c>
      <c r="AB9" s="258">
        <f t="array" ref="AB9">INDEX('Sheet 2'!V$5:V$3173,SMALL(IF(AB$3='Sheet 2'!S$5:S$3173,ROW('Sheet 2'!V$5:V$3173)-ROW('Sheet 2'!V$5)+1),ROW(5:5)))</f>
        <v>7.1498821651914124E-2</v>
      </c>
      <c r="AC9" s="259">
        <f t="array" ref="AC9">INDEX('Sheet 2'!V$5:V$3173,SMALL(IF(AC$3='Sheet 2'!S$5:S$3173,ROW('Sheet 2'!V$5:V$3173)-ROW('Sheet 2'!V$5)+1),ROW(5:5)))</f>
        <v>6.7472025830874582E-2</v>
      </c>
      <c r="AD9" s="258">
        <f t="array" ref="AD9">INDEX('Sheet 2'!V$5:V$3173,SMALL(IF(AD$3='Sheet 2'!S$5:S$3173,ROW('Sheet 2'!V$5:V$3173)-ROW('Sheet 2'!V$5)+1),ROW(5:5)))</f>
        <v>-1.0670174466906674</v>
      </c>
      <c r="AE9" s="258">
        <f t="array" ref="AE9">INDEX('Sheet 2'!V$5:V$3173,SMALL(IF(AE$3='Sheet 2'!S$5:S$3173,ROW('Sheet 2'!V$5:V$3173)-ROW('Sheet 2'!V$5)+1),ROW(5:5)))</f>
        <v>0.11967882712885741</v>
      </c>
      <c r="AF9" s="257">
        <f t="array" ref="AF9">INDEX('Sheet 2'!V$5:V$3173,SMALL(IF(AF$3='Sheet 2'!S$5:S$3173,ROW('Sheet 2'!V$5:V$3173)-ROW('Sheet 2'!V$5)+1),ROW(5:5)))</f>
        <v>1.6738573358803521</v>
      </c>
      <c r="AG9" s="254"/>
      <c r="AH9" s="258" t="e">
        <f t="array" ref="AH9">INDEX('Sheet 2'!AA$5:AA$3173,SMALL(IF(AH$3='Sheet 2'!X$5:X$3173,ROW('Sheet 2'!AA$5:AA$3173)-ROW('Sheet 2'!AA$5)+1),ROW(5:5)))</f>
        <v>#DIV/0!</v>
      </c>
      <c r="AI9" s="258"/>
      <c r="AJ9" s="258" t="e">
        <f t="array" ref="AJ9">INDEX('Sheet 2'!V$5:V$3173,SMALL(IF(AJ$3='Sheet 2'!S$5:S$3173,ROW('Sheet 2'!V$5:V$3173)-ROW('Sheet 2'!V$5)+1),ROW(5:5)))</f>
        <v>#NUM!</v>
      </c>
      <c r="AK9" s="258"/>
      <c r="AL9" s="258" t="e">
        <f t="array" ref="AL9">INDEX('Sheet 2'!AA$5:AA$3173,SMALL(IF(AL$3='Sheet 2'!X$5:X$3173,ROW('Sheet 2'!AA$5:AA$3173)-ROW('Sheet 2'!AA$5)+1),ROW(5:5)))</f>
        <v>#DIV/0!</v>
      </c>
      <c r="AM9" s="258"/>
      <c r="AN9" s="258" t="e">
        <f t="array" ref="AN9">INDEX('Sheet 2'!AA$5:AA$3173,SMALL(IF(AN$3='Sheet 2'!X$5:X$3173,ROW('Sheet 2'!AA$5:AA$3173)-ROW('Sheet 2'!AA$5)+1),ROW(5:5)))</f>
        <v>#DIV/0!</v>
      </c>
      <c r="AO9" s="260"/>
      <c r="AP9" s="261"/>
    </row>
    <row r="10" spans="1:42" s="262" customFormat="1" ht="22.5" customHeight="1" x14ac:dyDescent="0.25">
      <c r="A10" s="251" t="str">
        <f t="array" ref="A10">INDEX('Sheet 2'!T$2:T$3173,SMALL(IF(A$3='Sheet 2'!$S$2:$S$3173,ROW('Sheet 2'!T$2:T$3173)-ROW('Sheet 2'!$T$2)+1),ROW(6:6)))</f>
        <v>NCR</v>
      </c>
      <c r="B10" s="268">
        <f t="array" ref="B10">INDEX('Sheet 2'!V$5:V$3173,SMALL(IF(B$3='Sheet 2'!S$5:S$3173,ROW('Sheet 2'!V$5:V$3173)-ROW('Sheet 2'!V$5)+1),ROW(6:6)))</f>
        <v>32.979999999999997</v>
      </c>
      <c r="C10" s="269">
        <f t="array" ref="C10">INDEX('Sheet 2'!V$5:V$3173,SMALL(IF(C$3='Sheet 2'!S$5:S$3173,ROW('Sheet 2'!V$5:V$3173)-ROW('Sheet 2'!V$5)+1),ROW(6:6)))</f>
        <v>4020261999.9999995</v>
      </c>
      <c r="D10" s="269">
        <f t="array" ref="D10">INDEX('Sheet 2'!V$5:V$3173,SMALL(IF(D$3='Sheet 2'!S$5:S$3173,ROW('Sheet 2'!V$5:V$3173)-ROW('Sheet 2'!V$5)+1),ROW(6:6)))</f>
        <v>6474262000</v>
      </c>
      <c r="E10" s="269">
        <f t="array" ref="E10">INDEX('Sheet 2'!V$5:V$3173,SMALL(IF(E$3='Sheet 2'!S$5:S$3173,ROW('Sheet 2'!V$5:V$3173)-ROW('Sheet 2'!V$5)+1),ROW(6:6)))</f>
        <v>719000000</v>
      </c>
      <c r="F10" s="270">
        <f t="array" ref="F10">INDEX('Sheet 2'!V$5:V$3173,SMALL(IF(F$3='Sheet 2'!S$5:S$3173,ROW('Sheet 2'!V$5:V$3173)-ROW('Sheet 2'!V$5)+1),ROW(6:6)))</f>
        <v>6516000000</v>
      </c>
      <c r="G10" s="252"/>
      <c r="H10" s="252"/>
      <c r="I10" s="253">
        <f t="array" ref="I10">INDEX('Sheet 2'!V$5:V$3173,SMALL(IF(I$3='Sheet 2'!S$5:S$3173,ROW('Sheet 2'!V$5:V$3173)-ROW('Sheet 2'!V$5)+1),ROW(6:6)))</f>
        <v>32.653465346534652</v>
      </c>
      <c r="J10" s="254"/>
      <c r="K10" s="253">
        <f t="array" ref="K10">INDEX('Sheet 2'!V$5:V$3173,SMALL(IF(K$3='Sheet 2'!S$5:S$3173,ROW('Sheet 2'!V$5:V$3173)-ROW('Sheet 2'!V$5)+1),ROW(6:6)))</f>
        <v>0.61698311847759357</v>
      </c>
      <c r="L10" s="254"/>
      <c r="M10" s="253">
        <f t="array" ref="M10">INDEX('Sheet 2'!V$5:V$3173,SMALL(IF(M$3='Sheet 2'!S$5:S$3173,ROW('Sheet 2'!V$5:V$3173)-ROW('Sheet 2'!V$5)+1),ROW(6:6)))</f>
        <v>5.5914631432545194</v>
      </c>
      <c r="N10" s="254"/>
      <c r="O10" s="253">
        <f t="array" ref="O10">INDEX('Sheet 2'!V$5:V$3173,SMALL(IF(O$3='Sheet 2'!S$5:S$3173,ROW('Sheet 2'!V$5:V$3173)-ROW('Sheet 2'!V$5)+1),ROW(6:6)))</f>
        <v>7.6334088607594923</v>
      </c>
      <c r="P10" s="254"/>
      <c r="Q10" s="253">
        <f t="array" ref="Q10">INDEX('Sheet 2'!V$5:V$3173,SMALL(IF(Q$3='Sheet 2'!S$5:S$3173,ROW('Sheet 2'!V$5:V$3173)-ROW('Sheet 2'!V$5)+1),ROW(6:6)))</f>
        <v>5.176303004291845</v>
      </c>
      <c r="R10" s="255"/>
      <c r="S10" s="253">
        <f t="array" ref="S10">INDEX('Sheet 2'!V$5:V$3173,SMALL(IF(S$3='Sheet 2'!S$5:S$3173,ROW('Sheet 2'!V$5:V$3173)-ROW('Sheet 2'!V$5)+1),ROW(6:6)))</f>
        <v>24.61696577946768</v>
      </c>
      <c r="T10" s="255"/>
      <c r="U10" s="253">
        <f t="array" ref="U10">INDEX('Sheet 2'!V$5:V$3173,SMALL(IF(U$3='Sheet 2'!S$5:S$3173,ROW('Sheet 2'!V$5:V$3173)-ROW('Sheet 2'!V$5)+1),ROW(6:6)))</f>
        <v>6.6043092694311829</v>
      </c>
      <c r="V10" s="255"/>
      <c r="W10" s="256"/>
      <c r="X10" s="254">
        <f t="array" ref="X10">INDEX('Sheet 2'!AA$13:AA$3173,SMALL(IF(X$3='Sheet 2'!X$13:X$3173,ROW('Sheet 2'!AA$13:AA$3173)-ROW('Sheet 2'!AA$13)+1),ROW(6:6)))</f>
        <v>1.3800414280492264</v>
      </c>
      <c r="Y10" s="254">
        <f t="array" ref="Y10">INDEX('Sheet 2'!AA$13:AA$3173,SMALL(IF(Y$3='Sheet 2'!X$13:X$3173,ROW('Sheet 2'!AA$13:AA$3173)-ROW('Sheet 2'!AA$13)+1),ROW(6:6)))</f>
        <v>11.64825253664036</v>
      </c>
      <c r="Z10" s="257">
        <f t="array" ref="Z10">INDEX('Sheet 2'!AA$13:AA$3173,SMALL(IF(Z$3='Sheet 2'!X$13:X$3173,ROW('Sheet 2'!AA$13:AA$3173)-ROW('Sheet 2'!AA$13)+1),ROW(6:6)))</f>
        <v>4.5148440435926345</v>
      </c>
      <c r="AA10" s="258">
        <f t="array" ref="AA10">INDEX('Sheet 2'!V$5:V$3173,SMALL(IF(AA$3='Sheet 2'!S$5:S$3173,ROW('Sheet 2'!V$5:V$3173)-ROW('Sheet 2'!V$5)+1),ROW(6:6)))</f>
        <v>0.28606507059545733</v>
      </c>
      <c r="AB10" s="258">
        <f t="array" ref="AB10">INDEX('Sheet 2'!V$5:V$3173,SMALL(IF(AB$3='Sheet 2'!S$5:S$3173,ROW('Sheet 2'!V$5:V$3173)-ROW('Sheet 2'!V$5)+1),ROW(6:6)))</f>
        <v>3.5604665438919582E-2</v>
      </c>
      <c r="AC10" s="259">
        <f t="array" ref="AC10">INDEX('Sheet 2'!V$5:V$3173,SMALL(IF(AC$3='Sheet 2'!S$5:S$3173,ROW('Sheet 2'!V$5:V$3173)-ROW('Sheet 2'!V$5)+1),ROW(6:6)))</f>
        <v>0.10374462860650706</v>
      </c>
      <c r="AD10" s="258">
        <f t="array" ref="AD10">INDEX('Sheet 2'!V$5:V$3173,SMALL(IF(AD$3='Sheet 2'!S$5:S$3173,ROW('Sheet 2'!V$5:V$3173)-ROW('Sheet 2'!V$5)+1),ROW(6:6)))</f>
        <v>0.34874107478391581</v>
      </c>
      <c r="AE10" s="258">
        <f t="array" ref="AE10">INDEX('Sheet 2'!V$5:V$3173,SMALL(IF(AE$3='Sheet 2'!S$5:S$3173,ROW('Sheet 2'!V$5:V$3173)-ROW('Sheet 2'!V$5)+1),ROW(6:6)))</f>
        <v>2.9939347012517745E-2</v>
      </c>
      <c r="AF10" s="257">
        <f t="array" ref="AF10">INDEX('Sheet 2'!V$5:V$3173,SMALL(IF(AF$3='Sheet 2'!S$5:S$3173,ROW('Sheet 2'!V$5:V$3173)-ROW('Sheet 2'!V$5)+1),ROW(6:6)))</f>
        <v>0.8408826945412311</v>
      </c>
      <c r="AG10" s="254"/>
      <c r="AH10" s="258">
        <f t="array" ref="AH10">INDEX('Sheet 2'!AA$5:AA$3173,SMALL(IF(AH$3='Sheet 2'!X$5:X$3173,ROW('Sheet 2'!AA$5:AA$3173)-ROW('Sheet 2'!AA$5)+1),ROW(6:6)))</f>
        <v>0</v>
      </c>
      <c r="AI10" s="258"/>
      <c r="AJ10" s="258" t="e">
        <f t="array" ref="AJ10">INDEX('Sheet 2'!V$5:V$3173,SMALL(IF(AJ$3='Sheet 2'!S$5:S$3173,ROW('Sheet 2'!V$5:V$3173)-ROW('Sheet 2'!V$5)+1),ROW(6:6)))</f>
        <v>#NUM!</v>
      </c>
      <c r="AK10" s="258"/>
      <c r="AL10" s="258">
        <f t="array" ref="AL10">INDEX('Sheet 2'!AA$5:AA$3173,SMALL(IF(AL$3='Sheet 2'!X$5:X$3173,ROW('Sheet 2'!AA$5:AA$3173)-ROW('Sheet 2'!AA$5)+1),ROW(6:6)))</f>
        <v>0</v>
      </c>
      <c r="AM10" s="258"/>
      <c r="AN10" s="258">
        <f t="array" ref="AN10">INDEX('Sheet 2'!AA$5:AA$3173,SMALL(IF(AN$3='Sheet 2'!X$5:X$3173,ROW('Sheet 2'!AA$5:AA$3173)-ROW('Sheet 2'!AA$5)+1),ROW(6:6)))</f>
        <v>0</v>
      </c>
      <c r="AO10" s="260"/>
      <c r="AP10" s="261"/>
    </row>
    <row r="11" spans="1:42" s="262" customFormat="1" ht="22.5" customHeight="1" x14ac:dyDescent="0.25">
      <c r="A11" s="251" t="str">
        <f t="array" ref="A11">INDEX('Sheet 2'!T$2:T$3173,SMALL(IF(A$3='Sheet 2'!$S$2:$S$3173,ROW('Sheet 2'!T$2:T$3173)-ROW('Sheet 2'!$T$2)+1),ROW(7:7)))</f>
        <v>OSS</v>
      </c>
      <c r="B11" s="268">
        <f t="array" ref="B11">INDEX('Sheet 2'!V$5:V$3173,SMALL(IF(B$3='Sheet 2'!S$5:S$3173,ROW('Sheet 2'!V$5:V$3173)-ROW('Sheet 2'!V$5)+1),ROW(7:7)))</f>
        <v>5.0650000000000004</v>
      </c>
      <c r="C11" s="269">
        <f t="array" ref="C11">INDEX('Sheet 2'!V$5:V$3173,SMALL(IF(C$3='Sheet 2'!S$5:S$3173,ROW('Sheet 2'!V$5:V$3173)-ROW('Sheet 2'!V$5)+1),ROW(7:7)))</f>
        <v>39606035.945</v>
      </c>
      <c r="D11" s="269">
        <f t="array" ref="D11">INDEX('Sheet 2'!V$5:V$3173,SMALL(IF(D$3='Sheet 2'!S$5:S$3173,ROW('Sheet 2'!V$5:V$3173)-ROW('Sheet 2'!V$5)+1),ROW(7:7)))</f>
        <v>42892597.945</v>
      </c>
      <c r="E11" s="269">
        <f t="array" ref="E11">INDEX('Sheet 2'!V$5:V$3173,SMALL(IF(E$3='Sheet 2'!S$5:S$3173,ROW('Sheet 2'!V$5:V$3173)-ROW('Sheet 2'!V$5)+1),ROW(7:7)))</f>
        <v>6241885</v>
      </c>
      <c r="F11" s="270">
        <f t="array" ref="F11">INDEX('Sheet 2'!V$5:V$3173,SMALL(IF(F$3='Sheet 2'!S$5:S$3173,ROW('Sheet 2'!V$5:V$3173)-ROW('Sheet 2'!V$5)+1),ROW(7:7)))</f>
        <v>26980014</v>
      </c>
      <c r="G11" s="252"/>
      <c r="H11" s="252"/>
      <c r="I11" s="253" t="str">
        <f t="array" ref="I11">INDEX('Sheet 2'!V$5:V$3173,SMALL(IF(I$3='Sheet 2'!S$5:S$3173,ROW('Sheet 2'!V$5:V$3173)-ROW('Sheet 2'!V$5)+1),ROW(7:7)))</f>
        <v/>
      </c>
      <c r="J11" s="254"/>
      <c r="K11" s="253">
        <f t="array" ref="K11">INDEX('Sheet 2'!V$5:V$3173,SMALL(IF(K$3='Sheet 2'!S$5:S$3173,ROW('Sheet 2'!V$5:V$3173)-ROW('Sheet 2'!V$5)+1),ROW(7:7)))</f>
        <v>1.4679768492707232</v>
      </c>
      <c r="L11" s="254"/>
      <c r="M11" s="253" t="e">
        <f t="array" ref="M11">INDEX('Sheet 2'!V$5:V$3173,SMALL(IF(M$3='Sheet 2'!S$5:S$3173,ROW('Sheet 2'!V$5:V$3173)-ROW('Sheet 2'!V$5)+1),ROW(7:7)))</f>
        <v>#DIV/0!</v>
      </c>
      <c r="N11" s="254"/>
      <c r="O11" s="253" t="str">
        <f t="array" ref="O11">INDEX('Sheet 2'!V$5:V$3173,SMALL(IF(O$3='Sheet 2'!S$5:S$3173,ROW('Sheet 2'!V$5:V$3173)-ROW('Sheet 2'!V$5)+1),ROW(7:7)))</f>
        <v/>
      </c>
      <c r="P11" s="254"/>
      <c r="Q11" s="253">
        <f t="array" ref="Q11">INDEX('Sheet 2'!V$5:V$3173,SMALL(IF(Q$3='Sheet 2'!S$5:S$3173,ROW('Sheet 2'!V$5:V$3173)-ROW('Sheet 2'!V$5)+1),ROW(7:7)))</f>
        <v>459.76546184296063</v>
      </c>
      <c r="R11" s="255"/>
      <c r="S11" s="253">
        <f t="array" ref="S11">INDEX('Sheet 2'!V$5:V$3173,SMALL(IF(S$3='Sheet 2'!S$5:S$3173,ROW('Sheet 2'!V$5:V$3173)-ROW('Sheet 2'!V$5)+1),ROW(7:7)))</f>
        <v>-447.01208855284824</v>
      </c>
      <c r="T11" s="255"/>
      <c r="U11" s="253">
        <f t="array" ref="U11">INDEX('Sheet 2'!V$5:V$3173,SMALL(IF(U$3='Sheet 2'!S$5:S$3173,ROW('Sheet 2'!V$5:V$3173)-ROW('Sheet 2'!V$5)+1),ROW(7:7)))</f>
        <v>3.325157811346573</v>
      </c>
      <c r="V11" s="255"/>
      <c r="W11" s="256"/>
      <c r="X11" s="254">
        <f t="array" ref="X11">INDEX('Sheet 2'!AA$13:AA$3173,SMALL(IF(X$3='Sheet 2'!X$13:X$3173,ROW('Sheet 2'!AA$13:AA$3173)-ROW('Sheet 2'!AA$13)+1),ROW(7:7)))</f>
        <v>1.1417412037283861</v>
      </c>
      <c r="Y11" s="254">
        <f t="array" ref="Y11">INDEX('Sheet 2'!AA$13:AA$3173,SMALL(IF(Y$3='Sheet 2'!X$13:X$3173,ROW('Sheet 2'!AA$13:AA$3173)-ROW('Sheet 2'!AA$13)+1),ROW(7:7)))</f>
        <v>1.2286032150534336</v>
      </c>
      <c r="Z11" s="257">
        <f t="array" ref="Z11">INDEX('Sheet 2'!AA$13:AA$3173,SMALL(IF(Z$3='Sheet 2'!X$13:X$3173,ROW('Sheet 2'!AA$13:AA$3173)-ROW('Sheet 2'!AA$13)+1),ROW(7:7)))</f>
        <v>0.13852940859497473</v>
      </c>
      <c r="AA11" s="258">
        <f t="array" ref="AA11">INDEX('Sheet 2'!V$5:V$3173,SMALL(IF(AA$3='Sheet 2'!S$5:S$3173,ROW('Sheet 2'!V$5:V$3173)-ROW('Sheet 2'!V$5)+1),ROW(7:7)))</f>
        <v>0.31959568293774793</v>
      </c>
      <c r="AB11" s="258">
        <f t="array" ref="AB11">INDEX('Sheet 2'!V$5:V$3173,SMALL(IF(AB$3='Sheet 2'!S$5:S$3173,ROW('Sheet 2'!V$5:V$3173)-ROW('Sheet 2'!V$5)+1),ROW(7:7)))</f>
        <v>1.9291687543231074E-3</v>
      </c>
      <c r="AC11" s="259">
        <f t="array" ref="AC11">INDEX('Sheet 2'!V$5:V$3173,SMALL(IF(AC$3='Sheet 2'!S$5:S$3173,ROW('Sheet 2'!V$5:V$3173)-ROW('Sheet 2'!V$5)+1),ROW(7:7)))</f>
        <v>3.3198648451405549E-4</v>
      </c>
      <c r="AD11" s="258">
        <f t="array" ref="AD11">INDEX('Sheet 2'!V$5:V$3173,SMALL(IF(AD$3='Sheet 2'!S$5:S$3173,ROW('Sheet 2'!V$5:V$3173)-ROW('Sheet 2'!V$5)+1),ROW(7:7)))</f>
        <v>8.6297930053396317E-3</v>
      </c>
      <c r="AE11" s="258">
        <f t="array" ref="AE11">INDEX('Sheet 2'!V$5:V$3173,SMALL(IF(AE$3='Sheet 2'!S$5:S$3173,ROW('Sheet 2'!V$5:V$3173)-ROW('Sheet 2'!V$5)+1),ROW(7:7)))</f>
        <v>7.0240683888852674E-3</v>
      </c>
      <c r="AF11" s="257">
        <f t="array" ref="AF11">INDEX('Sheet 2'!V$5:V$3173,SMALL(IF(AF$3='Sheet 2'!S$5:S$3173,ROW('Sheet 2'!V$5:V$3173)-ROW('Sheet 2'!V$5)+1),ROW(7:7)))</f>
        <v>3.6409818338312352</v>
      </c>
      <c r="AG11" s="254"/>
      <c r="AH11" s="258">
        <f t="array" ref="AH11">INDEX('Sheet 2'!AA$5:AA$3173,SMALL(IF(AH$3='Sheet 2'!X$5:X$3173,ROW('Sheet 2'!AA$5:AA$3173)-ROW('Sheet 2'!AA$5)+1),ROW(7:7)))</f>
        <v>-0.13899250720520492</v>
      </c>
      <c r="AI11" s="258"/>
      <c r="AJ11" s="258" t="e">
        <f t="array" ref="AJ11">INDEX('Sheet 2'!V$5:V$3173,SMALL(IF(AJ$3='Sheet 2'!S$5:S$3173,ROW('Sheet 2'!V$5:V$3173)-ROW('Sheet 2'!V$5)+1),ROW(7:7)))</f>
        <v>#NUM!</v>
      </c>
      <c r="AK11" s="258"/>
      <c r="AL11" s="258">
        <f t="array" ref="AL11">INDEX('Sheet 2'!AA$5:AA$3173,SMALL(IF(AL$3='Sheet 2'!X$5:X$3173,ROW('Sheet 2'!AA$5:AA$3173)-ROW('Sheet 2'!AA$5)+1),ROW(7:7)))</f>
        <v>-7.74751832909015E-2</v>
      </c>
      <c r="AM11" s="258"/>
      <c r="AN11" s="258">
        <f t="array" ref="AN11">INDEX('Sheet 2'!AA$5:AA$3173,SMALL(IF(AN$3='Sheet 2'!X$5:X$3173,ROW('Sheet 2'!AA$5:AA$3173)-ROW('Sheet 2'!AA$5)+1),ROW(7:7)))</f>
        <v>8.5515098487907684E-2</v>
      </c>
      <c r="AO11" s="260"/>
      <c r="AP11" s="261"/>
    </row>
    <row r="12" spans="1:42" s="262" customFormat="1" ht="22.5" customHeight="1" x14ac:dyDescent="0.25">
      <c r="A12" s="251" t="str">
        <f t="array" ref="A12">INDEX('Sheet 2'!T$2:T$3173,SMALL(IF(A$3='Sheet 2'!$S$2:$S$3173,ROW('Sheet 2'!T$2:T$3173)-ROW('Sheet 2'!$T$2)+1),ROW(8:8)))</f>
        <v>PAR</v>
      </c>
      <c r="B12" s="268">
        <f t="array" ref="B12">INDEX('Sheet 2'!V$5:V$3173,SMALL(IF(B$3='Sheet 2'!S$5:S$3173,ROW('Sheet 2'!V$5:V$3173)-ROW('Sheet 2'!V$5)+1),ROW(8:8)))</f>
        <v>11.91</v>
      </c>
      <c r="C12" s="269">
        <f t="array" ref="C12">INDEX('Sheet 2'!V$5:V$3173,SMALL(IF(C$3='Sheet 2'!S$5:S$3173,ROW('Sheet 2'!V$5:V$3173)-ROW('Sheet 2'!V$5)+1),ROW(8:8)))</f>
        <v>189952590</v>
      </c>
      <c r="D12" s="269">
        <f t="array" ref="D12">INDEX('Sheet 2'!V$5:V$3173,SMALL(IF(D$3='Sheet 2'!S$5:S$3173,ROW('Sheet 2'!V$5:V$3173)-ROW('Sheet 2'!V$5)+1),ROW(8:8)))</f>
        <v>184682590</v>
      </c>
      <c r="E12" s="269">
        <f t="array" ref="E12">INDEX('Sheet 2'!V$5:V$3173,SMALL(IF(E$3='Sheet 2'!S$5:S$3173,ROW('Sheet 2'!V$5:V$3173)-ROW('Sheet 2'!V$5)+1),ROW(8:8)))</f>
        <v>68986000</v>
      </c>
      <c r="F12" s="270">
        <f t="array" ref="F12">INDEX('Sheet 2'!V$5:V$3173,SMALL(IF(F$3='Sheet 2'!S$5:S$3173,ROW('Sheet 2'!V$5:V$3173)-ROW('Sheet 2'!V$5)+1),ROW(8:8)))</f>
        <v>232605000</v>
      </c>
      <c r="G12" s="252"/>
      <c r="H12" s="252"/>
      <c r="I12" s="253" t="str">
        <f t="array" ref="I12">INDEX('Sheet 2'!V$5:V$3173,SMALL(IF(I$3='Sheet 2'!S$5:S$3173,ROW('Sheet 2'!V$5:V$3173)-ROW('Sheet 2'!V$5)+1),ROW(8:8)))</f>
        <v/>
      </c>
      <c r="J12" s="254"/>
      <c r="K12" s="253">
        <f t="array" ref="K12">INDEX('Sheet 2'!V$5:V$3173,SMALL(IF(K$3='Sheet 2'!S$5:S$3173,ROW('Sheet 2'!V$5:V$3173)-ROW('Sheet 2'!V$5)+1),ROW(8:8)))</f>
        <v>0.81663158573547434</v>
      </c>
      <c r="L12" s="254"/>
      <c r="M12" s="253">
        <f t="array" ref="M12">INDEX('Sheet 2'!V$5:V$3173,SMALL(IF(M$3='Sheet 2'!S$5:S$3173,ROW('Sheet 2'!V$5:V$3173)-ROW('Sheet 2'!V$5)+1),ROW(8:8)))</f>
        <v>2.7534947670541849</v>
      </c>
      <c r="N12" s="254"/>
      <c r="O12" s="253" t="str">
        <f t="array" ref="O12">INDEX('Sheet 2'!V$5:V$3173,SMALL(IF(O$3='Sheet 2'!S$5:S$3173,ROW('Sheet 2'!V$5:V$3173)-ROW('Sheet 2'!V$5)+1),ROW(8:8)))</f>
        <v/>
      </c>
      <c r="P12" s="254"/>
      <c r="Q12" s="253">
        <f t="array" ref="Q12">INDEX('Sheet 2'!V$5:V$3173,SMALL(IF(Q$3='Sheet 2'!S$5:S$3173,ROW('Sheet 2'!V$5:V$3173)-ROW('Sheet 2'!V$5)+1),ROW(8:8)))</f>
        <v>47.871116431451611</v>
      </c>
      <c r="R12" s="255"/>
      <c r="S12" s="253">
        <f t="array" ref="S12">INDEX('Sheet 2'!V$5:V$3173,SMALL(IF(S$3='Sheet 2'!S$5:S$3173,ROW('Sheet 2'!V$5:V$3173)-ROW('Sheet 2'!V$5)+1),ROW(8:8)))</f>
        <v>-142.94318111455109</v>
      </c>
      <c r="T12" s="255"/>
      <c r="U12" s="253">
        <f t="array" ref="U12">INDEX('Sheet 2'!V$5:V$3173,SMALL(IF(U$3='Sheet 2'!S$5:S$3173,ROW('Sheet 2'!V$5:V$3173)-ROW('Sheet 2'!V$5)+1),ROW(8:8)))</f>
        <v>7.9715844635782762</v>
      </c>
      <c r="V12" s="255"/>
      <c r="W12" s="256"/>
      <c r="X12" s="254">
        <f t="array" ref="X12">INDEX('Sheet 2'!AA$13:AA$3173,SMALL(IF(X$3='Sheet 2'!X$13:X$3173,ROW('Sheet 2'!AA$13:AA$3173)-ROW('Sheet 2'!AA$13)+1),ROW(8:8)))</f>
        <v>1.673568619567539</v>
      </c>
      <c r="Y12" s="254">
        <f t="array" ref="Y12">INDEX('Sheet 2'!AA$13:AA$3173,SMALL(IF(Y$3='Sheet 2'!X$13:X$3173,ROW('Sheet 2'!AA$13:AA$3173)-ROW('Sheet 2'!AA$13)+1),ROW(8:8)))</f>
        <v>1.6614840350852806</v>
      </c>
      <c r="Z12" s="257">
        <f t="array" ref="Z12">INDEX('Sheet 2'!AA$13:AA$3173,SMALL(IF(Z$3='Sheet 2'!X$13:X$3173,ROW('Sheet 2'!AA$13:AA$3173)-ROW('Sheet 2'!AA$13)+1),ROW(8:8)))</f>
        <v>3.5863717872086074E-3</v>
      </c>
      <c r="AA12" s="258">
        <f t="array" ref="AA12">INDEX('Sheet 2'!V$5:V$3173,SMALL(IF(AA$3='Sheet 2'!S$5:S$3173,ROW('Sheet 2'!V$5:V$3173)-ROW('Sheet 2'!V$5)+1),ROW(8:8)))</f>
        <v>0.22712323466821435</v>
      </c>
      <c r="AB12" s="258">
        <f t="array" ref="AB12">INDEX('Sheet 2'!V$5:V$3173,SMALL(IF(AB$3='Sheet 2'!S$5:S$3173,ROW('Sheet 2'!V$5:V$3173)-ROW('Sheet 2'!V$5)+1),ROW(8:8)))</f>
        <v>-1.4556866791341544E-2</v>
      </c>
      <c r="AC12" s="259">
        <f t="array" ref="AC12">INDEX('Sheet 2'!V$5:V$3173,SMALL(IF(AC$3='Sheet 2'!S$5:S$3173,ROW('Sheet 2'!V$5:V$3173)-ROW('Sheet 2'!V$5)+1),ROW(8:8)))</f>
        <v>-5.2019518067109483E-4</v>
      </c>
      <c r="AD12" s="258">
        <f t="array" ref="AD12">INDEX('Sheet 2'!V$5:V$3173,SMALL(IF(AD$3='Sheet 2'!S$5:S$3173,ROW('Sheet 2'!V$5:V$3173)-ROW('Sheet 2'!V$5)+1),ROW(8:8)))</f>
        <v>-4.7067654540652495E-2</v>
      </c>
      <c r="AE12" s="258">
        <f t="array" ref="AE12">INDEX('Sheet 2'!V$5:V$3173,SMALL(IF(AE$3='Sheet 2'!S$5:S$3173,ROW('Sheet 2'!V$5:V$3173)-ROW('Sheet 2'!V$5)+1),ROW(8:8)))</f>
        <v>-2.8328683000698594E-2</v>
      </c>
      <c r="AF12" s="257">
        <f t="array" ref="AF12">INDEX('Sheet 2'!V$5:V$3173,SMALL(IF(AF$3='Sheet 2'!S$5:S$3173,ROW('Sheet 2'!V$5:V$3173)-ROW('Sheet 2'!V$5)+1),ROW(8:8)))</f>
        <v>1.9460700854629347</v>
      </c>
      <c r="AG12" s="254"/>
      <c r="AH12" s="258">
        <f t="array" ref="AH12">INDEX('Sheet 2'!AA$5:AA$3173,SMALL(IF(AH$3='Sheet 2'!X$5:X$3173,ROW('Sheet 2'!AA$5:AA$3173)-ROW('Sheet 2'!AA$5)+1),ROW(8:8)))</f>
        <v>29643000000</v>
      </c>
      <c r="AI12" s="258"/>
      <c r="AJ12" s="258" t="e">
        <f t="array" ref="AJ12">INDEX('Sheet 2'!V$5:V$3173,SMALL(IF(AJ$3='Sheet 2'!S$5:S$3173,ROW('Sheet 2'!V$5:V$3173)-ROW('Sheet 2'!V$5)+1),ROW(8:8)))</f>
        <v>#NUM!</v>
      </c>
      <c r="AK12" s="258"/>
      <c r="AL12" s="258">
        <f t="array" ref="AL12">INDEX('Sheet 2'!AA$5:AA$3173,SMALL(IF(AL$3='Sheet 2'!X$5:X$3173,ROW('Sheet 2'!AA$5:AA$3173)-ROW('Sheet 2'!AA$5)+1),ROW(8:8)))</f>
        <v>1513000000</v>
      </c>
      <c r="AM12" s="258"/>
      <c r="AN12" s="258">
        <f t="array" ref="AN12">INDEX('Sheet 2'!AA$5:AA$3173,SMALL(IF(AN$3='Sheet 2'!X$5:X$3173,ROW('Sheet 2'!AA$5:AA$3173)-ROW('Sheet 2'!AA$5)+1),ROW(8:8)))</f>
        <v>0.95</v>
      </c>
      <c r="AO12" s="260"/>
      <c r="AP12" s="261"/>
    </row>
    <row r="13" spans="1:42" s="262" customFormat="1" ht="22.5" customHeight="1" x14ac:dyDescent="0.25">
      <c r="A13" s="251" t="str">
        <f t="array" ref="A13">INDEX('Sheet 2'!T$2:T$3173,SMALL(IF(A$3='Sheet 2'!$S$2:$S$3173,ROW('Sheet 2'!T$2:T$3173)-ROW('Sheet 2'!$T$2)+1),ROW(9:9)))</f>
        <v>TDC</v>
      </c>
      <c r="B13" s="268">
        <f t="array" ref="B13">INDEX('Sheet 2'!V$5:V$3173,SMALL(IF(B$3='Sheet 2'!S$5:S$3173,ROW('Sheet 2'!V$5:V$3173)-ROW('Sheet 2'!V$5)+1),ROW(9:9)))</f>
        <v>42.139999000000003</v>
      </c>
      <c r="C13" s="269">
        <f t="array" ref="C13">INDEX('Sheet 2'!V$5:V$3173,SMALL(IF(C$3='Sheet 2'!S$5:S$3173,ROW('Sheet 2'!V$5:V$3173)-ROW('Sheet 2'!V$5)+1),ROW(9:9)))</f>
        <v>5301211874.2000008</v>
      </c>
      <c r="D13" s="269">
        <f t="array" ref="D13">INDEX('Sheet 2'!V$5:V$3173,SMALL(IF(D$3='Sheet 2'!S$5:S$3173,ROW('Sheet 2'!V$5:V$3173)-ROW('Sheet 2'!V$5)+1),ROW(9:9)))</f>
        <v>4990211874.2000008</v>
      </c>
      <c r="E13" s="269">
        <f t="array" ref="E13">INDEX('Sheet 2'!V$5:V$3173,SMALL(IF(E$3='Sheet 2'!S$5:S$3173,ROW('Sheet 2'!V$5:V$3173)-ROW('Sheet 2'!V$5)+1),ROW(9:9)))</f>
        <v>668000000</v>
      </c>
      <c r="F13" s="270">
        <f t="array" ref="F13">INDEX('Sheet 2'!V$5:V$3173,SMALL(IF(F$3='Sheet 2'!S$5:S$3173,ROW('Sheet 2'!V$5:V$3173)-ROW('Sheet 2'!V$5)+1),ROW(9:9)))</f>
        <v>2156000000</v>
      </c>
      <c r="G13" s="252"/>
      <c r="H13" s="252"/>
      <c r="I13" s="253" t="str">
        <f t="array" ref="I13">INDEX('Sheet 2'!V$5:V$3173,SMALL(IF(I$3='Sheet 2'!S$5:S$3173,ROW('Sheet 2'!V$5:V$3173)-ROW('Sheet 2'!V$5)+1),ROW(9:9)))</f>
        <v/>
      </c>
      <c r="J13" s="254"/>
      <c r="K13" s="253">
        <f t="array" ref="K13">INDEX('Sheet 2'!V$5:V$3173,SMALL(IF(K$3='Sheet 2'!S$5:S$3173,ROW('Sheet 2'!V$5:V$3173)-ROW('Sheet 2'!V$5)+1),ROW(9:9)))</f>
        <v>2.458818123469388</v>
      </c>
      <c r="L13" s="254"/>
      <c r="M13" s="253">
        <f t="array" ref="M13">INDEX('Sheet 2'!V$5:V$3173,SMALL(IF(M$3='Sheet 2'!S$5:S$3173,ROW('Sheet 2'!V$5:V$3173)-ROW('Sheet 2'!V$5)+1),ROW(9:9)))</f>
        <v>7.6520686806886227</v>
      </c>
      <c r="N13" s="254"/>
      <c r="O13" s="253">
        <f t="array" ref="O13">INDEX('Sheet 2'!V$5:V$3173,SMALL(IF(O$3='Sheet 2'!S$5:S$3173,ROW('Sheet 2'!V$5:V$3173)-ROW('Sheet 2'!V$5)+1),ROW(9:9)))</f>
        <v>18.798623667375889</v>
      </c>
      <c r="P13" s="254"/>
      <c r="Q13" s="253">
        <f t="array" ref="Q13">INDEX('Sheet 2'!V$5:V$3173,SMALL(IF(Q$3='Sheet 2'!S$5:S$3173,ROW('Sheet 2'!V$5:V$3173)-ROW('Sheet 2'!V$5)+1),ROW(9:9)))</f>
        <v>13.58124305943638</v>
      </c>
      <c r="R13" s="255"/>
      <c r="S13" s="253">
        <f t="array" ref="S13">INDEX('Sheet 2'!V$5:V$3173,SMALL(IF(S$3='Sheet 2'!S$5:S$3173,ROW('Sheet 2'!V$5:V$3173)-ROW('Sheet 2'!V$5)+1),ROW(9:9)))</f>
        <v>51.981373689583343</v>
      </c>
      <c r="T13" s="255"/>
      <c r="U13" s="253">
        <f t="array" ref="U13">INDEX('Sheet 2'!V$5:V$3173,SMALL(IF(U$3='Sheet 2'!S$5:S$3173,ROW('Sheet 2'!V$5:V$3173)-ROW('Sheet 2'!V$5)+1),ROW(9:9)))</f>
        <v>2.2821900389888063</v>
      </c>
      <c r="V13" s="255"/>
      <c r="W13" s="256"/>
      <c r="X13" s="254">
        <f t="array" ref="X13">INDEX('Sheet 2'!AA$13:AA$3173,SMALL(IF(X$3='Sheet 2'!X$13:X$3173,ROW('Sheet 2'!AA$13:AA$3173)-ROW('Sheet 2'!AA$13)+1),ROW(9:9)))</f>
        <v>1.7953667953667953</v>
      </c>
      <c r="Y13" s="254">
        <f t="array" ref="Y13">INDEX('Sheet 2'!AA$13:AA$3173,SMALL(IF(Y$3='Sheet 2'!X$13:X$3173,ROW('Sheet 2'!AA$13:AA$3173)-ROW('Sheet 2'!AA$13)+1),ROW(9:9)))</f>
        <v>3.0140056022408963</v>
      </c>
      <c r="Z13" s="257">
        <f t="array" ref="Z13">INDEX('Sheet 2'!AA$13:AA$3173,SMALL(IF(Z$3='Sheet 2'!X$13:X$3173,ROW('Sheet 2'!AA$13:AA$3173)-ROW('Sheet 2'!AA$13)+1),ROW(9:9)))</f>
        <v>0.62309368191721137</v>
      </c>
      <c r="AA13" s="258">
        <f t="array" ref="AA13">INDEX('Sheet 2'!V$5:V$3173,SMALL(IF(AA$3='Sheet 2'!S$5:S$3173,ROW('Sheet 2'!V$5:V$3173)-ROW('Sheet 2'!V$5)+1),ROW(9:9)))</f>
        <v>0.47402597402597402</v>
      </c>
      <c r="AB13" s="258">
        <f t="array" ref="AB13">INDEX('Sheet 2'!V$5:V$3173,SMALL(IF(AB$3='Sheet 2'!S$5:S$3173,ROW('Sheet 2'!V$5:V$3173)-ROW('Sheet 2'!V$5)+1),ROW(9:9)))</f>
        <v>-3.1076066790352505E-2</v>
      </c>
      <c r="AC13" s="259">
        <f t="array" ref="AC13">INDEX('Sheet 2'!V$5:V$3173,SMALL(IF(AC$3='Sheet 2'!S$5:S$3173,ROW('Sheet 2'!V$5:V$3173)-ROW('Sheet 2'!V$5)+1),ROW(9:9)))</f>
        <v>2.9684601113172542E-2</v>
      </c>
      <c r="AD13" s="258">
        <f t="array" ref="AD13">INDEX('Sheet 2'!V$5:V$3173,SMALL(IF(AD$3='Sheet 2'!S$5:S$3173,ROW('Sheet 2'!V$5:V$3173)-ROW('Sheet 2'!V$5)+1),ROW(9:9)))</f>
        <v>-8.3411142234671651E-2</v>
      </c>
      <c r="AE13" s="258">
        <f t="array" ref="AE13">INDEX('Sheet 2'!V$5:V$3173,SMALL(IF(AE$3='Sheet 2'!S$5:S$3173,ROW('Sheet 2'!V$5:V$3173)-ROW('Sheet 2'!V$5)+1),ROW(9:9)))</f>
        <v>-2.7674514663362248E-2</v>
      </c>
      <c r="AF13" s="257">
        <f t="array" ref="AF13">INDEX('Sheet 2'!V$5:V$3173,SMALL(IF(AF$3='Sheet 2'!S$5:S$3173,ROW('Sheet 2'!V$5:V$3173)-ROW('Sheet 2'!V$5)+1),ROW(9:9)))</f>
        <v>0.89054109871953735</v>
      </c>
      <c r="AG13" s="254"/>
      <c r="AH13" s="258">
        <f t="array" ref="AH13">INDEX('Sheet 2'!AA$5:AA$3173,SMALL(IF(AH$3='Sheet 2'!X$5:X$3173,ROW('Sheet 2'!AA$5:AA$3173)-ROW('Sheet 2'!AA$5)+1),ROW(9:9)))</f>
        <v>-0.13357793879482019</v>
      </c>
      <c r="AI13" s="258"/>
      <c r="AJ13" s="258" t="e">
        <f t="array" ref="AJ13">INDEX('Sheet 2'!V$5:V$3173,SMALL(IF(AJ$3='Sheet 2'!S$5:S$3173,ROW('Sheet 2'!V$5:V$3173)-ROW('Sheet 2'!V$5)+1),ROW(9:9)))</f>
        <v>#NUM!</v>
      </c>
      <c r="AK13" s="258"/>
      <c r="AL13" s="258">
        <f t="array" ref="AL13">INDEX('Sheet 2'!AA$5:AA$3173,SMALL(IF(AL$3='Sheet 2'!X$5:X$3173,ROW('Sheet 2'!AA$5:AA$3173)-ROW('Sheet 2'!AA$5)+1),ROW(9:9)))</f>
        <v>-0.13775277651507745</v>
      </c>
      <c r="AM13" s="258"/>
      <c r="AN13" s="258">
        <f t="array" ref="AN13">INDEX('Sheet 2'!AA$5:AA$3173,SMALL(IF(AN$3='Sheet 2'!X$5:X$3173,ROW('Sheet 2'!AA$5:AA$3173)-ROW('Sheet 2'!AA$5)+1),ROW(9:9)))</f>
        <v>-0.10836084347957906</v>
      </c>
      <c r="AO13" s="260"/>
      <c r="AP13" s="261"/>
    </row>
    <row r="14" spans="1:42" s="262" customFormat="1" ht="22.5" customHeight="1" x14ac:dyDescent="0.25">
      <c r="A14" s="251" t="str">
        <f t="array" ref="A14">INDEX('Sheet 2'!T$2:T$3173,SMALL(IF(A$3='Sheet 2'!$S$2:$S$3173,ROW('Sheet 2'!T$2:T$3173)-ROW('Sheet 2'!$T$2)+1),ROW(10:10)))</f>
        <v>XPLR</v>
      </c>
      <c r="B14" s="268">
        <f t="array" ref="B14">INDEX('Sheet 2'!V$5:V$3173,SMALL(IF(B$3='Sheet 2'!S$5:S$3173,ROW('Sheet 2'!V$5:V$3173)-ROW('Sheet 2'!V$5)+1),ROW(10:10)))</f>
        <v>3.65</v>
      </c>
      <c r="C14" s="269">
        <f t="array" ref="C14">INDEX('Sheet 2'!V$5:V$3173,SMALL(IF(C$3='Sheet 2'!S$5:S$3173,ROW('Sheet 2'!V$5:V$3173)-ROW('Sheet 2'!V$5)+1),ROW(10:10)))</f>
        <v>40137079</v>
      </c>
      <c r="D14" s="269">
        <f t="array" ref="D14">INDEX('Sheet 2'!V$5:V$3173,SMALL(IF(D$3='Sheet 2'!S$5:S$3173,ROW('Sheet 2'!V$5:V$3173)-ROW('Sheet 2'!V$5)+1),ROW(10:10)))</f>
        <v>54437079</v>
      </c>
      <c r="E14" s="269">
        <f t="array" ref="E14">INDEX('Sheet 2'!V$5:V$3173,SMALL(IF(E$3='Sheet 2'!S$5:S$3173,ROW('Sheet 2'!V$5:V$3173)-ROW('Sheet 2'!V$5)+1),ROW(10:10)))</f>
        <v>30655000</v>
      </c>
      <c r="F14" s="270">
        <f t="array" ref="F14">INDEX('Sheet 2'!V$5:V$3173,SMALL(IF(F$3='Sheet 2'!S$5:S$3173,ROW('Sheet 2'!V$5:V$3173)-ROW('Sheet 2'!V$5)+1),ROW(10:10)))</f>
        <v>83548000</v>
      </c>
      <c r="G14" s="252"/>
      <c r="H14" s="252"/>
      <c r="I14" s="253">
        <f t="array" ref="I14">INDEX('Sheet 2'!V$5:V$3173,SMALL(IF(I$3='Sheet 2'!S$5:S$3173,ROW('Sheet 2'!V$5:V$3173)-ROW('Sheet 2'!V$5)+1),ROW(10:10)))</f>
        <v>73</v>
      </c>
      <c r="J14" s="254"/>
      <c r="K14" s="253">
        <f t="array" ref="K14">INDEX('Sheet 2'!V$5:V$3173,SMALL(IF(K$3='Sheet 2'!S$5:S$3173,ROW('Sheet 2'!V$5:V$3173)-ROW('Sheet 2'!V$5)+1),ROW(10:10)))</f>
        <v>0.48040741848996982</v>
      </c>
      <c r="L14" s="254"/>
      <c r="M14" s="253">
        <f t="array" ref="M14">INDEX('Sheet 2'!V$5:V$3173,SMALL(IF(M$3='Sheet 2'!S$5:S$3173,ROW('Sheet 2'!V$5:V$3173)-ROW('Sheet 2'!V$5)+1),ROW(10:10)))</f>
        <v>1.3122264964932311</v>
      </c>
      <c r="N14" s="254"/>
      <c r="O14" s="253" t="str">
        <f t="array" ref="O14">INDEX('Sheet 2'!V$5:V$3173,SMALL(IF(O$3='Sheet 2'!S$5:S$3173,ROW('Sheet 2'!V$5:V$3173)-ROW('Sheet 2'!V$5)+1),ROW(10:10)))</f>
        <v/>
      </c>
      <c r="P14" s="254"/>
      <c r="Q14" s="253" t="str">
        <f t="array" ref="Q14">INDEX('Sheet 2'!V$5:V$3173,SMALL(IF(Q$3='Sheet 2'!S$5:S$3173,ROW('Sheet 2'!V$5:V$3173)-ROW('Sheet 2'!V$5)+1),ROW(10:10)))</f>
        <v/>
      </c>
      <c r="R14" s="255"/>
      <c r="S14" s="253">
        <f t="array" ref="S14">INDEX('Sheet 2'!V$5:V$3173,SMALL(IF(S$3='Sheet 2'!S$5:S$3173,ROW('Sheet 2'!V$5:V$3173)-ROW('Sheet 2'!V$5)+1),ROW(10:10)))</f>
        <v>60.418511653718092</v>
      </c>
      <c r="T14" s="255"/>
      <c r="U14" s="253" t="e">
        <f t="array" ref="U14">INDEX('Sheet 2'!V$5:V$3173,SMALL(IF(U$3='Sheet 2'!S$5:S$3173,ROW('Sheet 2'!V$5:V$3173)-ROW('Sheet 2'!V$5)+1),ROW(10:10)))</f>
        <v>#NUM!</v>
      </c>
      <c r="V14" s="255"/>
      <c r="W14" s="256"/>
      <c r="X14" s="254">
        <f t="array" ref="X14">INDEX('Sheet 2'!AA$13:AA$3173,SMALL(IF(X$3='Sheet 2'!X$13:X$3173,ROW('Sheet 2'!AA$13:AA$3173)-ROW('Sheet 2'!AA$13)+1),ROW(10:10)))</f>
        <v>1.6510461679630399</v>
      </c>
      <c r="Y14" s="254">
        <f t="array" ref="Y14">INDEX('Sheet 2'!AA$13:AA$3173,SMALL(IF(Y$3='Sheet 2'!X$13:X$3173,ROW('Sheet 2'!AA$13:AA$3173)-ROW('Sheet 2'!AA$13)+1),ROW(10:10)))</f>
        <v>1.903728807900031</v>
      </c>
      <c r="Z14" s="257" t="e">
        <f t="array" ref="Z14">INDEX('Sheet 2'!AA$13:AA$3173,SMALL(IF(Z$3='Sheet 2'!X$13:X$3173,ROW('Sheet 2'!AA$13:AA$3173)-ROW('Sheet 2'!AA$13)+1),ROW(10:10)))</f>
        <v>#DIV/0!</v>
      </c>
      <c r="AA14" s="258">
        <f t="array" ref="AA14">INDEX('Sheet 2'!V$5:V$3173,SMALL(IF(AA$3='Sheet 2'!S$5:S$3173,ROW('Sheet 2'!V$5:V$3173)-ROW('Sheet 2'!V$5)+1),ROW(10:10)))</f>
        <v>0.29822377555417245</v>
      </c>
      <c r="AB14" s="258">
        <f t="array" ref="AB14">INDEX('Sheet 2'!V$5:V$3173,SMALL(IF(AB$3='Sheet 2'!S$5:S$3173,ROW('Sheet 2'!V$5:V$3173)-ROW('Sheet 2'!V$5)+1),ROW(10:10)))</f>
        <v>5.3861253411212713E-3</v>
      </c>
      <c r="AC14" s="259">
        <f t="array" ref="AC14">INDEX('Sheet 2'!V$5:V$3173,SMALL(IF(AC$3='Sheet 2'!S$5:S$3173,ROW('Sheet 2'!V$5:V$3173)-ROW('Sheet 2'!V$5)+1),ROW(10:10)))</f>
        <v>8.1390338488054777E-3</v>
      </c>
      <c r="AD14" s="258">
        <f t="array" ref="AD14">INDEX('Sheet 2'!V$5:V$3173,SMALL(IF(AD$3='Sheet 2'!S$5:S$3173,ROW('Sheet 2'!V$5:V$3173)-ROW('Sheet 2'!V$5)+1),ROW(10:10)))</f>
        <v>1.5025417998781272E-2</v>
      </c>
      <c r="AE14" s="258">
        <f t="array" ref="AE14">INDEX('Sheet 2'!V$5:V$3173,SMALL(IF(AE$3='Sheet 2'!S$5:S$3173,ROW('Sheet 2'!V$5:V$3173)-ROW('Sheet 2'!V$5)+1),ROW(10:10)))</f>
        <v>7.8926252186914906E-3</v>
      </c>
      <c r="AF14" s="257">
        <f t="array" ref="AF14">INDEX('Sheet 2'!V$5:V$3173,SMALL(IF(AF$3='Sheet 2'!S$5:S$3173,ROW('Sheet 2'!V$5:V$3173)-ROW('Sheet 2'!V$5)+1),ROW(10:10)))</f>
        <v>1.4653623372694147</v>
      </c>
      <c r="AG14" s="254"/>
      <c r="AH14" s="258">
        <f t="array" ref="AH14">INDEX('Sheet 2'!AA$5:AA$3173,SMALL(IF(AH$3='Sheet 2'!X$5:X$3173,ROW('Sheet 2'!AA$5:AA$3173)-ROW('Sheet 2'!AA$5)+1),ROW(10:10)))</f>
        <v>53889000000</v>
      </c>
      <c r="AI14" s="258"/>
      <c r="AJ14" s="258" t="e">
        <f t="array" ref="AJ14">INDEX('Sheet 2'!V$5:V$3173,SMALL(IF(AJ$3='Sheet 2'!S$5:S$3173,ROW('Sheet 2'!V$5:V$3173)-ROW('Sheet 2'!V$5)+1),ROW(10:10)))</f>
        <v>#NUM!</v>
      </c>
      <c r="AK14" s="258"/>
      <c r="AL14" s="258">
        <f t="array" ref="AL14">INDEX('Sheet 2'!AA$5:AA$3173,SMALL(IF(AL$3='Sheet 2'!X$5:X$3173,ROW('Sheet 2'!AA$5:AA$3173)-ROW('Sheet 2'!AA$5)+1),ROW(10:10)))</f>
        <v>3853000000</v>
      </c>
      <c r="AM14" s="258"/>
      <c r="AN14" s="258">
        <f t="array" ref="AN14">INDEX('Sheet 2'!AA$5:AA$3173,SMALL(IF(AN$3='Sheet 2'!X$5:X$3173,ROW('Sheet 2'!AA$5:AA$3173)-ROW('Sheet 2'!AA$5)+1),ROW(10:10)))</f>
        <v>2.31</v>
      </c>
      <c r="AO14" s="260"/>
      <c r="AP14" s="261"/>
    </row>
    <row r="15" spans="1:42" s="262" customFormat="1" ht="22.5" customHeight="1" x14ac:dyDescent="0.25">
      <c r="A15" s="251"/>
      <c r="B15" s="268"/>
      <c r="C15" s="269"/>
      <c r="D15" s="269"/>
      <c r="E15" s="269"/>
      <c r="F15" s="270"/>
      <c r="G15" s="252"/>
      <c r="H15" s="252"/>
      <c r="I15" s="253"/>
      <c r="J15" s="254"/>
      <c r="K15" s="253"/>
      <c r="L15" s="254"/>
      <c r="M15" s="253"/>
      <c r="N15" s="254"/>
      <c r="O15" s="253"/>
      <c r="P15" s="254"/>
      <c r="Q15" s="253"/>
      <c r="R15" s="255"/>
      <c r="S15" s="253"/>
      <c r="T15" s="255"/>
      <c r="U15" s="253"/>
      <c r="V15" s="255"/>
      <c r="W15" s="256"/>
      <c r="X15" s="254"/>
      <c r="Y15" s="254"/>
      <c r="Z15" s="257"/>
      <c r="AA15" s="258"/>
      <c r="AB15" s="258"/>
      <c r="AC15" s="259"/>
      <c r="AD15" s="258"/>
      <c r="AE15" s="258"/>
      <c r="AF15" s="257"/>
      <c r="AG15" s="254"/>
      <c r="AH15" s="258"/>
      <c r="AI15" s="258"/>
      <c r="AJ15" s="258"/>
      <c r="AK15" s="258"/>
      <c r="AL15" s="258"/>
      <c r="AM15" s="258"/>
      <c r="AN15" s="258"/>
      <c r="AO15" s="260"/>
      <c r="AP15" s="261"/>
    </row>
    <row r="16" spans="1:42" s="262" customFormat="1" ht="22.5" customHeight="1" x14ac:dyDescent="0.25">
      <c r="A16" s="251"/>
      <c r="B16" s="268"/>
      <c r="C16" s="269"/>
      <c r="D16" s="269"/>
      <c r="E16" s="269"/>
      <c r="F16" s="270"/>
      <c r="G16" s="252"/>
      <c r="H16" s="252"/>
      <c r="I16" s="253"/>
      <c r="J16" s="254"/>
      <c r="K16" s="253"/>
      <c r="L16" s="254"/>
      <c r="M16" s="253"/>
      <c r="N16" s="254"/>
      <c r="O16" s="253"/>
      <c r="P16" s="254"/>
      <c r="Q16" s="253"/>
      <c r="R16" s="255"/>
      <c r="S16" s="253"/>
      <c r="T16" s="255"/>
      <c r="U16" s="253"/>
      <c r="V16" s="255"/>
      <c r="W16" s="256"/>
      <c r="X16" s="254"/>
      <c r="Y16" s="254"/>
      <c r="Z16" s="257"/>
      <c r="AA16" s="258"/>
      <c r="AB16" s="258"/>
      <c r="AC16" s="259"/>
      <c r="AD16" s="258"/>
      <c r="AE16" s="258"/>
      <c r="AF16" s="257"/>
      <c r="AG16" s="254"/>
      <c r="AH16" s="258"/>
      <c r="AI16" s="258"/>
      <c r="AJ16" s="258"/>
      <c r="AK16" s="258"/>
      <c r="AL16" s="258"/>
      <c r="AM16" s="258"/>
      <c r="AN16" s="258"/>
      <c r="AO16" s="260"/>
      <c r="AP16" s="261"/>
    </row>
    <row r="17" spans="1:42" s="262" customFormat="1" ht="22.5" customHeight="1" x14ac:dyDescent="0.25">
      <c r="A17" s="251"/>
      <c r="B17" s="268"/>
      <c r="C17" s="269"/>
      <c r="D17" s="269"/>
      <c r="E17" s="269"/>
      <c r="F17" s="270"/>
      <c r="G17" s="252"/>
      <c r="H17" s="252"/>
      <c r="I17" s="253"/>
      <c r="J17" s="254"/>
      <c r="K17" s="253"/>
      <c r="L17" s="254"/>
      <c r="M17" s="253"/>
      <c r="N17" s="254"/>
      <c r="O17" s="253"/>
      <c r="P17" s="254"/>
      <c r="Q17" s="253"/>
      <c r="R17" s="255"/>
      <c r="S17" s="253"/>
      <c r="T17" s="255"/>
      <c r="U17" s="253"/>
      <c r="V17" s="255"/>
      <c r="W17" s="256"/>
      <c r="X17" s="254"/>
      <c r="Y17" s="254"/>
      <c r="Z17" s="257"/>
      <c r="AA17" s="258"/>
      <c r="AB17" s="258"/>
      <c r="AC17" s="259"/>
      <c r="AD17" s="258"/>
      <c r="AE17" s="258"/>
      <c r="AF17" s="257"/>
      <c r="AG17" s="254"/>
      <c r="AH17" s="258"/>
      <c r="AI17" s="258"/>
      <c r="AJ17" s="258"/>
      <c r="AK17" s="258"/>
      <c r="AL17" s="258"/>
      <c r="AM17" s="258"/>
      <c r="AN17" s="258"/>
      <c r="AO17" s="260"/>
      <c r="AP17" s="261"/>
    </row>
    <row r="18" spans="1:42" s="262" customFormat="1" ht="22.5" customHeight="1" x14ac:dyDescent="0.25">
      <c r="A18" s="251"/>
      <c r="B18" s="268"/>
      <c r="C18" s="269"/>
      <c r="D18" s="269"/>
      <c r="E18" s="269"/>
      <c r="F18" s="270"/>
      <c r="G18" s="252"/>
      <c r="H18" s="252"/>
      <c r="I18" s="253"/>
      <c r="J18" s="254"/>
      <c r="K18" s="253"/>
      <c r="L18" s="254"/>
      <c r="M18" s="253"/>
      <c r="N18" s="254"/>
      <c r="O18" s="253"/>
      <c r="P18" s="254"/>
      <c r="Q18" s="253"/>
      <c r="R18" s="255"/>
      <c r="S18" s="253"/>
      <c r="T18" s="255"/>
      <c r="U18" s="253"/>
      <c r="V18" s="255"/>
      <c r="W18" s="256"/>
      <c r="X18" s="254"/>
      <c r="Y18" s="254"/>
      <c r="Z18" s="257"/>
      <c r="AA18" s="258"/>
      <c r="AB18" s="258"/>
      <c r="AC18" s="259"/>
      <c r="AD18" s="258"/>
      <c r="AE18" s="258"/>
      <c r="AF18" s="257"/>
      <c r="AG18" s="254"/>
      <c r="AH18" s="258"/>
      <c r="AI18" s="258"/>
      <c r="AJ18" s="258"/>
      <c r="AK18" s="258"/>
      <c r="AL18" s="258"/>
      <c r="AM18" s="258"/>
      <c r="AN18" s="258"/>
      <c r="AO18" s="260"/>
      <c r="AP18" s="261"/>
    </row>
    <row r="19" spans="1:42" s="262" customFormat="1" ht="22.5" customHeight="1" x14ac:dyDescent="0.25">
      <c r="A19" s="251"/>
      <c r="B19" s="268"/>
      <c r="C19" s="269"/>
      <c r="D19" s="269"/>
      <c r="E19" s="269"/>
      <c r="F19" s="270"/>
      <c r="G19" s="252"/>
      <c r="H19" s="252"/>
      <c r="I19" s="253"/>
      <c r="J19" s="254"/>
      <c r="K19" s="253"/>
      <c r="L19" s="254"/>
      <c r="M19" s="253"/>
      <c r="N19" s="254"/>
      <c r="O19" s="253"/>
      <c r="P19" s="254"/>
      <c r="Q19" s="253"/>
      <c r="R19" s="255"/>
      <c r="S19" s="253"/>
      <c r="T19" s="255"/>
      <c r="U19" s="253"/>
      <c r="V19" s="255"/>
      <c r="W19" s="256"/>
      <c r="X19" s="254"/>
      <c r="Y19" s="254"/>
      <c r="Z19" s="257"/>
      <c r="AA19" s="258"/>
      <c r="AB19" s="258"/>
      <c r="AC19" s="259"/>
      <c r="AD19" s="258"/>
      <c r="AE19" s="258"/>
      <c r="AF19" s="257"/>
      <c r="AG19" s="254"/>
      <c r="AH19" s="258"/>
      <c r="AI19" s="258"/>
      <c r="AJ19" s="258"/>
      <c r="AK19" s="258"/>
      <c r="AL19" s="258"/>
      <c r="AM19" s="258"/>
      <c r="AN19" s="258"/>
      <c r="AO19" s="260"/>
      <c r="AP19" s="261"/>
    </row>
    <row r="20" spans="1:42" s="262" customFormat="1" ht="22.5" customHeight="1" x14ac:dyDescent="0.25">
      <c r="A20" s="251"/>
      <c r="B20" s="268"/>
      <c r="C20" s="269"/>
      <c r="D20" s="269"/>
      <c r="E20" s="269"/>
      <c r="F20" s="270"/>
      <c r="G20" s="252"/>
      <c r="H20" s="252"/>
      <c r="I20" s="253"/>
      <c r="J20" s="254"/>
      <c r="K20" s="253"/>
      <c r="L20" s="254"/>
      <c r="M20" s="253"/>
      <c r="N20" s="254"/>
      <c r="O20" s="253"/>
      <c r="P20" s="254"/>
      <c r="Q20" s="253"/>
      <c r="R20" s="255"/>
      <c r="S20" s="253"/>
      <c r="T20" s="255"/>
      <c r="U20" s="253"/>
      <c r="V20" s="255"/>
      <c r="W20" s="256"/>
      <c r="X20" s="254"/>
      <c r="Y20" s="254"/>
      <c r="Z20" s="257"/>
      <c r="AA20" s="258"/>
      <c r="AB20" s="258"/>
      <c r="AC20" s="259"/>
      <c r="AD20" s="258"/>
      <c r="AE20" s="258"/>
      <c r="AF20" s="257"/>
      <c r="AG20" s="254"/>
      <c r="AH20" s="258"/>
      <c r="AI20" s="258"/>
      <c r="AJ20" s="258"/>
      <c r="AK20" s="258"/>
      <c r="AL20" s="258"/>
      <c r="AM20" s="258"/>
      <c r="AN20" s="258"/>
      <c r="AO20" s="260"/>
      <c r="AP20" s="261"/>
    </row>
    <row r="21" spans="1:42" s="262" customFormat="1" ht="22.5" customHeight="1" x14ac:dyDescent="0.25">
      <c r="A21" s="251"/>
      <c r="B21" s="268"/>
      <c r="C21" s="269"/>
      <c r="D21" s="269"/>
      <c r="E21" s="269"/>
      <c r="F21" s="270"/>
      <c r="G21" s="252"/>
      <c r="H21" s="252"/>
      <c r="I21" s="253"/>
      <c r="J21" s="254"/>
      <c r="K21" s="253"/>
      <c r="L21" s="254"/>
      <c r="M21" s="253"/>
      <c r="N21" s="254"/>
      <c r="O21" s="253"/>
      <c r="P21" s="254"/>
      <c r="Q21" s="253"/>
      <c r="R21" s="255"/>
      <c r="S21" s="253"/>
      <c r="T21" s="255"/>
      <c r="U21" s="253"/>
      <c r="V21" s="255"/>
      <c r="W21" s="256"/>
      <c r="X21" s="254"/>
      <c r="Y21" s="254"/>
      <c r="Z21" s="257"/>
      <c r="AA21" s="258"/>
      <c r="AB21" s="258"/>
      <c r="AC21" s="259"/>
      <c r="AD21" s="258"/>
      <c r="AE21" s="258"/>
      <c r="AF21" s="257"/>
      <c r="AG21" s="254"/>
      <c r="AH21" s="258"/>
      <c r="AI21" s="258"/>
      <c r="AJ21" s="258"/>
      <c r="AK21" s="258"/>
      <c r="AL21" s="258"/>
      <c r="AM21" s="258"/>
      <c r="AN21" s="258"/>
      <c r="AO21" s="260"/>
      <c r="AP21" s="261"/>
    </row>
    <row r="22" spans="1:42" s="262" customFormat="1" ht="22.5" customHeight="1" x14ac:dyDescent="0.25">
      <c r="A22" s="251"/>
      <c r="B22" s="268"/>
      <c r="C22" s="269"/>
      <c r="D22" s="269"/>
      <c r="E22" s="269"/>
      <c r="F22" s="270"/>
      <c r="G22" s="252"/>
      <c r="H22" s="252"/>
      <c r="I22" s="253"/>
      <c r="J22" s="254"/>
      <c r="K22" s="253"/>
      <c r="L22" s="254"/>
      <c r="M22" s="253"/>
      <c r="N22" s="254"/>
      <c r="O22" s="253"/>
      <c r="P22" s="254"/>
      <c r="Q22" s="253"/>
      <c r="R22" s="255"/>
      <c r="S22" s="253"/>
      <c r="T22" s="255"/>
      <c r="U22" s="253"/>
      <c r="V22" s="255"/>
      <c r="W22" s="256"/>
      <c r="X22" s="254"/>
      <c r="Y22" s="254"/>
      <c r="Z22" s="257"/>
      <c r="AA22" s="258"/>
      <c r="AB22" s="258"/>
      <c r="AC22" s="259"/>
      <c r="AD22" s="258"/>
      <c r="AE22" s="258"/>
      <c r="AF22" s="257"/>
      <c r="AG22" s="254"/>
      <c r="AH22" s="258"/>
      <c r="AI22" s="258"/>
      <c r="AJ22" s="258"/>
      <c r="AK22" s="258"/>
      <c r="AL22" s="258"/>
      <c r="AM22" s="258"/>
      <c r="AN22" s="258"/>
      <c r="AO22" s="260"/>
      <c r="AP22" s="261"/>
    </row>
    <row r="23" spans="1:42" s="262" customFormat="1" ht="22.5" customHeight="1" x14ac:dyDescent="0.25">
      <c r="A23" s="251"/>
      <c r="B23" s="268"/>
      <c r="C23" s="269"/>
      <c r="D23" s="269"/>
      <c r="E23" s="269"/>
      <c r="F23" s="270"/>
      <c r="G23" s="252"/>
      <c r="H23" s="252"/>
      <c r="I23" s="253"/>
      <c r="J23" s="254"/>
      <c r="K23" s="253"/>
      <c r="L23" s="254"/>
      <c r="M23" s="253"/>
      <c r="N23" s="254"/>
      <c r="O23" s="253"/>
      <c r="P23" s="254"/>
      <c r="Q23" s="253"/>
      <c r="R23" s="255"/>
      <c r="S23" s="253"/>
      <c r="T23" s="255"/>
      <c r="U23" s="253"/>
      <c r="V23" s="255"/>
      <c r="W23" s="256"/>
      <c r="X23" s="254"/>
      <c r="Y23" s="254"/>
      <c r="Z23" s="257"/>
      <c r="AA23" s="258"/>
      <c r="AB23" s="258"/>
      <c r="AC23" s="259"/>
      <c r="AD23" s="258"/>
      <c r="AE23" s="258"/>
      <c r="AF23" s="257"/>
      <c r="AG23" s="254"/>
      <c r="AH23" s="258"/>
      <c r="AI23" s="258"/>
      <c r="AJ23" s="258"/>
      <c r="AK23" s="258"/>
      <c r="AL23" s="258"/>
      <c r="AM23" s="258"/>
      <c r="AN23" s="258"/>
      <c r="AO23" s="260"/>
      <c r="AP23" s="261"/>
    </row>
    <row r="24" spans="1:42" s="262" customFormat="1" ht="22.5" customHeight="1" x14ac:dyDescent="0.25">
      <c r="A24" s="251"/>
      <c r="B24" s="268"/>
      <c r="C24" s="269"/>
      <c r="D24" s="269"/>
      <c r="E24" s="269"/>
      <c r="F24" s="270"/>
      <c r="G24" s="252"/>
      <c r="H24" s="252"/>
      <c r="I24" s="253"/>
      <c r="J24" s="254"/>
      <c r="K24" s="253"/>
      <c r="L24" s="254"/>
      <c r="M24" s="253"/>
      <c r="N24" s="254"/>
      <c r="O24" s="253"/>
      <c r="P24" s="254"/>
      <c r="Q24" s="253"/>
      <c r="R24" s="255"/>
      <c r="S24" s="253"/>
      <c r="T24" s="255"/>
      <c r="U24" s="253"/>
      <c r="V24" s="255"/>
      <c r="W24" s="256"/>
      <c r="X24" s="254"/>
      <c r="Y24" s="254"/>
      <c r="Z24" s="257"/>
      <c r="AA24" s="258"/>
      <c r="AB24" s="258"/>
      <c r="AC24" s="259"/>
      <c r="AD24" s="258"/>
      <c r="AE24" s="258"/>
      <c r="AF24" s="257"/>
      <c r="AG24" s="254"/>
      <c r="AH24" s="258"/>
      <c r="AI24" s="258"/>
      <c r="AJ24" s="258"/>
      <c r="AK24" s="258"/>
      <c r="AL24" s="258"/>
      <c r="AM24" s="258"/>
      <c r="AN24" s="258"/>
      <c r="AO24" s="260"/>
      <c r="AP24" s="261"/>
    </row>
    <row r="25" spans="1:42" s="262" customFormat="1" ht="22.5" customHeight="1" x14ac:dyDescent="0.25">
      <c r="A25" s="251"/>
      <c r="B25" s="268"/>
      <c r="C25" s="269"/>
      <c r="D25" s="269"/>
      <c r="E25" s="269"/>
      <c r="F25" s="270"/>
      <c r="G25" s="252"/>
      <c r="H25" s="252"/>
      <c r="I25" s="253"/>
      <c r="J25" s="254"/>
      <c r="K25" s="253"/>
      <c r="L25" s="254"/>
      <c r="M25" s="253"/>
      <c r="N25" s="254"/>
      <c r="O25" s="253"/>
      <c r="P25" s="254"/>
      <c r="Q25" s="253"/>
      <c r="R25" s="255"/>
      <c r="S25" s="253"/>
      <c r="T25" s="255"/>
      <c r="U25" s="253"/>
      <c r="V25" s="255"/>
      <c r="W25" s="256"/>
      <c r="X25" s="254"/>
      <c r="Y25" s="254"/>
      <c r="Z25" s="257"/>
      <c r="AA25" s="258"/>
      <c r="AB25" s="258"/>
      <c r="AC25" s="259"/>
      <c r="AD25" s="258"/>
      <c r="AE25" s="258"/>
      <c r="AF25" s="257"/>
      <c r="AG25" s="254"/>
      <c r="AH25" s="258"/>
      <c r="AI25" s="258"/>
      <c r="AJ25" s="258"/>
      <c r="AK25" s="258"/>
      <c r="AL25" s="258"/>
      <c r="AM25" s="258"/>
      <c r="AN25" s="258"/>
      <c r="AO25" s="260"/>
      <c r="AP25" s="261"/>
    </row>
    <row r="26" spans="1:42" s="262" customFormat="1" ht="22.5" customHeight="1" x14ac:dyDescent="0.25">
      <c r="A26" s="251"/>
      <c r="B26" s="268"/>
      <c r="C26" s="269"/>
      <c r="D26" s="269"/>
      <c r="E26" s="269"/>
      <c r="F26" s="270"/>
      <c r="G26" s="252"/>
      <c r="H26" s="252"/>
      <c r="I26" s="253"/>
      <c r="J26" s="254"/>
      <c r="K26" s="253"/>
      <c r="L26" s="254"/>
      <c r="M26" s="253"/>
      <c r="N26" s="254"/>
      <c r="O26" s="253"/>
      <c r="P26" s="254"/>
      <c r="Q26" s="253"/>
      <c r="R26" s="255"/>
      <c r="S26" s="253"/>
      <c r="T26" s="255"/>
      <c r="U26" s="253"/>
      <c r="V26" s="255"/>
      <c r="W26" s="256"/>
      <c r="X26" s="254"/>
      <c r="Y26" s="254"/>
      <c r="Z26" s="257"/>
      <c r="AA26" s="258"/>
      <c r="AB26" s="258"/>
      <c r="AC26" s="259"/>
      <c r="AD26" s="258"/>
      <c r="AE26" s="258"/>
      <c r="AF26" s="257"/>
      <c r="AG26" s="254"/>
      <c r="AH26" s="258"/>
      <c r="AI26" s="258"/>
      <c r="AJ26" s="258"/>
      <c r="AK26" s="258"/>
      <c r="AL26" s="258"/>
      <c r="AM26" s="258"/>
      <c r="AN26" s="258"/>
      <c r="AO26" s="260"/>
      <c r="AP26" s="261"/>
    </row>
    <row r="27" spans="1:42" s="262" customFormat="1" ht="22.5" customHeight="1" x14ac:dyDescent="0.25">
      <c r="A27" s="251"/>
      <c r="B27" s="268"/>
      <c r="C27" s="269"/>
      <c r="D27" s="269"/>
      <c r="E27" s="269"/>
      <c r="F27" s="270"/>
      <c r="G27" s="252"/>
      <c r="H27" s="252"/>
      <c r="I27" s="253"/>
      <c r="J27" s="254"/>
      <c r="K27" s="253"/>
      <c r="L27" s="254"/>
      <c r="M27" s="253"/>
      <c r="N27" s="254"/>
      <c r="O27" s="253"/>
      <c r="P27" s="254"/>
      <c r="Q27" s="253"/>
      <c r="R27" s="255"/>
      <c r="S27" s="253"/>
      <c r="T27" s="255"/>
      <c r="U27" s="253"/>
      <c r="V27" s="255"/>
      <c r="W27" s="256"/>
      <c r="X27" s="254"/>
      <c r="Y27" s="254"/>
      <c r="Z27" s="257"/>
      <c r="AA27" s="258"/>
      <c r="AB27" s="258"/>
      <c r="AC27" s="259"/>
      <c r="AD27" s="258"/>
      <c r="AE27" s="258"/>
      <c r="AF27" s="257"/>
      <c r="AG27" s="254"/>
      <c r="AH27" s="258"/>
      <c r="AI27" s="258"/>
      <c r="AJ27" s="258"/>
      <c r="AK27" s="258"/>
      <c r="AL27" s="258"/>
      <c r="AM27" s="258"/>
      <c r="AN27" s="258"/>
      <c r="AO27" s="260"/>
      <c r="AP27" s="261"/>
    </row>
    <row r="28" spans="1:42" s="262" customFormat="1" ht="22.5" customHeight="1" x14ac:dyDescent="0.25">
      <c r="A28" s="251"/>
      <c r="B28" s="268"/>
      <c r="C28" s="269"/>
      <c r="D28" s="269"/>
      <c r="E28" s="269"/>
      <c r="F28" s="270"/>
      <c r="G28" s="252"/>
      <c r="H28" s="252"/>
      <c r="I28" s="253"/>
      <c r="J28" s="254"/>
      <c r="K28" s="253"/>
      <c r="L28" s="254"/>
      <c r="M28" s="253"/>
      <c r="N28" s="254"/>
      <c r="O28" s="253"/>
      <c r="P28" s="254"/>
      <c r="Q28" s="253"/>
      <c r="R28" s="255"/>
      <c r="S28" s="253"/>
      <c r="T28" s="255"/>
      <c r="U28" s="253"/>
      <c r="V28" s="255"/>
      <c r="W28" s="256"/>
      <c r="X28" s="254"/>
      <c r="Y28" s="254"/>
      <c r="Z28" s="257"/>
      <c r="AA28" s="258"/>
      <c r="AB28" s="258"/>
      <c r="AC28" s="259"/>
      <c r="AD28" s="258"/>
      <c r="AE28" s="258"/>
      <c r="AF28" s="257"/>
      <c r="AG28" s="254"/>
      <c r="AH28" s="258"/>
      <c r="AI28" s="258"/>
      <c r="AJ28" s="258"/>
      <c r="AK28" s="258"/>
      <c r="AL28" s="258"/>
      <c r="AM28" s="258"/>
      <c r="AN28" s="258"/>
      <c r="AO28" s="260"/>
      <c r="AP28" s="261"/>
    </row>
    <row r="29" spans="1:42" s="262" customFormat="1" ht="22.5" customHeight="1" x14ac:dyDescent="0.25">
      <c r="A29" s="251"/>
      <c r="B29" s="268"/>
      <c r="C29" s="269"/>
      <c r="D29" s="269"/>
      <c r="E29" s="269"/>
      <c r="F29" s="270"/>
      <c r="G29" s="252"/>
      <c r="H29" s="252"/>
      <c r="I29" s="253"/>
      <c r="J29" s="254"/>
      <c r="K29" s="253"/>
      <c r="L29" s="254"/>
      <c r="M29" s="253"/>
      <c r="N29" s="254"/>
      <c r="O29" s="253"/>
      <c r="P29" s="254"/>
      <c r="Q29" s="253"/>
      <c r="R29" s="255"/>
      <c r="S29" s="253"/>
      <c r="T29" s="255"/>
      <c r="U29" s="253"/>
      <c r="V29" s="255"/>
      <c r="W29" s="256"/>
      <c r="X29" s="254"/>
      <c r="Y29" s="254"/>
      <c r="Z29" s="257"/>
      <c r="AA29" s="258"/>
      <c r="AB29" s="258"/>
      <c r="AC29" s="259"/>
      <c r="AD29" s="258"/>
      <c r="AE29" s="258"/>
      <c r="AF29" s="257"/>
      <c r="AG29" s="254"/>
      <c r="AH29" s="258"/>
      <c r="AI29" s="258"/>
      <c r="AJ29" s="258"/>
      <c r="AK29" s="258"/>
      <c r="AL29" s="258"/>
      <c r="AM29" s="258"/>
      <c r="AN29" s="258"/>
      <c r="AO29" s="260"/>
      <c r="AP29" s="261"/>
    </row>
    <row r="30" spans="1:42" s="262" customFormat="1" ht="22.5" customHeight="1" x14ac:dyDescent="0.25">
      <c r="A30" s="251"/>
      <c r="B30" s="268"/>
      <c r="C30" s="269"/>
      <c r="D30" s="269"/>
      <c r="E30" s="269"/>
      <c r="F30" s="270"/>
      <c r="G30" s="252"/>
      <c r="H30" s="252"/>
      <c r="I30" s="253"/>
      <c r="J30" s="254"/>
      <c r="K30" s="253"/>
      <c r="L30" s="254"/>
      <c r="M30" s="253"/>
      <c r="N30" s="254"/>
      <c r="O30" s="253"/>
      <c r="P30" s="254"/>
      <c r="Q30" s="253"/>
      <c r="R30" s="255"/>
      <c r="S30" s="253"/>
      <c r="T30" s="255"/>
      <c r="U30" s="253"/>
      <c r="V30" s="255"/>
      <c r="W30" s="256"/>
      <c r="X30" s="254"/>
      <c r="Y30" s="254"/>
      <c r="Z30" s="257"/>
      <c r="AA30" s="258"/>
      <c r="AB30" s="258"/>
      <c r="AC30" s="259"/>
      <c r="AD30" s="258"/>
      <c r="AE30" s="258"/>
      <c r="AF30" s="257"/>
      <c r="AG30" s="254"/>
      <c r="AH30" s="258"/>
      <c r="AI30" s="258"/>
      <c r="AJ30" s="258"/>
      <c r="AK30" s="258"/>
      <c r="AL30" s="258"/>
      <c r="AM30" s="258"/>
      <c r="AN30" s="258"/>
      <c r="AO30" s="260"/>
      <c r="AP30" s="261"/>
    </row>
    <row r="31" spans="1:42" s="262" customFormat="1" ht="22.5" customHeight="1" x14ac:dyDescent="0.25">
      <c r="A31" s="251"/>
      <c r="B31" s="268"/>
      <c r="C31" s="269"/>
      <c r="D31" s="269"/>
      <c r="E31" s="269"/>
      <c r="F31" s="270"/>
      <c r="G31" s="252"/>
      <c r="H31" s="252"/>
      <c r="I31" s="253"/>
      <c r="J31" s="254"/>
      <c r="K31" s="253"/>
      <c r="L31" s="254"/>
      <c r="M31" s="253"/>
      <c r="N31" s="254"/>
      <c r="O31" s="253"/>
      <c r="P31" s="254"/>
      <c r="Q31" s="253"/>
      <c r="R31" s="255"/>
      <c r="S31" s="253"/>
      <c r="T31" s="255"/>
      <c r="U31" s="253"/>
      <c r="V31" s="255"/>
      <c r="W31" s="256"/>
      <c r="X31" s="254"/>
      <c r="Y31" s="254"/>
      <c r="Z31" s="257"/>
      <c r="AA31" s="258"/>
      <c r="AB31" s="258"/>
      <c r="AC31" s="259"/>
      <c r="AD31" s="258"/>
      <c r="AE31" s="258"/>
      <c r="AF31" s="257"/>
      <c r="AG31" s="254"/>
      <c r="AH31" s="258"/>
      <c r="AI31" s="258"/>
      <c r="AJ31" s="258"/>
      <c r="AK31" s="258"/>
      <c r="AL31" s="258"/>
      <c r="AM31" s="258"/>
      <c r="AN31" s="258"/>
      <c r="AO31" s="260"/>
      <c r="AP31" s="261"/>
    </row>
    <row r="32" spans="1:42" s="262" customFormat="1" ht="22.5" customHeight="1" x14ac:dyDescent="0.25">
      <c r="A32" s="251"/>
      <c r="B32" s="268"/>
      <c r="C32" s="269"/>
      <c r="D32" s="269"/>
      <c r="E32" s="269"/>
      <c r="F32" s="270"/>
      <c r="G32" s="252"/>
      <c r="H32" s="252"/>
      <c r="I32" s="253"/>
      <c r="J32" s="254"/>
      <c r="K32" s="253"/>
      <c r="L32" s="254"/>
      <c r="M32" s="253"/>
      <c r="N32" s="254"/>
      <c r="O32" s="253"/>
      <c r="P32" s="254"/>
      <c r="Q32" s="253"/>
      <c r="R32" s="255"/>
      <c r="S32" s="253"/>
      <c r="T32" s="255"/>
      <c r="U32" s="253"/>
      <c r="V32" s="255"/>
      <c r="W32" s="256"/>
      <c r="X32" s="254"/>
      <c r="Y32" s="254"/>
      <c r="Z32" s="257"/>
      <c r="AA32" s="258"/>
      <c r="AB32" s="258"/>
      <c r="AC32" s="259"/>
      <c r="AD32" s="258"/>
      <c r="AE32" s="258"/>
      <c r="AF32" s="257"/>
      <c r="AG32" s="254"/>
      <c r="AH32" s="258"/>
      <c r="AI32" s="258"/>
      <c r="AJ32" s="258"/>
      <c r="AK32" s="258"/>
      <c r="AL32" s="258"/>
      <c r="AM32" s="258"/>
      <c r="AN32" s="258"/>
      <c r="AO32" s="260"/>
      <c r="AP32" s="261"/>
    </row>
    <row r="33" spans="1:42" s="262" customFormat="1" ht="22.5" customHeight="1" x14ac:dyDescent="0.25">
      <c r="A33" s="251"/>
      <c r="B33" s="268"/>
      <c r="C33" s="269"/>
      <c r="D33" s="269"/>
      <c r="E33" s="269"/>
      <c r="F33" s="270"/>
      <c r="G33" s="252"/>
      <c r="H33" s="252"/>
      <c r="I33" s="253"/>
      <c r="J33" s="254"/>
      <c r="K33" s="253"/>
      <c r="L33" s="254"/>
      <c r="M33" s="253"/>
      <c r="N33" s="254"/>
      <c r="O33" s="253"/>
      <c r="P33" s="254"/>
      <c r="Q33" s="253"/>
      <c r="R33" s="255"/>
      <c r="S33" s="253"/>
      <c r="T33" s="255"/>
      <c r="U33" s="253"/>
      <c r="V33" s="255"/>
      <c r="W33" s="256"/>
      <c r="X33" s="254"/>
      <c r="Y33" s="254"/>
      <c r="Z33" s="257"/>
      <c r="AA33" s="258"/>
      <c r="AB33" s="258"/>
      <c r="AC33" s="259"/>
      <c r="AD33" s="258"/>
      <c r="AE33" s="258"/>
      <c r="AF33" s="257"/>
      <c r="AG33" s="254"/>
      <c r="AH33" s="258"/>
      <c r="AI33" s="258"/>
      <c r="AJ33" s="258"/>
      <c r="AK33" s="258"/>
      <c r="AL33" s="258"/>
      <c r="AM33" s="258"/>
      <c r="AN33" s="258"/>
      <c r="AO33" s="260"/>
      <c r="AP33" s="261"/>
    </row>
    <row r="34" spans="1:42" s="262" customFormat="1" ht="22.5" customHeight="1" x14ac:dyDescent="0.25">
      <c r="A34" s="251"/>
      <c r="B34" s="268"/>
      <c r="C34" s="269"/>
      <c r="D34" s="269"/>
      <c r="E34" s="269"/>
      <c r="F34" s="270"/>
      <c r="G34" s="252"/>
      <c r="H34" s="252"/>
      <c r="I34" s="253"/>
      <c r="J34" s="254"/>
      <c r="K34" s="253"/>
      <c r="L34" s="254"/>
      <c r="M34" s="253"/>
      <c r="N34" s="254"/>
      <c r="O34" s="253"/>
      <c r="P34" s="254"/>
      <c r="Q34" s="253"/>
      <c r="R34" s="255"/>
      <c r="S34" s="253"/>
      <c r="T34" s="255"/>
      <c r="U34" s="253"/>
      <c r="V34" s="255"/>
      <c r="W34" s="256"/>
      <c r="X34" s="254"/>
      <c r="Y34" s="254"/>
      <c r="Z34" s="257"/>
      <c r="AA34" s="258"/>
      <c r="AB34" s="258"/>
      <c r="AC34" s="259"/>
      <c r="AD34" s="258"/>
      <c r="AE34" s="258"/>
      <c r="AF34" s="257"/>
      <c r="AG34" s="254"/>
      <c r="AH34" s="258"/>
      <c r="AI34" s="258"/>
      <c r="AJ34" s="258"/>
      <c r="AK34" s="258"/>
      <c r="AL34" s="258"/>
      <c r="AM34" s="258"/>
      <c r="AN34" s="258"/>
      <c r="AO34" s="260"/>
      <c r="AP34" s="261"/>
    </row>
    <row r="35" spans="1:42" s="262" customFormat="1" ht="22.5" customHeight="1" x14ac:dyDescent="0.25">
      <c r="A35" s="251"/>
      <c r="B35" s="268"/>
      <c r="C35" s="269"/>
      <c r="D35" s="269"/>
      <c r="E35" s="269"/>
      <c r="F35" s="270"/>
      <c r="G35" s="252"/>
      <c r="H35" s="252"/>
      <c r="I35" s="253"/>
      <c r="J35" s="254"/>
      <c r="K35" s="253"/>
      <c r="L35" s="254"/>
      <c r="M35" s="253"/>
      <c r="N35" s="254"/>
      <c r="O35" s="253"/>
      <c r="P35" s="254"/>
      <c r="Q35" s="253"/>
      <c r="R35" s="255"/>
      <c r="S35" s="253"/>
      <c r="T35" s="255"/>
      <c r="U35" s="253"/>
      <c r="V35" s="255"/>
      <c r="W35" s="256"/>
      <c r="X35" s="254"/>
      <c r="Y35" s="254"/>
      <c r="Z35" s="257"/>
      <c r="AA35" s="258"/>
      <c r="AB35" s="258"/>
      <c r="AC35" s="259"/>
      <c r="AD35" s="258"/>
      <c r="AE35" s="258"/>
      <c r="AF35" s="257"/>
      <c r="AG35" s="254"/>
      <c r="AH35" s="258"/>
      <c r="AI35" s="258"/>
      <c r="AJ35" s="258"/>
      <c r="AK35" s="258"/>
      <c r="AL35" s="258"/>
      <c r="AM35" s="258"/>
      <c r="AN35" s="258"/>
      <c r="AO35" s="260"/>
      <c r="AP35" s="261"/>
    </row>
    <row r="36" spans="1:42" s="262" customFormat="1" ht="22.5" customHeight="1" x14ac:dyDescent="0.25">
      <c r="A36" s="251"/>
      <c r="B36" s="268"/>
      <c r="C36" s="269"/>
      <c r="D36" s="269"/>
      <c r="E36" s="269"/>
      <c r="F36" s="270"/>
      <c r="G36" s="252"/>
      <c r="H36" s="252"/>
      <c r="I36" s="253"/>
      <c r="J36" s="254"/>
      <c r="K36" s="253"/>
      <c r="L36" s="254"/>
      <c r="M36" s="253"/>
      <c r="N36" s="254"/>
      <c r="O36" s="253"/>
      <c r="P36" s="254"/>
      <c r="Q36" s="253"/>
      <c r="R36" s="255"/>
      <c r="S36" s="253"/>
      <c r="T36" s="255"/>
      <c r="U36" s="253"/>
      <c r="V36" s="255"/>
      <c r="W36" s="256"/>
      <c r="X36" s="254"/>
      <c r="Y36" s="254"/>
      <c r="Z36" s="257"/>
      <c r="AA36" s="258"/>
      <c r="AB36" s="258"/>
      <c r="AC36" s="259"/>
      <c r="AD36" s="258"/>
      <c r="AE36" s="258"/>
      <c r="AF36" s="257"/>
      <c r="AG36" s="254"/>
      <c r="AH36" s="258"/>
      <c r="AI36" s="258"/>
      <c r="AJ36" s="258"/>
      <c r="AK36" s="258"/>
      <c r="AL36" s="258"/>
      <c r="AM36" s="258"/>
      <c r="AN36" s="258"/>
      <c r="AO36" s="260"/>
      <c r="AP36" s="261"/>
    </row>
    <row r="37" spans="1:42" s="262" customFormat="1" ht="22.5" customHeight="1" x14ac:dyDescent="0.25">
      <c r="A37" s="251"/>
      <c r="B37" s="268"/>
      <c r="C37" s="269"/>
      <c r="D37" s="269"/>
      <c r="E37" s="269"/>
      <c r="F37" s="270"/>
      <c r="G37" s="252"/>
      <c r="H37" s="252"/>
      <c r="I37" s="253"/>
      <c r="J37" s="254"/>
      <c r="K37" s="253"/>
      <c r="L37" s="254"/>
      <c r="M37" s="253"/>
      <c r="N37" s="254"/>
      <c r="O37" s="253"/>
      <c r="P37" s="254"/>
      <c r="Q37" s="253"/>
      <c r="R37" s="255"/>
      <c r="S37" s="253"/>
      <c r="T37" s="255"/>
      <c r="U37" s="253"/>
      <c r="V37" s="255"/>
      <c r="W37" s="256"/>
      <c r="X37" s="254"/>
      <c r="Y37" s="254"/>
      <c r="Z37" s="257"/>
      <c r="AA37" s="258"/>
      <c r="AB37" s="258"/>
      <c r="AC37" s="259"/>
      <c r="AD37" s="258"/>
      <c r="AE37" s="258"/>
      <c r="AF37" s="257"/>
      <c r="AG37" s="254"/>
      <c r="AH37" s="258"/>
      <c r="AI37" s="258"/>
      <c r="AJ37" s="258"/>
      <c r="AK37" s="258"/>
      <c r="AL37" s="258"/>
      <c r="AM37" s="258"/>
      <c r="AN37" s="258"/>
      <c r="AO37" s="260"/>
      <c r="AP37" s="261"/>
    </row>
    <row r="38" spans="1:42" s="262" customFormat="1" ht="22.5" customHeight="1" x14ac:dyDescent="0.25">
      <c r="A38" s="251"/>
      <c r="B38" s="268"/>
      <c r="C38" s="269"/>
      <c r="D38" s="269"/>
      <c r="E38" s="269"/>
      <c r="F38" s="270"/>
      <c r="G38" s="252"/>
      <c r="H38" s="252"/>
      <c r="I38" s="253"/>
      <c r="J38" s="254"/>
      <c r="K38" s="253"/>
      <c r="L38" s="254"/>
      <c r="M38" s="253"/>
      <c r="N38" s="254"/>
      <c r="O38" s="253"/>
      <c r="P38" s="254"/>
      <c r="Q38" s="253"/>
      <c r="R38" s="255"/>
      <c r="S38" s="253"/>
      <c r="T38" s="255"/>
      <c r="U38" s="253"/>
      <c r="V38" s="255"/>
      <c r="W38" s="256"/>
      <c r="X38" s="254"/>
      <c r="Y38" s="254"/>
      <c r="Z38" s="257"/>
      <c r="AA38" s="258"/>
      <c r="AB38" s="258"/>
      <c r="AC38" s="259"/>
      <c r="AD38" s="258"/>
      <c r="AE38" s="258"/>
      <c r="AF38" s="257"/>
      <c r="AG38" s="254"/>
      <c r="AH38" s="258"/>
      <c r="AI38" s="258"/>
      <c r="AJ38" s="258"/>
      <c r="AK38" s="258"/>
      <c r="AL38" s="258"/>
      <c r="AM38" s="258"/>
      <c r="AN38" s="258"/>
      <c r="AO38" s="260"/>
      <c r="AP38" s="261"/>
    </row>
    <row r="39" spans="1:42" s="262" customFormat="1" ht="22.5" customHeight="1" x14ac:dyDescent="0.25">
      <c r="A39" s="251"/>
      <c r="B39" s="268"/>
      <c r="C39" s="269"/>
      <c r="D39" s="269"/>
      <c r="E39" s="269"/>
      <c r="F39" s="270"/>
      <c r="G39" s="252"/>
      <c r="H39" s="252"/>
      <c r="I39" s="253"/>
      <c r="J39" s="254"/>
      <c r="K39" s="253"/>
      <c r="L39" s="254"/>
      <c r="M39" s="253"/>
      <c r="N39" s="254"/>
      <c r="O39" s="253"/>
      <c r="P39" s="254"/>
      <c r="Q39" s="253"/>
      <c r="R39" s="255"/>
      <c r="S39" s="253"/>
      <c r="T39" s="255"/>
      <c r="U39" s="253"/>
      <c r="V39" s="255"/>
      <c r="W39" s="256"/>
      <c r="X39" s="254"/>
      <c r="Y39" s="254"/>
      <c r="Z39" s="257"/>
      <c r="AA39" s="258"/>
      <c r="AB39" s="258"/>
      <c r="AC39" s="259"/>
      <c r="AD39" s="258"/>
      <c r="AE39" s="258"/>
      <c r="AF39" s="257"/>
      <c r="AG39" s="254"/>
      <c r="AH39" s="258"/>
      <c r="AI39" s="258"/>
      <c r="AJ39" s="258"/>
      <c r="AK39" s="258"/>
      <c r="AL39" s="258"/>
      <c r="AM39" s="258"/>
      <c r="AN39" s="258"/>
      <c r="AO39" s="260"/>
      <c r="AP39" s="261"/>
    </row>
    <row r="40" spans="1:42" s="262" customFormat="1" ht="22.5" customHeight="1" x14ac:dyDescent="0.25">
      <c r="A40" s="251"/>
      <c r="B40" s="268"/>
      <c r="C40" s="269"/>
      <c r="D40" s="269"/>
      <c r="E40" s="269"/>
      <c r="F40" s="270"/>
      <c r="G40" s="252"/>
      <c r="H40" s="252"/>
      <c r="I40" s="253"/>
      <c r="J40" s="254"/>
      <c r="K40" s="253"/>
      <c r="L40" s="254"/>
      <c r="M40" s="253"/>
      <c r="N40" s="254"/>
      <c r="O40" s="253"/>
      <c r="P40" s="254"/>
      <c r="Q40" s="253"/>
      <c r="R40" s="255"/>
      <c r="S40" s="253"/>
      <c r="T40" s="255"/>
      <c r="U40" s="253"/>
      <c r="V40" s="255"/>
      <c r="W40" s="256"/>
      <c r="X40" s="254"/>
      <c r="Y40" s="254"/>
      <c r="Z40" s="257"/>
      <c r="AA40" s="258"/>
      <c r="AB40" s="258"/>
      <c r="AC40" s="259"/>
      <c r="AD40" s="258"/>
      <c r="AE40" s="258"/>
      <c r="AF40" s="257"/>
      <c r="AG40" s="254"/>
      <c r="AH40" s="258"/>
      <c r="AI40" s="258"/>
      <c r="AJ40" s="258"/>
      <c r="AK40" s="258"/>
      <c r="AL40" s="258"/>
      <c r="AM40" s="258"/>
      <c r="AN40" s="258"/>
      <c r="AO40" s="260"/>
      <c r="AP40" s="261"/>
    </row>
    <row r="41" spans="1:42" s="262" customFormat="1" ht="22.5" customHeight="1" x14ac:dyDescent="0.25">
      <c r="A41" s="251"/>
      <c r="B41" s="268"/>
      <c r="C41" s="269"/>
      <c r="D41" s="269"/>
      <c r="E41" s="269"/>
      <c r="F41" s="270"/>
      <c r="G41" s="252"/>
      <c r="H41" s="252"/>
      <c r="I41" s="253"/>
      <c r="J41" s="254"/>
      <c r="K41" s="253"/>
      <c r="L41" s="254"/>
      <c r="M41" s="253"/>
      <c r="N41" s="254"/>
      <c r="O41" s="253"/>
      <c r="P41" s="254"/>
      <c r="Q41" s="253"/>
      <c r="R41" s="255"/>
      <c r="S41" s="253"/>
      <c r="T41" s="255"/>
      <c r="U41" s="253"/>
      <c r="V41" s="255"/>
      <c r="W41" s="256"/>
      <c r="X41" s="254"/>
      <c r="Y41" s="254"/>
      <c r="Z41" s="257"/>
      <c r="AA41" s="258"/>
      <c r="AB41" s="258"/>
      <c r="AC41" s="259"/>
      <c r="AD41" s="258"/>
      <c r="AE41" s="258"/>
      <c r="AF41" s="257"/>
      <c r="AG41" s="254"/>
      <c r="AH41" s="258"/>
      <c r="AI41" s="258"/>
      <c r="AJ41" s="258"/>
      <c r="AK41" s="258"/>
      <c r="AL41" s="258"/>
      <c r="AM41" s="258"/>
      <c r="AN41" s="258"/>
      <c r="AO41" s="260"/>
      <c r="AP41" s="261"/>
    </row>
    <row r="42" spans="1:42" s="262" customFormat="1" ht="22.5" customHeight="1" x14ac:dyDescent="0.25">
      <c r="A42" s="251"/>
      <c r="B42" s="268"/>
      <c r="C42" s="269"/>
      <c r="D42" s="269"/>
      <c r="E42" s="269"/>
      <c r="F42" s="270"/>
      <c r="G42" s="252"/>
      <c r="H42" s="252"/>
      <c r="I42" s="253"/>
      <c r="J42" s="254"/>
      <c r="K42" s="253"/>
      <c r="L42" s="254"/>
      <c r="M42" s="253"/>
      <c r="N42" s="254"/>
      <c r="O42" s="253"/>
      <c r="P42" s="254"/>
      <c r="Q42" s="253"/>
      <c r="R42" s="255"/>
      <c r="S42" s="253"/>
      <c r="T42" s="255"/>
      <c r="U42" s="253"/>
      <c r="V42" s="255"/>
      <c r="W42" s="256"/>
      <c r="X42" s="254"/>
      <c r="Y42" s="254"/>
      <c r="Z42" s="257"/>
      <c r="AA42" s="258"/>
      <c r="AB42" s="258"/>
      <c r="AC42" s="259"/>
      <c r="AD42" s="258"/>
      <c r="AE42" s="258"/>
      <c r="AF42" s="257"/>
      <c r="AG42" s="254"/>
      <c r="AH42" s="258"/>
      <c r="AI42" s="258"/>
      <c r="AJ42" s="258"/>
      <c r="AK42" s="258"/>
      <c r="AL42" s="258"/>
      <c r="AM42" s="258"/>
      <c r="AN42" s="258"/>
      <c r="AO42" s="260"/>
      <c r="AP42" s="261"/>
    </row>
    <row r="43" spans="1:42" s="262" customFormat="1" ht="22.5" customHeight="1" x14ac:dyDescent="0.25">
      <c r="A43" s="251"/>
      <c r="B43" s="268"/>
      <c r="C43" s="269"/>
      <c r="D43" s="269"/>
      <c r="E43" s="269"/>
      <c r="F43" s="270"/>
      <c r="G43" s="252"/>
      <c r="H43" s="252"/>
      <c r="I43" s="253"/>
      <c r="J43" s="254"/>
      <c r="K43" s="253"/>
      <c r="L43" s="254"/>
      <c r="M43" s="253"/>
      <c r="N43" s="254"/>
      <c r="O43" s="253"/>
      <c r="P43" s="254"/>
      <c r="Q43" s="253"/>
      <c r="R43" s="255"/>
      <c r="S43" s="253"/>
      <c r="T43" s="255"/>
      <c r="U43" s="253"/>
      <c r="V43" s="255"/>
      <c r="W43" s="256"/>
      <c r="X43" s="254"/>
      <c r="Y43" s="254"/>
      <c r="Z43" s="257"/>
      <c r="AA43" s="258"/>
      <c r="AB43" s="258"/>
      <c r="AC43" s="259"/>
      <c r="AD43" s="258"/>
      <c r="AE43" s="258"/>
      <c r="AF43" s="257"/>
      <c r="AG43" s="254"/>
      <c r="AH43" s="258"/>
      <c r="AI43" s="258"/>
      <c r="AJ43" s="258"/>
      <c r="AK43" s="258"/>
      <c r="AL43" s="258"/>
      <c r="AM43" s="258"/>
      <c r="AN43" s="258"/>
      <c r="AO43" s="260"/>
      <c r="AP43" s="261"/>
    </row>
    <row r="44" spans="1:42" s="262" customFormat="1" ht="22.5" customHeight="1" x14ac:dyDescent="0.25">
      <c r="A44" s="251"/>
      <c r="B44" s="268"/>
      <c r="C44" s="269"/>
      <c r="D44" s="269"/>
      <c r="E44" s="269"/>
      <c r="F44" s="270"/>
      <c r="G44" s="252"/>
      <c r="H44" s="252"/>
      <c r="I44" s="253"/>
      <c r="J44" s="254"/>
      <c r="K44" s="253"/>
      <c r="L44" s="254"/>
      <c r="M44" s="253"/>
      <c r="N44" s="254"/>
      <c r="O44" s="253"/>
      <c r="P44" s="254"/>
      <c r="Q44" s="253"/>
      <c r="R44" s="255"/>
      <c r="S44" s="253"/>
      <c r="T44" s="255"/>
      <c r="U44" s="253"/>
      <c r="V44" s="255"/>
      <c r="W44" s="256"/>
      <c r="X44" s="254"/>
      <c r="Y44" s="254"/>
      <c r="Z44" s="257"/>
      <c r="AA44" s="258"/>
      <c r="AB44" s="258"/>
      <c r="AC44" s="259"/>
      <c r="AD44" s="258"/>
      <c r="AE44" s="258"/>
      <c r="AF44" s="257"/>
      <c r="AG44" s="254"/>
      <c r="AH44" s="258"/>
      <c r="AI44" s="258"/>
      <c r="AJ44" s="258"/>
      <c r="AK44" s="258"/>
      <c r="AL44" s="258"/>
      <c r="AM44" s="258"/>
      <c r="AN44" s="258"/>
      <c r="AO44" s="260"/>
      <c r="AP44" s="261"/>
    </row>
    <row r="45" spans="1:42" s="262" customFormat="1" ht="22.5" customHeight="1" x14ac:dyDescent="0.25">
      <c r="A45" s="251"/>
      <c r="B45" s="268"/>
      <c r="C45" s="269"/>
      <c r="D45" s="269"/>
      <c r="E45" s="269"/>
      <c r="F45" s="270"/>
      <c r="G45" s="252"/>
      <c r="H45" s="252"/>
      <c r="I45" s="253"/>
      <c r="J45" s="254"/>
      <c r="K45" s="253"/>
      <c r="L45" s="254"/>
      <c r="M45" s="253"/>
      <c r="N45" s="254"/>
      <c r="O45" s="253"/>
      <c r="P45" s="254"/>
      <c r="Q45" s="253"/>
      <c r="R45" s="255"/>
      <c r="S45" s="253"/>
      <c r="T45" s="255"/>
      <c r="U45" s="253"/>
      <c r="V45" s="255"/>
      <c r="W45" s="256"/>
      <c r="X45" s="254"/>
      <c r="Y45" s="254"/>
      <c r="Z45" s="257"/>
      <c r="AA45" s="258"/>
      <c r="AB45" s="258"/>
      <c r="AC45" s="259"/>
      <c r="AD45" s="258"/>
      <c r="AE45" s="258"/>
      <c r="AF45" s="257"/>
      <c r="AG45" s="254"/>
      <c r="AH45" s="258"/>
      <c r="AI45" s="258"/>
      <c r="AJ45" s="258"/>
      <c r="AK45" s="258"/>
      <c r="AL45" s="258"/>
      <c r="AM45" s="258"/>
      <c r="AN45" s="258"/>
      <c r="AO45" s="260"/>
      <c r="AP45" s="261"/>
    </row>
    <row r="46" spans="1:42" s="262" customFormat="1" ht="22.5" customHeight="1" x14ac:dyDescent="0.25">
      <c r="A46" s="251"/>
      <c r="B46" s="268"/>
      <c r="C46" s="269"/>
      <c r="D46" s="269"/>
      <c r="E46" s="269"/>
      <c r="F46" s="270"/>
      <c r="G46" s="252"/>
      <c r="H46" s="252"/>
      <c r="I46" s="253"/>
      <c r="J46" s="254"/>
      <c r="K46" s="253"/>
      <c r="L46" s="254"/>
      <c r="M46" s="253"/>
      <c r="N46" s="254"/>
      <c r="O46" s="253"/>
      <c r="P46" s="254"/>
      <c r="Q46" s="253"/>
      <c r="R46" s="255"/>
      <c r="S46" s="253"/>
      <c r="T46" s="255"/>
      <c r="U46" s="253"/>
      <c r="V46" s="255"/>
      <c r="W46" s="256"/>
      <c r="X46" s="254"/>
      <c r="Y46" s="254"/>
      <c r="Z46" s="257"/>
      <c r="AA46" s="258"/>
      <c r="AB46" s="258"/>
      <c r="AC46" s="259"/>
      <c r="AD46" s="258"/>
      <c r="AE46" s="258"/>
      <c r="AF46" s="257"/>
      <c r="AG46" s="254"/>
      <c r="AH46" s="258"/>
      <c r="AI46" s="258"/>
      <c r="AJ46" s="258"/>
      <c r="AK46" s="258"/>
      <c r="AL46" s="258"/>
      <c r="AM46" s="258"/>
      <c r="AN46" s="258"/>
      <c r="AO46" s="260"/>
      <c r="AP46" s="261"/>
    </row>
    <row r="47" spans="1:42" s="262" customFormat="1" ht="22.5" customHeight="1" x14ac:dyDescent="0.25">
      <c r="A47" s="251"/>
      <c r="B47" s="268"/>
      <c r="C47" s="269"/>
      <c r="D47" s="269"/>
      <c r="E47" s="269"/>
      <c r="F47" s="270"/>
      <c r="G47" s="252"/>
      <c r="H47" s="252"/>
      <c r="I47" s="253"/>
      <c r="J47" s="254"/>
      <c r="K47" s="253"/>
      <c r="L47" s="254"/>
      <c r="M47" s="253"/>
      <c r="N47" s="254"/>
      <c r="O47" s="253"/>
      <c r="P47" s="254"/>
      <c r="Q47" s="253"/>
      <c r="R47" s="255"/>
      <c r="S47" s="253"/>
      <c r="T47" s="255"/>
      <c r="U47" s="253"/>
      <c r="V47" s="255"/>
      <c r="W47" s="256"/>
      <c r="X47" s="254"/>
      <c r="Y47" s="254"/>
      <c r="Z47" s="257"/>
      <c r="AA47" s="258"/>
      <c r="AB47" s="258"/>
      <c r="AC47" s="259"/>
      <c r="AD47" s="258"/>
      <c r="AE47" s="258"/>
      <c r="AF47" s="257"/>
      <c r="AG47" s="254"/>
      <c r="AH47" s="258"/>
      <c r="AI47" s="258"/>
      <c r="AJ47" s="258"/>
      <c r="AK47" s="258"/>
      <c r="AL47" s="258"/>
      <c r="AM47" s="258"/>
      <c r="AN47" s="258"/>
      <c r="AO47" s="260"/>
      <c r="AP47" s="261"/>
    </row>
    <row r="48" spans="1:42" s="262" customFormat="1" ht="22.5" customHeight="1" x14ac:dyDescent="0.25">
      <c r="A48" s="251"/>
      <c r="B48" s="268"/>
      <c r="C48" s="269"/>
      <c r="D48" s="269"/>
      <c r="E48" s="269"/>
      <c r="F48" s="270"/>
      <c r="G48" s="252"/>
      <c r="H48" s="252"/>
      <c r="I48" s="253"/>
      <c r="J48" s="254"/>
      <c r="K48" s="253"/>
      <c r="L48" s="254"/>
      <c r="M48" s="253"/>
      <c r="N48" s="254"/>
      <c r="O48" s="253"/>
      <c r="P48" s="254"/>
      <c r="Q48" s="253"/>
      <c r="R48" s="255"/>
      <c r="S48" s="253"/>
      <c r="T48" s="255"/>
      <c r="U48" s="253"/>
      <c r="V48" s="255"/>
      <c r="W48" s="256"/>
      <c r="X48" s="254"/>
      <c r="Y48" s="254"/>
      <c r="Z48" s="257"/>
      <c r="AA48" s="258"/>
      <c r="AB48" s="258"/>
      <c r="AC48" s="259"/>
      <c r="AD48" s="258"/>
      <c r="AE48" s="258"/>
      <c r="AF48" s="257"/>
      <c r="AG48" s="254"/>
      <c r="AH48" s="258"/>
      <c r="AI48" s="258"/>
      <c r="AJ48" s="258"/>
      <c r="AK48" s="258"/>
      <c r="AL48" s="258"/>
      <c r="AM48" s="258"/>
      <c r="AN48" s="258"/>
      <c r="AO48" s="260"/>
      <c r="AP48" s="261"/>
    </row>
    <row r="49" spans="1:42" s="262" customFormat="1" ht="22.5" customHeight="1" x14ac:dyDescent="0.25">
      <c r="A49" s="251"/>
      <c r="B49" s="268"/>
      <c r="C49" s="269"/>
      <c r="D49" s="269"/>
      <c r="E49" s="269"/>
      <c r="F49" s="270"/>
      <c r="G49" s="252"/>
      <c r="H49" s="252"/>
      <c r="I49" s="253"/>
      <c r="J49" s="254"/>
      <c r="K49" s="253"/>
      <c r="L49" s="254"/>
      <c r="M49" s="253"/>
      <c r="N49" s="254"/>
      <c r="O49" s="253"/>
      <c r="P49" s="254"/>
      <c r="Q49" s="253"/>
      <c r="R49" s="255"/>
      <c r="S49" s="253"/>
      <c r="T49" s="255"/>
      <c r="U49" s="253"/>
      <c r="V49" s="255"/>
      <c r="W49" s="256"/>
      <c r="X49" s="254"/>
      <c r="Y49" s="254"/>
      <c r="Z49" s="257"/>
      <c r="AA49" s="258"/>
      <c r="AB49" s="258"/>
      <c r="AC49" s="259"/>
      <c r="AD49" s="258"/>
      <c r="AE49" s="258"/>
      <c r="AF49" s="257"/>
      <c r="AG49" s="254"/>
      <c r="AH49" s="258"/>
      <c r="AI49" s="258"/>
      <c r="AJ49" s="258"/>
      <c r="AK49" s="258"/>
      <c r="AL49" s="258"/>
      <c r="AM49" s="258"/>
      <c r="AN49" s="258"/>
      <c r="AO49" s="260"/>
      <c r="AP49" s="261"/>
    </row>
    <row r="50" spans="1:42" s="262" customFormat="1" ht="22.5" customHeight="1" x14ac:dyDescent="0.25">
      <c r="A50" s="251"/>
      <c r="B50" s="268"/>
      <c r="C50" s="269"/>
      <c r="D50" s="269"/>
      <c r="E50" s="269"/>
      <c r="F50" s="270"/>
      <c r="G50" s="252"/>
      <c r="H50" s="252"/>
      <c r="I50" s="253"/>
      <c r="J50" s="254"/>
      <c r="K50" s="253"/>
      <c r="L50" s="254"/>
      <c r="M50" s="253"/>
      <c r="N50" s="254"/>
      <c r="O50" s="253"/>
      <c r="P50" s="254"/>
      <c r="Q50" s="253"/>
      <c r="R50" s="255"/>
      <c r="S50" s="253"/>
      <c r="T50" s="255"/>
      <c r="U50" s="253"/>
      <c r="V50" s="255"/>
      <c r="W50" s="256"/>
      <c r="X50" s="254"/>
      <c r="Y50" s="254"/>
      <c r="Z50" s="257"/>
      <c r="AA50" s="258"/>
      <c r="AB50" s="258"/>
      <c r="AC50" s="259"/>
      <c r="AD50" s="258"/>
      <c r="AE50" s="258"/>
      <c r="AF50" s="257"/>
      <c r="AG50" s="254"/>
      <c r="AH50" s="258"/>
      <c r="AI50" s="258"/>
      <c r="AJ50" s="258"/>
      <c r="AK50" s="258"/>
      <c r="AL50" s="258"/>
      <c r="AM50" s="258"/>
      <c r="AN50" s="258"/>
      <c r="AO50" s="260"/>
      <c r="AP50" s="261"/>
    </row>
    <row r="51" spans="1:42" s="262" customFormat="1" ht="22.5" customHeight="1" x14ac:dyDescent="0.25">
      <c r="A51" s="251"/>
      <c r="B51" s="268"/>
      <c r="C51" s="269"/>
      <c r="D51" s="269"/>
      <c r="E51" s="269"/>
      <c r="F51" s="270"/>
      <c r="G51" s="252"/>
      <c r="H51" s="252"/>
      <c r="I51" s="253"/>
      <c r="J51" s="254"/>
      <c r="K51" s="253"/>
      <c r="L51" s="254"/>
      <c r="M51" s="253"/>
      <c r="N51" s="254"/>
      <c r="O51" s="253"/>
      <c r="P51" s="254"/>
      <c r="Q51" s="253"/>
      <c r="R51" s="255"/>
      <c r="S51" s="253"/>
      <c r="T51" s="255"/>
      <c r="U51" s="253"/>
      <c r="V51" s="255"/>
      <c r="W51" s="256"/>
      <c r="X51" s="254"/>
      <c r="Y51" s="254"/>
      <c r="Z51" s="257"/>
      <c r="AA51" s="258"/>
      <c r="AB51" s="258"/>
      <c r="AC51" s="259"/>
      <c r="AD51" s="258"/>
      <c r="AE51" s="258"/>
      <c r="AF51" s="257"/>
      <c r="AG51" s="254"/>
      <c r="AH51" s="258"/>
      <c r="AI51" s="258"/>
      <c r="AJ51" s="258"/>
      <c r="AK51" s="258"/>
      <c r="AL51" s="258"/>
      <c r="AM51" s="258"/>
      <c r="AN51" s="258"/>
      <c r="AO51" s="260"/>
      <c r="AP51" s="261"/>
    </row>
    <row r="52" spans="1:42" s="262" customFormat="1" ht="22.5" customHeight="1" x14ac:dyDescent="0.25">
      <c r="A52" s="251"/>
      <c r="B52" s="268"/>
      <c r="C52" s="269"/>
      <c r="D52" s="269"/>
      <c r="E52" s="269"/>
      <c r="F52" s="270"/>
      <c r="G52" s="252"/>
      <c r="H52" s="252"/>
      <c r="I52" s="253"/>
      <c r="J52" s="254"/>
      <c r="K52" s="253"/>
      <c r="L52" s="254"/>
      <c r="M52" s="253"/>
      <c r="N52" s="254"/>
      <c r="O52" s="253"/>
      <c r="P52" s="254"/>
      <c r="Q52" s="253"/>
      <c r="R52" s="255"/>
      <c r="S52" s="253"/>
      <c r="T52" s="255"/>
      <c r="U52" s="253"/>
      <c r="V52" s="255"/>
      <c r="W52" s="256"/>
      <c r="X52" s="254"/>
      <c r="Y52" s="254"/>
      <c r="Z52" s="257"/>
      <c r="AA52" s="258"/>
      <c r="AB52" s="258"/>
      <c r="AC52" s="259"/>
      <c r="AD52" s="258"/>
      <c r="AE52" s="258"/>
      <c r="AF52" s="257"/>
      <c r="AG52" s="254"/>
      <c r="AH52" s="258"/>
      <c r="AI52" s="258"/>
      <c r="AJ52" s="258"/>
      <c r="AK52" s="258"/>
      <c r="AL52" s="258"/>
      <c r="AM52" s="258"/>
      <c r="AN52" s="258"/>
      <c r="AO52" s="260"/>
      <c r="AP52" s="261"/>
    </row>
    <row r="53" spans="1:42" s="262" customFormat="1" ht="22.5" customHeight="1" x14ac:dyDescent="0.25">
      <c r="A53" s="251"/>
      <c r="B53" s="268"/>
      <c r="C53" s="269"/>
      <c r="D53" s="269"/>
      <c r="E53" s="269"/>
      <c r="F53" s="270"/>
      <c r="G53" s="252"/>
      <c r="H53" s="252"/>
      <c r="I53" s="253"/>
      <c r="J53" s="254"/>
      <c r="K53" s="253"/>
      <c r="L53" s="254"/>
      <c r="M53" s="253"/>
      <c r="N53" s="254"/>
      <c r="O53" s="253"/>
      <c r="P53" s="254"/>
      <c r="Q53" s="253"/>
      <c r="R53" s="255"/>
      <c r="S53" s="253"/>
      <c r="T53" s="255"/>
      <c r="U53" s="253"/>
      <c r="V53" s="255"/>
      <c r="W53" s="256"/>
      <c r="X53" s="254"/>
      <c r="Y53" s="254"/>
      <c r="Z53" s="257"/>
      <c r="AA53" s="258"/>
      <c r="AB53" s="258"/>
      <c r="AC53" s="259"/>
      <c r="AD53" s="258"/>
      <c r="AE53" s="258"/>
      <c r="AF53" s="257"/>
      <c r="AG53" s="254"/>
      <c r="AH53" s="258"/>
      <c r="AI53" s="258"/>
      <c r="AJ53" s="258"/>
      <c r="AK53" s="258"/>
      <c r="AL53" s="258"/>
      <c r="AM53" s="258"/>
      <c r="AN53" s="258"/>
      <c r="AO53" s="260"/>
      <c r="AP53" s="261"/>
    </row>
    <row r="54" spans="1:42" s="262" customFormat="1" ht="22.5" customHeight="1" x14ac:dyDescent="0.25">
      <c r="A54" s="251"/>
      <c r="B54" s="268"/>
      <c r="C54" s="269"/>
      <c r="D54" s="269"/>
      <c r="E54" s="269"/>
      <c r="F54" s="270"/>
      <c r="G54" s="252"/>
      <c r="H54" s="252"/>
      <c r="I54" s="253"/>
      <c r="J54" s="254"/>
      <c r="K54" s="253"/>
      <c r="L54" s="254"/>
      <c r="M54" s="253"/>
      <c r="N54" s="254"/>
      <c r="O54" s="253"/>
      <c r="P54" s="254"/>
      <c r="Q54" s="253"/>
      <c r="R54" s="255"/>
      <c r="S54" s="253"/>
      <c r="T54" s="255"/>
      <c r="U54" s="253"/>
      <c r="V54" s="255"/>
      <c r="W54" s="256"/>
      <c r="X54" s="254"/>
      <c r="Y54" s="254"/>
      <c r="Z54" s="257"/>
      <c r="AA54" s="258"/>
      <c r="AB54" s="258"/>
      <c r="AC54" s="259"/>
      <c r="AD54" s="258"/>
      <c r="AE54" s="258"/>
      <c r="AF54" s="257"/>
      <c r="AG54" s="254"/>
      <c r="AH54" s="258"/>
      <c r="AI54" s="258"/>
      <c r="AJ54" s="258"/>
      <c r="AK54" s="258"/>
      <c r="AL54" s="258"/>
      <c r="AM54" s="258"/>
      <c r="AN54" s="258"/>
      <c r="AO54" s="260"/>
      <c r="AP54" s="261"/>
    </row>
    <row r="55" spans="1:42" s="262" customFormat="1" ht="22.5" customHeight="1" x14ac:dyDescent="0.25">
      <c r="A55" s="251"/>
      <c r="B55" s="268"/>
      <c r="C55" s="269"/>
      <c r="D55" s="269"/>
      <c r="E55" s="269"/>
      <c r="F55" s="270"/>
      <c r="G55" s="252"/>
      <c r="H55" s="252"/>
      <c r="I55" s="253"/>
      <c r="J55" s="254"/>
      <c r="K55" s="253"/>
      <c r="L55" s="254"/>
      <c r="M55" s="253"/>
      <c r="N55" s="254"/>
      <c r="O55" s="253"/>
      <c r="P55" s="254"/>
      <c r="Q55" s="253"/>
      <c r="R55" s="255"/>
      <c r="S55" s="253"/>
      <c r="T55" s="255"/>
      <c r="U55" s="253"/>
      <c r="V55" s="255"/>
      <c r="W55" s="256"/>
      <c r="X55" s="254"/>
      <c r="Y55" s="254"/>
      <c r="Z55" s="257"/>
      <c r="AA55" s="258"/>
      <c r="AB55" s="258"/>
      <c r="AC55" s="259"/>
      <c r="AD55" s="258"/>
      <c r="AE55" s="258"/>
      <c r="AF55" s="257"/>
      <c r="AG55" s="254"/>
      <c r="AH55" s="258"/>
      <c r="AI55" s="258"/>
      <c r="AJ55" s="258"/>
      <c r="AK55" s="258"/>
      <c r="AL55" s="258"/>
      <c r="AM55" s="258"/>
      <c r="AN55" s="258"/>
      <c r="AO55" s="260"/>
      <c r="AP55" s="261"/>
    </row>
    <row r="56" spans="1:42" s="262" customFormat="1" ht="22.5" customHeight="1" x14ac:dyDescent="0.25">
      <c r="A56" s="251"/>
      <c r="B56" s="268"/>
      <c r="C56" s="269"/>
      <c r="D56" s="269"/>
      <c r="E56" s="269"/>
      <c r="F56" s="270"/>
      <c r="G56" s="252"/>
      <c r="H56" s="252"/>
      <c r="I56" s="253"/>
      <c r="J56" s="254"/>
      <c r="K56" s="253"/>
      <c r="L56" s="254"/>
      <c r="M56" s="253"/>
      <c r="N56" s="254"/>
      <c r="O56" s="253"/>
      <c r="P56" s="254"/>
      <c r="Q56" s="253"/>
      <c r="R56" s="255"/>
      <c r="S56" s="253"/>
      <c r="T56" s="255"/>
      <c r="U56" s="253"/>
      <c r="V56" s="255"/>
      <c r="W56" s="256"/>
      <c r="X56" s="254"/>
      <c r="Y56" s="254"/>
      <c r="Z56" s="257"/>
      <c r="AA56" s="258"/>
      <c r="AB56" s="258"/>
      <c r="AC56" s="259"/>
      <c r="AD56" s="258"/>
      <c r="AE56" s="258"/>
      <c r="AF56" s="257"/>
      <c r="AG56" s="254"/>
      <c r="AH56" s="258"/>
      <c r="AI56" s="258"/>
      <c r="AJ56" s="258"/>
      <c r="AK56" s="258"/>
      <c r="AL56" s="258"/>
      <c r="AM56" s="258"/>
      <c r="AN56" s="258"/>
      <c r="AO56" s="260"/>
      <c r="AP56" s="261"/>
    </row>
    <row r="57" spans="1:42" s="262" customFormat="1" ht="22.5" customHeight="1" x14ac:dyDescent="0.25">
      <c r="A57" s="251"/>
      <c r="B57" s="268"/>
      <c r="C57" s="269"/>
      <c r="D57" s="269"/>
      <c r="E57" s="269"/>
      <c r="F57" s="270"/>
      <c r="G57" s="252"/>
      <c r="H57" s="252"/>
      <c r="I57" s="253"/>
      <c r="J57" s="254"/>
      <c r="K57" s="253"/>
      <c r="L57" s="254"/>
      <c r="M57" s="253"/>
      <c r="N57" s="254"/>
      <c r="O57" s="253"/>
      <c r="P57" s="254"/>
      <c r="Q57" s="253"/>
      <c r="R57" s="255"/>
      <c r="S57" s="253"/>
      <c r="T57" s="255"/>
      <c r="U57" s="253"/>
      <c r="V57" s="255"/>
      <c r="W57" s="256"/>
      <c r="X57" s="254"/>
      <c r="Y57" s="254"/>
      <c r="Z57" s="257"/>
      <c r="AA57" s="258"/>
      <c r="AB57" s="258"/>
      <c r="AC57" s="259"/>
      <c r="AD57" s="258"/>
      <c r="AE57" s="258"/>
      <c r="AF57" s="257"/>
      <c r="AG57" s="254"/>
      <c r="AH57" s="258"/>
      <c r="AI57" s="258"/>
      <c r="AJ57" s="258"/>
      <c r="AK57" s="258"/>
      <c r="AL57" s="258"/>
      <c r="AM57" s="258"/>
      <c r="AN57" s="258"/>
      <c r="AO57" s="260"/>
      <c r="AP57" s="261"/>
    </row>
    <row r="58" spans="1:42" s="262" customFormat="1" ht="22.5" customHeight="1" x14ac:dyDescent="0.25">
      <c r="A58" s="251"/>
      <c r="B58" s="268"/>
      <c r="C58" s="269"/>
      <c r="D58" s="269"/>
      <c r="E58" s="269"/>
      <c r="F58" s="270"/>
      <c r="G58" s="252"/>
      <c r="H58" s="252"/>
      <c r="I58" s="253"/>
      <c r="J58" s="254"/>
      <c r="K58" s="253"/>
      <c r="L58" s="254"/>
      <c r="M58" s="253"/>
      <c r="N58" s="254"/>
      <c r="O58" s="253"/>
      <c r="P58" s="254"/>
      <c r="Q58" s="253"/>
      <c r="R58" s="255"/>
      <c r="S58" s="253"/>
      <c r="T58" s="255"/>
      <c r="U58" s="253"/>
      <c r="V58" s="255"/>
      <c r="W58" s="256"/>
      <c r="X58" s="254"/>
      <c r="Y58" s="254"/>
      <c r="Z58" s="257"/>
      <c r="AA58" s="258"/>
      <c r="AB58" s="258"/>
      <c r="AC58" s="259"/>
      <c r="AD58" s="258"/>
      <c r="AE58" s="258"/>
      <c r="AF58" s="257"/>
      <c r="AG58" s="254"/>
      <c r="AH58" s="258"/>
      <c r="AI58" s="258"/>
      <c r="AJ58" s="258"/>
      <c r="AK58" s="258"/>
      <c r="AL58" s="258"/>
      <c r="AM58" s="258"/>
      <c r="AN58" s="258"/>
      <c r="AO58" s="260"/>
      <c r="AP58" s="261"/>
    </row>
    <row r="59" spans="1:42" s="262" customFormat="1" ht="22.5" customHeight="1" x14ac:dyDescent="0.25">
      <c r="A59" s="251"/>
      <c r="B59" s="268"/>
      <c r="C59" s="269"/>
      <c r="D59" s="269"/>
      <c r="E59" s="269"/>
      <c r="F59" s="270"/>
      <c r="G59" s="252"/>
      <c r="H59" s="252"/>
      <c r="I59" s="253"/>
      <c r="J59" s="254"/>
      <c r="K59" s="253"/>
      <c r="L59" s="254"/>
      <c r="M59" s="253"/>
      <c r="N59" s="254"/>
      <c r="O59" s="253"/>
      <c r="P59" s="254"/>
      <c r="Q59" s="253"/>
      <c r="R59" s="255"/>
      <c r="S59" s="253"/>
      <c r="T59" s="255"/>
      <c r="U59" s="253"/>
      <c r="V59" s="255"/>
      <c r="W59" s="256"/>
      <c r="X59" s="254"/>
      <c r="Y59" s="254"/>
      <c r="Z59" s="257"/>
      <c r="AA59" s="258"/>
      <c r="AB59" s="258"/>
      <c r="AC59" s="259"/>
      <c r="AD59" s="258"/>
      <c r="AE59" s="258"/>
      <c r="AF59" s="257"/>
      <c r="AG59" s="254"/>
      <c r="AH59" s="258"/>
      <c r="AI59" s="258"/>
      <c r="AJ59" s="258"/>
      <c r="AK59" s="258"/>
      <c r="AL59" s="258"/>
      <c r="AM59" s="258"/>
      <c r="AN59" s="258"/>
      <c r="AO59" s="260"/>
      <c r="AP59" s="261"/>
    </row>
    <row r="60" spans="1:42" s="262" customFormat="1" ht="22.5" customHeight="1" x14ac:dyDescent="0.25">
      <c r="A60" s="251"/>
      <c r="B60" s="268"/>
      <c r="C60" s="269"/>
      <c r="D60" s="269"/>
      <c r="E60" s="269"/>
      <c r="F60" s="270"/>
      <c r="G60" s="252"/>
      <c r="H60" s="252"/>
      <c r="I60" s="253"/>
      <c r="J60" s="254"/>
      <c r="K60" s="253"/>
      <c r="L60" s="254"/>
      <c r="M60" s="253"/>
      <c r="N60" s="254"/>
      <c r="O60" s="253"/>
      <c r="P60" s="254"/>
      <c r="Q60" s="253"/>
      <c r="R60" s="255"/>
      <c r="S60" s="253"/>
      <c r="T60" s="255"/>
      <c r="U60" s="253"/>
      <c r="V60" s="255"/>
      <c r="W60" s="256"/>
      <c r="X60" s="254"/>
      <c r="Y60" s="254"/>
      <c r="Z60" s="257"/>
      <c r="AA60" s="258"/>
      <c r="AB60" s="258"/>
      <c r="AC60" s="259"/>
      <c r="AD60" s="258"/>
      <c r="AE60" s="258"/>
      <c r="AF60" s="257"/>
      <c r="AG60" s="254"/>
      <c r="AH60" s="258"/>
      <c r="AI60" s="258"/>
      <c r="AJ60" s="258"/>
      <c r="AK60" s="258"/>
      <c r="AL60" s="258"/>
      <c r="AM60" s="258"/>
      <c r="AN60" s="258"/>
      <c r="AO60" s="260"/>
      <c r="AP60" s="261"/>
    </row>
    <row r="61" spans="1:42" s="262" customFormat="1" ht="22.5" customHeight="1" x14ac:dyDescent="0.25">
      <c r="A61" s="251"/>
      <c r="B61" s="268"/>
      <c r="C61" s="269"/>
      <c r="D61" s="269"/>
      <c r="E61" s="269"/>
      <c r="F61" s="270"/>
      <c r="G61" s="252"/>
      <c r="H61" s="252"/>
      <c r="I61" s="253"/>
      <c r="J61" s="254"/>
      <c r="K61" s="253"/>
      <c r="L61" s="254"/>
      <c r="M61" s="253"/>
      <c r="N61" s="254"/>
      <c r="O61" s="253"/>
      <c r="P61" s="254"/>
      <c r="Q61" s="253"/>
      <c r="R61" s="255"/>
      <c r="S61" s="253"/>
      <c r="T61" s="255"/>
      <c r="U61" s="253"/>
      <c r="V61" s="255"/>
      <c r="W61" s="256"/>
      <c r="X61" s="254"/>
      <c r="Y61" s="254"/>
      <c r="Z61" s="257"/>
      <c r="AA61" s="258"/>
      <c r="AB61" s="258"/>
      <c r="AC61" s="259"/>
      <c r="AD61" s="258"/>
      <c r="AE61" s="258"/>
      <c r="AF61" s="257"/>
      <c r="AG61" s="254"/>
      <c r="AH61" s="258"/>
      <c r="AI61" s="258"/>
      <c r="AJ61" s="258"/>
      <c r="AK61" s="258"/>
      <c r="AL61" s="258"/>
      <c r="AM61" s="258"/>
      <c r="AN61" s="258"/>
      <c r="AO61" s="260"/>
      <c r="AP61" s="261"/>
    </row>
    <row r="62" spans="1:42" s="262" customFormat="1" ht="22.5" customHeight="1" x14ac:dyDescent="0.25">
      <c r="A62" s="251"/>
      <c r="B62" s="268"/>
      <c r="C62" s="269"/>
      <c r="D62" s="269"/>
      <c r="E62" s="269"/>
      <c r="F62" s="270"/>
      <c r="G62" s="252"/>
      <c r="H62" s="252"/>
      <c r="I62" s="253"/>
      <c r="J62" s="254"/>
      <c r="K62" s="253"/>
      <c r="L62" s="254"/>
      <c r="M62" s="253"/>
      <c r="N62" s="254"/>
      <c r="O62" s="253"/>
      <c r="P62" s="254"/>
      <c r="Q62" s="253"/>
      <c r="R62" s="255"/>
      <c r="S62" s="253"/>
      <c r="T62" s="255"/>
      <c r="U62" s="253"/>
      <c r="V62" s="255"/>
      <c r="W62" s="256"/>
      <c r="X62" s="254"/>
      <c r="Y62" s="254"/>
      <c r="Z62" s="257"/>
      <c r="AA62" s="258"/>
      <c r="AB62" s="258"/>
      <c r="AC62" s="259"/>
      <c r="AD62" s="258"/>
      <c r="AE62" s="258"/>
      <c r="AF62" s="257"/>
      <c r="AG62" s="254"/>
      <c r="AH62" s="258"/>
      <c r="AI62" s="258"/>
      <c r="AJ62" s="258"/>
      <c r="AK62" s="258"/>
      <c r="AL62" s="258"/>
      <c r="AM62" s="258"/>
      <c r="AN62" s="258"/>
      <c r="AO62" s="260"/>
      <c r="AP62" s="261"/>
    </row>
    <row r="63" spans="1:42" s="262" customFormat="1" ht="22.5" customHeight="1" x14ac:dyDescent="0.25">
      <c r="A63" s="251"/>
      <c r="B63" s="268"/>
      <c r="C63" s="269"/>
      <c r="D63" s="269"/>
      <c r="E63" s="269"/>
      <c r="F63" s="270"/>
      <c r="G63" s="252"/>
      <c r="H63" s="252"/>
      <c r="I63" s="253"/>
      <c r="J63" s="254"/>
      <c r="K63" s="253"/>
      <c r="L63" s="254"/>
      <c r="M63" s="253"/>
      <c r="N63" s="254"/>
      <c r="O63" s="253"/>
      <c r="P63" s="254"/>
      <c r="Q63" s="253"/>
      <c r="R63" s="255"/>
      <c r="S63" s="253"/>
      <c r="T63" s="255"/>
      <c r="U63" s="253"/>
      <c r="V63" s="255"/>
      <c r="W63" s="256"/>
      <c r="X63" s="254"/>
      <c r="Y63" s="254"/>
      <c r="Z63" s="257"/>
      <c r="AA63" s="258"/>
      <c r="AB63" s="258"/>
      <c r="AC63" s="259"/>
      <c r="AD63" s="258"/>
      <c r="AE63" s="258"/>
      <c r="AF63" s="257"/>
      <c r="AG63" s="254"/>
      <c r="AH63" s="258"/>
      <c r="AI63" s="258"/>
      <c r="AJ63" s="258"/>
      <c r="AK63" s="258"/>
      <c r="AL63" s="258"/>
      <c r="AM63" s="258"/>
      <c r="AN63" s="258"/>
      <c r="AO63" s="260"/>
      <c r="AP63" s="261"/>
    </row>
    <row r="64" spans="1:42" s="262" customFormat="1" ht="22.5" customHeight="1" x14ac:dyDescent="0.25">
      <c r="A64" s="251"/>
      <c r="B64" s="268"/>
      <c r="C64" s="269"/>
      <c r="D64" s="269"/>
      <c r="E64" s="269"/>
      <c r="F64" s="270"/>
      <c r="G64" s="252"/>
      <c r="H64" s="252"/>
      <c r="I64" s="253"/>
      <c r="J64" s="254"/>
      <c r="K64" s="253"/>
      <c r="L64" s="254"/>
      <c r="M64" s="253"/>
      <c r="N64" s="254"/>
      <c r="O64" s="253"/>
      <c r="P64" s="254"/>
      <c r="Q64" s="253"/>
      <c r="R64" s="255"/>
      <c r="S64" s="253"/>
      <c r="T64" s="255"/>
      <c r="U64" s="253"/>
      <c r="V64" s="255"/>
      <c r="W64" s="256"/>
      <c r="X64" s="254"/>
      <c r="Y64" s="254"/>
      <c r="Z64" s="257"/>
      <c r="AA64" s="258"/>
      <c r="AB64" s="258"/>
      <c r="AC64" s="259"/>
      <c r="AD64" s="258"/>
      <c r="AE64" s="258"/>
      <c r="AF64" s="257"/>
      <c r="AG64" s="254"/>
      <c r="AH64" s="258"/>
      <c r="AI64" s="258"/>
      <c r="AJ64" s="258"/>
      <c r="AK64" s="258"/>
      <c r="AL64" s="258"/>
      <c r="AM64" s="258"/>
      <c r="AN64" s="258"/>
      <c r="AO64" s="260"/>
      <c r="AP64" s="261"/>
    </row>
    <row r="65" spans="1:42" s="262" customFormat="1" ht="22.5" customHeight="1" x14ac:dyDescent="0.25">
      <c r="A65" s="251"/>
      <c r="B65" s="268"/>
      <c r="C65" s="269"/>
      <c r="D65" s="269"/>
      <c r="E65" s="269"/>
      <c r="F65" s="270"/>
      <c r="G65" s="252"/>
      <c r="H65" s="252"/>
      <c r="I65" s="253"/>
      <c r="J65" s="254"/>
      <c r="K65" s="253"/>
      <c r="L65" s="254"/>
      <c r="M65" s="253"/>
      <c r="N65" s="254"/>
      <c r="O65" s="253"/>
      <c r="P65" s="254"/>
      <c r="Q65" s="253"/>
      <c r="R65" s="255"/>
      <c r="S65" s="253"/>
      <c r="T65" s="255"/>
      <c r="U65" s="253"/>
      <c r="V65" s="255"/>
      <c r="W65" s="256"/>
      <c r="X65" s="254"/>
      <c r="Y65" s="254"/>
      <c r="Z65" s="257"/>
      <c r="AA65" s="258"/>
      <c r="AB65" s="258"/>
      <c r="AC65" s="259"/>
      <c r="AD65" s="258"/>
      <c r="AE65" s="258"/>
      <c r="AF65" s="257"/>
      <c r="AG65" s="254"/>
      <c r="AH65" s="258"/>
      <c r="AI65" s="258"/>
      <c r="AJ65" s="258"/>
      <c r="AK65" s="258"/>
      <c r="AL65" s="258"/>
      <c r="AM65" s="258"/>
      <c r="AN65" s="258"/>
      <c r="AO65" s="260"/>
      <c r="AP65" s="261"/>
    </row>
    <row r="66" spans="1:42" s="262" customFormat="1" ht="22.5" customHeight="1" x14ac:dyDescent="0.25">
      <c r="A66" s="251"/>
      <c r="B66" s="268"/>
      <c r="C66" s="269"/>
      <c r="D66" s="269"/>
      <c r="E66" s="269"/>
      <c r="F66" s="270"/>
      <c r="G66" s="252"/>
      <c r="H66" s="252"/>
      <c r="I66" s="253"/>
      <c r="J66" s="254"/>
      <c r="K66" s="253"/>
      <c r="L66" s="254"/>
      <c r="M66" s="253"/>
      <c r="N66" s="254"/>
      <c r="O66" s="253"/>
      <c r="P66" s="254"/>
      <c r="Q66" s="253"/>
      <c r="R66" s="255"/>
      <c r="S66" s="253"/>
      <c r="T66" s="255"/>
      <c r="U66" s="253"/>
      <c r="V66" s="255"/>
      <c r="W66" s="256"/>
      <c r="X66" s="254"/>
      <c r="Y66" s="254"/>
      <c r="Z66" s="257"/>
      <c r="AA66" s="258"/>
      <c r="AB66" s="258"/>
      <c r="AC66" s="259"/>
      <c r="AD66" s="258"/>
      <c r="AE66" s="258"/>
      <c r="AF66" s="257"/>
      <c r="AG66" s="254"/>
      <c r="AH66" s="258"/>
      <c r="AI66" s="258"/>
      <c r="AJ66" s="258"/>
      <c r="AK66" s="258"/>
      <c r="AL66" s="258"/>
      <c r="AM66" s="258"/>
      <c r="AN66" s="258"/>
      <c r="AO66" s="260"/>
      <c r="AP66" s="261"/>
    </row>
    <row r="67" spans="1:42" s="262" customFormat="1" ht="22.5" customHeight="1" x14ac:dyDescent="0.25">
      <c r="A67" s="251"/>
      <c r="B67" s="268"/>
      <c r="C67" s="269"/>
      <c r="D67" s="269"/>
      <c r="E67" s="269"/>
      <c r="F67" s="270"/>
      <c r="G67" s="252"/>
      <c r="H67" s="252"/>
      <c r="I67" s="253"/>
      <c r="J67" s="254"/>
      <c r="K67" s="253"/>
      <c r="L67" s="254"/>
      <c r="M67" s="253"/>
      <c r="N67" s="254"/>
      <c r="O67" s="253"/>
      <c r="P67" s="254"/>
      <c r="Q67" s="253"/>
      <c r="R67" s="255"/>
      <c r="S67" s="253"/>
      <c r="T67" s="255"/>
      <c r="U67" s="253"/>
      <c r="V67" s="255"/>
      <c r="W67" s="256"/>
      <c r="X67" s="254"/>
      <c r="Y67" s="254"/>
      <c r="Z67" s="257"/>
      <c r="AA67" s="258"/>
      <c r="AB67" s="258"/>
      <c r="AC67" s="259"/>
      <c r="AD67" s="258"/>
      <c r="AE67" s="258"/>
      <c r="AF67" s="257"/>
      <c r="AG67" s="254"/>
      <c r="AH67" s="258"/>
      <c r="AI67" s="258"/>
      <c r="AJ67" s="258"/>
      <c r="AK67" s="258"/>
      <c r="AL67" s="258"/>
      <c r="AM67" s="258"/>
      <c r="AN67" s="258"/>
      <c r="AO67" s="260"/>
      <c r="AP67" s="261"/>
    </row>
    <row r="68" spans="1:42" s="262" customFormat="1" ht="22.5" customHeight="1" x14ac:dyDescent="0.25">
      <c r="A68" s="251"/>
      <c r="B68" s="268"/>
      <c r="C68" s="269"/>
      <c r="D68" s="269"/>
      <c r="E68" s="269"/>
      <c r="F68" s="270"/>
      <c r="G68" s="252"/>
      <c r="H68" s="252"/>
      <c r="I68" s="253"/>
      <c r="J68" s="254"/>
      <c r="K68" s="253"/>
      <c r="L68" s="254"/>
      <c r="M68" s="253"/>
      <c r="N68" s="254"/>
      <c r="O68" s="253"/>
      <c r="P68" s="254"/>
      <c r="Q68" s="253"/>
      <c r="R68" s="255"/>
      <c r="S68" s="253"/>
      <c r="T68" s="255"/>
      <c r="U68" s="253"/>
      <c r="V68" s="255"/>
      <c r="W68" s="256"/>
      <c r="X68" s="254"/>
      <c r="Y68" s="254"/>
      <c r="Z68" s="257"/>
      <c r="AA68" s="258"/>
      <c r="AB68" s="258"/>
      <c r="AC68" s="259"/>
      <c r="AD68" s="258"/>
      <c r="AE68" s="258"/>
      <c r="AF68" s="257"/>
      <c r="AG68" s="254"/>
      <c r="AH68" s="258"/>
      <c r="AI68" s="258"/>
      <c r="AJ68" s="258"/>
      <c r="AK68" s="258"/>
      <c r="AL68" s="258"/>
      <c r="AM68" s="258"/>
      <c r="AN68" s="258"/>
      <c r="AO68" s="260"/>
      <c r="AP68" s="261"/>
    </row>
    <row r="69" spans="1:42" s="262" customFormat="1" ht="22.5" customHeight="1" x14ac:dyDescent="0.25">
      <c r="A69" s="251"/>
      <c r="B69" s="268"/>
      <c r="C69" s="269"/>
      <c r="D69" s="269"/>
      <c r="E69" s="269"/>
      <c r="F69" s="270"/>
      <c r="G69" s="252"/>
      <c r="H69" s="252"/>
      <c r="I69" s="253"/>
      <c r="J69" s="254"/>
      <c r="K69" s="253"/>
      <c r="L69" s="254"/>
      <c r="M69" s="253"/>
      <c r="N69" s="254"/>
      <c r="O69" s="253"/>
      <c r="P69" s="254"/>
      <c r="Q69" s="253"/>
      <c r="R69" s="255"/>
      <c r="S69" s="253"/>
      <c r="T69" s="255"/>
      <c r="U69" s="253"/>
      <c r="V69" s="255"/>
      <c r="W69" s="256"/>
      <c r="X69" s="254"/>
      <c r="Y69" s="254"/>
      <c r="Z69" s="257"/>
      <c r="AA69" s="258"/>
      <c r="AB69" s="258"/>
      <c r="AC69" s="259"/>
      <c r="AD69" s="258"/>
      <c r="AE69" s="258"/>
      <c r="AF69" s="257"/>
      <c r="AG69" s="254"/>
      <c r="AH69" s="258"/>
      <c r="AI69" s="258"/>
      <c r="AJ69" s="258"/>
      <c r="AK69" s="258"/>
      <c r="AL69" s="258"/>
      <c r="AM69" s="258"/>
      <c r="AN69" s="258"/>
      <c r="AO69" s="260"/>
      <c r="AP69" s="261"/>
    </row>
    <row r="70" spans="1:42" s="262" customFormat="1" ht="22.5" customHeight="1" x14ac:dyDescent="0.25">
      <c r="A70" s="251"/>
      <c r="B70" s="268"/>
      <c r="C70" s="269"/>
      <c r="D70" s="269"/>
      <c r="E70" s="269"/>
      <c r="F70" s="270"/>
      <c r="G70" s="252"/>
      <c r="H70" s="252"/>
      <c r="I70" s="253"/>
      <c r="J70" s="254"/>
      <c r="K70" s="253"/>
      <c r="L70" s="254"/>
      <c r="M70" s="253"/>
      <c r="N70" s="254"/>
      <c r="O70" s="253"/>
      <c r="P70" s="254"/>
      <c r="Q70" s="253"/>
      <c r="R70" s="255"/>
      <c r="S70" s="253"/>
      <c r="T70" s="255"/>
      <c r="U70" s="253"/>
      <c r="V70" s="255"/>
      <c r="W70" s="256"/>
      <c r="X70" s="254"/>
      <c r="Y70" s="254"/>
      <c r="Z70" s="257"/>
      <c r="AA70" s="258"/>
      <c r="AB70" s="258"/>
      <c r="AC70" s="259"/>
      <c r="AD70" s="258"/>
      <c r="AE70" s="258"/>
      <c r="AF70" s="257"/>
      <c r="AG70" s="254"/>
      <c r="AH70" s="258"/>
      <c r="AI70" s="258"/>
      <c r="AJ70" s="258"/>
      <c r="AK70" s="258"/>
      <c r="AL70" s="258"/>
      <c r="AM70" s="258"/>
      <c r="AN70" s="258"/>
      <c r="AO70" s="260"/>
      <c r="AP70" s="261"/>
    </row>
    <row r="71" spans="1:42" s="262" customFormat="1" ht="22.5" customHeight="1" x14ac:dyDescent="0.25">
      <c r="A71" s="251"/>
      <c r="B71" s="268"/>
      <c r="C71" s="269"/>
      <c r="D71" s="269"/>
      <c r="E71" s="269"/>
      <c r="F71" s="270"/>
      <c r="G71" s="252"/>
      <c r="H71" s="252"/>
      <c r="I71" s="253"/>
      <c r="J71" s="254"/>
      <c r="K71" s="253"/>
      <c r="L71" s="254"/>
      <c r="M71" s="253"/>
      <c r="N71" s="254"/>
      <c r="O71" s="253"/>
      <c r="P71" s="254"/>
      <c r="Q71" s="253"/>
      <c r="R71" s="255"/>
      <c r="S71" s="253"/>
      <c r="T71" s="255"/>
      <c r="U71" s="253"/>
      <c r="V71" s="255"/>
      <c r="W71" s="256"/>
      <c r="X71" s="254"/>
      <c r="Y71" s="254"/>
      <c r="Z71" s="257"/>
      <c r="AA71" s="258"/>
      <c r="AB71" s="258"/>
      <c r="AC71" s="259"/>
      <c r="AD71" s="258"/>
      <c r="AE71" s="258"/>
      <c r="AF71" s="257"/>
      <c r="AG71" s="254"/>
      <c r="AH71" s="258"/>
      <c r="AI71" s="258"/>
      <c r="AJ71" s="258"/>
      <c r="AK71" s="258"/>
      <c r="AL71" s="258"/>
      <c r="AM71" s="258"/>
      <c r="AN71" s="258"/>
      <c r="AO71" s="260"/>
      <c r="AP71" s="261"/>
    </row>
    <row r="72" spans="1:42" s="262" customFormat="1" ht="22.5" customHeight="1" x14ac:dyDescent="0.25">
      <c r="A72" s="251"/>
      <c r="B72" s="268"/>
      <c r="C72" s="269"/>
      <c r="D72" s="269"/>
      <c r="E72" s="269"/>
      <c r="F72" s="270"/>
      <c r="G72" s="252"/>
      <c r="H72" s="252"/>
      <c r="I72" s="253"/>
      <c r="J72" s="254"/>
      <c r="K72" s="253"/>
      <c r="L72" s="254"/>
      <c r="M72" s="253"/>
      <c r="N72" s="254"/>
      <c r="O72" s="253"/>
      <c r="P72" s="254"/>
      <c r="Q72" s="253"/>
      <c r="R72" s="255"/>
      <c r="S72" s="253"/>
      <c r="T72" s="255"/>
      <c r="U72" s="253"/>
      <c r="V72" s="255"/>
      <c r="W72" s="256"/>
      <c r="X72" s="254"/>
      <c r="Y72" s="254"/>
      <c r="Z72" s="257"/>
      <c r="AA72" s="258"/>
      <c r="AB72" s="258"/>
      <c r="AC72" s="259"/>
      <c r="AD72" s="258"/>
      <c r="AE72" s="258"/>
      <c r="AF72" s="257"/>
      <c r="AG72" s="254"/>
      <c r="AH72" s="258"/>
      <c r="AI72" s="258"/>
      <c r="AJ72" s="258"/>
      <c r="AK72" s="258"/>
      <c r="AL72" s="258"/>
      <c r="AM72" s="258"/>
      <c r="AN72" s="258"/>
      <c r="AO72" s="260"/>
      <c r="AP72" s="261"/>
    </row>
    <row r="73" spans="1:42" s="262" customFormat="1" ht="22.5" customHeight="1" x14ac:dyDescent="0.25">
      <c r="A73" s="251"/>
      <c r="B73" s="268"/>
      <c r="C73" s="269"/>
      <c r="D73" s="269"/>
      <c r="E73" s="269"/>
      <c r="F73" s="270"/>
      <c r="G73" s="252"/>
      <c r="H73" s="252"/>
      <c r="I73" s="253"/>
      <c r="J73" s="254"/>
      <c r="K73" s="253"/>
      <c r="L73" s="254"/>
      <c r="M73" s="253"/>
      <c r="N73" s="254"/>
      <c r="O73" s="253"/>
      <c r="P73" s="254"/>
      <c r="Q73" s="253"/>
      <c r="R73" s="255"/>
      <c r="S73" s="253"/>
      <c r="T73" s="255"/>
      <c r="U73" s="253"/>
      <c r="V73" s="255"/>
      <c r="W73" s="256"/>
      <c r="X73" s="254"/>
      <c r="Y73" s="254"/>
      <c r="Z73" s="257"/>
      <c r="AA73" s="258"/>
      <c r="AB73" s="258"/>
      <c r="AC73" s="259"/>
      <c r="AD73" s="258"/>
      <c r="AE73" s="258"/>
      <c r="AF73" s="257"/>
      <c r="AG73" s="254"/>
      <c r="AH73" s="258"/>
      <c r="AI73" s="258"/>
      <c r="AJ73" s="258"/>
      <c r="AK73" s="258"/>
      <c r="AL73" s="258"/>
      <c r="AM73" s="258"/>
      <c r="AN73" s="258"/>
      <c r="AO73" s="260"/>
      <c r="AP73" s="261"/>
    </row>
    <row r="74" spans="1:42" s="262" customFormat="1" ht="22.5" customHeight="1" x14ac:dyDescent="0.25">
      <c r="A74" s="251"/>
      <c r="B74" s="268"/>
      <c r="C74" s="269"/>
      <c r="D74" s="269"/>
      <c r="E74" s="269"/>
      <c r="F74" s="270"/>
      <c r="G74" s="252"/>
      <c r="H74" s="252"/>
      <c r="I74" s="253"/>
      <c r="J74" s="254"/>
      <c r="K74" s="253"/>
      <c r="L74" s="254"/>
      <c r="M74" s="253"/>
      <c r="N74" s="254"/>
      <c r="O74" s="253"/>
      <c r="P74" s="254"/>
      <c r="Q74" s="253"/>
      <c r="R74" s="255"/>
      <c r="S74" s="253"/>
      <c r="T74" s="255"/>
      <c r="U74" s="253"/>
      <c r="V74" s="255"/>
      <c r="W74" s="256"/>
      <c r="X74" s="254"/>
      <c r="Y74" s="254"/>
      <c r="Z74" s="257"/>
      <c r="AA74" s="258"/>
      <c r="AB74" s="258"/>
      <c r="AC74" s="259"/>
      <c r="AD74" s="258"/>
      <c r="AE74" s="258"/>
      <c r="AF74" s="257"/>
      <c r="AG74" s="254"/>
      <c r="AH74" s="258"/>
      <c r="AI74" s="258"/>
      <c r="AJ74" s="258"/>
      <c r="AK74" s="258"/>
      <c r="AL74" s="258"/>
      <c r="AM74" s="258"/>
      <c r="AN74" s="258"/>
      <c r="AO74" s="260"/>
      <c r="AP74" s="261"/>
    </row>
    <row r="75" spans="1:42" s="262" customFormat="1" ht="22.5" customHeight="1" x14ac:dyDescent="0.25">
      <c r="A75" s="251"/>
      <c r="B75" s="268"/>
      <c r="C75" s="269"/>
      <c r="D75" s="269"/>
      <c r="E75" s="269"/>
      <c r="F75" s="270"/>
      <c r="G75" s="252"/>
      <c r="H75" s="252"/>
      <c r="I75" s="253"/>
      <c r="J75" s="254"/>
      <c r="K75" s="253"/>
      <c r="L75" s="254"/>
      <c r="M75" s="253"/>
      <c r="N75" s="254"/>
      <c r="O75" s="253"/>
      <c r="P75" s="254"/>
      <c r="Q75" s="253"/>
      <c r="R75" s="255"/>
      <c r="S75" s="253"/>
      <c r="T75" s="255"/>
      <c r="U75" s="253"/>
      <c r="V75" s="255"/>
      <c r="W75" s="256"/>
      <c r="X75" s="254"/>
      <c r="Y75" s="254"/>
      <c r="Z75" s="257"/>
      <c r="AA75" s="258"/>
      <c r="AB75" s="258"/>
      <c r="AC75" s="259"/>
      <c r="AD75" s="258"/>
      <c r="AE75" s="258"/>
      <c r="AF75" s="257"/>
      <c r="AG75" s="254"/>
      <c r="AH75" s="258"/>
      <c r="AI75" s="258"/>
      <c r="AJ75" s="258"/>
      <c r="AK75" s="258"/>
      <c r="AL75" s="258"/>
      <c r="AM75" s="258"/>
      <c r="AN75" s="258"/>
      <c r="AO75" s="260"/>
      <c r="AP75" s="261"/>
    </row>
    <row r="76" spans="1:42" s="262" customFormat="1" ht="22.5" customHeight="1" x14ac:dyDescent="0.25">
      <c r="A76" s="251"/>
      <c r="B76" s="268"/>
      <c r="C76" s="269"/>
      <c r="D76" s="269"/>
      <c r="E76" s="269"/>
      <c r="F76" s="270"/>
      <c r="G76" s="252"/>
      <c r="H76" s="252"/>
      <c r="I76" s="253"/>
      <c r="J76" s="254"/>
      <c r="K76" s="253"/>
      <c r="L76" s="254"/>
      <c r="M76" s="253"/>
      <c r="N76" s="254"/>
      <c r="O76" s="253"/>
      <c r="P76" s="254"/>
      <c r="Q76" s="253"/>
      <c r="R76" s="255"/>
      <c r="S76" s="253"/>
      <c r="T76" s="255"/>
      <c r="U76" s="253"/>
      <c r="V76" s="255"/>
      <c r="W76" s="256"/>
      <c r="X76" s="254"/>
      <c r="Y76" s="254"/>
      <c r="Z76" s="257"/>
      <c r="AA76" s="258"/>
      <c r="AB76" s="258"/>
      <c r="AC76" s="259"/>
      <c r="AD76" s="258"/>
      <c r="AE76" s="258"/>
      <c r="AF76" s="257"/>
      <c r="AG76" s="254"/>
      <c r="AH76" s="258"/>
      <c r="AI76" s="258"/>
      <c r="AJ76" s="258"/>
      <c r="AK76" s="258"/>
      <c r="AL76" s="258"/>
      <c r="AM76" s="258"/>
      <c r="AN76" s="258"/>
      <c r="AO76" s="260"/>
      <c r="AP76" s="261"/>
    </row>
    <row r="77" spans="1:42" s="262" customFormat="1" ht="22.5" customHeight="1" x14ac:dyDescent="0.25">
      <c r="A77" s="251"/>
      <c r="B77" s="268"/>
      <c r="C77" s="269"/>
      <c r="D77" s="269"/>
      <c r="E77" s="269"/>
      <c r="F77" s="270"/>
      <c r="G77" s="252"/>
      <c r="H77" s="252"/>
      <c r="I77" s="253"/>
      <c r="J77" s="254"/>
      <c r="K77" s="253"/>
      <c r="L77" s="254"/>
      <c r="M77" s="253"/>
      <c r="N77" s="254"/>
      <c r="O77" s="253"/>
      <c r="P77" s="254"/>
      <c r="Q77" s="253"/>
      <c r="R77" s="255"/>
      <c r="S77" s="253"/>
      <c r="T77" s="255"/>
      <c r="U77" s="253"/>
      <c r="V77" s="255"/>
      <c r="W77" s="256"/>
      <c r="X77" s="254"/>
      <c r="Y77" s="254"/>
      <c r="Z77" s="257"/>
      <c r="AA77" s="258"/>
      <c r="AB77" s="258"/>
      <c r="AC77" s="259"/>
      <c r="AD77" s="258"/>
      <c r="AE77" s="258"/>
      <c r="AF77" s="257"/>
      <c r="AG77" s="254"/>
      <c r="AH77" s="258"/>
      <c r="AI77" s="258"/>
      <c r="AJ77" s="258"/>
      <c r="AK77" s="258"/>
      <c r="AL77" s="258"/>
      <c r="AM77" s="258"/>
      <c r="AN77" s="258"/>
      <c r="AO77" s="260"/>
      <c r="AP77" s="261"/>
    </row>
    <row r="78" spans="1:42" s="262" customFormat="1" ht="22.5" customHeight="1" x14ac:dyDescent="0.25">
      <c r="A78" s="251"/>
      <c r="B78" s="268"/>
      <c r="C78" s="269"/>
      <c r="D78" s="269"/>
      <c r="E78" s="269"/>
      <c r="F78" s="270"/>
      <c r="G78" s="252"/>
      <c r="H78" s="252"/>
      <c r="I78" s="253"/>
      <c r="J78" s="254"/>
      <c r="K78" s="253"/>
      <c r="L78" s="254"/>
      <c r="M78" s="253"/>
      <c r="N78" s="254"/>
      <c r="O78" s="253"/>
      <c r="P78" s="254"/>
      <c r="Q78" s="253"/>
      <c r="R78" s="255"/>
      <c r="S78" s="253"/>
      <c r="T78" s="255"/>
      <c r="U78" s="253"/>
      <c r="V78" s="255"/>
      <c r="W78" s="256"/>
      <c r="X78" s="254"/>
      <c r="Y78" s="254"/>
      <c r="Z78" s="257"/>
      <c r="AA78" s="258"/>
      <c r="AB78" s="258"/>
      <c r="AC78" s="259"/>
      <c r="AD78" s="258"/>
      <c r="AE78" s="258"/>
      <c r="AF78" s="257"/>
      <c r="AG78" s="254"/>
      <c r="AH78" s="258"/>
      <c r="AI78" s="258"/>
      <c r="AJ78" s="258"/>
      <c r="AK78" s="258"/>
      <c r="AL78" s="258"/>
      <c r="AM78" s="258"/>
      <c r="AN78" s="258"/>
      <c r="AO78" s="260"/>
      <c r="AP78" s="261"/>
    </row>
    <row r="79" spans="1:42" s="262" customFormat="1" ht="22.5" customHeight="1" x14ac:dyDescent="0.25">
      <c r="A79" s="251"/>
      <c r="B79" s="268"/>
      <c r="C79" s="269"/>
      <c r="D79" s="269"/>
      <c r="E79" s="269"/>
      <c r="F79" s="270"/>
      <c r="G79" s="252"/>
      <c r="H79" s="252"/>
      <c r="I79" s="253"/>
      <c r="J79" s="254"/>
      <c r="K79" s="253"/>
      <c r="L79" s="254"/>
      <c r="M79" s="253"/>
      <c r="N79" s="254"/>
      <c r="O79" s="253"/>
      <c r="P79" s="254"/>
      <c r="Q79" s="253"/>
      <c r="R79" s="255"/>
      <c r="S79" s="253"/>
      <c r="T79" s="255"/>
      <c r="U79" s="253"/>
      <c r="V79" s="255"/>
      <c r="W79" s="256"/>
      <c r="X79" s="254"/>
      <c r="Y79" s="254"/>
      <c r="Z79" s="257"/>
      <c r="AA79" s="258"/>
      <c r="AB79" s="258"/>
      <c r="AC79" s="259"/>
      <c r="AD79" s="258"/>
      <c r="AE79" s="258"/>
      <c r="AF79" s="257"/>
      <c r="AG79" s="254"/>
      <c r="AH79" s="258"/>
      <c r="AI79" s="258"/>
      <c r="AJ79" s="258"/>
      <c r="AK79" s="258"/>
      <c r="AL79" s="258"/>
      <c r="AM79" s="258"/>
      <c r="AN79" s="258"/>
      <c r="AO79" s="260"/>
      <c r="AP79" s="261"/>
    </row>
    <row r="80" spans="1:42" s="262" customFormat="1" ht="22.5" customHeight="1" x14ac:dyDescent="0.25">
      <c r="A80" s="251"/>
      <c r="B80" s="268"/>
      <c r="C80" s="269"/>
      <c r="D80" s="269"/>
      <c r="E80" s="269"/>
      <c r="F80" s="270"/>
      <c r="G80" s="252"/>
      <c r="H80" s="252"/>
      <c r="I80" s="253"/>
      <c r="J80" s="254"/>
      <c r="K80" s="253"/>
      <c r="L80" s="254"/>
      <c r="M80" s="253"/>
      <c r="N80" s="254"/>
      <c r="O80" s="253"/>
      <c r="P80" s="254"/>
      <c r="Q80" s="253"/>
      <c r="R80" s="255"/>
      <c r="S80" s="253"/>
      <c r="T80" s="255"/>
      <c r="U80" s="253"/>
      <c r="V80" s="255"/>
      <c r="W80" s="256"/>
      <c r="X80" s="254"/>
      <c r="Y80" s="254"/>
      <c r="Z80" s="257"/>
      <c r="AA80" s="258"/>
      <c r="AB80" s="258"/>
      <c r="AC80" s="259"/>
      <c r="AD80" s="258"/>
      <c r="AE80" s="258"/>
      <c r="AF80" s="257"/>
      <c r="AG80" s="254"/>
      <c r="AH80" s="258"/>
      <c r="AI80" s="258"/>
      <c r="AJ80" s="258"/>
      <c r="AK80" s="258"/>
      <c r="AL80" s="258"/>
      <c r="AM80" s="258"/>
      <c r="AN80" s="258"/>
      <c r="AO80" s="260"/>
      <c r="AP80" s="261"/>
    </row>
    <row r="81" spans="1:42" s="262" customFormat="1" ht="22.5" customHeight="1" x14ac:dyDescent="0.25">
      <c r="A81" s="251"/>
      <c r="B81" s="268"/>
      <c r="C81" s="269"/>
      <c r="D81" s="269"/>
      <c r="E81" s="269"/>
      <c r="F81" s="270"/>
      <c r="G81" s="252"/>
      <c r="H81" s="252"/>
      <c r="I81" s="253"/>
      <c r="J81" s="254"/>
      <c r="K81" s="253"/>
      <c r="L81" s="254"/>
      <c r="M81" s="253"/>
      <c r="N81" s="254"/>
      <c r="O81" s="253"/>
      <c r="P81" s="254"/>
      <c r="Q81" s="253"/>
      <c r="R81" s="255"/>
      <c r="S81" s="253"/>
      <c r="T81" s="255"/>
      <c r="U81" s="253"/>
      <c r="V81" s="255"/>
      <c r="W81" s="256"/>
      <c r="X81" s="254"/>
      <c r="Y81" s="254"/>
      <c r="Z81" s="257"/>
      <c r="AA81" s="258"/>
      <c r="AB81" s="258"/>
      <c r="AC81" s="259"/>
      <c r="AD81" s="258"/>
      <c r="AE81" s="258"/>
      <c r="AF81" s="257"/>
      <c r="AG81" s="254"/>
      <c r="AH81" s="258"/>
      <c r="AI81" s="258"/>
      <c r="AJ81" s="258"/>
      <c r="AK81" s="258"/>
      <c r="AL81" s="258"/>
      <c r="AM81" s="258"/>
      <c r="AN81" s="258"/>
      <c r="AO81" s="260"/>
      <c r="AP81" s="261"/>
    </row>
    <row r="82" spans="1:42" s="262" customFormat="1" ht="22.5" customHeight="1" x14ac:dyDescent="0.25">
      <c r="A82" s="251"/>
      <c r="B82" s="268"/>
      <c r="C82" s="269"/>
      <c r="D82" s="269"/>
      <c r="E82" s="269"/>
      <c r="F82" s="270"/>
      <c r="G82" s="252"/>
      <c r="H82" s="252"/>
      <c r="I82" s="253"/>
      <c r="J82" s="254"/>
      <c r="K82" s="253"/>
      <c r="L82" s="254"/>
      <c r="M82" s="253"/>
      <c r="N82" s="254"/>
      <c r="O82" s="253"/>
      <c r="P82" s="254"/>
      <c r="Q82" s="253"/>
      <c r="R82" s="255"/>
      <c r="S82" s="253"/>
      <c r="T82" s="255"/>
      <c r="U82" s="253"/>
      <c r="V82" s="255"/>
      <c r="W82" s="256"/>
      <c r="X82" s="254"/>
      <c r="Y82" s="254"/>
      <c r="Z82" s="257"/>
      <c r="AA82" s="258"/>
      <c r="AB82" s="258"/>
      <c r="AC82" s="259"/>
      <c r="AD82" s="258"/>
      <c r="AE82" s="258"/>
      <c r="AF82" s="257"/>
      <c r="AG82" s="254"/>
      <c r="AH82" s="258"/>
      <c r="AI82" s="258"/>
      <c r="AJ82" s="258"/>
      <c r="AK82" s="258"/>
      <c r="AL82" s="258"/>
      <c r="AM82" s="258"/>
      <c r="AN82" s="258"/>
      <c r="AO82" s="260"/>
      <c r="AP82" s="261"/>
    </row>
    <row r="83" spans="1:42" s="262" customFormat="1" ht="22.5" customHeight="1" x14ac:dyDescent="0.25">
      <c r="A83" s="251"/>
      <c r="B83" s="268"/>
      <c r="C83" s="269"/>
      <c r="D83" s="269"/>
      <c r="E83" s="269"/>
      <c r="F83" s="270"/>
      <c r="G83" s="252"/>
      <c r="H83" s="252"/>
      <c r="I83" s="253"/>
      <c r="J83" s="254"/>
      <c r="K83" s="253"/>
      <c r="L83" s="254"/>
      <c r="M83" s="253"/>
      <c r="N83" s="254"/>
      <c r="O83" s="253"/>
      <c r="P83" s="254"/>
      <c r="Q83" s="253"/>
      <c r="R83" s="255"/>
      <c r="S83" s="253"/>
      <c r="T83" s="255"/>
      <c r="U83" s="253"/>
      <c r="V83" s="255"/>
      <c r="W83" s="256"/>
      <c r="X83" s="254"/>
      <c r="Y83" s="254"/>
      <c r="Z83" s="257"/>
      <c r="AA83" s="258"/>
      <c r="AB83" s="258"/>
      <c r="AC83" s="259"/>
      <c r="AD83" s="258"/>
      <c r="AE83" s="258"/>
      <c r="AF83" s="257"/>
      <c r="AG83" s="254"/>
      <c r="AH83" s="258"/>
      <c r="AI83" s="258"/>
      <c r="AJ83" s="258"/>
      <c r="AK83" s="258"/>
      <c r="AL83" s="258"/>
      <c r="AM83" s="258"/>
      <c r="AN83" s="258"/>
      <c r="AO83" s="260"/>
      <c r="AP83" s="261"/>
    </row>
    <row r="84" spans="1:42" s="262" customFormat="1" ht="22.5" customHeight="1" x14ac:dyDescent="0.25">
      <c r="A84" s="251"/>
      <c r="B84" s="268"/>
      <c r="C84" s="269"/>
      <c r="D84" s="269"/>
      <c r="E84" s="269"/>
      <c r="F84" s="270"/>
      <c r="G84" s="252"/>
      <c r="H84" s="252"/>
      <c r="I84" s="253"/>
      <c r="J84" s="254"/>
      <c r="K84" s="253"/>
      <c r="L84" s="254"/>
      <c r="M84" s="253"/>
      <c r="N84" s="254"/>
      <c r="O84" s="253"/>
      <c r="P84" s="254"/>
      <c r="Q84" s="253"/>
      <c r="R84" s="255"/>
      <c r="S84" s="253"/>
      <c r="T84" s="255"/>
      <c r="U84" s="253"/>
      <c r="V84" s="255"/>
      <c r="W84" s="256"/>
      <c r="X84" s="254"/>
      <c r="Y84" s="254"/>
      <c r="Z84" s="257"/>
      <c r="AA84" s="258"/>
      <c r="AB84" s="258"/>
      <c r="AC84" s="259"/>
      <c r="AD84" s="258"/>
      <c r="AE84" s="258"/>
      <c r="AF84" s="257"/>
      <c r="AG84" s="254"/>
      <c r="AH84" s="258"/>
      <c r="AI84" s="258"/>
      <c r="AJ84" s="258"/>
      <c r="AK84" s="258"/>
      <c r="AL84" s="258"/>
      <c r="AM84" s="258"/>
      <c r="AN84" s="258"/>
      <c r="AO84" s="260"/>
      <c r="AP84" s="261"/>
    </row>
    <row r="85" spans="1:42" s="262" customFormat="1" ht="22.5" customHeight="1" x14ac:dyDescent="0.25">
      <c r="A85" s="251"/>
      <c r="B85" s="268"/>
      <c r="C85" s="269"/>
      <c r="D85" s="269"/>
      <c r="E85" s="269"/>
      <c r="F85" s="270"/>
      <c r="G85" s="252"/>
      <c r="H85" s="252"/>
      <c r="I85" s="253"/>
      <c r="J85" s="254"/>
      <c r="K85" s="253"/>
      <c r="L85" s="254"/>
      <c r="M85" s="253"/>
      <c r="N85" s="254"/>
      <c r="O85" s="253"/>
      <c r="P85" s="254"/>
      <c r="Q85" s="253"/>
      <c r="R85" s="255"/>
      <c r="S85" s="253"/>
      <c r="T85" s="255"/>
      <c r="U85" s="253"/>
      <c r="V85" s="255"/>
      <c r="W85" s="256"/>
      <c r="X85" s="254"/>
      <c r="Y85" s="254"/>
      <c r="Z85" s="257"/>
      <c r="AA85" s="258"/>
      <c r="AB85" s="258"/>
      <c r="AC85" s="259"/>
      <c r="AD85" s="258"/>
      <c r="AE85" s="258"/>
      <c r="AF85" s="257"/>
      <c r="AG85" s="254"/>
      <c r="AH85" s="258"/>
      <c r="AI85" s="258"/>
      <c r="AJ85" s="258"/>
      <c r="AK85" s="258"/>
      <c r="AL85" s="258"/>
      <c r="AM85" s="258"/>
      <c r="AN85" s="258"/>
      <c r="AO85" s="260"/>
      <c r="AP85" s="261"/>
    </row>
    <row r="86" spans="1:42" s="262" customFormat="1" ht="22.5" customHeight="1" x14ac:dyDescent="0.25">
      <c r="A86" s="251"/>
      <c r="B86" s="268"/>
      <c r="C86" s="269"/>
      <c r="D86" s="269"/>
      <c r="E86" s="269"/>
      <c r="F86" s="270"/>
      <c r="G86" s="252"/>
      <c r="H86" s="252"/>
      <c r="I86" s="253"/>
      <c r="J86" s="254"/>
      <c r="K86" s="253"/>
      <c r="L86" s="254"/>
      <c r="M86" s="253"/>
      <c r="N86" s="254"/>
      <c r="O86" s="253"/>
      <c r="P86" s="254"/>
      <c r="Q86" s="253"/>
      <c r="R86" s="255"/>
      <c r="S86" s="253"/>
      <c r="T86" s="255"/>
      <c r="U86" s="253"/>
      <c r="V86" s="255"/>
      <c r="W86" s="256"/>
      <c r="X86" s="254"/>
      <c r="Y86" s="254"/>
      <c r="Z86" s="257"/>
      <c r="AA86" s="258"/>
      <c r="AB86" s="258"/>
      <c r="AC86" s="259"/>
      <c r="AD86" s="258"/>
      <c r="AE86" s="258"/>
      <c r="AF86" s="257"/>
      <c r="AG86" s="254"/>
      <c r="AH86" s="258"/>
      <c r="AI86" s="258"/>
      <c r="AJ86" s="258"/>
      <c r="AK86" s="258"/>
      <c r="AL86" s="258"/>
      <c r="AM86" s="258"/>
      <c r="AN86" s="258"/>
      <c r="AO86" s="260"/>
      <c r="AP86" s="261"/>
    </row>
    <row r="87" spans="1:42" s="262" customFormat="1" ht="22.5" customHeight="1" x14ac:dyDescent="0.25">
      <c r="A87" s="251"/>
      <c r="B87" s="268"/>
      <c r="C87" s="269"/>
      <c r="D87" s="269"/>
      <c r="E87" s="269"/>
      <c r="F87" s="270"/>
      <c r="G87" s="252"/>
      <c r="H87" s="252"/>
      <c r="I87" s="253"/>
      <c r="J87" s="254"/>
      <c r="K87" s="253"/>
      <c r="L87" s="254"/>
      <c r="M87" s="253"/>
      <c r="N87" s="254"/>
      <c r="O87" s="253"/>
      <c r="P87" s="254"/>
      <c r="Q87" s="253"/>
      <c r="R87" s="255"/>
      <c r="S87" s="253"/>
      <c r="T87" s="255"/>
      <c r="U87" s="253"/>
      <c r="V87" s="255"/>
      <c r="W87" s="256"/>
      <c r="X87" s="254"/>
      <c r="Y87" s="254"/>
      <c r="Z87" s="257"/>
      <c r="AA87" s="258"/>
      <c r="AB87" s="258"/>
      <c r="AC87" s="259"/>
      <c r="AD87" s="258"/>
      <c r="AE87" s="258"/>
      <c r="AF87" s="257"/>
      <c r="AG87" s="254"/>
      <c r="AH87" s="258"/>
      <c r="AI87" s="258"/>
      <c r="AJ87" s="258"/>
      <c r="AK87" s="258"/>
      <c r="AL87" s="258"/>
      <c r="AM87" s="258"/>
      <c r="AN87" s="258"/>
      <c r="AO87" s="260"/>
      <c r="AP87" s="261"/>
    </row>
    <row r="88" spans="1:42" s="262" customFormat="1" ht="22.5" customHeight="1" x14ac:dyDescent="0.25">
      <c r="A88" s="251"/>
      <c r="B88" s="268"/>
      <c r="C88" s="269"/>
      <c r="D88" s="269"/>
      <c r="E88" s="269"/>
      <c r="F88" s="270"/>
      <c r="G88" s="252"/>
      <c r="H88" s="252"/>
      <c r="I88" s="253"/>
      <c r="J88" s="254"/>
      <c r="K88" s="253"/>
      <c r="L88" s="254"/>
      <c r="M88" s="253"/>
      <c r="N88" s="254"/>
      <c r="O88" s="253"/>
      <c r="P88" s="254"/>
      <c r="Q88" s="253"/>
      <c r="R88" s="255"/>
      <c r="S88" s="253"/>
      <c r="T88" s="255"/>
      <c r="U88" s="253"/>
      <c r="V88" s="255"/>
      <c r="W88" s="256"/>
      <c r="X88" s="254"/>
      <c r="Y88" s="254"/>
      <c r="Z88" s="257"/>
      <c r="AA88" s="258"/>
      <c r="AB88" s="258"/>
      <c r="AC88" s="259"/>
      <c r="AD88" s="258"/>
      <c r="AE88" s="258"/>
      <c r="AF88" s="257"/>
      <c r="AG88" s="254"/>
      <c r="AH88" s="258"/>
      <c r="AI88" s="258"/>
      <c r="AJ88" s="258"/>
      <c r="AK88" s="258"/>
      <c r="AL88" s="258"/>
      <c r="AM88" s="258"/>
      <c r="AN88" s="258"/>
      <c r="AO88" s="260"/>
      <c r="AP88" s="261"/>
    </row>
    <row r="89" spans="1:42" s="262" customFormat="1" ht="22.5" customHeight="1" x14ac:dyDescent="0.25">
      <c r="A89" s="251"/>
      <c r="B89" s="268"/>
      <c r="C89" s="269"/>
      <c r="D89" s="269"/>
      <c r="E89" s="269"/>
      <c r="F89" s="270"/>
      <c r="G89" s="252"/>
      <c r="H89" s="252"/>
      <c r="I89" s="253"/>
      <c r="J89" s="254"/>
      <c r="K89" s="253"/>
      <c r="L89" s="254"/>
      <c r="M89" s="253"/>
      <c r="N89" s="254"/>
      <c r="O89" s="253"/>
      <c r="P89" s="254"/>
      <c r="Q89" s="253"/>
      <c r="R89" s="255"/>
      <c r="S89" s="253"/>
      <c r="T89" s="255"/>
      <c r="U89" s="253"/>
      <c r="V89" s="255"/>
      <c r="W89" s="256"/>
      <c r="X89" s="254"/>
      <c r="Y89" s="254"/>
      <c r="Z89" s="257"/>
      <c r="AA89" s="258"/>
      <c r="AB89" s="258"/>
      <c r="AC89" s="259"/>
      <c r="AD89" s="258"/>
      <c r="AE89" s="258"/>
      <c r="AF89" s="257"/>
      <c r="AG89" s="254"/>
      <c r="AH89" s="258"/>
      <c r="AI89" s="258"/>
      <c r="AJ89" s="258"/>
      <c r="AK89" s="258"/>
      <c r="AL89" s="258"/>
      <c r="AM89" s="258"/>
      <c r="AN89" s="258"/>
      <c r="AO89" s="260"/>
      <c r="AP89" s="261"/>
    </row>
    <row r="90" spans="1:42" s="262" customFormat="1" ht="22.5" customHeight="1" x14ac:dyDescent="0.25">
      <c r="A90" s="251"/>
      <c r="B90" s="268"/>
      <c r="C90" s="269"/>
      <c r="D90" s="269"/>
      <c r="E90" s="269"/>
      <c r="F90" s="270"/>
      <c r="G90" s="252"/>
      <c r="H90" s="252"/>
      <c r="I90" s="253"/>
      <c r="J90" s="254"/>
      <c r="K90" s="253"/>
      <c r="L90" s="254"/>
      <c r="M90" s="253"/>
      <c r="N90" s="254"/>
      <c r="O90" s="253"/>
      <c r="P90" s="254"/>
      <c r="Q90" s="253"/>
      <c r="R90" s="255"/>
      <c r="S90" s="253"/>
      <c r="T90" s="255"/>
      <c r="U90" s="253"/>
      <c r="V90" s="255"/>
      <c r="W90" s="256"/>
      <c r="X90" s="254"/>
      <c r="Y90" s="254"/>
      <c r="Z90" s="257"/>
      <c r="AA90" s="258"/>
      <c r="AB90" s="258"/>
      <c r="AC90" s="259"/>
      <c r="AD90" s="258"/>
      <c r="AE90" s="258"/>
      <c r="AF90" s="257"/>
      <c r="AG90" s="254"/>
      <c r="AH90" s="258"/>
      <c r="AI90" s="258"/>
      <c r="AJ90" s="258"/>
      <c r="AK90" s="258"/>
      <c r="AL90" s="258"/>
      <c r="AM90" s="258"/>
      <c r="AN90" s="258"/>
      <c r="AO90" s="260"/>
      <c r="AP90" s="261"/>
    </row>
    <row r="91" spans="1:42" s="262" customFormat="1" ht="22.5" customHeight="1" x14ac:dyDescent="0.25">
      <c r="A91" s="251"/>
      <c r="B91" s="268"/>
      <c r="C91" s="269"/>
      <c r="D91" s="269"/>
      <c r="E91" s="269"/>
      <c r="F91" s="270"/>
      <c r="G91" s="252"/>
      <c r="H91" s="252"/>
      <c r="I91" s="253"/>
      <c r="J91" s="254"/>
      <c r="K91" s="253"/>
      <c r="L91" s="254"/>
      <c r="M91" s="253"/>
      <c r="N91" s="254"/>
      <c r="O91" s="253"/>
      <c r="P91" s="254"/>
      <c r="Q91" s="253"/>
      <c r="R91" s="255"/>
      <c r="S91" s="253"/>
      <c r="T91" s="255"/>
      <c r="U91" s="253"/>
      <c r="V91" s="255"/>
      <c r="W91" s="256"/>
      <c r="X91" s="254"/>
      <c r="Y91" s="254"/>
      <c r="Z91" s="257"/>
      <c r="AA91" s="258"/>
      <c r="AB91" s="258"/>
      <c r="AC91" s="259"/>
      <c r="AD91" s="258"/>
      <c r="AE91" s="258"/>
      <c r="AF91" s="257"/>
      <c r="AG91" s="254"/>
      <c r="AH91" s="258"/>
      <c r="AI91" s="258"/>
      <c r="AJ91" s="258"/>
      <c r="AK91" s="258"/>
      <c r="AL91" s="258"/>
      <c r="AM91" s="258"/>
      <c r="AN91" s="258"/>
      <c r="AO91" s="260"/>
      <c r="AP91" s="261"/>
    </row>
    <row r="92" spans="1:42" s="262" customFormat="1" ht="22.5" customHeight="1" x14ac:dyDescent="0.25">
      <c r="A92" s="251"/>
      <c r="B92" s="268"/>
      <c r="C92" s="269"/>
      <c r="D92" s="269"/>
      <c r="E92" s="269"/>
      <c r="F92" s="270"/>
      <c r="G92" s="252"/>
      <c r="H92" s="252"/>
      <c r="I92" s="253"/>
      <c r="J92" s="254"/>
      <c r="K92" s="253"/>
      <c r="L92" s="254"/>
      <c r="M92" s="253"/>
      <c r="N92" s="254"/>
      <c r="O92" s="253"/>
      <c r="P92" s="254"/>
      <c r="Q92" s="253"/>
      <c r="R92" s="255"/>
      <c r="S92" s="253"/>
      <c r="T92" s="255"/>
      <c r="U92" s="253"/>
      <c r="V92" s="255"/>
      <c r="W92" s="256"/>
      <c r="X92" s="254"/>
      <c r="Y92" s="254"/>
      <c r="Z92" s="257"/>
      <c r="AA92" s="258"/>
      <c r="AB92" s="258"/>
      <c r="AC92" s="259"/>
      <c r="AD92" s="258"/>
      <c r="AE92" s="258"/>
      <c r="AF92" s="257"/>
      <c r="AG92" s="254"/>
      <c r="AH92" s="258"/>
      <c r="AI92" s="258"/>
      <c r="AJ92" s="258"/>
      <c r="AK92" s="258"/>
      <c r="AL92" s="258"/>
      <c r="AM92" s="258"/>
      <c r="AN92" s="258"/>
      <c r="AO92" s="260"/>
      <c r="AP92" s="261"/>
    </row>
    <row r="93" spans="1:42" s="262" customFormat="1" ht="22.5" customHeight="1" x14ac:dyDescent="0.25">
      <c r="A93" s="251"/>
      <c r="B93" s="268"/>
      <c r="C93" s="269"/>
      <c r="D93" s="269"/>
      <c r="E93" s="269"/>
      <c r="F93" s="270"/>
      <c r="G93" s="252"/>
      <c r="H93" s="252"/>
      <c r="I93" s="253"/>
      <c r="J93" s="254"/>
      <c r="K93" s="253"/>
      <c r="L93" s="254"/>
      <c r="M93" s="253"/>
      <c r="N93" s="254"/>
      <c r="O93" s="253"/>
      <c r="P93" s="254"/>
      <c r="Q93" s="253"/>
      <c r="R93" s="255"/>
      <c r="S93" s="253"/>
      <c r="T93" s="255"/>
      <c r="U93" s="253"/>
      <c r="V93" s="255"/>
      <c r="W93" s="256"/>
      <c r="X93" s="254"/>
      <c r="Y93" s="254"/>
      <c r="Z93" s="257"/>
      <c r="AA93" s="258"/>
      <c r="AB93" s="258"/>
      <c r="AC93" s="259"/>
      <c r="AD93" s="258"/>
      <c r="AE93" s="258"/>
      <c r="AF93" s="257"/>
      <c r="AG93" s="254"/>
      <c r="AH93" s="258"/>
      <c r="AI93" s="258"/>
      <c r="AJ93" s="258"/>
      <c r="AK93" s="258"/>
      <c r="AL93" s="258"/>
      <c r="AM93" s="258"/>
      <c r="AN93" s="258"/>
      <c r="AO93" s="260"/>
      <c r="AP93" s="261"/>
    </row>
    <row r="94" spans="1:42" s="262" customFormat="1" ht="22.5" customHeight="1" x14ac:dyDescent="0.25">
      <c r="A94" s="251"/>
      <c r="B94" s="268"/>
      <c r="C94" s="269"/>
      <c r="D94" s="269"/>
      <c r="E94" s="269"/>
      <c r="F94" s="270"/>
      <c r="G94" s="252"/>
      <c r="H94" s="252"/>
      <c r="I94" s="253"/>
      <c r="J94" s="254"/>
      <c r="K94" s="253"/>
      <c r="L94" s="254"/>
      <c r="M94" s="253"/>
      <c r="N94" s="254"/>
      <c r="O94" s="253"/>
      <c r="P94" s="254"/>
      <c r="Q94" s="253"/>
      <c r="R94" s="255"/>
      <c r="S94" s="253"/>
      <c r="T94" s="255"/>
      <c r="U94" s="253"/>
      <c r="V94" s="255"/>
      <c r="W94" s="256"/>
      <c r="X94" s="254"/>
      <c r="Y94" s="254"/>
      <c r="Z94" s="257"/>
      <c r="AA94" s="258"/>
      <c r="AB94" s="258"/>
      <c r="AC94" s="259"/>
      <c r="AD94" s="258"/>
      <c r="AE94" s="258"/>
      <c r="AF94" s="257"/>
      <c r="AG94" s="254"/>
      <c r="AH94" s="258"/>
      <c r="AI94" s="258"/>
      <c r="AJ94" s="258"/>
      <c r="AK94" s="258"/>
      <c r="AL94" s="258"/>
      <c r="AM94" s="258"/>
      <c r="AN94" s="258"/>
      <c r="AO94" s="260"/>
      <c r="AP94" s="261"/>
    </row>
    <row r="95" spans="1:42" s="262" customFormat="1" ht="22.5" customHeight="1" x14ac:dyDescent="0.25">
      <c r="A95" s="251"/>
      <c r="B95" s="268"/>
      <c r="C95" s="269"/>
      <c r="D95" s="269"/>
      <c r="E95" s="269"/>
      <c r="F95" s="270"/>
      <c r="G95" s="252"/>
      <c r="H95" s="252"/>
      <c r="I95" s="253"/>
      <c r="J95" s="254"/>
      <c r="K95" s="253"/>
      <c r="L95" s="254"/>
      <c r="M95" s="253"/>
      <c r="N95" s="254"/>
      <c r="O95" s="253"/>
      <c r="P95" s="254"/>
      <c r="Q95" s="253"/>
      <c r="R95" s="255"/>
      <c r="S95" s="253"/>
      <c r="T95" s="255"/>
      <c r="U95" s="253"/>
      <c r="V95" s="255"/>
      <c r="W95" s="256"/>
      <c r="X95" s="254"/>
      <c r="Y95" s="254"/>
      <c r="Z95" s="257"/>
      <c r="AA95" s="258"/>
      <c r="AB95" s="258"/>
      <c r="AC95" s="259"/>
      <c r="AD95" s="258"/>
      <c r="AE95" s="258"/>
      <c r="AF95" s="257"/>
      <c r="AG95" s="254"/>
      <c r="AH95" s="258"/>
      <c r="AI95" s="258"/>
      <c r="AJ95" s="258"/>
      <c r="AK95" s="258"/>
      <c r="AL95" s="258"/>
      <c r="AM95" s="258"/>
      <c r="AN95" s="258"/>
      <c r="AO95" s="260"/>
      <c r="AP95" s="261"/>
    </row>
    <row r="96" spans="1:42" s="262" customFormat="1" ht="22.5" customHeight="1" x14ac:dyDescent="0.25">
      <c r="A96" s="251"/>
      <c r="B96" s="268"/>
      <c r="C96" s="269"/>
      <c r="D96" s="269"/>
      <c r="E96" s="269"/>
      <c r="F96" s="270"/>
      <c r="G96" s="252"/>
      <c r="H96" s="252"/>
      <c r="I96" s="253"/>
      <c r="J96" s="254"/>
      <c r="K96" s="253"/>
      <c r="L96" s="254"/>
      <c r="M96" s="253"/>
      <c r="N96" s="254"/>
      <c r="O96" s="253"/>
      <c r="P96" s="254"/>
      <c r="Q96" s="253"/>
      <c r="R96" s="255"/>
      <c r="S96" s="253"/>
      <c r="T96" s="255"/>
      <c r="U96" s="253"/>
      <c r="V96" s="255"/>
      <c r="W96" s="256"/>
      <c r="X96" s="254"/>
      <c r="Y96" s="254"/>
      <c r="Z96" s="257"/>
      <c r="AA96" s="258"/>
      <c r="AB96" s="258"/>
      <c r="AC96" s="259"/>
      <c r="AD96" s="258"/>
      <c r="AE96" s="258"/>
      <c r="AF96" s="257"/>
      <c r="AG96" s="254"/>
      <c r="AH96" s="258"/>
      <c r="AI96" s="258"/>
      <c r="AJ96" s="258"/>
      <c r="AK96" s="258"/>
      <c r="AL96" s="258"/>
      <c r="AM96" s="258"/>
      <c r="AN96" s="258"/>
      <c r="AO96" s="260"/>
      <c r="AP96" s="261"/>
    </row>
    <row r="97" spans="1:42" s="262" customFormat="1" ht="22.5" customHeight="1" x14ac:dyDescent="0.25">
      <c r="A97" s="251"/>
      <c r="B97" s="268"/>
      <c r="C97" s="269"/>
      <c r="D97" s="269"/>
      <c r="E97" s="269"/>
      <c r="F97" s="270"/>
      <c r="G97" s="252"/>
      <c r="H97" s="252"/>
      <c r="I97" s="253"/>
      <c r="J97" s="254"/>
      <c r="K97" s="253"/>
      <c r="L97" s="254"/>
      <c r="M97" s="253"/>
      <c r="N97" s="254"/>
      <c r="O97" s="253"/>
      <c r="P97" s="254"/>
      <c r="Q97" s="253"/>
      <c r="R97" s="255"/>
      <c r="S97" s="253"/>
      <c r="T97" s="255"/>
      <c r="U97" s="253"/>
      <c r="V97" s="255"/>
      <c r="W97" s="256"/>
      <c r="X97" s="254"/>
      <c r="Y97" s="254"/>
      <c r="Z97" s="257"/>
      <c r="AA97" s="258"/>
      <c r="AB97" s="258"/>
      <c r="AC97" s="259"/>
      <c r="AD97" s="258"/>
      <c r="AE97" s="258"/>
      <c r="AF97" s="257"/>
      <c r="AG97" s="254"/>
      <c r="AH97" s="258"/>
      <c r="AI97" s="258"/>
      <c r="AJ97" s="258"/>
      <c r="AK97" s="258"/>
      <c r="AL97" s="258"/>
      <c r="AM97" s="258"/>
      <c r="AN97" s="258"/>
      <c r="AO97" s="260"/>
      <c r="AP97" s="261"/>
    </row>
    <row r="98" spans="1:42" s="262" customFormat="1" ht="22.5" customHeight="1" x14ac:dyDescent="0.25">
      <c r="A98" s="251"/>
      <c r="B98" s="268"/>
      <c r="C98" s="269"/>
      <c r="D98" s="269"/>
      <c r="E98" s="269"/>
      <c r="F98" s="270"/>
      <c r="G98" s="252"/>
      <c r="H98" s="252"/>
      <c r="I98" s="253"/>
      <c r="J98" s="254"/>
      <c r="K98" s="253"/>
      <c r="L98" s="254"/>
      <c r="M98" s="253"/>
      <c r="N98" s="254"/>
      <c r="O98" s="253"/>
      <c r="P98" s="254"/>
      <c r="Q98" s="253"/>
      <c r="R98" s="255"/>
      <c r="S98" s="253"/>
      <c r="T98" s="255"/>
      <c r="U98" s="253"/>
      <c r="V98" s="255"/>
      <c r="W98" s="256"/>
      <c r="X98" s="254"/>
      <c r="Y98" s="254"/>
      <c r="Z98" s="257"/>
      <c r="AA98" s="258"/>
      <c r="AB98" s="258"/>
      <c r="AC98" s="259"/>
      <c r="AD98" s="258"/>
      <c r="AE98" s="258"/>
      <c r="AF98" s="257"/>
      <c r="AG98" s="254"/>
      <c r="AH98" s="258"/>
      <c r="AI98" s="258"/>
      <c r="AJ98" s="258"/>
      <c r="AK98" s="258"/>
      <c r="AL98" s="258"/>
      <c r="AM98" s="258"/>
      <c r="AN98" s="258"/>
      <c r="AO98" s="260"/>
      <c r="AP98" s="261"/>
    </row>
    <row r="99" spans="1:42" s="262" customFormat="1" ht="22.5" customHeight="1" x14ac:dyDescent="0.25">
      <c r="A99" s="251"/>
      <c r="B99" s="268"/>
      <c r="C99" s="269"/>
      <c r="D99" s="269"/>
      <c r="E99" s="269"/>
      <c r="F99" s="270"/>
      <c r="G99" s="252"/>
      <c r="H99" s="252"/>
      <c r="I99" s="253"/>
      <c r="J99" s="254"/>
      <c r="K99" s="253"/>
      <c r="L99" s="254"/>
      <c r="M99" s="253"/>
      <c r="N99" s="254"/>
      <c r="O99" s="253"/>
      <c r="P99" s="254"/>
      <c r="Q99" s="253"/>
      <c r="R99" s="255"/>
      <c r="S99" s="253"/>
      <c r="T99" s="255"/>
      <c r="U99" s="253"/>
      <c r="V99" s="255"/>
      <c r="W99" s="256"/>
      <c r="X99" s="254"/>
      <c r="Y99" s="254"/>
      <c r="Z99" s="257"/>
      <c r="AA99" s="258"/>
      <c r="AB99" s="258"/>
      <c r="AC99" s="259"/>
      <c r="AD99" s="258"/>
      <c r="AE99" s="258"/>
      <c r="AF99" s="257"/>
      <c r="AG99" s="254"/>
      <c r="AH99" s="258"/>
      <c r="AI99" s="258"/>
      <c r="AJ99" s="258"/>
      <c r="AK99" s="258"/>
      <c r="AL99" s="258"/>
      <c r="AM99" s="258"/>
      <c r="AN99" s="258"/>
      <c r="AO99" s="260"/>
      <c r="AP99" s="261"/>
    </row>
    <row r="100" spans="1:42" s="262" customFormat="1" ht="22.5" customHeight="1" x14ac:dyDescent="0.25">
      <c r="A100" s="251"/>
      <c r="B100" s="268"/>
      <c r="C100" s="269"/>
      <c r="D100" s="269"/>
      <c r="E100" s="269"/>
      <c r="F100" s="270"/>
      <c r="G100" s="252"/>
      <c r="H100" s="252"/>
      <c r="I100" s="253"/>
      <c r="J100" s="254"/>
      <c r="K100" s="253"/>
      <c r="L100" s="254"/>
      <c r="M100" s="253"/>
      <c r="N100" s="254"/>
      <c r="O100" s="253"/>
      <c r="P100" s="254"/>
      <c r="Q100" s="253"/>
      <c r="R100" s="255"/>
      <c r="S100" s="253"/>
      <c r="T100" s="255"/>
      <c r="U100" s="253"/>
      <c r="V100" s="255"/>
      <c r="W100" s="256"/>
      <c r="X100" s="254"/>
      <c r="Y100" s="254"/>
      <c r="Z100" s="257"/>
      <c r="AA100" s="258"/>
      <c r="AB100" s="258"/>
      <c r="AC100" s="259"/>
      <c r="AD100" s="258"/>
      <c r="AE100" s="258"/>
      <c r="AF100" s="257"/>
      <c r="AG100" s="254"/>
      <c r="AH100" s="258"/>
      <c r="AI100" s="258"/>
      <c r="AJ100" s="258"/>
      <c r="AK100" s="258"/>
      <c r="AL100" s="258"/>
      <c r="AM100" s="258"/>
      <c r="AN100" s="258"/>
      <c r="AO100" s="260"/>
      <c r="AP100" s="261"/>
    </row>
    <row r="101" spans="1:42" s="262" customFormat="1" ht="22.5" customHeight="1" x14ac:dyDescent="0.25">
      <c r="A101" s="251"/>
      <c r="B101" s="268"/>
      <c r="C101" s="269"/>
      <c r="D101" s="269"/>
      <c r="E101" s="269"/>
      <c r="F101" s="270"/>
      <c r="G101" s="252"/>
      <c r="H101" s="252"/>
      <c r="I101" s="253"/>
      <c r="J101" s="254"/>
      <c r="K101" s="253"/>
      <c r="L101" s="254"/>
      <c r="M101" s="253"/>
      <c r="N101" s="254"/>
      <c r="O101" s="253"/>
      <c r="P101" s="254"/>
      <c r="Q101" s="253"/>
      <c r="R101" s="255"/>
      <c r="S101" s="253"/>
      <c r="T101" s="255"/>
      <c r="U101" s="253"/>
      <c r="V101" s="255"/>
      <c r="W101" s="256"/>
      <c r="X101" s="254"/>
      <c r="Y101" s="254"/>
      <c r="Z101" s="257"/>
      <c r="AA101" s="258"/>
      <c r="AB101" s="258"/>
      <c r="AC101" s="259"/>
      <c r="AD101" s="258"/>
      <c r="AE101" s="258"/>
      <c r="AF101" s="257"/>
      <c r="AG101" s="254"/>
      <c r="AH101" s="258"/>
      <c r="AI101" s="258"/>
      <c r="AJ101" s="258"/>
      <c r="AK101" s="258"/>
      <c r="AL101" s="258"/>
      <c r="AM101" s="258"/>
      <c r="AN101" s="258"/>
      <c r="AO101" s="260"/>
      <c r="AP101" s="261"/>
    </row>
    <row r="102" spans="1:42" s="262" customFormat="1" ht="22.5" customHeight="1" x14ac:dyDescent="0.25">
      <c r="A102" s="251"/>
      <c r="B102" s="268"/>
      <c r="C102" s="269"/>
      <c r="D102" s="269"/>
      <c r="E102" s="269"/>
      <c r="F102" s="270"/>
      <c r="G102" s="252"/>
      <c r="H102" s="252"/>
      <c r="I102" s="253"/>
      <c r="J102" s="254"/>
      <c r="K102" s="253"/>
      <c r="L102" s="254"/>
      <c r="M102" s="253"/>
      <c r="N102" s="254"/>
      <c r="O102" s="253"/>
      <c r="P102" s="254"/>
      <c r="Q102" s="253"/>
      <c r="R102" s="255"/>
      <c r="S102" s="253"/>
      <c r="T102" s="255"/>
      <c r="U102" s="253"/>
      <c r="V102" s="255"/>
      <c r="W102" s="256"/>
      <c r="X102" s="254"/>
      <c r="Y102" s="254"/>
      <c r="Z102" s="257"/>
      <c r="AA102" s="258"/>
      <c r="AB102" s="258"/>
      <c r="AC102" s="259"/>
      <c r="AD102" s="258"/>
      <c r="AE102" s="258"/>
      <c r="AF102" s="257"/>
      <c r="AG102" s="254"/>
      <c r="AH102" s="258"/>
      <c r="AI102" s="258"/>
      <c r="AJ102" s="258"/>
      <c r="AK102" s="258"/>
      <c r="AL102" s="258"/>
      <c r="AM102" s="258"/>
      <c r="AN102" s="258"/>
      <c r="AO102" s="260"/>
      <c r="AP102" s="261"/>
    </row>
    <row r="103" spans="1:42" s="262" customFormat="1" ht="22.5" customHeight="1" x14ac:dyDescent="0.25">
      <c r="A103" s="251"/>
      <c r="B103" s="268"/>
      <c r="C103" s="269"/>
      <c r="D103" s="269"/>
      <c r="E103" s="269"/>
      <c r="F103" s="270"/>
      <c r="G103" s="252"/>
      <c r="H103" s="252"/>
      <c r="I103" s="253"/>
      <c r="J103" s="254"/>
      <c r="K103" s="253"/>
      <c r="L103" s="254"/>
      <c r="M103" s="253"/>
      <c r="N103" s="254"/>
      <c r="O103" s="253"/>
      <c r="P103" s="254"/>
      <c r="Q103" s="253"/>
      <c r="R103" s="255"/>
      <c r="S103" s="253"/>
      <c r="T103" s="255"/>
      <c r="U103" s="253"/>
      <c r="V103" s="255"/>
      <c r="W103" s="256"/>
      <c r="X103" s="254"/>
      <c r="Y103" s="254"/>
      <c r="Z103" s="257"/>
      <c r="AA103" s="258"/>
      <c r="AB103" s="258"/>
      <c r="AC103" s="259"/>
      <c r="AD103" s="258"/>
      <c r="AE103" s="258"/>
      <c r="AF103" s="257"/>
      <c r="AG103" s="254"/>
      <c r="AH103" s="258"/>
      <c r="AI103" s="258"/>
      <c r="AJ103" s="258"/>
      <c r="AK103" s="258"/>
      <c r="AL103" s="258"/>
      <c r="AM103" s="258"/>
      <c r="AN103" s="258"/>
      <c r="AO103" s="260"/>
      <c r="AP103" s="261"/>
    </row>
    <row r="104" spans="1:42" s="262" customFormat="1" ht="22.5" customHeight="1" x14ac:dyDescent="0.25">
      <c r="A104" s="251"/>
      <c r="B104" s="268"/>
      <c r="C104" s="269"/>
      <c r="D104" s="269"/>
      <c r="E104" s="269"/>
      <c r="F104" s="270"/>
      <c r="G104" s="252"/>
      <c r="H104" s="252"/>
      <c r="I104" s="253"/>
      <c r="J104" s="254"/>
      <c r="K104" s="253"/>
      <c r="L104" s="254"/>
      <c r="M104" s="253"/>
      <c r="N104" s="254"/>
      <c r="O104" s="253"/>
      <c r="P104" s="254"/>
      <c r="Q104" s="253"/>
      <c r="R104" s="255"/>
      <c r="S104" s="253"/>
      <c r="T104" s="255"/>
      <c r="U104" s="253"/>
      <c r="V104" s="255"/>
      <c r="W104" s="256"/>
      <c r="X104" s="254"/>
      <c r="Y104" s="254"/>
      <c r="Z104" s="257"/>
      <c r="AA104" s="258"/>
      <c r="AB104" s="258"/>
      <c r="AC104" s="259"/>
      <c r="AD104" s="258"/>
      <c r="AE104" s="258"/>
      <c r="AF104" s="257"/>
      <c r="AG104" s="254"/>
      <c r="AH104" s="258"/>
      <c r="AI104" s="258"/>
      <c r="AJ104" s="258"/>
      <c r="AK104" s="258"/>
      <c r="AL104" s="258"/>
      <c r="AM104" s="258"/>
      <c r="AN104" s="258"/>
      <c r="AO104" s="260"/>
      <c r="AP104" s="261"/>
    </row>
    <row r="105" spans="1:42" s="262" customFormat="1" ht="22.5" customHeight="1" x14ac:dyDescent="0.25">
      <c r="A105" s="251"/>
      <c r="B105" s="268"/>
      <c r="C105" s="269"/>
      <c r="D105" s="269"/>
      <c r="E105" s="269"/>
      <c r="F105" s="270"/>
      <c r="G105" s="252"/>
      <c r="H105" s="252"/>
      <c r="I105" s="253"/>
      <c r="J105" s="254"/>
      <c r="K105" s="253"/>
      <c r="L105" s="254"/>
      <c r="M105" s="253"/>
      <c r="N105" s="254"/>
      <c r="O105" s="253"/>
      <c r="P105" s="254"/>
      <c r="Q105" s="253"/>
      <c r="R105" s="255"/>
      <c r="S105" s="253"/>
      <c r="T105" s="255"/>
      <c r="U105" s="253"/>
      <c r="V105" s="255"/>
      <c r="W105" s="256"/>
      <c r="X105" s="254"/>
      <c r="Y105" s="254"/>
      <c r="Z105" s="257"/>
      <c r="AA105" s="258"/>
      <c r="AB105" s="258"/>
      <c r="AC105" s="259"/>
      <c r="AD105" s="258"/>
      <c r="AE105" s="258"/>
      <c r="AF105" s="257"/>
      <c r="AG105" s="254"/>
      <c r="AH105" s="258"/>
      <c r="AI105" s="258"/>
      <c r="AJ105" s="258"/>
      <c r="AK105" s="258"/>
      <c r="AL105" s="258"/>
      <c r="AM105" s="258"/>
      <c r="AN105" s="258"/>
      <c r="AO105" s="260"/>
      <c r="AP105" s="261"/>
    </row>
    <row r="106" spans="1:42" s="262" customFormat="1" ht="22.5" customHeight="1" x14ac:dyDescent="0.25">
      <c r="A106" s="251"/>
      <c r="B106" s="268"/>
      <c r="C106" s="269"/>
      <c r="D106" s="269"/>
      <c r="E106" s="269"/>
      <c r="F106" s="270"/>
      <c r="G106" s="252"/>
      <c r="H106" s="252"/>
      <c r="I106" s="253"/>
      <c r="J106" s="254"/>
      <c r="K106" s="253"/>
      <c r="L106" s="254"/>
      <c r="M106" s="253"/>
      <c r="N106" s="254"/>
      <c r="O106" s="253"/>
      <c r="P106" s="254"/>
      <c r="Q106" s="253"/>
      <c r="R106" s="255"/>
      <c r="S106" s="253"/>
      <c r="T106" s="255"/>
      <c r="U106" s="253"/>
      <c r="V106" s="255"/>
      <c r="W106" s="256"/>
      <c r="X106" s="254"/>
      <c r="Y106" s="254"/>
      <c r="Z106" s="257"/>
      <c r="AA106" s="258"/>
      <c r="AB106" s="258"/>
      <c r="AC106" s="259"/>
      <c r="AD106" s="258"/>
      <c r="AE106" s="258"/>
      <c r="AF106" s="257"/>
      <c r="AG106" s="254"/>
      <c r="AH106" s="258"/>
      <c r="AI106" s="258"/>
      <c r="AJ106" s="258"/>
      <c r="AK106" s="258"/>
      <c r="AL106" s="258"/>
      <c r="AM106" s="258"/>
      <c r="AN106" s="258"/>
      <c r="AO106" s="260"/>
      <c r="AP106" s="261"/>
    </row>
    <row r="107" spans="1:42" s="262" customFormat="1" ht="22.5" customHeight="1" x14ac:dyDescent="0.25">
      <c r="A107" s="251"/>
      <c r="B107" s="268"/>
      <c r="C107" s="269"/>
      <c r="D107" s="269"/>
      <c r="E107" s="269"/>
      <c r="F107" s="270"/>
      <c r="G107" s="252"/>
      <c r="H107" s="252"/>
      <c r="I107" s="253"/>
      <c r="J107" s="254"/>
      <c r="K107" s="253"/>
      <c r="L107" s="254"/>
      <c r="M107" s="253"/>
      <c r="N107" s="254"/>
      <c r="O107" s="253"/>
      <c r="P107" s="254"/>
      <c r="Q107" s="253"/>
      <c r="R107" s="255"/>
      <c r="S107" s="253"/>
      <c r="T107" s="255"/>
      <c r="U107" s="253"/>
      <c r="V107" s="255"/>
      <c r="W107" s="256"/>
      <c r="X107" s="254"/>
      <c r="Y107" s="254"/>
      <c r="Z107" s="257"/>
      <c r="AA107" s="258"/>
      <c r="AB107" s="258"/>
      <c r="AC107" s="259"/>
      <c r="AD107" s="258"/>
      <c r="AE107" s="258"/>
      <c r="AF107" s="257"/>
      <c r="AG107" s="254"/>
      <c r="AH107" s="258"/>
      <c r="AI107" s="258"/>
      <c r="AJ107" s="258"/>
      <c r="AK107" s="258"/>
      <c r="AL107" s="258"/>
      <c r="AM107" s="258"/>
      <c r="AN107" s="258"/>
      <c r="AO107" s="260"/>
      <c r="AP107" s="261"/>
    </row>
    <row r="108" spans="1:42" s="262" customFormat="1" ht="22.5" customHeight="1" x14ac:dyDescent="0.25">
      <c r="A108" s="251"/>
      <c r="B108" s="268"/>
      <c r="C108" s="269"/>
      <c r="D108" s="269"/>
      <c r="E108" s="269"/>
      <c r="F108" s="270"/>
      <c r="G108" s="252"/>
      <c r="H108" s="252"/>
      <c r="I108" s="253"/>
      <c r="J108" s="254"/>
      <c r="K108" s="253"/>
      <c r="L108" s="254"/>
      <c r="M108" s="253"/>
      <c r="N108" s="254"/>
      <c r="O108" s="253"/>
      <c r="P108" s="254"/>
      <c r="Q108" s="253"/>
      <c r="R108" s="255"/>
      <c r="S108" s="253"/>
      <c r="T108" s="255"/>
      <c r="U108" s="253"/>
      <c r="V108" s="255"/>
      <c r="W108" s="256"/>
      <c r="X108" s="254"/>
      <c r="Y108" s="254"/>
      <c r="Z108" s="257"/>
      <c r="AA108" s="258"/>
      <c r="AB108" s="258"/>
      <c r="AC108" s="259"/>
      <c r="AD108" s="258"/>
      <c r="AE108" s="258"/>
      <c r="AF108" s="257"/>
      <c r="AG108" s="254"/>
      <c r="AH108" s="258"/>
      <c r="AI108" s="258"/>
      <c r="AJ108" s="258"/>
      <c r="AK108" s="258"/>
      <c r="AL108" s="258"/>
      <c r="AM108" s="258"/>
      <c r="AN108" s="258"/>
      <c r="AO108" s="260"/>
      <c r="AP108" s="261"/>
    </row>
    <row r="109" spans="1:42" s="262" customFormat="1" ht="22.5" customHeight="1" x14ac:dyDescent="0.25">
      <c r="A109" s="251"/>
      <c r="B109" s="268"/>
      <c r="C109" s="269"/>
      <c r="D109" s="269"/>
      <c r="E109" s="269"/>
      <c r="F109" s="270"/>
      <c r="G109" s="252"/>
      <c r="H109" s="252"/>
      <c r="I109" s="253"/>
      <c r="J109" s="254"/>
      <c r="K109" s="253"/>
      <c r="L109" s="254"/>
      <c r="M109" s="253"/>
      <c r="N109" s="254"/>
      <c r="O109" s="253"/>
      <c r="P109" s="254"/>
      <c r="Q109" s="253"/>
      <c r="R109" s="255"/>
      <c r="S109" s="253"/>
      <c r="T109" s="255"/>
      <c r="U109" s="253"/>
      <c r="V109" s="255"/>
      <c r="W109" s="256"/>
      <c r="X109" s="254"/>
      <c r="Y109" s="254"/>
      <c r="Z109" s="257"/>
      <c r="AA109" s="258"/>
      <c r="AB109" s="258"/>
      <c r="AC109" s="259"/>
      <c r="AD109" s="258"/>
      <c r="AE109" s="258"/>
      <c r="AF109" s="257"/>
      <c r="AG109" s="254"/>
      <c r="AH109" s="258"/>
      <c r="AI109" s="258"/>
      <c r="AJ109" s="258"/>
      <c r="AK109" s="258"/>
      <c r="AL109" s="258"/>
      <c r="AM109" s="258"/>
      <c r="AN109" s="258"/>
      <c r="AO109" s="260"/>
      <c r="AP109" s="261"/>
    </row>
    <row r="110" spans="1:42" s="262" customFormat="1" ht="22.5" customHeight="1" x14ac:dyDescent="0.25">
      <c r="A110" s="251"/>
      <c r="B110" s="268"/>
      <c r="C110" s="269"/>
      <c r="D110" s="269"/>
      <c r="E110" s="269"/>
      <c r="F110" s="270"/>
      <c r="G110" s="252"/>
      <c r="H110" s="252"/>
      <c r="I110" s="253"/>
      <c r="J110" s="254"/>
      <c r="K110" s="253"/>
      <c r="L110" s="254"/>
      <c r="M110" s="253"/>
      <c r="N110" s="254"/>
      <c r="O110" s="253"/>
      <c r="P110" s="254"/>
      <c r="Q110" s="253"/>
      <c r="R110" s="255"/>
      <c r="S110" s="253"/>
      <c r="T110" s="255"/>
      <c r="U110" s="253"/>
      <c r="V110" s="255"/>
      <c r="W110" s="256"/>
      <c r="X110" s="254"/>
      <c r="Y110" s="254"/>
      <c r="Z110" s="257"/>
      <c r="AA110" s="258"/>
      <c r="AB110" s="258"/>
      <c r="AC110" s="259"/>
      <c r="AD110" s="258"/>
      <c r="AE110" s="258"/>
      <c r="AF110" s="257"/>
      <c r="AG110" s="254"/>
      <c r="AH110" s="258"/>
      <c r="AI110" s="258"/>
      <c r="AJ110" s="258"/>
      <c r="AK110" s="258"/>
      <c r="AL110" s="258"/>
      <c r="AM110" s="258"/>
      <c r="AN110" s="258"/>
      <c r="AO110" s="260"/>
      <c r="AP110" s="261"/>
    </row>
    <row r="111" spans="1:42" s="262" customFormat="1" ht="22.5" customHeight="1" x14ac:dyDescent="0.25">
      <c r="A111" s="251"/>
      <c r="B111" s="268"/>
      <c r="C111" s="269"/>
      <c r="D111" s="269"/>
      <c r="E111" s="269"/>
      <c r="F111" s="270"/>
      <c r="G111" s="252"/>
      <c r="H111" s="252"/>
      <c r="I111" s="253"/>
      <c r="J111" s="254"/>
      <c r="K111" s="253"/>
      <c r="L111" s="254"/>
      <c r="M111" s="253"/>
      <c r="N111" s="254"/>
      <c r="O111" s="253"/>
      <c r="P111" s="254"/>
      <c r="Q111" s="253"/>
      <c r="R111" s="255"/>
      <c r="S111" s="253"/>
      <c r="T111" s="255"/>
      <c r="U111" s="253"/>
      <c r="V111" s="255"/>
      <c r="W111" s="256"/>
      <c r="X111" s="254"/>
      <c r="Y111" s="254"/>
      <c r="Z111" s="257"/>
      <c r="AA111" s="258"/>
      <c r="AB111" s="258"/>
      <c r="AC111" s="259"/>
      <c r="AD111" s="258"/>
      <c r="AE111" s="258"/>
      <c r="AF111" s="257"/>
      <c r="AG111" s="254"/>
      <c r="AH111" s="258"/>
      <c r="AI111" s="258"/>
      <c r="AJ111" s="258"/>
      <c r="AK111" s="258"/>
      <c r="AL111" s="258"/>
      <c r="AM111" s="258"/>
      <c r="AN111" s="258"/>
      <c r="AO111" s="260"/>
      <c r="AP111" s="261"/>
    </row>
    <row r="112" spans="1:42" s="262" customFormat="1" ht="22.5" customHeight="1" x14ac:dyDescent="0.25">
      <c r="A112" s="251"/>
      <c r="B112" s="268"/>
      <c r="C112" s="269"/>
      <c r="D112" s="269"/>
      <c r="E112" s="269"/>
      <c r="F112" s="270"/>
      <c r="G112" s="252"/>
      <c r="H112" s="252"/>
      <c r="I112" s="253"/>
      <c r="J112" s="254"/>
      <c r="K112" s="253"/>
      <c r="L112" s="254"/>
      <c r="M112" s="253"/>
      <c r="N112" s="254"/>
      <c r="O112" s="253"/>
      <c r="P112" s="254"/>
      <c r="Q112" s="253"/>
      <c r="R112" s="255"/>
      <c r="S112" s="253"/>
      <c r="T112" s="255"/>
      <c r="U112" s="253"/>
      <c r="V112" s="255"/>
      <c r="W112" s="256"/>
      <c r="X112" s="254"/>
      <c r="Y112" s="254"/>
      <c r="Z112" s="257"/>
      <c r="AA112" s="258"/>
      <c r="AB112" s="258"/>
      <c r="AC112" s="259"/>
      <c r="AD112" s="258"/>
      <c r="AE112" s="258"/>
      <c r="AF112" s="257"/>
      <c r="AG112" s="254"/>
      <c r="AH112" s="258"/>
      <c r="AI112" s="258"/>
      <c r="AJ112" s="258"/>
      <c r="AK112" s="258"/>
      <c r="AL112" s="258"/>
      <c r="AM112" s="258"/>
      <c r="AN112" s="258"/>
      <c r="AO112" s="260"/>
      <c r="AP112" s="261"/>
    </row>
    <row r="113" spans="1:42" s="262" customFormat="1" ht="22.5" customHeight="1" x14ac:dyDescent="0.25">
      <c r="A113" s="251"/>
      <c r="B113" s="268"/>
      <c r="C113" s="269"/>
      <c r="D113" s="269"/>
      <c r="E113" s="269"/>
      <c r="F113" s="270"/>
      <c r="G113" s="252"/>
      <c r="H113" s="252"/>
      <c r="I113" s="253"/>
      <c r="J113" s="254"/>
      <c r="K113" s="253"/>
      <c r="L113" s="254"/>
      <c r="M113" s="253"/>
      <c r="N113" s="254"/>
      <c r="O113" s="253"/>
      <c r="P113" s="254"/>
      <c r="Q113" s="253"/>
      <c r="R113" s="255"/>
      <c r="S113" s="253"/>
      <c r="T113" s="255"/>
      <c r="U113" s="253"/>
      <c r="V113" s="255"/>
      <c r="W113" s="256"/>
      <c r="X113" s="254"/>
      <c r="Y113" s="254"/>
      <c r="Z113" s="257"/>
      <c r="AA113" s="258"/>
      <c r="AB113" s="258"/>
      <c r="AC113" s="259"/>
      <c r="AD113" s="258"/>
      <c r="AE113" s="258"/>
      <c r="AF113" s="257"/>
      <c r="AG113" s="254"/>
      <c r="AH113" s="258"/>
      <c r="AI113" s="258"/>
      <c r="AJ113" s="258"/>
      <c r="AK113" s="258"/>
      <c r="AL113" s="258"/>
      <c r="AM113" s="258"/>
      <c r="AN113" s="258"/>
      <c r="AO113" s="260"/>
      <c r="AP113" s="261"/>
    </row>
    <row r="114" spans="1:42" s="262" customFormat="1" ht="22.5" customHeight="1" x14ac:dyDescent="0.25">
      <c r="A114" s="251"/>
      <c r="B114" s="268"/>
      <c r="C114" s="269"/>
      <c r="D114" s="269"/>
      <c r="E114" s="269"/>
      <c r="F114" s="270"/>
      <c r="G114" s="252"/>
      <c r="H114" s="252"/>
      <c r="I114" s="253"/>
      <c r="J114" s="254"/>
      <c r="K114" s="253"/>
      <c r="L114" s="254"/>
      <c r="M114" s="253"/>
      <c r="N114" s="254"/>
      <c r="O114" s="253"/>
      <c r="P114" s="254"/>
      <c r="Q114" s="253"/>
      <c r="R114" s="255"/>
      <c r="S114" s="253"/>
      <c r="T114" s="255"/>
      <c r="U114" s="253"/>
      <c r="V114" s="255"/>
      <c r="W114" s="256"/>
      <c r="X114" s="254"/>
      <c r="Y114" s="254"/>
      <c r="Z114" s="257"/>
      <c r="AA114" s="258"/>
      <c r="AB114" s="258"/>
      <c r="AC114" s="259"/>
      <c r="AD114" s="258"/>
      <c r="AE114" s="258"/>
      <c r="AF114" s="257"/>
      <c r="AG114" s="254"/>
      <c r="AH114" s="258"/>
      <c r="AI114" s="258"/>
      <c r="AJ114" s="258"/>
      <c r="AK114" s="258"/>
      <c r="AL114" s="258"/>
      <c r="AM114" s="258"/>
      <c r="AN114" s="258"/>
      <c r="AO114" s="260"/>
      <c r="AP114" s="261"/>
    </row>
    <row r="115" spans="1:42" s="262" customFormat="1" ht="22.5" customHeight="1" x14ac:dyDescent="0.25">
      <c r="A115" s="251"/>
      <c r="B115" s="268"/>
      <c r="C115" s="269"/>
      <c r="D115" s="269"/>
      <c r="E115" s="269"/>
      <c r="F115" s="270"/>
      <c r="G115" s="252"/>
      <c r="H115" s="252"/>
      <c r="I115" s="253"/>
      <c r="J115" s="254"/>
      <c r="K115" s="253"/>
      <c r="L115" s="254"/>
      <c r="M115" s="253"/>
      <c r="N115" s="254"/>
      <c r="O115" s="253"/>
      <c r="P115" s="254"/>
      <c r="Q115" s="253"/>
      <c r="R115" s="255"/>
      <c r="S115" s="253"/>
      <c r="T115" s="255"/>
      <c r="U115" s="253"/>
      <c r="V115" s="255"/>
      <c r="W115" s="256"/>
      <c r="X115" s="254"/>
      <c r="Y115" s="254"/>
      <c r="Z115" s="257"/>
      <c r="AA115" s="258"/>
      <c r="AB115" s="258"/>
      <c r="AC115" s="259"/>
      <c r="AD115" s="258"/>
      <c r="AE115" s="258"/>
      <c r="AF115" s="257"/>
      <c r="AG115" s="254"/>
      <c r="AH115" s="258"/>
      <c r="AI115" s="258"/>
      <c r="AJ115" s="258"/>
      <c r="AK115" s="258"/>
      <c r="AL115" s="258"/>
      <c r="AM115" s="258"/>
      <c r="AN115" s="258"/>
      <c r="AO115" s="260"/>
      <c r="AP115" s="261"/>
    </row>
    <row r="116" spans="1:42" s="262" customFormat="1" ht="22.5" customHeight="1" x14ac:dyDescent="0.25">
      <c r="A116" s="251"/>
      <c r="B116" s="268"/>
      <c r="C116" s="269"/>
      <c r="D116" s="269"/>
      <c r="E116" s="269"/>
      <c r="F116" s="270"/>
      <c r="G116" s="252"/>
      <c r="H116" s="252"/>
      <c r="I116" s="253"/>
      <c r="J116" s="254"/>
      <c r="K116" s="253"/>
      <c r="L116" s="254"/>
      <c r="M116" s="253"/>
      <c r="N116" s="254"/>
      <c r="O116" s="253"/>
      <c r="P116" s="254"/>
      <c r="Q116" s="253"/>
      <c r="R116" s="255"/>
      <c r="S116" s="253"/>
      <c r="T116" s="255"/>
      <c r="U116" s="253"/>
      <c r="V116" s="255"/>
      <c r="W116" s="256"/>
      <c r="X116" s="254"/>
      <c r="Y116" s="254"/>
      <c r="Z116" s="257"/>
      <c r="AA116" s="258"/>
      <c r="AB116" s="258"/>
      <c r="AC116" s="259"/>
      <c r="AD116" s="258"/>
      <c r="AE116" s="258"/>
      <c r="AF116" s="257"/>
      <c r="AG116" s="254"/>
      <c r="AH116" s="258"/>
      <c r="AI116" s="258"/>
      <c r="AJ116" s="258"/>
      <c r="AK116" s="258"/>
      <c r="AL116" s="258"/>
      <c r="AM116" s="258"/>
      <c r="AN116" s="258"/>
      <c r="AO116" s="260"/>
      <c r="AP116" s="261"/>
    </row>
    <row r="117" spans="1:42" s="262" customFormat="1" ht="22.5" customHeight="1" x14ac:dyDescent="0.25">
      <c r="A117" s="251"/>
      <c r="B117" s="268"/>
      <c r="C117" s="269"/>
      <c r="D117" s="269"/>
      <c r="E117" s="269"/>
      <c r="F117" s="270"/>
      <c r="G117" s="252"/>
      <c r="H117" s="252"/>
      <c r="I117" s="253"/>
      <c r="J117" s="254"/>
      <c r="K117" s="253"/>
      <c r="L117" s="254"/>
      <c r="M117" s="253"/>
      <c r="N117" s="254"/>
      <c r="O117" s="253"/>
      <c r="P117" s="254"/>
      <c r="Q117" s="253"/>
      <c r="R117" s="255"/>
      <c r="S117" s="253"/>
      <c r="T117" s="255"/>
      <c r="U117" s="253"/>
      <c r="V117" s="255"/>
      <c r="W117" s="256"/>
      <c r="X117" s="254"/>
      <c r="Y117" s="254"/>
      <c r="Z117" s="257"/>
      <c r="AA117" s="258"/>
      <c r="AB117" s="258"/>
      <c r="AC117" s="259"/>
      <c r="AD117" s="258"/>
      <c r="AE117" s="258"/>
      <c r="AF117" s="257"/>
      <c r="AG117" s="254"/>
      <c r="AH117" s="258"/>
      <c r="AI117" s="258"/>
      <c r="AJ117" s="258"/>
      <c r="AK117" s="258"/>
      <c r="AL117" s="258"/>
      <c r="AM117" s="258"/>
      <c r="AN117" s="258"/>
      <c r="AO117" s="260"/>
      <c r="AP117" s="261"/>
    </row>
    <row r="118" spans="1:42" s="262" customFormat="1" ht="22.5" customHeight="1" x14ac:dyDescent="0.25">
      <c r="A118" s="251"/>
      <c r="B118" s="268"/>
      <c r="C118" s="269"/>
      <c r="D118" s="269"/>
      <c r="E118" s="269"/>
      <c r="F118" s="270"/>
      <c r="G118" s="252"/>
      <c r="H118" s="252"/>
      <c r="I118" s="253"/>
      <c r="J118" s="254"/>
      <c r="K118" s="253"/>
      <c r="L118" s="254"/>
      <c r="M118" s="253"/>
      <c r="N118" s="254"/>
      <c r="O118" s="253"/>
      <c r="P118" s="254"/>
      <c r="Q118" s="253"/>
      <c r="R118" s="255"/>
      <c r="S118" s="253"/>
      <c r="T118" s="255"/>
      <c r="U118" s="253"/>
      <c r="V118" s="255"/>
      <c r="W118" s="256"/>
      <c r="X118" s="254"/>
      <c r="Y118" s="254"/>
      <c r="Z118" s="257"/>
      <c r="AA118" s="258"/>
      <c r="AB118" s="258"/>
      <c r="AC118" s="259"/>
      <c r="AD118" s="258"/>
      <c r="AE118" s="258"/>
      <c r="AF118" s="257"/>
      <c r="AG118" s="254"/>
      <c r="AH118" s="258"/>
      <c r="AI118" s="258"/>
      <c r="AJ118" s="258"/>
      <c r="AK118" s="258"/>
      <c r="AL118" s="258"/>
      <c r="AM118" s="258"/>
      <c r="AN118" s="258"/>
      <c r="AO118" s="260"/>
      <c r="AP118" s="261"/>
    </row>
    <row r="119" spans="1:42" s="262" customFormat="1" ht="22.5" customHeight="1" x14ac:dyDescent="0.25">
      <c r="A119" s="251"/>
      <c r="B119" s="268"/>
      <c r="C119" s="269"/>
      <c r="D119" s="269"/>
      <c r="E119" s="269"/>
      <c r="F119" s="270"/>
      <c r="G119" s="252"/>
      <c r="H119" s="252"/>
      <c r="I119" s="253"/>
      <c r="J119" s="254"/>
      <c r="K119" s="253"/>
      <c r="L119" s="254"/>
      <c r="M119" s="253"/>
      <c r="N119" s="254"/>
      <c r="O119" s="253"/>
      <c r="P119" s="254"/>
      <c r="Q119" s="253"/>
      <c r="R119" s="255"/>
      <c r="S119" s="253"/>
      <c r="T119" s="255"/>
      <c r="U119" s="253"/>
      <c r="V119" s="255"/>
      <c r="W119" s="256"/>
      <c r="X119" s="254"/>
      <c r="Y119" s="254"/>
      <c r="Z119" s="257"/>
      <c r="AA119" s="258"/>
      <c r="AB119" s="258"/>
      <c r="AC119" s="259"/>
      <c r="AD119" s="258"/>
      <c r="AE119" s="258"/>
      <c r="AF119" s="257"/>
      <c r="AG119" s="254"/>
      <c r="AH119" s="258"/>
      <c r="AI119" s="258"/>
      <c r="AJ119" s="258"/>
      <c r="AK119" s="258"/>
      <c r="AL119" s="258"/>
      <c r="AM119" s="258"/>
      <c r="AN119" s="258"/>
      <c r="AO119" s="260"/>
      <c r="AP119" s="261"/>
    </row>
    <row r="120" spans="1:42" s="262" customFormat="1" ht="22.5" customHeight="1" x14ac:dyDescent="0.25">
      <c r="A120" s="251"/>
      <c r="B120" s="268"/>
      <c r="C120" s="269"/>
      <c r="D120" s="269"/>
      <c r="E120" s="269"/>
      <c r="F120" s="270"/>
      <c r="G120" s="252"/>
      <c r="H120" s="252"/>
      <c r="I120" s="253"/>
      <c r="J120" s="254"/>
      <c r="K120" s="253"/>
      <c r="L120" s="254"/>
      <c r="M120" s="253"/>
      <c r="N120" s="254"/>
      <c r="O120" s="253"/>
      <c r="P120" s="254"/>
      <c r="Q120" s="253"/>
      <c r="R120" s="255"/>
      <c r="S120" s="253"/>
      <c r="T120" s="255"/>
      <c r="U120" s="253"/>
      <c r="V120" s="255"/>
      <c r="W120" s="256"/>
      <c r="X120" s="254"/>
      <c r="Y120" s="254"/>
      <c r="Z120" s="257"/>
      <c r="AA120" s="258"/>
      <c r="AB120" s="258"/>
      <c r="AC120" s="259"/>
      <c r="AD120" s="258"/>
      <c r="AE120" s="258"/>
      <c r="AF120" s="257"/>
      <c r="AG120" s="254"/>
      <c r="AH120" s="258"/>
      <c r="AI120" s="258"/>
      <c r="AJ120" s="258"/>
      <c r="AK120" s="258"/>
      <c r="AL120" s="258"/>
      <c r="AM120" s="258"/>
      <c r="AN120" s="258"/>
      <c r="AO120" s="260"/>
      <c r="AP120" s="261"/>
    </row>
    <row r="121" spans="1:42" s="262" customFormat="1" ht="22.5" customHeight="1" x14ac:dyDescent="0.25">
      <c r="A121" s="251"/>
      <c r="B121" s="268"/>
      <c r="C121" s="269"/>
      <c r="D121" s="269"/>
      <c r="E121" s="269"/>
      <c r="F121" s="270"/>
      <c r="G121" s="252"/>
      <c r="H121" s="252"/>
      <c r="I121" s="253"/>
      <c r="J121" s="254"/>
      <c r="K121" s="253"/>
      <c r="L121" s="254"/>
      <c r="M121" s="253"/>
      <c r="N121" s="254"/>
      <c r="O121" s="253"/>
      <c r="P121" s="254"/>
      <c r="Q121" s="253"/>
      <c r="R121" s="255"/>
      <c r="S121" s="253"/>
      <c r="T121" s="255"/>
      <c r="U121" s="253"/>
      <c r="V121" s="255"/>
      <c r="W121" s="256"/>
      <c r="X121" s="254"/>
      <c r="Y121" s="254"/>
      <c r="Z121" s="257"/>
      <c r="AA121" s="258"/>
      <c r="AB121" s="258"/>
      <c r="AC121" s="259"/>
      <c r="AD121" s="258"/>
      <c r="AE121" s="258"/>
      <c r="AF121" s="257"/>
      <c r="AG121" s="254"/>
      <c r="AH121" s="258"/>
      <c r="AI121" s="258"/>
      <c r="AJ121" s="258"/>
      <c r="AK121" s="258"/>
      <c r="AL121" s="258"/>
      <c r="AM121" s="258"/>
      <c r="AN121" s="258"/>
      <c r="AO121" s="260"/>
      <c r="AP121" s="261"/>
    </row>
    <row r="122" spans="1:42" s="262" customFormat="1" ht="22.5" customHeight="1" x14ac:dyDescent="0.25">
      <c r="A122" s="251"/>
      <c r="B122" s="268"/>
      <c r="C122" s="269"/>
      <c r="D122" s="269"/>
      <c r="E122" s="269"/>
      <c r="F122" s="270"/>
      <c r="G122" s="252"/>
      <c r="H122" s="252"/>
      <c r="I122" s="253"/>
      <c r="J122" s="254"/>
      <c r="K122" s="253"/>
      <c r="L122" s="254"/>
      <c r="M122" s="253"/>
      <c r="N122" s="254"/>
      <c r="O122" s="253"/>
      <c r="P122" s="254"/>
      <c r="Q122" s="253"/>
      <c r="R122" s="255"/>
      <c r="S122" s="253"/>
      <c r="T122" s="255"/>
      <c r="U122" s="253"/>
      <c r="V122" s="255"/>
      <c r="W122" s="256"/>
      <c r="X122" s="254"/>
      <c r="Y122" s="254"/>
      <c r="Z122" s="257"/>
      <c r="AA122" s="258"/>
      <c r="AB122" s="258"/>
      <c r="AC122" s="259"/>
      <c r="AD122" s="258"/>
      <c r="AE122" s="258"/>
      <c r="AF122" s="257"/>
      <c r="AG122" s="254"/>
      <c r="AH122" s="258"/>
      <c r="AI122" s="258"/>
      <c r="AJ122" s="258"/>
      <c r="AK122" s="258"/>
      <c r="AL122" s="258"/>
      <c r="AM122" s="258"/>
      <c r="AN122" s="258"/>
      <c r="AO122" s="260"/>
      <c r="AP122" s="261"/>
    </row>
    <row r="123" spans="1:42" s="262" customFormat="1" ht="22.5" customHeight="1" x14ac:dyDescent="0.25">
      <c r="A123" s="251"/>
      <c r="B123" s="268"/>
      <c r="C123" s="269"/>
      <c r="D123" s="269"/>
      <c r="E123" s="269"/>
      <c r="F123" s="270"/>
      <c r="G123" s="252"/>
      <c r="H123" s="252"/>
      <c r="I123" s="253"/>
      <c r="J123" s="254"/>
      <c r="K123" s="253"/>
      <c r="L123" s="254"/>
      <c r="M123" s="253"/>
      <c r="N123" s="254"/>
      <c r="O123" s="253"/>
      <c r="P123" s="254"/>
      <c r="Q123" s="253"/>
      <c r="R123" s="255"/>
      <c r="S123" s="253"/>
      <c r="T123" s="255"/>
      <c r="U123" s="253"/>
      <c r="V123" s="255"/>
      <c r="W123" s="256"/>
      <c r="X123" s="254"/>
      <c r="Y123" s="254"/>
      <c r="Z123" s="257"/>
      <c r="AA123" s="258"/>
      <c r="AB123" s="258"/>
      <c r="AC123" s="259"/>
      <c r="AD123" s="258"/>
      <c r="AE123" s="258"/>
      <c r="AF123" s="257"/>
      <c r="AG123" s="254"/>
      <c r="AH123" s="258"/>
      <c r="AI123" s="258"/>
      <c r="AJ123" s="258"/>
      <c r="AK123" s="258"/>
      <c r="AL123" s="258"/>
      <c r="AM123" s="258"/>
      <c r="AN123" s="258"/>
      <c r="AO123" s="260"/>
      <c r="AP123" s="261"/>
    </row>
    <row r="124" spans="1:42" s="262" customFormat="1" ht="22.5" customHeight="1" x14ac:dyDescent="0.25">
      <c r="A124" s="251"/>
      <c r="B124" s="268"/>
      <c r="C124" s="269"/>
      <c r="D124" s="269"/>
      <c r="E124" s="269"/>
      <c r="F124" s="270"/>
      <c r="G124" s="252"/>
      <c r="H124" s="252"/>
      <c r="I124" s="253"/>
      <c r="J124" s="254"/>
      <c r="K124" s="253"/>
      <c r="L124" s="254"/>
      <c r="M124" s="253"/>
      <c r="N124" s="254"/>
      <c r="O124" s="253"/>
      <c r="P124" s="254"/>
      <c r="Q124" s="253"/>
      <c r="R124" s="255"/>
      <c r="S124" s="253"/>
      <c r="T124" s="255"/>
      <c r="U124" s="253"/>
      <c r="V124" s="255"/>
      <c r="W124" s="256"/>
      <c r="X124" s="254"/>
      <c r="Y124" s="254"/>
      <c r="Z124" s="257"/>
      <c r="AA124" s="258"/>
      <c r="AB124" s="258"/>
      <c r="AC124" s="259"/>
      <c r="AD124" s="258"/>
      <c r="AE124" s="258"/>
      <c r="AF124" s="257"/>
      <c r="AG124" s="254"/>
      <c r="AH124" s="258"/>
      <c r="AI124" s="258"/>
      <c r="AJ124" s="258"/>
      <c r="AK124" s="258"/>
      <c r="AL124" s="258"/>
      <c r="AM124" s="258"/>
      <c r="AN124" s="258"/>
      <c r="AO124" s="260"/>
      <c r="AP124" s="261"/>
    </row>
    <row r="125" spans="1:42" s="262" customFormat="1" ht="22.5" customHeight="1" x14ac:dyDescent="0.25">
      <c r="A125" s="251"/>
      <c r="B125" s="268"/>
      <c r="C125" s="269"/>
      <c r="D125" s="269"/>
      <c r="E125" s="269"/>
      <c r="F125" s="270"/>
      <c r="G125" s="252"/>
      <c r="H125" s="252"/>
      <c r="I125" s="253"/>
      <c r="J125" s="254"/>
      <c r="K125" s="253"/>
      <c r="L125" s="254"/>
      <c r="M125" s="253"/>
      <c r="N125" s="254"/>
      <c r="O125" s="253"/>
      <c r="P125" s="254"/>
      <c r="Q125" s="253"/>
      <c r="R125" s="255"/>
      <c r="S125" s="253"/>
      <c r="T125" s="255"/>
      <c r="U125" s="253"/>
      <c r="V125" s="255"/>
      <c r="W125" s="256"/>
      <c r="X125" s="254"/>
      <c r="Y125" s="254"/>
      <c r="Z125" s="257"/>
      <c r="AA125" s="258"/>
      <c r="AB125" s="258"/>
      <c r="AC125" s="259"/>
      <c r="AD125" s="258"/>
      <c r="AE125" s="258"/>
      <c r="AF125" s="257"/>
      <c r="AG125" s="254"/>
      <c r="AH125" s="258"/>
      <c r="AI125" s="258"/>
      <c r="AJ125" s="258"/>
      <c r="AK125" s="258"/>
      <c r="AL125" s="258"/>
      <c r="AM125" s="258"/>
      <c r="AN125" s="258"/>
      <c r="AO125" s="260"/>
      <c r="AP125" s="261"/>
    </row>
    <row r="126" spans="1:42" s="262" customFormat="1" ht="22.5" customHeight="1" x14ac:dyDescent="0.25">
      <c r="A126" s="251"/>
      <c r="B126" s="268"/>
      <c r="C126" s="269"/>
      <c r="D126" s="269"/>
      <c r="E126" s="269"/>
      <c r="F126" s="270"/>
      <c r="G126" s="252"/>
      <c r="H126" s="252"/>
      <c r="I126" s="253"/>
      <c r="J126" s="254"/>
      <c r="K126" s="253"/>
      <c r="L126" s="254"/>
      <c r="M126" s="253"/>
      <c r="N126" s="254"/>
      <c r="O126" s="253"/>
      <c r="P126" s="254"/>
      <c r="Q126" s="253"/>
      <c r="R126" s="255"/>
      <c r="S126" s="253"/>
      <c r="T126" s="255"/>
      <c r="U126" s="253"/>
      <c r="V126" s="255"/>
      <c r="W126" s="256"/>
      <c r="X126" s="254"/>
      <c r="Y126" s="254"/>
      <c r="Z126" s="257"/>
      <c r="AA126" s="258"/>
      <c r="AB126" s="258"/>
      <c r="AC126" s="259"/>
      <c r="AD126" s="258"/>
      <c r="AE126" s="258"/>
      <c r="AF126" s="257"/>
      <c r="AG126" s="254"/>
      <c r="AH126" s="258"/>
      <c r="AI126" s="258"/>
      <c r="AJ126" s="258"/>
      <c r="AK126" s="258"/>
      <c r="AL126" s="258"/>
      <c r="AM126" s="258"/>
      <c r="AN126" s="258"/>
      <c r="AO126" s="260"/>
      <c r="AP126" s="261"/>
    </row>
    <row r="127" spans="1:42" s="262" customFormat="1" ht="22.5" customHeight="1" x14ac:dyDescent="0.25">
      <c r="A127" s="251"/>
      <c r="B127" s="268"/>
      <c r="C127" s="269"/>
      <c r="D127" s="269"/>
      <c r="E127" s="269"/>
      <c r="F127" s="270"/>
      <c r="G127" s="252"/>
      <c r="H127" s="252"/>
      <c r="I127" s="253"/>
      <c r="J127" s="254"/>
      <c r="K127" s="253"/>
      <c r="L127" s="254"/>
      <c r="M127" s="253"/>
      <c r="N127" s="254"/>
      <c r="O127" s="253"/>
      <c r="P127" s="254"/>
      <c r="Q127" s="253"/>
      <c r="R127" s="255"/>
      <c r="S127" s="253"/>
      <c r="T127" s="255"/>
      <c r="U127" s="253"/>
      <c r="V127" s="255"/>
      <c r="W127" s="256"/>
      <c r="X127" s="254"/>
      <c r="Y127" s="254"/>
      <c r="Z127" s="257"/>
      <c r="AA127" s="258"/>
      <c r="AB127" s="258"/>
      <c r="AC127" s="259"/>
      <c r="AD127" s="258"/>
      <c r="AE127" s="258"/>
      <c r="AF127" s="257"/>
      <c r="AG127" s="254"/>
      <c r="AH127" s="258"/>
      <c r="AI127" s="258"/>
      <c r="AJ127" s="258"/>
      <c r="AK127" s="258"/>
      <c r="AL127" s="258"/>
      <c r="AM127" s="258"/>
      <c r="AN127" s="258"/>
      <c r="AO127" s="260"/>
      <c r="AP127" s="261"/>
    </row>
    <row r="128" spans="1:42" s="262" customFormat="1" ht="22.5" customHeight="1" x14ac:dyDescent="0.25">
      <c r="A128" s="251"/>
      <c r="B128" s="268"/>
      <c r="C128" s="269"/>
      <c r="D128" s="269"/>
      <c r="E128" s="269"/>
      <c r="F128" s="270"/>
      <c r="G128" s="252"/>
      <c r="H128" s="252"/>
      <c r="I128" s="253"/>
      <c r="J128" s="254"/>
      <c r="K128" s="253"/>
      <c r="L128" s="254"/>
      <c r="M128" s="253"/>
      <c r="N128" s="254"/>
      <c r="O128" s="253"/>
      <c r="P128" s="254"/>
      <c r="Q128" s="253"/>
      <c r="R128" s="255"/>
      <c r="S128" s="253"/>
      <c r="T128" s="255"/>
      <c r="U128" s="253"/>
      <c r="V128" s="255"/>
      <c r="W128" s="256"/>
      <c r="X128" s="254"/>
      <c r="Y128" s="254"/>
      <c r="Z128" s="257"/>
      <c r="AA128" s="258"/>
      <c r="AB128" s="258"/>
      <c r="AC128" s="259"/>
      <c r="AD128" s="258"/>
      <c r="AE128" s="258"/>
      <c r="AF128" s="257"/>
      <c r="AG128" s="254"/>
      <c r="AH128" s="258"/>
      <c r="AI128" s="258"/>
      <c r="AJ128" s="258"/>
      <c r="AK128" s="258"/>
      <c r="AL128" s="258"/>
      <c r="AM128" s="258"/>
      <c r="AN128" s="258"/>
      <c r="AO128" s="260"/>
      <c r="AP128" s="261"/>
    </row>
    <row r="129" spans="1:42" s="262" customFormat="1" ht="22.5" customHeight="1" x14ac:dyDescent="0.25">
      <c r="A129" s="251"/>
      <c r="B129" s="268"/>
      <c r="C129" s="269"/>
      <c r="D129" s="269"/>
      <c r="E129" s="269"/>
      <c r="F129" s="270"/>
      <c r="G129" s="252"/>
      <c r="H129" s="252"/>
      <c r="I129" s="253"/>
      <c r="J129" s="254"/>
      <c r="K129" s="253"/>
      <c r="L129" s="254"/>
      <c r="M129" s="253"/>
      <c r="N129" s="254"/>
      <c r="O129" s="253"/>
      <c r="P129" s="254"/>
      <c r="Q129" s="253"/>
      <c r="R129" s="255"/>
      <c r="S129" s="253"/>
      <c r="T129" s="255"/>
      <c r="U129" s="253"/>
      <c r="V129" s="255"/>
      <c r="W129" s="256"/>
      <c r="X129" s="254"/>
      <c r="Y129" s="254"/>
      <c r="Z129" s="257"/>
      <c r="AA129" s="258"/>
      <c r="AB129" s="258"/>
      <c r="AC129" s="259"/>
      <c r="AD129" s="258"/>
      <c r="AE129" s="258"/>
      <c r="AF129" s="257"/>
      <c r="AG129" s="254"/>
      <c r="AH129" s="258"/>
      <c r="AI129" s="258"/>
      <c r="AJ129" s="258"/>
      <c r="AK129" s="258"/>
      <c r="AL129" s="258"/>
      <c r="AM129" s="258"/>
      <c r="AN129" s="258"/>
      <c r="AO129" s="260"/>
      <c r="AP129" s="261"/>
    </row>
    <row r="130" spans="1:42" s="262" customFormat="1" ht="22.5" customHeight="1" x14ac:dyDescent="0.25">
      <c r="A130" s="251"/>
      <c r="B130" s="268"/>
      <c r="C130" s="269"/>
      <c r="D130" s="269"/>
      <c r="E130" s="269"/>
      <c r="F130" s="270"/>
      <c r="G130" s="252"/>
      <c r="H130" s="252"/>
      <c r="I130" s="253"/>
      <c r="J130" s="254"/>
      <c r="K130" s="253"/>
      <c r="L130" s="254"/>
      <c r="M130" s="253"/>
      <c r="N130" s="254"/>
      <c r="O130" s="253"/>
      <c r="P130" s="254"/>
      <c r="Q130" s="253"/>
      <c r="R130" s="255"/>
      <c r="S130" s="253"/>
      <c r="T130" s="255"/>
      <c r="U130" s="253"/>
      <c r="V130" s="255"/>
      <c r="W130" s="256"/>
      <c r="X130" s="254"/>
      <c r="Y130" s="254"/>
      <c r="Z130" s="257"/>
      <c r="AA130" s="258"/>
      <c r="AB130" s="258"/>
      <c r="AC130" s="259"/>
      <c r="AD130" s="258"/>
      <c r="AE130" s="258"/>
      <c r="AF130" s="257"/>
      <c r="AG130" s="254"/>
      <c r="AH130" s="258"/>
      <c r="AI130" s="258"/>
      <c r="AJ130" s="258"/>
      <c r="AK130" s="258"/>
      <c r="AL130" s="258"/>
      <c r="AM130" s="258"/>
      <c r="AN130" s="258"/>
      <c r="AO130" s="260"/>
      <c r="AP130" s="261"/>
    </row>
    <row r="131" spans="1:42" s="262" customFormat="1" ht="22.5" customHeight="1" x14ac:dyDescent="0.25">
      <c r="A131" s="251"/>
      <c r="B131" s="268"/>
      <c r="C131" s="269"/>
      <c r="D131" s="269"/>
      <c r="E131" s="269"/>
      <c r="F131" s="270"/>
      <c r="G131" s="252"/>
      <c r="H131" s="252"/>
      <c r="I131" s="253"/>
      <c r="J131" s="254"/>
      <c r="K131" s="253"/>
      <c r="L131" s="254"/>
      <c r="M131" s="253"/>
      <c r="N131" s="254"/>
      <c r="O131" s="253"/>
      <c r="P131" s="254"/>
      <c r="Q131" s="253"/>
      <c r="R131" s="255"/>
      <c r="S131" s="253"/>
      <c r="T131" s="255"/>
      <c r="U131" s="253"/>
      <c r="V131" s="255"/>
      <c r="W131" s="256"/>
      <c r="X131" s="254"/>
      <c r="Y131" s="254"/>
      <c r="Z131" s="257"/>
      <c r="AA131" s="258"/>
      <c r="AB131" s="258"/>
      <c r="AC131" s="259"/>
      <c r="AD131" s="258"/>
      <c r="AE131" s="258"/>
      <c r="AF131" s="257"/>
      <c r="AG131" s="254"/>
      <c r="AH131" s="258"/>
      <c r="AI131" s="258"/>
      <c r="AJ131" s="258"/>
      <c r="AK131" s="258"/>
      <c r="AL131" s="258"/>
      <c r="AM131" s="258"/>
      <c r="AN131" s="258"/>
      <c r="AO131" s="260"/>
      <c r="AP131" s="261"/>
    </row>
    <row r="132" spans="1:42" s="262" customFormat="1" ht="22.5" customHeight="1" x14ac:dyDescent="0.25">
      <c r="A132" s="251"/>
      <c r="B132" s="268"/>
      <c r="C132" s="269"/>
      <c r="D132" s="269"/>
      <c r="E132" s="269"/>
      <c r="F132" s="270"/>
      <c r="G132" s="252"/>
      <c r="H132" s="252"/>
      <c r="I132" s="253"/>
      <c r="J132" s="254"/>
      <c r="K132" s="253"/>
      <c r="L132" s="254"/>
      <c r="M132" s="253"/>
      <c r="N132" s="254"/>
      <c r="O132" s="253"/>
      <c r="P132" s="254"/>
      <c r="Q132" s="253"/>
      <c r="R132" s="255"/>
      <c r="S132" s="253"/>
      <c r="T132" s="255"/>
      <c r="U132" s="253"/>
      <c r="V132" s="255"/>
      <c r="W132" s="256"/>
      <c r="X132" s="254"/>
      <c r="Y132" s="254"/>
      <c r="Z132" s="257"/>
      <c r="AA132" s="258"/>
      <c r="AB132" s="258"/>
      <c r="AC132" s="259"/>
      <c r="AD132" s="258"/>
      <c r="AE132" s="258"/>
      <c r="AF132" s="257"/>
      <c r="AG132" s="254"/>
      <c r="AH132" s="258"/>
      <c r="AI132" s="258"/>
      <c r="AJ132" s="258"/>
      <c r="AK132" s="258"/>
      <c r="AL132" s="258"/>
      <c r="AM132" s="258"/>
      <c r="AN132" s="258"/>
      <c r="AO132" s="260"/>
      <c r="AP132" s="261"/>
    </row>
    <row r="133" spans="1:42" s="262" customFormat="1" ht="22.5" customHeight="1" x14ac:dyDescent="0.25">
      <c r="A133" s="251"/>
      <c r="B133" s="268"/>
      <c r="C133" s="269"/>
      <c r="D133" s="269"/>
      <c r="E133" s="269"/>
      <c r="F133" s="270"/>
      <c r="G133" s="252"/>
      <c r="H133" s="252"/>
      <c r="I133" s="253"/>
      <c r="J133" s="254"/>
      <c r="K133" s="253"/>
      <c r="L133" s="254"/>
      <c r="M133" s="253"/>
      <c r="N133" s="254"/>
      <c r="O133" s="253"/>
      <c r="P133" s="254"/>
      <c r="Q133" s="253"/>
      <c r="R133" s="255"/>
      <c r="S133" s="253"/>
      <c r="T133" s="255"/>
      <c r="U133" s="253"/>
      <c r="V133" s="255"/>
      <c r="W133" s="256"/>
      <c r="X133" s="254"/>
      <c r="Y133" s="254"/>
      <c r="Z133" s="257"/>
      <c r="AA133" s="258"/>
      <c r="AB133" s="258"/>
      <c r="AC133" s="259"/>
      <c r="AD133" s="258"/>
      <c r="AE133" s="258"/>
      <c r="AF133" s="257"/>
      <c r="AG133" s="254"/>
      <c r="AH133" s="258"/>
      <c r="AI133" s="258"/>
      <c r="AJ133" s="258"/>
      <c r="AK133" s="258"/>
      <c r="AL133" s="258"/>
      <c r="AM133" s="258"/>
      <c r="AN133" s="258"/>
      <c r="AO133" s="260"/>
      <c r="AP133" s="261"/>
    </row>
    <row r="134" spans="1:42" s="262" customFormat="1" ht="22.5" customHeight="1" x14ac:dyDescent="0.25">
      <c r="A134" s="251"/>
      <c r="B134" s="268"/>
      <c r="C134" s="269"/>
      <c r="D134" s="269"/>
      <c r="E134" s="269"/>
      <c r="F134" s="270"/>
      <c r="G134" s="252"/>
      <c r="H134" s="252"/>
      <c r="I134" s="253"/>
      <c r="J134" s="254"/>
      <c r="K134" s="253"/>
      <c r="L134" s="254"/>
      <c r="M134" s="253"/>
      <c r="N134" s="254"/>
      <c r="O134" s="253"/>
      <c r="P134" s="254"/>
      <c r="Q134" s="253"/>
      <c r="R134" s="255"/>
      <c r="S134" s="253"/>
      <c r="T134" s="255"/>
      <c r="U134" s="253"/>
      <c r="V134" s="255"/>
      <c r="W134" s="256"/>
      <c r="X134" s="254"/>
      <c r="Y134" s="254"/>
      <c r="Z134" s="257"/>
      <c r="AA134" s="258"/>
      <c r="AB134" s="258"/>
      <c r="AC134" s="259"/>
      <c r="AD134" s="258"/>
      <c r="AE134" s="258"/>
      <c r="AF134" s="257"/>
      <c r="AG134" s="254"/>
      <c r="AH134" s="258"/>
      <c r="AI134" s="258"/>
      <c r="AJ134" s="258"/>
      <c r="AK134" s="258"/>
      <c r="AL134" s="258"/>
      <c r="AM134" s="258"/>
      <c r="AN134" s="258"/>
      <c r="AO134" s="260"/>
      <c r="AP134" s="261"/>
    </row>
    <row r="135" spans="1:42" s="262" customFormat="1" ht="22.5" customHeight="1" x14ac:dyDescent="0.25">
      <c r="A135" s="251"/>
      <c r="B135" s="268"/>
      <c r="C135" s="269"/>
      <c r="D135" s="269"/>
      <c r="E135" s="269"/>
      <c r="F135" s="270"/>
      <c r="G135" s="252"/>
      <c r="H135" s="252"/>
      <c r="I135" s="253"/>
      <c r="J135" s="254"/>
      <c r="K135" s="253"/>
      <c r="L135" s="254"/>
      <c r="M135" s="253"/>
      <c r="N135" s="254"/>
      <c r="O135" s="253"/>
      <c r="P135" s="254"/>
      <c r="Q135" s="253"/>
      <c r="R135" s="255"/>
      <c r="S135" s="253"/>
      <c r="T135" s="255"/>
      <c r="U135" s="253"/>
      <c r="V135" s="255"/>
      <c r="W135" s="256"/>
      <c r="X135" s="254"/>
      <c r="Y135" s="254"/>
      <c r="Z135" s="257"/>
      <c r="AA135" s="258"/>
      <c r="AB135" s="258"/>
      <c r="AC135" s="259"/>
      <c r="AD135" s="258"/>
      <c r="AE135" s="258"/>
      <c r="AF135" s="257"/>
      <c r="AG135" s="254"/>
      <c r="AH135" s="258"/>
      <c r="AI135" s="258"/>
      <c r="AJ135" s="258"/>
      <c r="AK135" s="258"/>
      <c r="AL135" s="258"/>
      <c r="AM135" s="258"/>
      <c r="AN135" s="258"/>
      <c r="AO135" s="260"/>
      <c r="AP135" s="261"/>
    </row>
    <row r="136" spans="1:42" s="262" customFormat="1" ht="22.5" customHeight="1" x14ac:dyDescent="0.25">
      <c r="A136" s="251"/>
      <c r="B136" s="268"/>
      <c r="C136" s="269"/>
      <c r="D136" s="269"/>
      <c r="E136" s="269"/>
      <c r="F136" s="270"/>
      <c r="G136" s="252"/>
      <c r="H136" s="252"/>
      <c r="I136" s="253"/>
      <c r="J136" s="254"/>
      <c r="K136" s="253"/>
      <c r="L136" s="254"/>
      <c r="M136" s="253"/>
      <c r="N136" s="254"/>
      <c r="O136" s="253"/>
      <c r="P136" s="254"/>
      <c r="Q136" s="253"/>
      <c r="R136" s="255"/>
      <c r="S136" s="253"/>
      <c r="T136" s="255"/>
      <c r="U136" s="253"/>
      <c r="V136" s="255"/>
      <c r="W136" s="256"/>
      <c r="X136" s="254"/>
      <c r="Y136" s="254"/>
      <c r="Z136" s="257"/>
      <c r="AA136" s="258"/>
      <c r="AB136" s="258"/>
      <c r="AC136" s="259"/>
      <c r="AD136" s="258"/>
      <c r="AE136" s="258"/>
      <c r="AF136" s="257"/>
      <c r="AG136" s="254"/>
      <c r="AH136" s="258"/>
      <c r="AI136" s="258"/>
      <c r="AJ136" s="258"/>
      <c r="AK136" s="258"/>
      <c r="AL136" s="258"/>
      <c r="AM136" s="258"/>
      <c r="AN136" s="258"/>
      <c r="AO136" s="260"/>
      <c r="AP136" s="261"/>
    </row>
    <row r="137" spans="1:42" s="262" customFormat="1" ht="22.5" customHeight="1" x14ac:dyDescent="0.25">
      <c r="A137" s="251"/>
      <c r="B137" s="268"/>
      <c r="C137" s="269"/>
      <c r="D137" s="269"/>
      <c r="E137" s="269"/>
      <c r="F137" s="270"/>
      <c r="G137" s="252"/>
      <c r="H137" s="252"/>
      <c r="I137" s="253"/>
      <c r="J137" s="254"/>
      <c r="K137" s="253"/>
      <c r="L137" s="254"/>
      <c r="M137" s="253"/>
      <c r="N137" s="254"/>
      <c r="O137" s="253"/>
      <c r="P137" s="254"/>
      <c r="Q137" s="253"/>
      <c r="R137" s="255"/>
      <c r="S137" s="253"/>
      <c r="T137" s="255"/>
      <c r="U137" s="253"/>
      <c r="V137" s="255"/>
      <c r="W137" s="256"/>
      <c r="X137" s="254"/>
      <c r="Y137" s="254"/>
      <c r="Z137" s="257"/>
      <c r="AA137" s="258"/>
      <c r="AB137" s="258"/>
      <c r="AC137" s="259"/>
      <c r="AD137" s="258"/>
      <c r="AE137" s="258"/>
      <c r="AF137" s="257"/>
      <c r="AG137" s="254"/>
      <c r="AH137" s="258"/>
      <c r="AI137" s="258"/>
      <c r="AJ137" s="258"/>
      <c r="AK137" s="258"/>
      <c r="AL137" s="258"/>
      <c r="AM137" s="258"/>
      <c r="AN137" s="258"/>
      <c r="AO137" s="260"/>
      <c r="AP137" s="261"/>
    </row>
    <row r="138" spans="1:42" s="262" customFormat="1" ht="22.5" customHeight="1" x14ac:dyDescent="0.25">
      <c r="A138" s="251"/>
      <c r="B138" s="268"/>
      <c r="C138" s="269"/>
      <c r="D138" s="269"/>
      <c r="E138" s="269"/>
      <c r="F138" s="270"/>
      <c r="G138" s="252"/>
      <c r="H138" s="252"/>
      <c r="I138" s="253"/>
      <c r="J138" s="254"/>
      <c r="K138" s="253"/>
      <c r="L138" s="254"/>
      <c r="M138" s="253"/>
      <c r="N138" s="254"/>
      <c r="O138" s="253"/>
      <c r="P138" s="254"/>
      <c r="Q138" s="253"/>
      <c r="R138" s="255"/>
      <c r="S138" s="253"/>
      <c r="T138" s="255"/>
      <c r="U138" s="253"/>
      <c r="V138" s="255"/>
      <c r="W138" s="256"/>
      <c r="X138" s="254"/>
      <c r="Y138" s="254"/>
      <c r="Z138" s="257"/>
      <c r="AA138" s="258"/>
      <c r="AB138" s="258"/>
      <c r="AC138" s="259"/>
      <c r="AD138" s="258"/>
      <c r="AE138" s="258"/>
      <c r="AF138" s="257"/>
      <c r="AG138" s="254"/>
      <c r="AH138" s="258"/>
      <c r="AI138" s="258"/>
      <c r="AJ138" s="258"/>
      <c r="AK138" s="258"/>
      <c r="AL138" s="258"/>
      <c r="AM138" s="258"/>
      <c r="AN138" s="258"/>
      <c r="AO138" s="260"/>
      <c r="AP138" s="261"/>
    </row>
    <row r="139" spans="1:42" s="262" customFormat="1" ht="22.5" customHeight="1" x14ac:dyDescent="0.25">
      <c r="A139" s="251"/>
      <c r="B139" s="268"/>
      <c r="C139" s="269"/>
      <c r="D139" s="269"/>
      <c r="E139" s="269"/>
      <c r="F139" s="270"/>
      <c r="G139" s="252"/>
      <c r="H139" s="252"/>
      <c r="I139" s="253"/>
      <c r="J139" s="254"/>
      <c r="K139" s="253"/>
      <c r="L139" s="254"/>
      <c r="M139" s="253"/>
      <c r="N139" s="254"/>
      <c r="O139" s="253"/>
      <c r="P139" s="254"/>
      <c r="Q139" s="253"/>
      <c r="R139" s="255"/>
      <c r="S139" s="253"/>
      <c r="T139" s="255"/>
      <c r="U139" s="253"/>
      <c r="V139" s="255"/>
      <c r="W139" s="256"/>
      <c r="X139" s="254"/>
      <c r="Y139" s="254"/>
      <c r="Z139" s="257"/>
      <c r="AA139" s="258"/>
      <c r="AB139" s="258"/>
      <c r="AC139" s="259"/>
      <c r="AD139" s="258"/>
      <c r="AE139" s="258"/>
      <c r="AF139" s="257"/>
      <c r="AG139" s="254"/>
      <c r="AH139" s="258"/>
      <c r="AI139" s="258"/>
      <c r="AJ139" s="258"/>
      <c r="AK139" s="258"/>
      <c r="AL139" s="258"/>
      <c r="AM139" s="258"/>
      <c r="AN139" s="258"/>
      <c r="AO139" s="260"/>
      <c r="AP139" s="261"/>
    </row>
    <row r="140" spans="1:42" s="262" customFormat="1" ht="22.5" customHeight="1" x14ac:dyDescent="0.25">
      <c r="A140" s="251"/>
      <c r="B140" s="268"/>
      <c r="C140" s="269"/>
      <c r="D140" s="269"/>
      <c r="E140" s="269"/>
      <c r="F140" s="270"/>
      <c r="G140" s="252"/>
      <c r="H140" s="252"/>
      <c r="I140" s="253"/>
      <c r="J140" s="254"/>
      <c r="K140" s="253"/>
      <c r="L140" s="254"/>
      <c r="M140" s="253"/>
      <c r="N140" s="254"/>
      <c r="O140" s="253"/>
      <c r="P140" s="254"/>
      <c r="Q140" s="253"/>
      <c r="R140" s="255"/>
      <c r="S140" s="253"/>
      <c r="T140" s="255"/>
      <c r="U140" s="253"/>
      <c r="V140" s="255"/>
      <c r="W140" s="256"/>
      <c r="X140" s="254"/>
      <c r="Y140" s="254"/>
      <c r="Z140" s="257"/>
      <c r="AA140" s="258"/>
      <c r="AB140" s="258"/>
      <c r="AC140" s="259"/>
      <c r="AD140" s="258"/>
      <c r="AE140" s="258"/>
      <c r="AF140" s="257"/>
      <c r="AG140" s="254"/>
      <c r="AH140" s="258"/>
      <c r="AI140" s="258"/>
      <c r="AJ140" s="258"/>
      <c r="AK140" s="258"/>
      <c r="AL140" s="258"/>
      <c r="AM140" s="258"/>
      <c r="AN140" s="258"/>
      <c r="AO140" s="260"/>
      <c r="AP140" s="261"/>
    </row>
    <row r="141" spans="1:42" s="262" customFormat="1" ht="22.5" customHeight="1" x14ac:dyDescent="0.25">
      <c r="A141" s="251"/>
      <c r="B141" s="268"/>
      <c r="C141" s="269"/>
      <c r="D141" s="269"/>
      <c r="E141" s="269"/>
      <c r="F141" s="270"/>
      <c r="G141" s="252"/>
      <c r="H141" s="252"/>
      <c r="I141" s="253"/>
      <c r="J141" s="254"/>
      <c r="K141" s="253"/>
      <c r="L141" s="254"/>
      <c r="M141" s="253"/>
      <c r="N141" s="254"/>
      <c r="O141" s="253"/>
      <c r="P141" s="254"/>
      <c r="Q141" s="253"/>
      <c r="R141" s="255"/>
      <c r="S141" s="253"/>
      <c r="T141" s="255"/>
      <c r="U141" s="253"/>
      <c r="V141" s="255"/>
      <c r="W141" s="256"/>
      <c r="X141" s="254"/>
      <c r="Y141" s="254"/>
      <c r="Z141" s="257"/>
      <c r="AA141" s="258"/>
      <c r="AB141" s="258"/>
      <c r="AC141" s="259"/>
      <c r="AD141" s="258"/>
      <c r="AE141" s="258"/>
      <c r="AF141" s="257"/>
      <c r="AG141" s="254"/>
      <c r="AH141" s="258"/>
      <c r="AI141" s="258"/>
      <c r="AJ141" s="258"/>
      <c r="AK141" s="258"/>
      <c r="AL141" s="258"/>
      <c r="AM141" s="258"/>
      <c r="AN141" s="258"/>
      <c r="AO141" s="260"/>
      <c r="AP141" s="261"/>
    </row>
    <row r="142" spans="1:42" s="262" customFormat="1" ht="22.5" customHeight="1" x14ac:dyDescent="0.25">
      <c r="A142" s="251"/>
      <c r="B142" s="268"/>
      <c r="C142" s="269"/>
      <c r="D142" s="269"/>
      <c r="E142" s="269"/>
      <c r="F142" s="270"/>
      <c r="G142" s="252"/>
      <c r="H142" s="252"/>
      <c r="I142" s="253"/>
      <c r="J142" s="254"/>
      <c r="K142" s="253"/>
      <c r="L142" s="254"/>
      <c r="M142" s="253"/>
      <c r="N142" s="254"/>
      <c r="O142" s="253"/>
      <c r="P142" s="254"/>
      <c r="Q142" s="253"/>
      <c r="R142" s="255"/>
      <c r="S142" s="253"/>
      <c r="T142" s="255"/>
      <c r="U142" s="253"/>
      <c r="V142" s="255"/>
      <c r="W142" s="256"/>
      <c r="X142" s="254"/>
      <c r="Y142" s="254"/>
      <c r="Z142" s="257"/>
      <c r="AA142" s="258"/>
      <c r="AB142" s="258"/>
      <c r="AC142" s="259"/>
      <c r="AD142" s="258"/>
      <c r="AE142" s="258"/>
      <c r="AF142" s="257"/>
      <c r="AG142" s="254"/>
      <c r="AH142" s="258"/>
      <c r="AI142" s="258"/>
      <c r="AJ142" s="258"/>
      <c r="AK142" s="258"/>
      <c r="AL142" s="258"/>
      <c r="AM142" s="258"/>
      <c r="AN142" s="258"/>
      <c r="AO142" s="260"/>
      <c r="AP142" s="261"/>
    </row>
    <row r="143" spans="1:42" s="262" customFormat="1" ht="22.5" customHeight="1" x14ac:dyDescent="0.25">
      <c r="A143" s="251"/>
      <c r="B143" s="268"/>
      <c r="C143" s="269"/>
      <c r="D143" s="269"/>
      <c r="E143" s="269"/>
      <c r="F143" s="270"/>
      <c r="G143" s="252"/>
      <c r="H143" s="252"/>
      <c r="I143" s="253"/>
      <c r="J143" s="254"/>
      <c r="K143" s="253"/>
      <c r="L143" s="254"/>
      <c r="M143" s="253"/>
      <c r="N143" s="254"/>
      <c r="O143" s="253"/>
      <c r="P143" s="254"/>
      <c r="Q143" s="253"/>
      <c r="R143" s="255"/>
      <c r="S143" s="253"/>
      <c r="T143" s="255"/>
      <c r="U143" s="253"/>
      <c r="V143" s="255"/>
      <c r="W143" s="256"/>
      <c r="X143" s="254"/>
      <c r="Y143" s="254"/>
      <c r="Z143" s="257"/>
      <c r="AA143" s="258"/>
      <c r="AB143" s="258"/>
      <c r="AC143" s="259"/>
      <c r="AD143" s="258"/>
      <c r="AE143" s="258"/>
      <c r="AF143" s="257"/>
      <c r="AG143" s="254"/>
      <c r="AH143" s="258"/>
      <c r="AI143" s="258"/>
      <c r="AJ143" s="258"/>
      <c r="AK143" s="258"/>
      <c r="AL143" s="258"/>
      <c r="AM143" s="258"/>
      <c r="AN143" s="258"/>
      <c r="AO143" s="260"/>
      <c r="AP143" s="261"/>
    </row>
    <row r="144" spans="1:42" ht="21.75" customHeight="1" x14ac:dyDescent="0.25">
      <c r="I144" s="211"/>
      <c r="J144" s="6"/>
      <c r="K144" s="211"/>
      <c r="L144" s="6"/>
      <c r="M144" s="211"/>
      <c r="N144" s="6"/>
      <c r="O144" s="211"/>
      <c r="P144" s="6"/>
      <c r="Q144" s="211"/>
      <c r="R144" s="6"/>
      <c r="S144" s="211"/>
      <c r="T144" s="6"/>
      <c r="U144" s="211"/>
      <c r="V144" s="6"/>
      <c r="W144" s="7"/>
      <c r="X144" s="6"/>
      <c r="Y144" s="6"/>
      <c r="Z144" s="7"/>
      <c r="AA144" s="6"/>
      <c r="AB144" s="6"/>
      <c r="AC144" s="7"/>
      <c r="AD144" s="6"/>
      <c r="AE144" s="6"/>
      <c r="AF144" s="12"/>
      <c r="AG144" s="6"/>
    </row>
    <row r="145" spans="9:33" ht="21.75" customHeight="1" x14ac:dyDescent="0.25">
      <c r="I145" s="211"/>
      <c r="J145" s="6"/>
      <c r="K145" s="211"/>
      <c r="L145" s="6"/>
      <c r="M145" s="211"/>
      <c r="N145" s="6"/>
      <c r="O145" s="211"/>
      <c r="P145" s="6"/>
      <c r="Q145" s="211"/>
      <c r="R145" s="6"/>
      <c r="S145" s="211"/>
      <c r="T145" s="6"/>
      <c r="U145" s="211"/>
      <c r="V145" s="6"/>
      <c r="W145" s="7"/>
      <c r="X145" s="6"/>
      <c r="Y145" s="6"/>
      <c r="Z145" s="7"/>
      <c r="AA145" s="6"/>
      <c r="AB145" s="6"/>
      <c r="AC145" s="7"/>
      <c r="AD145" s="6"/>
      <c r="AE145" s="6"/>
      <c r="AF145" s="12"/>
      <c r="AG145" s="6"/>
    </row>
    <row r="146" spans="9:33" ht="21.75" customHeight="1" x14ac:dyDescent="0.25">
      <c r="I146" s="211"/>
      <c r="J146" s="6"/>
      <c r="K146" s="211"/>
      <c r="L146" s="6"/>
      <c r="M146" s="211"/>
      <c r="N146" s="6"/>
      <c r="O146" s="211"/>
      <c r="P146" s="6"/>
      <c r="Q146" s="211"/>
      <c r="R146" s="6"/>
      <c r="S146" s="211"/>
      <c r="T146" s="6"/>
      <c r="U146" s="211"/>
      <c r="V146" s="6"/>
      <c r="W146" s="7"/>
      <c r="X146" s="6"/>
      <c r="Y146" s="6"/>
      <c r="Z146" s="7"/>
      <c r="AA146" s="6"/>
      <c r="AB146" s="6"/>
      <c r="AC146" s="7"/>
      <c r="AD146" s="6"/>
      <c r="AE146" s="6"/>
      <c r="AF146" s="12"/>
      <c r="AG146" s="6"/>
    </row>
    <row r="147" spans="9:33" ht="21.75" customHeight="1" x14ac:dyDescent="0.25">
      <c r="I147" s="211"/>
      <c r="J147" s="6"/>
      <c r="K147" s="211"/>
      <c r="L147" s="6"/>
      <c r="M147" s="211"/>
      <c r="N147" s="6"/>
      <c r="O147" s="211"/>
      <c r="P147" s="6"/>
      <c r="Q147" s="211"/>
      <c r="R147" s="6"/>
      <c r="S147" s="211"/>
      <c r="T147" s="6"/>
      <c r="U147" s="211"/>
      <c r="V147" s="6"/>
      <c r="W147" s="7"/>
      <c r="X147" s="6"/>
      <c r="Y147" s="6"/>
      <c r="Z147" s="7"/>
      <c r="AA147" s="6"/>
      <c r="AB147" s="6"/>
      <c r="AC147" s="7"/>
      <c r="AD147" s="6"/>
      <c r="AE147" s="6"/>
      <c r="AF147" s="12"/>
      <c r="AG147" s="6"/>
    </row>
    <row r="148" spans="9:33" ht="21.75" customHeight="1" x14ac:dyDescent="0.25">
      <c r="I148" s="211"/>
      <c r="J148" s="6"/>
      <c r="K148" s="211"/>
      <c r="L148" s="6"/>
      <c r="M148" s="211"/>
      <c r="N148" s="6"/>
      <c r="O148" s="211"/>
      <c r="P148" s="6"/>
      <c r="Q148" s="211"/>
      <c r="R148" s="6"/>
      <c r="S148" s="211"/>
      <c r="T148" s="6"/>
      <c r="U148" s="211"/>
      <c r="V148" s="6"/>
      <c r="W148" s="7"/>
      <c r="X148" s="6"/>
      <c r="Y148" s="6"/>
      <c r="Z148" s="7"/>
      <c r="AA148" s="6"/>
      <c r="AB148" s="6"/>
      <c r="AC148" s="7"/>
      <c r="AD148" s="6"/>
      <c r="AE148" s="6"/>
      <c r="AF148" s="12"/>
      <c r="AG148" s="6"/>
    </row>
    <row r="149" spans="9:33" ht="21.75" customHeight="1" x14ac:dyDescent="0.25">
      <c r="I149" s="211"/>
      <c r="J149" s="6"/>
      <c r="K149" s="211"/>
      <c r="L149" s="6"/>
      <c r="M149" s="211"/>
      <c r="N149" s="6"/>
      <c r="O149" s="211"/>
      <c r="P149" s="6"/>
      <c r="Q149" s="211"/>
      <c r="R149" s="6"/>
      <c r="S149" s="211"/>
      <c r="T149" s="6"/>
      <c r="U149" s="211"/>
      <c r="V149" s="6"/>
      <c r="W149" s="7"/>
      <c r="X149" s="6"/>
      <c r="Y149" s="6"/>
      <c r="Z149" s="7"/>
      <c r="AA149" s="6"/>
      <c r="AB149" s="6"/>
      <c r="AC149" s="7"/>
      <c r="AD149" s="6"/>
      <c r="AE149" s="6"/>
      <c r="AF149" s="12"/>
      <c r="AG149" s="6"/>
    </row>
    <row r="150" spans="9:33" ht="21.75" customHeight="1" x14ac:dyDescent="0.25">
      <c r="I150" s="211"/>
      <c r="J150" s="6"/>
      <c r="K150" s="211"/>
      <c r="L150" s="6"/>
      <c r="M150" s="211"/>
      <c r="N150" s="6"/>
      <c r="O150" s="211"/>
      <c r="P150" s="6"/>
      <c r="Q150" s="211"/>
      <c r="R150" s="6"/>
      <c r="S150" s="211"/>
      <c r="T150" s="6"/>
      <c r="U150" s="211"/>
      <c r="V150" s="6"/>
      <c r="W150" s="7"/>
      <c r="X150" s="6"/>
      <c r="Y150" s="6"/>
      <c r="Z150" s="7"/>
      <c r="AA150" s="6"/>
      <c r="AB150" s="6"/>
      <c r="AC150" s="7"/>
      <c r="AD150" s="6"/>
      <c r="AE150" s="6"/>
      <c r="AF150" s="12"/>
      <c r="AG150" s="6"/>
    </row>
    <row r="151" spans="9:33" ht="21.75" customHeight="1" x14ac:dyDescent="0.25">
      <c r="I151" s="211"/>
      <c r="J151" s="6"/>
      <c r="K151" s="211"/>
      <c r="L151" s="6"/>
      <c r="M151" s="211"/>
      <c r="N151" s="6"/>
      <c r="O151" s="211"/>
      <c r="P151" s="6"/>
      <c r="Q151" s="211"/>
      <c r="R151" s="6"/>
      <c r="S151" s="211"/>
      <c r="T151" s="6"/>
      <c r="U151" s="211"/>
      <c r="V151" s="6"/>
      <c r="W151" s="7"/>
      <c r="X151" s="6"/>
      <c r="Y151" s="6"/>
      <c r="Z151" s="7"/>
      <c r="AA151" s="6"/>
      <c r="AB151" s="6"/>
      <c r="AC151" s="7"/>
      <c r="AD151" s="6"/>
      <c r="AE151" s="6"/>
      <c r="AF151" s="12"/>
      <c r="AG151" s="6"/>
    </row>
    <row r="152" spans="9:33" ht="21.75" customHeight="1" x14ac:dyDescent="0.25">
      <c r="I152" s="211"/>
      <c r="J152" s="6"/>
      <c r="K152" s="211"/>
      <c r="L152" s="6"/>
      <c r="M152" s="211"/>
      <c r="N152" s="6"/>
      <c r="O152" s="211"/>
      <c r="P152" s="6"/>
      <c r="Q152" s="211"/>
      <c r="R152" s="6"/>
      <c r="S152" s="211"/>
      <c r="T152" s="6"/>
      <c r="U152" s="211"/>
      <c r="V152" s="6"/>
      <c r="W152" s="7"/>
      <c r="X152" s="6"/>
      <c r="Y152" s="6"/>
      <c r="Z152" s="7"/>
      <c r="AA152" s="6"/>
      <c r="AB152" s="6"/>
      <c r="AC152" s="7"/>
      <c r="AD152" s="6"/>
      <c r="AE152" s="6"/>
      <c r="AF152" s="12"/>
      <c r="AG152" s="6"/>
    </row>
    <row r="153" spans="9:33" ht="21.75" customHeight="1" x14ac:dyDescent="0.25">
      <c r="I153" s="211"/>
      <c r="J153" s="6"/>
      <c r="K153" s="211"/>
      <c r="L153" s="6"/>
      <c r="M153" s="211"/>
      <c r="N153" s="6"/>
      <c r="O153" s="211"/>
      <c r="P153" s="6"/>
      <c r="Q153" s="211"/>
      <c r="R153" s="6"/>
      <c r="S153" s="211"/>
      <c r="T153" s="6"/>
      <c r="U153" s="211"/>
      <c r="V153" s="6"/>
      <c r="W153" s="7"/>
      <c r="X153" s="6"/>
      <c r="Y153" s="6"/>
      <c r="Z153" s="7"/>
      <c r="AA153" s="6"/>
      <c r="AB153" s="6"/>
      <c r="AC153" s="7"/>
      <c r="AD153" s="6"/>
      <c r="AE153" s="6"/>
      <c r="AF153" s="12"/>
      <c r="AG153" s="6"/>
    </row>
    <row r="154" spans="9:33" ht="21.75" customHeight="1" x14ac:dyDescent="0.25">
      <c r="I154" s="211"/>
      <c r="J154" s="6"/>
      <c r="K154" s="211"/>
      <c r="L154" s="6"/>
      <c r="M154" s="211"/>
      <c r="N154" s="6"/>
      <c r="O154" s="211"/>
      <c r="P154" s="6"/>
      <c r="Q154" s="211"/>
      <c r="R154" s="6"/>
      <c r="S154" s="211"/>
      <c r="T154" s="6"/>
      <c r="U154" s="211"/>
      <c r="V154" s="6"/>
      <c r="W154" s="7"/>
      <c r="X154" s="6"/>
      <c r="Y154" s="6"/>
      <c r="Z154" s="7"/>
      <c r="AA154" s="6"/>
      <c r="AB154" s="6"/>
      <c r="AC154" s="7"/>
      <c r="AD154" s="6"/>
      <c r="AE154" s="6"/>
      <c r="AF154" s="12"/>
      <c r="AG154" s="6"/>
    </row>
    <row r="155" spans="9:33" ht="21.75" customHeight="1" x14ac:dyDescent="0.25">
      <c r="I155" s="211"/>
      <c r="J155" s="6"/>
      <c r="K155" s="211"/>
      <c r="L155" s="6"/>
      <c r="M155" s="211"/>
      <c r="N155" s="6"/>
      <c r="O155" s="211"/>
      <c r="P155" s="6"/>
      <c r="Q155" s="211"/>
      <c r="R155" s="6"/>
      <c r="S155" s="211"/>
      <c r="T155" s="6"/>
      <c r="U155" s="211"/>
      <c r="V155" s="6"/>
      <c r="W155" s="7"/>
      <c r="X155" s="6"/>
      <c r="Y155" s="6"/>
      <c r="Z155" s="7"/>
      <c r="AA155" s="6"/>
      <c r="AB155" s="6"/>
      <c r="AC155" s="7"/>
      <c r="AD155" s="6"/>
      <c r="AE155" s="6"/>
      <c r="AF155" s="12"/>
      <c r="AG155" s="6"/>
    </row>
    <row r="156" spans="9:33" ht="21.75" customHeight="1" x14ac:dyDescent="0.25">
      <c r="I156" s="211"/>
      <c r="J156" s="6"/>
      <c r="K156" s="211"/>
      <c r="L156" s="6"/>
      <c r="M156" s="211"/>
      <c r="N156" s="6"/>
      <c r="O156" s="211"/>
      <c r="P156" s="6"/>
      <c r="Q156" s="211"/>
      <c r="R156" s="6"/>
      <c r="S156" s="211"/>
      <c r="T156" s="6"/>
      <c r="U156" s="211"/>
      <c r="V156" s="6"/>
      <c r="W156" s="7"/>
      <c r="X156" s="6"/>
      <c r="Y156" s="6"/>
      <c r="Z156" s="7"/>
      <c r="AA156" s="6"/>
      <c r="AB156" s="6"/>
      <c r="AC156" s="7"/>
      <c r="AD156" s="6"/>
      <c r="AE156" s="6"/>
      <c r="AF156" s="12"/>
      <c r="AG156" s="6"/>
    </row>
    <row r="157" spans="9:33" ht="21.75" customHeight="1" x14ac:dyDescent="0.25">
      <c r="I157" s="211"/>
      <c r="J157" s="6"/>
      <c r="K157" s="211"/>
      <c r="L157" s="6"/>
      <c r="M157" s="211"/>
      <c r="N157" s="6"/>
      <c r="O157" s="211"/>
      <c r="P157" s="6"/>
      <c r="Q157" s="211"/>
      <c r="R157" s="6"/>
      <c r="S157" s="211"/>
      <c r="T157" s="6"/>
      <c r="U157" s="211"/>
      <c r="V157" s="6"/>
      <c r="W157" s="7"/>
      <c r="X157" s="6"/>
      <c r="Y157" s="6"/>
      <c r="Z157" s="7"/>
      <c r="AA157" s="6"/>
      <c r="AB157" s="6"/>
      <c r="AC157" s="7"/>
      <c r="AD157" s="6"/>
      <c r="AE157" s="6"/>
      <c r="AF157" s="12"/>
      <c r="AG157" s="6"/>
    </row>
    <row r="158" spans="9:33" ht="21.75" customHeight="1" x14ac:dyDescent="0.25">
      <c r="I158" s="211"/>
      <c r="J158" s="6"/>
      <c r="K158" s="211"/>
      <c r="L158" s="6"/>
      <c r="M158" s="211"/>
      <c r="N158" s="6"/>
      <c r="O158" s="211"/>
      <c r="P158" s="6"/>
      <c r="Q158" s="211"/>
      <c r="R158" s="6"/>
      <c r="S158" s="211"/>
      <c r="T158" s="6"/>
      <c r="U158" s="211"/>
      <c r="V158" s="6"/>
      <c r="W158" s="7"/>
      <c r="X158" s="6"/>
      <c r="Y158" s="6"/>
      <c r="Z158" s="7"/>
      <c r="AA158" s="6"/>
      <c r="AB158" s="6"/>
      <c r="AC158" s="7"/>
      <c r="AD158" s="6"/>
      <c r="AE158" s="6"/>
      <c r="AF158" s="12"/>
      <c r="AG158" s="6"/>
    </row>
    <row r="159" spans="9:33" ht="21.75" customHeight="1" x14ac:dyDescent="0.25">
      <c r="I159" s="211"/>
      <c r="J159" s="6"/>
      <c r="K159" s="211"/>
      <c r="L159" s="6"/>
      <c r="M159" s="211"/>
      <c r="N159" s="6"/>
      <c r="O159" s="211"/>
      <c r="P159" s="6"/>
      <c r="Q159" s="211"/>
      <c r="R159" s="6"/>
      <c r="S159" s="211"/>
      <c r="T159" s="6"/>
      <c r="U159" s="211"/>
      <c r="V159" s="6"/>
      <c r="W159" s="7"/>
      <c r="X159" s="6"/>
      <c r="Y159" s="6"/>
      <c r="Z159" s="7"/>
      <c r="AA159" s="6"/>
      <c r="AB159" s="6"/>
      <c r="AC159" s="7"/>
      <c r="AD159" s="6"/>
      <c r="AE159" s="6"/>
      <c r="AF159" s="12"/>
      <c r="AG159" s="6"/>
    </row>
    <row r="160" spans="9:33" ht="21.75" customHeight="1" x14ac:dyDescent="0.25">
      <c r="I160" s="211"/>
      <c r="J160" s="6"/>
      <c r="K160" s="211"/>
      <c r="L160" s="6"/>
      <c r="M160" s="211"/>
      <c r="N160" s="6"/>
      <c r="O160" s="211"/>
      <c r="P160" s="6"/>
      <c r="Q160" s="211"/>
      <c r="R160" s="6"/>
      <c r="S160" s="211"/>
      <c r="T160" s="6"/>
      <c r="U160" s="211"/>
      <c r="V160" s="6"/>
      <c r="W160" s="7"/>
      <c r="X160" s="6"/>
      <c r="Y160" s="6"/>
      <c r="Z160" s="7"/>
      <c r="AA160" s="6"/>
      <c r="AB160" s="6"/>
      <c r="AC160" s="7"/>
      <c r="AD160" s="6"/>
      <c r="AE160" s="6"/>
      <c r="AF160" s="12"/>
      <c r="AG160" s="6"/>
    </row>
    <row r="161" spans="9:33" ht="21.75" customHeight="1" x14ac:dyDescent="0.25">
      <c r="I161" s="211"/>
      <c r="J161" s="6"/>
      <c r="K161" s="211"/>
      <c r="L161" s="6"/>
      <c r="M161" s="211"/>
      <c r="N161" s="6"/>
      <c r="O161" s="211"/>
      <c r="P161" s="6"/>
      <c r="Q161" s="211"/>
      <c r="R161" s="6"/>
      <c r="S161" s="211"/>
      <c r="T161" s="6"/>
      <c r="U161" s="211"/>
      <c r="V161" s="6"/>
      <c r="W161" s="7"/>
      <c r="X161" s="6"/>
      <c r="Y161" s="6"/>
      <c r="Z161" s="7"/>
      <c r="AA161" s="6"/>
      <c r="AB161" s="6"/>
      <c r="AC161" s="7"/>
      <c r="AD161" s="6"/>
      <c r="AE161" s="6"/>
      <c r="AF161" s="12"/>
      <c r="AG161" s="6"/>
    </row>
    <row r="162" spans="9:33" ht="21.75" customHeight="1" x14ac:dyDescent="0.25">
      <c r="I162" s="211"/>
      <c r="J162" s="6"/>
      <c r="K162" s="211"/>
      <c r="L162" s="6"/>
      <c r="M162" s="211"/>
      <c r="N162" s="6"/>
      <c r="O162" s="211"/>
      <c r="P162" s="6"/>
      <c r="Q162" s="211"/>
      <c r="R162" s="6"/>
      <c r="S162" s="211"/>
      <c r="T162" s="6"/>
      <c r="U162" s="211"/>
      <c r="V162" s="6"/>
      <c r="W162" s="7"/>
      <c r="X162" s="6"/>
      <c r="Y162" s="6"/>
      <c r="Z162" s="7"/>
      <c r="AA162" s="6"/>
      <c r="AB162" s="6"/>
      <c r="AC162" s="7"/>
      <c r="AD162" s="6"/>
      <c r="AE162" s="6"/>
      <c r="AF162" s="12"/>
      <c r="AG162" s="6"/>
    </row>
    <row r="163" spans="9:33" ht="21.75" customHeight="1" x14ac:dyDescent="0.25">
      <c r="I163" s="211"/>
      <c r="J163" s="6"/>
      <c r="K163" s="211"/>
      <c r="L163" s="6"/>
      <c r="M163" s="211"/>
      <c r="N163" s="6"/>
      <c r="O163" s="211"/>
      <c r="P163" s="6"/>
      <c r="Q163" s="211"/>
      <c r="R163" s="6"/>
      <c r="S163" s="211"/>
      <c r="T163" s="6"/>
      <c r="U163" s="211"/>
      <c r="V163" s="6"/>
      <c r="W163" s="7"/>
      <c r="X163" s="6"/>
      <c r="Y163" s="6"/>
      <c r="Z163" s="7"/>
      <c r="AA163" s="6"/>
      <c r="AB163" s="6"/>
      <c r="AC163" s="7"/>
      <c r="AD163" s="6"/>
      <c r="AE163" s="6"/>
      <c r="AF163" s="12"/>
      <c r="AG163" s="6"/>
    </row>
    <row r="164" spans="9:33" ht="21.75" customHeight="1" x14ac:dyDescent="0.25">
      <c r="I164" s="211"/>
      <c r="J164" s="6"/>
      <c r="K164" s="211"/>
      <c r="L164" s="6"/>
      <c r="M164" s="211"/>
      <c r="N164" s="6"/>
      <c r="O164" s="211"/>
      <c r="P164" s="6"/>
      <c r="Q164" s="211"/>
      <c r="R164" s="6"/>
      <c r="S164" s="211"/>
      <c r="T164" s="6"/>
      <c r="U164" s="211"/>
      <c r="V164" s="6"/>
      <c r="W164" s="7"/>
      <c r="X164" s="6"/>
      <c r="Y164" s="6"/>
      <c r="Z164" s="7"/>
      <c r="AA164" s="6"/>
      <c r="AB164" s="6"/>
      <c r="AC164" s="7"/>
      <c r="AD164" s="6"/>
      <c r="AE164" s="6"/>
      <c r="AF164" s="12"/>
      <c r="AG164" s="6"/>
    </row>
    <row r="165" spans="9:33" ht="21.75" customHeight="1" x14ac:dyDescent="0.25">
      <c r="I165" s="211"/>
      <c r="J165" s="6"/>
      <c r="K165" s="211"/>
      <c r="L165" s="6"/>
      <c r="M165" s="211"/>
      <c r="N165" s="6"/>
      <c r="O165" s="211"/>
      <c r="P165" s="6"/>
      <c r="Q165" s="211"/>
      <c r="R165" s="6"/>
      <c r="S165" s="211"/>
      <c r="T165" s="6"/>
      <c r="U165" s="211"/>
      <c r="V165" s="6"/>
      <c r="W165" s="7"/>
      <c r="X165" s="6"/>
      <c r="Y165" s="6"/>
      <c r="Z165" s="7"/>
      <c r="AA165" s="6"/>
      <c r="AB165" s="6"/>
      <c r="AC165" s="7"/>
      <c r="AD165" s="6"/>
      <c r="AE165" s="6"/>
      <c r="AF165" s="12"/>
      <c r="AG165" s="6"/>
    </row>
    <row r="166" spans="9:33" ht="21.75" customHeight="1" x14ac:dyDescent="0.25">
      <c r="I166" s="211"/>
      <c r="J166" s="6"/>
      <c r="K166" s="211"/>
      <c r="L166" s="6"/>
      <c r="M166" s="211"/>
      <c r="N166" s="6"/>
      <c r="O166" s="211"/>
      <c r="P166" s="6"/>
      <c r="Q166" s="211"/>
      <c r="R166" s="6"/>
      <c r="S166" s="211"/>
      <c r="T166" s="6"/>
      <c r="U166" s="211"/>
      <c r="V166" s="6"/>
      <c r="W166" s="7"/>
      <c r="X166" s="6"/>
      <c r="Y166" s="6"/>
      <c r="Z166" s="7"/>
      <c r="AA166" s="6"/>
      <c r="AB166" s="6"/>
      <c r="AC166" s="7"/>
      <c r="AD166" s="6"/>
      <c r="AE166" s="6"/>
      <c r="AF166" s="12"/>
      <c r="AG166" s="6"/>
    </row>
    <row r="167" spans="9:33" ht="21.75" customHeight="1" x14ac:dyDescent="0.25">
      <c r="I167" s="211"/>
      <c r="J167" s="6"/>
      <c r="K167" s="211"/>
      <c r="L167" s="6"/>
      <c r="M167" s="211"/>
      <c r="N167" s="6"/>
      <c r="O167" s="211"/>
      <c r="P167" s="6"/>
      <c r="Q167" s="211"/>
      <c r="R167" s="6"/>
      <c r="S167" s="211"/>
      <c r="T167" s="6"/>
      <c r="U167" s="211"/>
      <c r="V167" s="6"/>
      <c r="W167" s="7"/>
      <c r="X167" s="6"/>
      <c r="Y167" s="6"/>
      <c r="Z167" s="7"/>
      <c r="AA167" s="6"/>
      <c r="AB167" s="6"/>
      <c r="AC167" s="7"/>
      <c r="AD167" s="6"/>
      <c r="AE167" s="6"/>
      <c r="AF167" s="12"/>
      <c r="AG167" s="6"/>
    </row>
    <row r="168" spans="9:33" ht="21.75" customHeight="1" x14ac:dyDescent="0.25">
      <c r="I168" s="211"/>
      <c r="J168" s="6"/>
      <c r="K168" s="211"/>
      <c r="L168" s="6"/>
      <c r="M168" s="211"/>
      <c r="N168" s="6"/>
      <c r="O168" s="211"/>
      <c r="P168" s="6"/>
      <c r="Q168" s="211"/>
      <c r="R168" s="6"/>
      <c r="S168" s="211"/>
      <c r="T168" s="6"/>
      <c r="U168" s="211"/>
      <c r="V168" s="6"/>
      <c r="W168" s="7"/>
      <c r="X168" s="6"/>
      <c r="Y168" s="6"/>
      <c r="Z168" s="7"/>
      <c r="AA168" s="6"/>
      <c r="AB168" s="6"/>
      <c r="AC168" s="7"/>
      <c r="AD168" s="6"/>
      <c r="AE168" s="6"/>
      <c r="AF168" s="12"/>
      <c r="AG168" s="6"/>
    </row>
    <row r="169" spans="9:33" ht="21.75" customHeight="1" x14ac:dyDescent="0.25">
      <c r="I169" s="211"/>
      <c r="J169" s="6"/>
      <c r="K169" s="211"/>
      <c r="L169" s="6"/>
      <c r="M169" s="211"/>
      <c r="N169" s="6"/>
      <c r="O169" s="211"/>
      <c r="P169" s="6"/>
      <c r="Q169" s="211"/>
      <c r="R169" s="6"/>
      <c r="S169" s="211"/>
      <c r="T169" s="6"/>
      <c r="U169" s="211"/>
      <c r="V169" s="6"/>
      <c r="W169" s="7"/>
      <c r="X169" s="6"/>
      <c r="Y169" s="6"/>
      <c r="Z169" s="7"/>
      <c r="AA169" s="6"/>
      <c r="AB169" s="6"/>
      <c r="AC169" s="7"/>
      <c r="AD169" s="6"/>
      <c r="AE169" s="6"/>
      <c r="AF169" s="12"/>
      <c r="AG169" s="6"/>
    </row>
    <row r="170" spans="9:33" ht="21.75" customHeight="1" x14ac:dyDescent="0.25">
      <c r="I170" s="211"/>
      <c r="J170" s="6"/>
      <c r="K170" s="211"/>
      <c r="L170" s="6"/>
      <c r="M170" s="211"/>
      <c r="N170" s="6"/>
      <c r="O170" s="211"/>
      <c r="P170" s="6"/>
      <c r="Q170" s="211"/>
      <c r="R170" s="6"/>
      <c r="S170" s="211"/>
      <c r="T170" s="6"/>
      <c r="U170" s="211"/>
      <c r="V170" s="6"/>
      <c r="W170" s="7"/>
      <c r="X170" s="6"/>
      <c r="Y170" s="6"/>
      <c r="Z170" s="7"/>
      <c r="AA170" s="6"/>
      <c r="AB170" s="6"/>
      <c r="AC170" s="7"/>
      <c r="AD170" s="6"/>
      <c r="AE170" s="6"/>
      <c r="AF170" s="12"/>
      <c r="AG170" s="6"/>
    </row>
    <row r="171" spans="9:33" ht="21.75" customHeight="1" x14ac:dyDescent="0.25">
      <c r="I171" s="211"/>
      <c r="J171" s="6"/>
      <c r="K171" s="211"/>
      <c r="L171" s="6"/>
      <c r="M171" s="211"/>
      <c r="N171" s="6"/>
      <c r="O171" s="211"/>
      <c r="P171" s="6"/>
      <c r="Q171" s="211"/>
      <c r="R171" s="6"/>
      <c r="S171" s="211"/>
      <c r="T171" s="6"/>
      <c r="U171" s="211"/>
      <c r="V171" s="6"/>
      <c r="W171" s="7"/>
      <c r="X171" s="6"/>
      <c r="Y171" s="6"/>
      <c r="Z171" s="7"/>
      <c r="AA171" s="6"/>
      <c r="AB171" s="6"/>
      <c r="AC171" s="7"/>
      <c r="AD171" s="6"/>
      <c r="AE171" s="6"/>
      <c r="AF171" s="12"/>
      <c r="AG171" s="6"/>
    </row>
    <row r="172" spans="9:33" ht="21.75" customHeight="1" x14ac:dyDescent="0.25">
      <c r="I172" s="211"/>
      <c r="J172" s="6"/>
      <c r="K172" s="211"/>
      <c r="L172" s="6"/>
      <c r="M172" s="211"/>
      <c r="N172" s="6"/>
      <c r="O172" s="211"/>
      <c r="P172" s="6"/>
      <c r="Q172" s="211"/>
      <c r="R172" s="6"/>
      <c r="S172" s="211"/>
      <c r="T172" s="6"/>
      <c r="U172" s="211"/>
      <c r="V172" s="6"/>
      <c r="W172" s="7"/>
      <c r="X172" s="6"/>
      <c r="Y172" s="6"/>
      <c r="Z172" s="7"/>
      <c r="AA172" s="6"/>
      <c r="AB172" s="6"/>
      <c r="AC172" s="7"/>
      <c r="AD172" s="6"/>
      <c r="AE172" s="6"/>
      <c r="AF172" s="12"/>
      <c r="AG172" s="6"/>
    </row>
    <row r="173" spans="9:33" ht="21.75" customHeight="1" x14ac:dyDescent="0.25">
      <c r="I173" s="211"/>
      <c r="J173" s="6"/>
      <c r="K173" s="211"/>
      <c r="L173" s="6"/>
      <c r="M173" s="211"/>
      <c r="N173" s="6"/>
      <c r="O173" s="211"/>
      <c r="P173" s="6"/>
      <c r="Q173" s="211"/>
      <c r="R173" s="6"/>
      <c r="S173" s="211"/>
      <c r="T173" s="6"/>
      <c r="U173" s="211"/>
      <c r="V173" s="6"/>
      <c r="W173" s="7"/>
      <c r="X173" s="6"/>
      <c r="Y173" s="6"/>
      <c r="Z173" s="7"/>
      <c r="AA173" s="6"/>
      <c r="AB173" s="6"/>
      <c r="AC173" s="7"/>
      <c r="AD173" s="6"/>
      <c r="AE173" s="6"/>
      <c r="AF173" s="12"/>
      <c r="AG173" s="6"/>
    </row>
    <row r="174" spans="9:33" ht="21.75" customHeight="1" x14ac:dyDescent="0.25">
      <c r="I174" s="211"/>
      <c r="J174" s="6"/>
      <c r="K174" s="211"/>
      <c r="L174" s="6"/>
      <c r="M174" s="211"/>
      <c r="N174" s="6"/>
      <c r="O174" s="211"/>
      <c r="P174" s="6"/>
      <c r="Q174" s="211"/>
      <c r="R174" s="6"/>
      <c r="S174" s="211"/>
      <c r="T174" s="6"/>
      <c r="U174" s="211"/>
      <c r="V174" s="6"/>
      <c r="W174" s="7"/>
      <c r="X174" s="6"/>
      <c r="Y174" s="6"/>
      <c r="Z174" s="7"/>
      <c r="AA174" s="6"/>
      <c r="AB174" s="6"/>
      <c r="AC174" s="7"/>
      <c r="AD174" s="6"/>
      <c r="AE174" s="6"/>
      <c r="AF174" s="12"/>
      <c r="AG174" s="6"/>
    </row>
    <row r="175" spans="9:33" ht="21.75" customHeight="1" x14ac:dyDescent="0.25">
      <c r="I175" s="211"/>
      <c r="J175" s="6"/>
      <c r="K175" s="211"/>
      <c r="L175" s="6"/>
      <c r="M175" s="211"/>
      <c r="N175" s="6"/>
      <c r="O175" s="211"/>
      <c r="P175" s="6"/>
      <c r="Q175" s="211"/>
      <c r="R175" s="6"/>
      <c r="S175" s="211"/>
      <c r="T175" s="6"/>
      <c r="U175" s="211"/>
      <c r="V175" s="6"/>
      <c r="W175" s="7"/>
      <c r="X175" s="6"/>
      <c r="Y175" s="6"/>
      <c r="Z175" s="7"/>
      <c r="AA175" s="6"/>
      <c r="AB175" s="6"/>
      <c r="AC175" s="7"/>
      <c r="AD175" s="6"/>
      <c r="AE175" s="6"/>
      <c r="AF175" s="12"/>
      <c r="AG175" s="6"/>
    </row>
    <row r="176" spans="9:33" ht="21.75" customHeight="1" x14ac:dyDescent="0.25">
      <c r="I176" s="211"/>
      <c r="J176" s="6"/>
      <c r="K176" s="211"/>
      <c r="L176" s="6"/>
      <c r="M176" s="211"/>
      <c r="N176" s="6"/>
      <c r="O176" s="211"/>
      <c r="P176" s="6"/>
      <c r="Q176" s="211"/>
      <c r="R176" s="6"/>
      <c r="S176" s="211"/>
      <c r="T176" s="6"/>
      <c r="U176" s="211"/>
      <c r="V176" s="6"/>
      <c r="W176" s="7"/>
      <c r="X176" s="6"/>
      <c r="Y176" s="6"/>
      <c r="Z176" s="7"/>
      <c r="AA176" s="6"/>
      <c r="AB176" s="6"/>
      <c r="AC176" s="7"/>
      <c r="AD176" s="6"/>
      <c r="AE176" s="6"/>
      <c r="AF176" s="12"/>
      <c r="AG176" s="6"/>
    </row>
    <row r="177" spans="9:33" ht="21.75" customHeight="1" x14ac:dyDescent="0.25">
      <c r="I177" s="211"/>
      <c r="J177" s="6"/>
      <c r="K177" s="211"/>
      <c r="L177" s="6"/>
      <c r="M177" s="211"/>
      <c r="N177" s="6"/>
      <c r="O177" s="211"/>
      <c r="P177" s="6"/>
      <c r="Q177" s="211"/>
      <c r="R177" s="6"/>
      <c r="S177" s="211"/>
      <c r="T177" s="6"/>
      <c r="U177" s="211"/>
      <c r="V177" s="6"/>
      <c r="W177" s="7"/>
      <c r="X177" s="6"/>
      <c r="Y177" s="6"/>
      <c r="Z177" s="7"/>
      <c r="AA177" s="6"/>
      <c r="AB177" s="6"/>
      <c r="AC177" s="7"/>
      <c r="AD177" s="6"/>
      <c r="AE177" s="6"/>
      <c r="AF177" s="12"/>
      <c r="AG177" s="6"/>
    </row>
    <row r="178" spans="9:33" ht="21.75" customHeight="1" x14ac:dyDescent="0.25">
      <c r="I178" s="211"/>
      <c r="J178" s="6"/>
      <c r="K178" s="211"/>
      <c r="L178" s="6"/>
      <c r="M178" s="211"/>
      <c r="N178" s="6"/>
      <c r="O178" s="211"/>
      <c r="P178" s="6"/>
      <c r="Q178" s="211"/>
      <c r="R178" s="6"/>
      <c r="S178" s="211"/>
      <c r="T178" s="6"/>
      <c r="U178" s="211"/>
      <c r="V178" s="6"/>
      <c r="W178" s="7"/>
      <c r="X178" s="6"/>
      <c r="Y178" s="6"/>
      <c r="Z178" s="7"/>
      <c r="AA178" s="6"/>
      <c r="AB178" s="6"/>
      <c r="AC178" s="7"/>
      <c r="AD178" s="6"/>
      <c r="AE178" s="6"/>
      <c r="AF178" s="12"/>
      <c r="AG178" s="6"/>
    </row>
    <row r="179" spans="9:33" ht="21.75" customHeight="1" x14ac:dyDescent="0.25">
      <c r="I179" s="211"/>
      <c r="J179" s="6"/>
      <c r="K179" s="211"/>
      <c r="L179" s="6"/>
      <c r="M179" s="211"/>
      <c r="N179" s="6"/>
      <c r="O179" s="211"/>
      <c r="P179" s="6"/>
      <c r="Q179" s="211"/>
      <c r="R179" s="6"/>
      <c r="S179" s="211"/>
      <c r="T179" s="6"/>
      <c r="U179" s="211"/>
      <c r="V179" s="6"/>
      <c r="W179" s="7"/>
      <c r="X179" s="6"/>
      <c r="Y179" s="6"/>
      <c r="Z179" s="7"/>
      <c r="AA179" s="6"/>
      <c r="AB179" s="6"/>
      <c r="AC179" s="7"/>
      <c r="AD179" s="6"/>
      <c r="AE179" s="6"/>
      <c r="AF179" s="12"/>
      <c r="AG179" s="6"/>
    </row>
    <row r="180" spans="9:33" ht="21.75" customHeight="1" x14ac:dyDescent="0.25">
      <c r="I180" s="211"/>
      <c r="J180" s="6"/>
      <c r="K180" s="211"/>
      <c r="L180" s="6"/>
      <c r="M180" s="211"/>
      <c r="N180" s="6"/>
      <c r="O180" s="211"/>
      <c r="P180" s="6"/>
      <c r="Q180" s="211"/>
      <c r="R180" s="6"/>
      <c r="S180" s="211"/>
      <c r="T180" s="6"/>
      <c r="U180" s="211"/>
      <c r="V180" s="6"/>
      <c r="W180" s="7"/>
      <c r="X180" s="6"/>
      <c r="Y180" s="6"/>
      <c r="Z180" s="7"/>
      <c r="AA180" s="6"/>
      <c r="AB180" s="6"/>
      <c r="AC180" s="7"/>
      <c r="AD180" s="6"/>
      <c r="AE180" s="6"/>
      <c r="AF180" s="12"/>
      <c r="AG180" s="6"/>
    </row>
    <row r="181" spans="9:33" ht="21.75" customHeight="1" x14ac:dyDescent="0.25">
      <c r="I181" s="211"/>
      <c r="J181" s="6"/>
      <c r="K181" s="211"/>
      <c r="L181" s="6"/>
      <c r="M181" s="211"/>
      <c r="N181" s="6"/>
      <c r="O181" s="211"/>
      <c r="P181" s="6"/>
      <c r="Q181" s="211"/>
      <c r="R181" s="6"/>
      <c r="S181" s="211"/>
      <c r="T181" s="6"/>
      <c r="U181" s="211"/>
      <c r="V181" s="6"/>
      <c r="W181" s="7"/>
      <c r="X181" s="6"/>
      <c r="Y181" s="6"/>
      <c r="Z181" s="7"/>
      <c r="AA181" s="6"/>
      <c r="AB181" s="6"/>
      <c r="AC181" s="7"/>
      <c r="AD181" s="6"/>
      <c r="AE181" s="6"/>
      <c r="AF181" s="12"/>
      <c r="AG181" s="6"/>
    </row>
    <row r="182" spans="9:33" ht="21.75" customHeight="1" x14ac:dyDescent="0.25">
      <c r="I182" s="211"/>
      <c r="J182" s="6"/>
      <c r="K182" s="211"/>
      <c r="L182" s="6"/>
      <c r="M182" s="211"/>
      <c r="N182" s="6"/>
      <c r="O182" s="211"/>
      <c r="P182" s="6"/>
      <c r="Q182" s="211"/>
      <c r="R182" s="6"/>
      <c r="S182" s="211"/>
      <c r="T182" s="6"/>
      <c r="U182" s="211"/>
      <c r="V182" s="6"/>
      <c r="W182" s="7"/>
      <c r="X182" s="6"/>
      <c r="Y182" s="6"/>
      <c r="Z182" s="7"/>
      <c r="AA182" s="6"/>
      <c r="AB182" s="6"/>
      <c r="AC182" s="7"/>
      <c r="AD182" s="6"/>
      <c r="AE182" s="6"/>
      <c r="AF182" s="12"/>
      <c r="AG182" s="6"/>
    </row>
    <row r="183" spans="9:33" ht="21.75" customHeight="1" x14ac:dyDescent="0.25">
      <c r="I183" s="211"/>
      <c r="J183" s="6"/>
      <c r="K183" s="211"/>
      <c r="L183" s="6"/>
      <c r="M183" s="211"/>
      <c r="N183" s="6"/>
      <c r="O183" s="211"/>
      <c r="P183" s="6"/>
      <c r="Q183" s="211"/>
      <c r="R183" s="6"/>
      <c r="S183" s="211"/>
      <c r="T183" s="6"/>
      <c r="U183" s="211"/>
      <c r="V183" s="6"/>
      <c r="W183" s="7"/>
      <c r="X183" s="6"/>
      <c r="Y183" s="6"/>
      <c r="Z183" s="7"/>
      <c r="AA183" s="6"/>
      <c r="AB183" s="6"/>
      <c r="AC183" s="7"/>
      <c r="AD183" s="6"/>
      <c r="AE183" s="6"/>
      <c r="AF183" s="12"/>
      <c r="AG183" s="6"/>
    </row>
    <row r="184" spans="9:33" ht="21.75" customHeight="1" x14ac:dyDescent="0.25">
      <c r="I184" s="211"/>
      <c r="J184" s="6"/>
      <c r="K184" s="211"/>
      <c r="L184" s="6"/>
      <c r="M184" s="211"/>
      <c r="N184" s="6"/>
      <c r="O184" s="211"/>
      <c r="P184" s="6"/>
      <c r="Q184" s="211"/>
      <c r="R184" s="6"/>
      <c r="S184" s="211"/>
      <c r="T184" s="6"/>
      <c r="U184" s="211"/>
      <c r="V184" s="6"/>
      <c r="W184" s="7"/>
      <c r="X184" s="6"/>
      <c r="Y184" s="6"/>
      <c r="Z184" s="7"/>
      <c r="AA184" s="6"/>
      <c r="AB184" s="6"/>
      <c r="AC184" s="7"/>
      <c r="AD184" s="6"/>
      <c r="AE184" s="6"/>
      <c r="AF184" s="12"/>
      <c r="AG184" s="6"/>
    </row>
    <row r="185" spans="9:33" ht="21.75" customHeight="1" x14ac:dyDescent="0.25">
      <c r="I185" s="211"/>
      <c r="J185" s="6"/>
      <c r="K185" s="211"/>
      <c r="L185" s="6"/>
      <c r="M185" s="211"/>
      <c r="N185" s="6"/>
      <c r="O185" s="211"/>
      <c r="P185" s="6"/>
      <c r="Q185" s="211"/>
      <c r="R185" s="6"/>
      <c r="S185" s="211"/>
      <c r="T185" s="6"/>
      <c r="U185" s="211"/>
      <c r="V185" s="6"/>
      <c r="W185" s="7"/>
      <c r="X185" s="6"/>
      <c r="Y185" s="6"/>
      <c r="Z185" s="7"/>
      <c r="AA185" s="6"/>
      <c r="AB185" s="6"/>
      <c r="AC185" s="7"/>
      <c r="AD185" s="6"/>
      <c r="AE185" s="6"/>
      <c r="AF185" s="12"/>
      <c r="AG185" s="6"/>
    </row>
    <row r="186" spans="9:33" ht="21.75" customHeight="1" x14ac:dyDescent="0.25">
      <c r="I186" s="211"/>
      <c r="J186" s="6"/>
      <c r="K186" s="211"/>
      <c r="L186" s="6"/>
      <c r="M186" s="211"/>
      <c r="N186" s="6"/>
      <c r="O186" s="211"/>
      <c r="P186" s="6"/>
      <c r="Q186" s="211"/>
      <c r="R186" s="6"/>
      <c r="S186" s="211"/>
      <c r="T186" s="6"/>
      <c r="U186" s="211"/>
      <c r="V186" s="6"/>
      <c r="W186" s="7"/>
      <c r="X186" s="6"/>
      <c r="Y186" s="6"/>
      <c r="Z186" s="7"/>
      <c r="AA186" s="6"/>
      <c r="AB186" s="6"/>
      <c r="AC186" s="7"/>
      <c r="AD186" s="6"/>
      <c r="AE186" s="6"/>
      <c r="AF186" s="12"/>
      <c r="AG186" s="6"/>
    </row>
    <row r="187" spans="9:33" ht="21.75" customHeight="1" x14ac:dyDescent="0.25">
      <c r="I187" s="211"/>
      <c r="J187" s="6"/>
      <c r="K187" s="211"/>
      <c r="L187" s="6"/>
      <c r="M187" s="211"/>
      <c r="N187" s="6"/>
      <c r="O187" s="211"/>
      <c r="P187" s="6"/>
      <c r="Q187" s="211"/>
      <c r="R187" s="6"/>
      <c r="S187" s="211"/>
      <c r="T187" s="6"/>
      <c r="U187" s="211"/>
      <c r="V187" s="6"/>
      <c r="W187" s="7"/>
      <c r="X187" s="6"/>
      <c r="Y187" s="6"/>
      <c r="Z187" s="7"/>
      <c r="AA187" s="6"/>
      <c r="AB187" s="6"/>
      <c r="AC187" s="7"/>
      <c r="AD187" s="6"/>
      <c r="AE187" s="6"/>
      <c r="AF187" s="12"/>
      <c r="AG187" s="6"/>
    </row>
    <row r="188" spans="9:33" ht="21.75" customHeight="1" x14ac:dyDescent="0.25">
      <c r="I188" s="211"/>
      <c r="J188" s="6"/>
      <c r="K188" s="211"/>
      <c r="L188" s="6"/>
      <c r="M188" s="211"/>
      <c r="N188" s="6"/>
      <c r="O188" s="211"/>
      <c r="P188" s="6"/>
      <c r="Q188" s="211"/>
      <c r="R188" s="6"/>
      <c r="S188" s="211"/>
      <c r="T188" s="6"/>
      <c r="U188" s="211"/>
      <c r="V188" s="6"/>
      <c r="W188" s="7"/>
      <c r="X188" s="6"/>
      <c r="Y188" s="6"/>
      <c r="Z188" s="7"/>
      <c r="AA188" s="6"/>
      <c r="AB188" s="6"/>
      <c r="AC188" s="7"/>
      <c r="AD188" s="6"/>
      <c r="AE188" s="6"/>
      <c r="AF188" s="12"/>
      <c r="AG188" s="6"/>
    </row>
    <row r="189" spans="9:33" ht="21.75" customHeight="1" x14ac:dyDescent="0.25">
      <c r="I189" s="211"/>
      <c r="J189" s="6"/>
      <c r="K189" s="211"/>
      <c r="L189" s="6"/>
      <c r="M189" s="211"/>
      <c r="N189" s="6"/>
      <c r="O189" s="211"/>
      <c r="P189" s="6"/>
      <c r="Q189" s="211"/>
      <c r="R189" s="6"/>
      <c r="S189" s="211"/>
      <c r="T189" s="6"/>
      <c r="U189" s="211"/>
      <c r="V189" s="6"/>
      <c r="W189" s="7"/>
      <c r="X189" s="6"/>
      <c r="Y189" s="6"/>
      <c r="Z189" s="7"/>
      <c r="AA189" s="6"/>
      <c r="AB189" s="6"/>
      <c r="AC189" s="7"/>
      <c r="AD189" s="6"/>
      <c r="AE189" s="6"/>
      <c r="AF189" s="12"/>
      <c r="AG189" s="6"/>
    </row>
    <row r="190" spans="9:33" ht="21.75" customHeight="1" x14ac:dyDescent="0.25">
      <c r="I190" s="211"/>
      <c r="J190" s="6"/>
      <c r="K190" s="211"/>
      <c r="L190" s="6"/>
      <c r="M190" s="211"/>
      <c r="N190" s="6"/>
      <c r="O190" s="211"/>
      <c r="P190" s="6"/>
      <c r="Q190" s="211"/>
      <c r="R190" s="6"/>
      <c r="S190" s="211"/>
      <c r="T190" s="6"/>
      <c r="U190" s="211"/>
      <c r="V190" s="6"/>
      <c r="W190" s="7"/>
      <c r="X190" s="6"/>
      <c r="Y190" s="6"/>
      <c r="Z190" s="7"/>
      <c r="AA190" s="6"/>
      <c r="AB190" s="6"/>
      <c r="AC190" s="7"/>
      <c r="AD190" s="6"/>
      <c r="AE190" s="6"/>
      <c r="AF190" s="12"/>
      <c r="AG190" s="6"/>
    </row>
    <row r="191" spans="9:33" ht="21.75" customHeight="1" x14ac:dyDescent="0.25">
      <c r="I191" s="211"/>
      <c r="J191" s="6"/>
      <c r="K191" s="211"/>
      <c r="L191" s="6"/>
      <c r="M191" s="211"/>
      <c r="N191" s="6"/>
      <c r="O191" s="211"/>
      <c r="P191" s="6"/>
      <c r="Q191" s="211"/>
      <c r="R191" s="6"/>
      <c r="S191" s="211"/>
      <c r="T191" s="6"/>
      <c r="U191" s="211"/>
      <c r="V191" s="6"/>
      <c r="W191" s="7"/>
      <c r="X191" s="6"/>
      <c r="Y191" s="6"/>
      <c r="Z191" s="7"/>
      <c r="AA191" s="6"/>
      <c r="AB191" s="6"/>
      <c r="AC191" s="7"/>
      <c r="AD191" s="6"/>
      <c r="AE191" s="6"/>
      <c r="AF191" s="12"/>
      <c r="AG191" s="6"/>
    </row>
    <row r="192" spans="9:33" ht="21.75" customHeight="1" x14ac:dyDescent="0.25">
      <c r="I192" s="211"/>
      <c r="J192" s="6"/>
      <c r="K192" s="211"/>
      <c r="L192" s="6"/>
      <c r="M192" s="211"/>
      <c r="N192" s="6"/>
      <c r="O192" s="211"/>
      <c r="P192" s="6"/>
      <c r="Q192" s="211"/>
      <c r="R192" s="6"/>
      <c r="S192" s="211"/>
      <c r="T192" s="6"/>
      <c r="U192" s="211"/>
      <c r="V192" s="6"/>
      <c r="W192" s="7"/>
      <c r="X192" s="6"/>
      <c r="Y192" s="6"/>
      <c r="Z192" s="7"/>
      <c r="AA192" s="6"/>
      <c r="AB192" s="6"/>
      <c r="AC192" s="7"/>
      <c r="AD192" s="6"/>
      <c r="AE192" s="6"/>
      <c r="AF192" s="12"/>
      <c r="AG192" s="6"/>
    </row>
    <row r="193" spans="9:33" ht="21.75" customHeight="1" x14ac:dyDescent="0.25">
      <c r="I193" s="211"/>
      <c r="J193" s="6"/>
      <c r="K193" s="211"/>
      <c r="L193" s="6"/>
      <c r="M193" s="211"/>
      <c r="N193" s="6"/>
      <c r="O193" s="211"/>
      <c r="P193" s="6"/>
      <c r="Q193" s="211"/>
      <c r="R193" s="6"/>
      <c r="S193" s="211"/>
      <c r="T193" s="6"/>
      <c r="U193" s="211"/>
      <c r="V193" s="6"/>
      <c r="W193" s="7"/>
      <c r="X193" s="6"/>
      <c r="Y193" s="6"/>
      <c r="Z193" s="7"/>
      <c r="AA193" s="6"/>
      <c r="AB193" s="6"/>
      <c r="AC193" s="7"/>
      <c r="AD193" s="6"/>
      <c r="AE193" s="6"/>
      <c r="AF193" s="12"/>
      <c r="AG193" s="6"/>
    </row>
    <row r="194" spans="9:33" ht="21.75" customHeight="1" x14ac:dyDescent="0.25">
      <c r="I194" s="211"/>
      <c r="J194" s="6"/>
      <c r="K194" s="211"/>
      <c r="L194" s="6"/>
      <c r="M194" s="211"/>
      <c r="N194" s="6"/>
      <c r="O194" s="211"/>
      <c r="P194" s="6"/>
      <c r="Q194" s="211"/>
      <c r="R194" s="6"/>
      <c r="S194" s="211"/>
      <c r="T194" s="6"/>
      <c r="U194" s="211"/>
      <c r="V194" s="6"/>
      <c r="W194" s="7"/>
      <c r="X194" s="6"/>
      <c r="Y194" s="6"/>
      <c r="Z194" s="7"/>
      <c r="AA194" s="6"/>
      <c r="AB194" s="6"/>
      <c r="AC194" s="7"/>
      <c r="AD194" s="6"/>
      <c r="AE194" s="6"/>
      <c r="AF194" s="12"/>
      <c r="AG194" s="6"/>
    </row>
    <row r="195" spans="9:33" ht="21.75" customHeight="1" x14ac:dyDescent="0.25">
      <c r="I195" s="211"/>
      <c r="J195" s="6"/>
      <c r="K195" s="211"/>
      <c r="L195" s="6"/>
      <c r="M195" s="211"/>
      <c r="N195" s="6"/>
      <c r="O195" s="211"/>
      <c r="P195" s="6"/>
      <c r="Q195" s="211"/>
      <c r="R195" s="6"/>
      <c r="S195" s="211"/>
      <c r="T195" s="6"/>
      <c r="U195" s="211"/>
      <c r="V195" s="6"/>
      <c r="W195" s="7"/>
      <c r="X195" s="6"/>
      <c r="Y195" s="6"/>
      <c r="Z195" s="7"/>
      <c r="AA195" s="6"/>
      <c r="AB195" s="6"/>
      <c r="AC195" s="7"/>
      <c r="AD195" s="6"/>
      <c r="AE195" s="6"/>
      <c r="AF195" s="12"/>
      <c r="AG195" s="6"/>
    </row>
    <row r="196" spans="9:33" ht="21.75" customHeight="1" x14ac:dyDescent="0.25">
      <c r="I196" s="211"/>
      <c r="J196" s="6"/>
      <c r="K196" s="211"/>
      <c r="L196" s="6"/>
      <c r="M196" s="211"/>
      <c r="N196" s="6"/>
      <c r="O196" s="211"/>
      <c r="P196" s="6"/>
      <c r="Q196" s="211"/>
      <c r="R196" s="6"/>
      <c r="S196" s="211"/>
      <c r="T196" s="6"/>
      <c r="U196" s="211"/>
      <c r="V196" s="6"/>
      <c r="W196" s="7"/>
      <c r="X196" s="6"/>
      <c r="Y196" s="6"/>
      <c r="Z196" s="7"/>
      <c r="AA196" s="6"/>
      <c r="AB196" s="6"/>
      <c r="AC196" s="7"/>
      <c r="AD196" s="6"/>
      <c r="AE196" s="6"/>
      <c r="AF196" s="12"/>
      <c r="AG196" s="6"/>
    </row>
    <row r="197" spans="9:33" ht="21.75" customHeight="1" x14ac:dyDescent="0.25">
      <c r="I197" s="211"/>
      <c r="J197" s="6"/>
      <c r="K197" s="211"/>
      <c r="L197" s="6"/>
      <c r="M197" s="211"/>
      <c r="N197" s="6"/>
      <c r="O197" s="211"/>
      <c r="P197" s="6"/>
      <c r="Q197" s="211"/>
      <c r="R197" s="6"/>
      <c r="S197" s="211"/>
      <c r="T197" s="6"/>
      <c r="U197" s="211"/>
      <c r="V197" s="6"/>
      <c r="W197" s="7"/>
      <c r="X197" s="6"/>
      <c r="Y197" s="6"/>
      <c r="Z197" s="7"/>
      <c r="AA197" s="6"/>
      <c r="AB197" s="6"/>
      <c r="AC197" s="7"/>
      <c r="AD197" s="6"/>
      <c r="AE197" s="6"/>
      <c r="AF197" s="12"/>
      <c r="AG197" s="6"/>
    </row>
    <row r="198" spans="9:33" ht="21.75" customHeight="1" x14ac:dyDescent="0.25">
      <c r="I198" s="211"/>
      <c r="J198" s="6"/>
      <c r="K198" s="211"/>
      <c r="L198" s="6"/>
      <c r="M198" s="211"/>
      <c r="N198" s="6"/>
      <c r="O198" s="211"/>
      <c r="P198" s="6"/>
      <c r="Q198" s="211"/>
      <c r="R198" s="6"/>
      <c r="S198" s="211"/>
      <c r="T198" s="6"/>
      <c r="U198" s="211"/>
      <c r="V198" s="6"/>
      <c r="W198" s="7"/>
      <c r="X198" s="6"/>
      <c r="Y198" s="6"/>
      <c r="Z198" s="7"/>
      <c r="AA198" s="6"/>
      <c r="AB198" s="6"/>
      <c r="AC198" s="7"/>
      <c r="AD198" s="6"/>
      <c r="AE198" s="6"/>
      <c r="AF198" s="12"/>
      <c r="AG198" s="6"/>
    </row>
    <row r="199" spans="9:33" ht="21.75" customHeight="1" x14ac:dyDescent="0.25">
      <c r="I199" s="211"/>
      <c r="J199" s="6"/>
      <c r="K199" s="211"/>
      <c r="L199" s="6"/>
      <c r="M199" s="211"/>
      <c r="N199" s="6"/>
      <c r="O199" s="211"/>
      <c r="P199" s="6"/>
      <c r="Q199" s="211"/>
      <c r="R199" s="6"/>
      <c r="S199" s="211"/>
      <c r="T199" s="6"/>
      <c r="U199" s="211"/>
      <c r="V199" s="6"/>
      <c r="W199" s="7"/>
      <c r="X199" s="6"/>
      <c r="Y199" s="6"/>
      <c r="Z199" s="7"/>
      <c r="AA199" s="6"/>
      <c r="AB199" s="6"/>
      <c r="AC199" s="7"/>
      <c r="AD199" s="6"/>
      <c r="AE199" s="6"/>
      <c r="AF199" s="12"/>
      <c r="AG199" s="6"/>
    </row>
    <row r="200" spans="9:33" ht="21.75" customHeight="1" x14ac:dyDescent="0.25">
      <c r="I200" s="211"/>
      <c r="J200" s="6"/>
      <c r="K200" s="211"/>
      <c r="L200" s="6"/>
      <c r="M200" s="211"/>
      <c r="N200" s="6"/>
      <c r="O200" s="211"/>
      <c r="P200" s="6"/>
      <c r="Q200" s="211"/>
      <c r="R200" s="6"/>
      <c r="S200" s="211"/>
      <c r="T200" s="6"/>
      <c r="U200" s="211"/>
      <c r="V200" s="6"/>
      <c r="W200" s="7"/>
      <c r="X200" s="6"/>
      <c r="Y200" s="6"/>
      <c r="Z200" s="7"/>
      <c r="AA200" s="6"/>
      <c r="AB200" s="6"/>
      <c r="AC200" s="7"/>
      <c r="AD200" s="6"/>
      <c r="AE200" s="6"/>
      <c r="AF200" s="12"/>
      <c r="AG200" s="6"/>
    </row>
    <row r="201" spans="9:33" ht="21.75" customHeight="1" x14ac:dyDescent="0.25">
      <c r="I201" s="211"/>
      <c r="J201" s="6"/>
      <c r="K201" s="211"/>
      <c r="L201" s="6"/>
      <c r="M201" s="211"/>
      <c r="N201" s="6"/>
      <c r="O201" s="211"/>
      <c r="P201" s="6"/>
      <c r="Q201" s="211"/>
      <c r="R201" s="6"/>
      <c r="S201" s="211"/>
      <c r="T201" s="6"/>
      <c r="U201" s="211"/>
      <c r="V201" s="6"/>
      <c r="W201" s="7"/>
      <c r="X201" s="6"/>
      <c r="Y201" s="6"/>
      <c r="Z201" s="7"/>
      <c r="AA201" s="6"/>
      <c r="AB201" s="6"/>
      <c r="AC201" s="7"/>
      <c r="AD201" s="6"/>
      <c r="AE201" s="6"/>
      <c r="AF201" s="12"/>
      <c r="AG201" s="6"/>
    </row>
    <row r="202" spans="9:33" ht="21.75" customHeight="1" x14ac:dyDescent="0.25">
      <c r="I202" s="211"/>
      <c r="J202" s="6"/>
      <c r="K202" s="211"/>
      <c r="L202" s="6"/>
      <c r="M202" s="211"/>
      <c r="N202" s="6"/>
      <c r="O202" s="211"/>
      <c r="P202" s="6"/>
      <c r="Q202" s="211"/>
      <c r="R202" s="6"/>
      <c r="S202" s="211"/>
      <c r="T202" s="6"/>
      <c r="U202" s="211"/>
      <c r="V202" s="6"/>
      <c r="W202" s="7"/>
      <c r="X202" s="6"/>
      <c r="Y202" s="6"/>
      <c r="Z202" s="7"/>
      <c r="AA202" s="6"/>
      <c r="AB202" s="6"/>
      <c r="AC202" s="7"/>
      <c r="AD202" s="6"/>
      <c r="AE202" s="6"/>
      <c r="AF202" s="12"/>
      <c r="AG202" s="6"/>
    </row>
    <row r="203" spans="9:33" ht="21.75" customHeight="1" x14ac:dyDescent="0.25">
      <c r="I203" s="211"/>
      <c r="J203" s="6"/>
      <c r="K203" s="211"/>
      <c r="L203" s="6"/>
      <c r="M203" s="211"/>
      <c r="N203" s="6"/>
      <c r="O203" s="211"/>
      <c r="P203" s="6"/>
      <c r="Q203" s="211"/>
      <c r="R203" s="6"/>
      <c r="S203" s="211"/>
      <c r="T203" s="6"/>
      <c r="U203" s="211"/>
      <c r="V203" s="6"/>
      <c r="W203" s="7"/>
      <c r="X203" s="6"/>
      <c r="Y203" s="6"/>
      <c r="Z203" s="7"/>
      <c r="AA203" s="6"/>
      <c r="AB203" s="6"/>
      <c r="AC203" s="7"/>
      <c r="AD203" s="6"/>
      <c r="AE203" s="6"/>
      <c r="AF203" s="12"/>
      <c r="AG203" s="6"/>
    </row>
    <row r="204" spans="9:33" ht="21.75" customHeight="1" x14ac:dyDescent="0.25">
      <c r="I204" s="211"/>
      <c r="J204" s="6"/>
      <c r="K204" s="211"/>
      <c r="L204" s="6"/>
      <c r="M204" s="211"/>
      <c r="N204" s="6"/>
      <c r="O204" s="211"/>
      <c r="P204" s="6"/>
      <c r="Q204" s="211"/>
      <c r="R204" s="6"/>
      <c r="S204" s="211"/>
      <c r="T204" s="6"/>
      <c r="U204" s="211"/>
      <c r="V204" s="6"/>
      <c r="W204" s="7"/>
      <c r="X204" s="6"/>
      <c r="Y204" s="6"/>
      <c r="Z204" s="7"/>
      <c r="AA204" s="6"/>
      <c r="AB204" s="6"/>
      <c r="AC204" s="7"/>
      <c r="AD204" s="6"/>
      <c r="AE204" s="6"/>
      <c r="AF204" s="12"/>
      <c r="AG204" s="6"/>
    </row>
    <row r="205" spans="9:33" ht="21.75" customHeight="1" x14ac:dyDescent="0.25">
      <c r="I205" s="211"/>
      <c r="J205" s="6"/>
      <c r="K205" s="211"/>
      <c r="L205" s="6"/>
      <c r="M205" s="211"/>
      <c r="N205" s="6"/>
      <c r="O205" s="211"/>
      <c r="P205" s="6"/>
      <c r="Q205" s="211"/>
      <c r="R205" s="6"/>
      <c r="S205" s="211"/>
      <c r="T205" s="6"/>
      <c r="U205" s="211"/>
      <c r="V205" s="6"/>
      <c r="W205" s="7"/>
      <c r="X205" s="6"/>
      <c r="Y205" s="6"/>
      <c r="Z205" s="7"/>
      <c r="AA205" s="6"/>
      <c r="AB205" s="6"/>
      <c r="AC205" s="7"/>
      <c r="AD205" s="6"/>
      <c r="AE205" s="6"/>
      <c r="AF205" s="12"/>
      <c r="AG205" s="6"/>
    </row>
    <row r="206" spans="9:33" ht="21.75" customHeight="1" x14ac:dyDescent="0.25">
      <c r="I206" s="211"/>
      <c r="J206" s="6"/>
      <c r="K206" s="211"/>
      <c r="L206" s="6"/>
      <c r="M206" s="211"/>
      <c r="N206" s="6"/>
      <c r="O206" s="211"/>
      <c r="P206" s="6"/>
      <c r="Q206" s="211"/>
      <c r="R206" s="6"/>
      <c r="S206" s="211"/>
      <c r="T206" s="6"/>
      <c r="U206" s="211"/>
      <c r="V206" s="6"/>
      <c r="W206" s="7"/>
      <c r="X206" s="6"/>
      <c r="Y206" s="6"/>
      <c r="Z206" s="7"/>
      <c r="AA206" s="6"/>
      <c r="AB206" s="6"/>
      <c r="AC206" s="7"/>
      <c r="AD206" s="6"/>
      <c r="AE206" s="6"/>
      <c r="AF206" s="12"/>
      <c r="AG206" s="6"/>
    </row>
    <row r="207" spans="9:33" ht="21.75" customHeight="1" x14ac:dyDescent="0.25">
      <c r="I207" s="211"/>
      <c r="J207" s="6"/>
      <c r="K207" s="211"/>
      <c r="L207" s="6"/>
      <c r="M207" s="211"/>
      <c r="N207" s="6"/>
      <c r="O207" s="211"/>
      <c r="P207" s="6"/>
      <c r="Q207" s="211"/>
      <c r="R207" s="6"/>
      <c r="S207" s="211"/>
      <c r="T207" s="6"/>
      <c r="U207" s="211"/>
      <c r="V207" s="6"/>
      <c r="W207" s="7"/>
      <c r="X207" s="6"/>
      <c r="Y207" s="6"/>
      <c r="Z207" s="7"/>
      <c r="AA207" s="6"/>
      <c r="AB207" s="6"/>
      <c r="AC207" s="7"/>
      <c r="AD207" s="6"/>
      <c r="AE207" s="6"/>
      <c r="AF207" s="12"/>
      <c r="AG207" s="6"/>
    </row>
    <row r="208" spans="9:33" ht="21.75" customHeight="1" x14ac:dyDescent="0.25">
      <c r="I208" s="211"/>
      <c r="J208" s="6"/>
      <c r="K208" s="211"/>
      <c r="L208" s="6"/>
      <c r="M208" s="211"/>
      <c r="N208" s="6"/>
      <c r="O208" s="211"/>
      <c r="P208" s="6"/>
      <c r="Q208" s="211"/>
      <c r="R208" s="6"/>
      <c r="S208" s="211"/>
      <c r="T208" s="6"/>
      <c r="U208" s="211"/>
      <c r="V208" s="6"/>
      <c r="W208" s="7"/>
      <c r="X208" s="6"/>
      <c r="Y208" s="6"/>
      <c r="Z208" s="7"/>
      <c r="AA208" s="6"/>
      <c r="AB208" s="6"/>
      <c r="AC208" s="7"/>
      <c r="AD208" s="6"/>
      <c r="AE208" s="6"/>
      <c r="AF208" s="12"/>
      <c r="AG208" s="6"/>
    </row>
    <row r="209" spans="9:33" ht="21.75" customHeight="1" x14ac:dyDescent="0.25">
      <c r="I209" s="211"/>
      <c r="J209" s="6"/>
      <c r="K209" s="211"/>
      <c r="L209" s="6"/>
      <c r="M209" s="211"/>
      <c r="N209" s="6"/>
      <c r="O209" s="211"/>
      <c r="P209" s="6"/>
      <c r="Q209" s="211"/>
      <c r="R209" s="6"/>
      <c r="S209" s="211"/>
      <c r="T209" s="6"/>
      <c r="U209" s="211"/>
      <c r="V209" s="6"/>
      <c r="W209" s="7"/>
      <c r="X209" s="6"/>
      <c r="Y209" s="6"/>
      <c r="Z209" s="7"/>
      <c r="AA209" s="6"/>
      <c r="AB209" s="6"/>
      <c r="AC209" s="7"/>
      <c r="AD209" s="6"/>
      <c r="AE209" s="6"/>
      <c r="AF209" s="12"/>
      <c r="AG209" s="6"/>
    </row>
    <row r="210" spans="9:33" ht="21.75" customHeight="1" x14ac:dyDescent="0.25">
      <c r="I210" s="211"/>
      <c r="J210" s="6"/>
      <c r="K210" s="211"/>
      <c r="L210" s="6"/>
      <c r="M210" s="211"/>
      <c r="N210" s="6"/>
      <c r="O210" s="211"/>
      <c r="P210" s="6"/>
      <c r="Q210" s="211"/>
      <c r="R210" s="6"/>
      <c r="S210" s="211"/>
      <c r="T210" s="6"/>
      <c r="U210" s="211"/>
      <c r="V210" s="6"/>
      <c r="W210" s="7"/>
      <c r="X210" s="6"/>
      <c r="Y210" s="6"/>
      <c r="Z210" s="7"/>
      <c r="AA210" s="6"/>
      <c r="AB210" s="6"/>
      <c r="AC210" s="7"/>
      <c r="AD210" s="6"/>
      <c r="AE210" s="6"/>
      <c r="AF210" s="12"/>
      <c r="AG210" s="6"/>
    </row>
    <row r="211" spans="9:33" ht="21.75" customHeight="1" x14ac:dyDescent="0.25">
      <c r="I211" s="211"/>
      <c r="J211" s="6"/>
      <c r="K211" s="211"/>
      <c r="L211" s="6"/>
      <c r="M211" s="211"/>
      <c r="N211" s="6"/>
      <c r="O211" s="211"/>
      <c r="P211" s="6"/>
      <c r="Q211" s="211"/>
      <c r="R211" s="6"/>
      <c r="S211" s="211"/>
      <c r="T211" s="6"/>
      <c r="U211" s="211"/>
      <c r="V211" s="6"/>
      <c r="W211" s="7"/>
      <c r="X211" s="6"/>
      <c r="Y211" s="6"/>
      <c r="Z211" s="7"/>
      <c r="AA211" s="6"/>
      <c r="AB211" s="6"/>
      <c r="AC211" s="7"/>
      <c r="AD211" s="6"/>
      <c r="AE211" s="6"/>
      <c r="AF211" s="12"/>
      <c r="AG211" s="6"/>
    </row>
    <row r="212" spans="9:33" ht="21.75" customHeight="1" x14ac:dyDescent="0.25">
      <c r="I212" s="211"/>
      <c r="J212" s="6"/>
      <c r="K212" s="211"/>
      <c r="L212" s="6"/>
      <c r="M212" s="211"/>
      <c r="N212" s="6"/>
      <c r="O212" s="211"/>
      <c r="P212" s="6"/>
      <c r="Q212" s="211"/>
      <c r="R212" s="6"/>
      <c r="S212" s="211"/>
      <c r="T212" s="6"/>
      <c r="U212" s="211"/>
      <c r="V212" s="6"/>
      <c r="W212" s="7"/>
      <c r="X212" s="6"/>
      <c r="Y212" s="6"/>
      <c r="Z212" s="7"/>
      <c r="AA212" s="6"/>
      <c r="AB212" s="6"/>
      <c r="AC212" s="7"/>
      <c r="AD212" s="6"/>
      <c r="AE212" s="6"/>
      <c r="AF212" s="12"/>
      <c r="AG212" s="6"/>
    </row>
    <row r="213" spans="9:33" ht="21.75" customHeight="1" x14ac:dyDescent="0.25">
      <c r="I213" s="211"/>
      <c r="J213" s="6"/>
      <c r="K213" s="211"/>
      <c r="L213" s="6"/>
      <c r="M213" s="211"/>
      <c r="N213" s="6"/>
      <c r="O213" s="211"/>
      <c r="P213" s="6"/>
      <c r="Q213" s="211"/>
      <c r="R213" s="6"/>
      <c r="S213" s="211"/>
      <c r="T213" s="6"/>
      <c r="U213" s="211"/>
      <c r="V213" s="6"/>
      <c r="W213" s="7"/>
      <c r="X213" s="6"/>
      <c r="Y213" s="6"/>
      <c r="Z213" s="7"/>
      <c r="AA213" s="6"/>
      <c r="AB213" s="6"/>
      <c r="AC213" s="7"/>
      <c r="AD213" s="6"/>
      <c r="AE213" s="6"/>
      <c r="AF213" s="12"/>
      <c r="AG213" s="6"/>
    </row>
    <row r="214" spans="9:33" ht="21.75" customHeight="1" x14ac:dyDescent="0.25">
      <c r="I214" s="211"/>
      <c r="J214" s="6"/>
      <c r="K214" s="211"/>
      <c r="L214" s="6"/>
      <c r="M214" s="211"/>
      <c r="N214" s="6"/>
      <c r="O214" s="211"/>
      <c r="P214" s="6"/>
      <c r="Q214" s="211"/>
      <c r="R214" s="6"/>
      <c r="S214" s="211"/>
      <c r="T214" s="6"/>
      <c r="U214" s="211"/>
      <c r="V214" s="6"/>
      <c r="W214" s="7"/>
      <c r="X214" s="6"/>
      <c r="Y214" s="6"/>
      <c r="Z214" s="7"/>
      <c r="AA214" s="6"/>
      <c r="AB214" s="6"/>
      <c r="AC214" s="7"/>
      <c r="AD214" s="6"/>
      <c r="AE214" s="6"/>
      <c r="AF214" s="12"/>
      <c r="AG214" s="6"/>
    </row>
    <row r="215" spans="9:33" ht="21.75" customHeight="1" x14ac:dyDescent="0.25">
      <c r="I215" s="211"/>
      <c r="J215" s="6"/>
      <c r="K215" s="211"/>
      <c r="L215" s="6"/>
      <c r="M215" s="211"/>
      <c r="N215" s="6"/>
      <c r="O215" s="211"/>
      <c r="P215" s="6"/>
      <c r="Q215" s="211"/>
      <c r="R215" s="6"/>
      <c r="S215" s="211"/>
      <c r="T215" s="6"/>
      <c r="U215" s="211"/>
      <c r="V215" s="6"/>
      <c r="W215" s="7"/>
      <c r="X215" s="6"/>
      <c r="Y215" s="6"/>
      <c r="Z215" s="7"/>
      <c r="AA215" s="6"/>
      <c r="AB215" s="6"/>
      <c r="AC215" s="7"/>
      <c r="AD215" s="6"/>
      <c r="AE215" s="6"/>
      <c r="AF215" s="12"/>
      <c r="AG215" s="6"/>
    </row>
    <row r="216" spans="9:33" ht="21.75" customHeight="1" x14ac:dyDescent="0.25">
      <c r="I216" s="211"/>
      <c r="J216" s="6"/>
      <c r="K216" s="211"/>
      <c r="L216" s="6"/>
      <c r="M216" s="211"/>
      <c r="N216" s="6"/>
      <c r="O216" s="211"/>
      <c r="P216" s="6"/>
      <c r="Q216" s="211"/>
      <c r="R216" s="6"/>
      <c r="S216" s="211"/>
      <c r="T216" s="6"/>
      <c r="U216" s="211"/>
      <c r="V216" s="6"/>
      <c r="W216" s="7"/>
      <c r="X216" s="6"/>
      <c r="Y216" s="6"/>
      <c r="Z216" s="7"/>
      <c r="AA216" s="6"/>
      <c r="AB216" s="6"/>
      <c r="AC216" s="7"/>
      <c r="AD216" s="6"/>
      <c r="AE216" s="6"/>
      <c r="AF216" s="12"/>
      <c r="AG216" s="6"/>
    </row>
    <row r="217" spans="9:33" ht="21.75" customHeight="1" x14ac:dyDescent="0.25">
      <c r="I217" s="211"/>
      <c r="J217" s="6"/>
      <c r="K217" s="211"/>
      <c r="L217" s="6"/>
      <c r="M217" s="211"/>
      <c r="N217" s="6"/>
      <c r="O217" s="211"/>
      <c r="P217" s="6"/>
      <c r="Q217" s="211"/>
      <c r="R217" s="6"/>
      <c r="S217" s="211"/>
      <c r="T217" s="6"/>
      <c r="U217" s="211"/>
      <c r="V217" s="6"/>
      <c r="W217" s="7"/>
      <c r="X217" s="6"/>
      <c r="Y217" s="6"/>
      <c r="Z217" s="7"/>
      <c r="AA217" s="6"/>
      <c r="AB217" s="6"/>
      <c r="AC217" s="7"/>
      <c r="AD217" s="6"/>
      <c r="AE217" s="6"/>
      <c r="AF217" s="12"/>
      <c r="AG217" s="6"/>
    </row>
    <row r="218" spans="9:33" ht="21.75" customHeight="1" x14ac:dyDescent="0.25">
      <c r="I218" s="211"/>
      <c r="J218" s="6"/>
      <c r="K218" s="211"/>
      <c r="L218" s="6"/>
      <c r="M218" s="211"/>
      <c r="N218" s="6"/>
      <c r="O218" s="211"/>
      <c r="P218" s="6"/>
      <c r="Q218" s="211"/>
      <c r="R218" s="6"/>
      <c r="S218" s="211"/>
      <c r="T218" s="6"/>
      <c r="U218" s="211"/>
      <c r="V218" s="6"/>
      <c r="W218" s="7"/>
      <c r="X218" s="6"/>
      <c r="Y218" s="6"/>
      <c r="Z218" s="7"/>
      <c r="AA218" s="6"/>
      <c r="AB218" s="6"/>
      <c r="AC218" s="7"/>
      <c r="AD218" s="6"/>
      <c r="AE218" s="6"/>
      <c r="AF218" s="12"/>
      <c r="AG218" s="6"/>
    </row>
    <row r="219" spans="9:33" ht="21.75" customHeight="1" x14ac:dyDescent="0.25">
      <c r="I219" s="211"/>
      <c r="J219" s="6"/>
      <c r="K219" s="211"/>
      <c r="L219" s="6"/>
      <c r="M219" s="211"/>
      <c r="N219" s="6"/>
      <c r="O219" s="211"/>
      <c r="P219" s="6"/>
      <c r="Q219" s="211"/>
      <c r="R219" s="6"/>
      <c r="S219" s="211"/>
      <c r="T219" s="6"/>
      <c r="U219" s="211"/>
      <c r="V219" s="6"/>
      <c r="W219" s="7"/>
      <c r="X219" s="6"/>
      <c r="Y219" s="6"/>
      <c r="Z219" s="7"/>
      <c r="AA219" s="6"/>
      <c r="AB219" s="6"/>
      <c r="AC219" s="7"/>
      <c r="AD219" s="6"/>
      <c r="AE219" s="6"/>
      <c r="AF219" s="12"/>
      <c r="AG219" s="6"/>
    </row>
    <row r="220" spans="9:33" ht="21.75" customHeight="1" x14ac:dyDescent="0.25">
      <c r="I220" s="211"/>
      <c r="J220" s="6"/>
      <c r="K220" s="211"/>
      <c r="L220" s="6"/>
      <c r="M220" s="211"/>
      <c r="N220" s="6"/>
      <c r="O220" s="211"/>
      <c r="P220" s="6"/>
      <c r="Q220" s="211"/>
      <c r="R220" s="6"/>
      <c r="S220" s="211"/>
      <c r="T220" s="6"/>
      <c r="U220" s="211"/>
      <c r="V220" s="6"/>
      <c r="W220" s="7"/>
      <c r="X220" s="6"/>
      <c r="Y220" s="6"/>
      <c r="Z220" s="7"/>
      <c r="AA220" s="6"/>
      <c r="AB220" s="6"/>
      <c r="AC220" s="7"/>
      <c r="AD220" s="6"/>
      <c r="AE220" s="6"/>
      <c r="AF220" s="12"/>
      <c r="AG220" s="6"/>
    </row>
    <row r="221" spans="9:33" ht="21.75" customHeight="1" x14ac:dyDescent="0.25">
      <c r="I221" s="211"/>
      <c r="J221" s="6"/>
      <c r="K221" s="211"/>
      <c r="L221" s="6"/>
      <c r="M221" s="211"/>
      <c r="N221" s="6"/>
      <c r="O221" s="211"/>
      <c r="P221" s="6"/>
      <c r="Q221" s="211"/>
      <c r="R221" s="6"/>
      <c r="S221" s="211"/>
      <c r="T221" s="6"/>
      <c r="U221" s="211"/>
      <c r="V221" s="6"/>
      <c r="W221" s="7"/>
      <c r="X221" s="6"/>
      <c r="Y221" s="6"/>
      <c r="Z221" s="7"/>
      <c r="AA221" s="6"/>
      <c r="AB221" s="6"/>
      <c r="AC221" s="7"/>
      <c r="AD221" s="6"/>
      <c r="AE221" s="6"/>
      <c r="AF221" s="12"/>
      <c r="AG221" s="6"/>
    </row>
    <row r="222" spans="9:33" ht="21.75" customHeight="1" x14ac:dyDescent="0.25">
      <c r="I222" s="211"/>
      <c r="J222" s="6"/>
      <c r="K222" s="211"/>
      <c r="L222" s="6"/>
      <c r="M222" s="211"/>
      <c r="N222" s="6"/>
      <c r="O222" s="211"/>
      <c r="P222" s="6"/>
      <c r="Q222" s="211"/>
      <c r="R222" s="6"/>
      <c r="S222" s="211"/>
      <c r="T222" s="6"/>
      <c r="U222" s="211"/>
      <c r="V222" s="6"/>
      <c r="W222" s="7"/>
      <c r="X222" s="6"/>
      <c r="Y222" s="6"/>
      <c r="Z222" s="7"/>
      <c r="AA222" s="6"/>
      <c r="AB222" s="6"/>
      <c r="AC222" s="7"/>
      <c r="AD222" s="6"/>
      <c r="AE222" s="6"/>
      <c r="AF222" s="12"/>
      <c r="AG222" s="6"/>
    </row>
    <row r="223" spans="9:33" ht="21.75" customHeight="1" x14ac:dyDescent="0.25">
      <c r="I223" s="211"/>
      <c r="J223" s="6"/>
      <c r="K223" s="211"/>
      <c r="L223" s="6"/>
      <c r="M223" s="211"/>
      <c r="N223" s="6"/>
      <c r="O223" s="211"/>
      <c r="P223" s="6"/>
      <c r="Q223" s="211"/>
      <c r="R223" s="6"/>
      <c r="S223" s="211"/>
      <c r="T223" s="6"/>
      <c r="U223" s="211"/>
      <c r="V223" s="6"/>
      <c r="W223" s="7"/>
      <c r="X223" s="6"/>
      <c r="Y223" s="6"/>
      <c r="Z223" s="7"/>
      <c r="AA223" s="6"/>
      <c r="AB223" s="6"/>
      <c r="AC223" s="7"/>
      <c r="AD223" s="6"/>
      <c r="AE223" s="6"/>
      <c r="AF223" s="12"/>
      <c r="AG223" s="6"/>
    </row>
    <row r="224" spans="9:33" ht="21.75" customHeight="1" x14ac:dyDescent="0.25">
      <c r="I224" s="211"/>
      <c r="J224" s="6"/>
      <c r="K224" s="211"/>
      <c r="L224" s="6"/>
      <c r="M224" s="211"/>
      <c r="N224" s="6"/>
      <c r="O224" s="211"/>
      <c r="P224" s="6"/>
      <c r="Q224" s="211"/>
      <c r="R224" s="6"/>
      <c r="S224" s="211"/>
      <c r="T224" s="6"/>
      <c r="U224" s="211"/>
      <c r="V224" s="6"/>
      <c r="W224" s="7"/>
      <c r="X224" s="6"/>
      <c r="Y224" s="6"/>
      <c r="Z224" s="7"/>
      <c r="AA224" s="6"/>
      <c r="AB224" s="6"/>
      <c r="AC224" s="7"/>
      <c r="AD224" s="6"/>
      <c r="AE224" s="6"/>
      <c r="AF224" s="12"/>
      <c r="AG224" s="6"/>
    </row>
    <row r="225" spans="9:33" ht="21.75" customHeight="1" x14ac:dyDescent="0.25">
      <c r="I225" s="211"/>
      <c r="J225" s="6"/>
      <c r="K225" s="211"/>
      <c r="L225" s="6"/>
      <c r="M225" s="211"/>
      <c r="N225" s="6"/>
      <c r="O225" s="211"/>
      <c r="P225" s="6"/>
      <c r="Q225" s="211"/>
      <c r="R225" s="6"/>
      <c r="S225" s="211"/>
      <c r="T225" s="6"/>
      <c r="U225" s="211"/>
      <c r="V225" s="6"/>
      <c r="W225" s="7"/>
      <c r="X225" s="6"/>
      <c r="Y225" s="6"/>
      <c r="Z225" s="7"/>
      <c r="AA225" s="6"/>
      <c r="AB225" s="6"/>
      <c r="AC225" s="7"/>
      <c r="AD225" s="6"/>
      <c r="AE225" s="6"/>
      <c r="AF225" s="12"/>
      <c r="AG225" s="6"/>
    </row>
    <row r="226" spans="9:33" ht="21.75" customHeight="1" x14ac:dyDescent="0.25">
      <c r="I226" s="211"/>
      <c r="J226" s="6"/>
      <c r="K226" s="211"/>
      <c r="L226" s="6"/>
      <c r="M226" s="211"/>
      <c r="N226" s="6"/>
      <c r="O226" s="211"/>
      <c r="P226" s="6"/>
      <c r="Q226" s="211"/>
      <c r="R226" s="6"/>
      <c r="S226" s="211"/>
      <c r="T226" s="6"/>
      <c r="U226" s="211"/>
      <c r="V226" s="6"/>
      <c r="W226" s="7"/>
      <c r="X226" s="6"/>
      <c r="Y226" s="6"/>
      <c r="Z226" s="7"/>
      <c r="AA226" s="6"/>
      <c r="AB226" s="6"/>
      <c r="AC226" s="7"/>
      <c r="AD226" s="6"/>
      <c r="AE226" s="6"/>
      <c r="AF226" s="12"/>
      <c r="AG226" s="6"/>
    </row>
    <row r="227" spans="9:33" ht="21.75" customHeight="1" x14ac:dyDescent="0.25">
      <c r="I227" s="211"/>
      <c r="J227" s="6"/>
      <c r="K227" s="211"/>
      <c r="L227" s="6"/>
      <c r="M227" s="211"/>
      <c r="N227" s="6"/>
      <c r="O227" s="211"/>
      <c r="P227" s="6"/>
      <c r="Q227" s="211"/>
      <c r="R227" s="6"/>
      <c r="S227" s="211"/>
      <c r="T227" s="6"/>
      <c r="U227" s="211"/>
      <c r="V227" s="6"/>
      <c r="W227" s="7"/>
      <c r="X227" s="6"/>
      <c r="Y227" s="6"/>
      <c r="Z227" s="7"/>
      <c r="AA227" s="6"/>
      <c r="AB227" s="6"/>
      <c r="AC227" s="7"/>
      <c r="AD227" s="6"/>
      <c r="AE227" s="6"/>
      <c r="AF227" s="12"/>
      <c r="AG227" s="6"/>
    </row>
    <row r="228" spans="9:33" ht="21.75" customHeight="1" x14ac:dyDescent="0.25">
      <c r="I228" s="211"/>
      <c r="J228" s="6"/>
      <c r="K228" s="211"/>
      <c r="L228" s="6"/>
      <c r="M228" s="211"/>
      <c r="N228" s="6"/>
      <c r="O228" s="211"/>
      <c r="P228" s="6"/>
      <c r="Q228" s="211"/>
      <c r="R228" s="6"/>
      <c r="S228" s="211"/>
      <c r="T228" s="6"/>
      <c r="U228" s="211"/>
      <c r="V228" s="6"/>
      <c r="W228" s="7"/>
      <c r="X228" s="6"/>
      <c r="Y228" s="6"/>
      <c r="Z228" s="7"/>
      <c r="AA228" s="6"/>
      <c r="AB228" s="6"/>
      <c r="AC228" s="7"/>
      <c r="AD228" s="6"/>
      <c r="AE228" s="6"/>
      <c r="AF228" s="12"/>
      <c r="AG228" s="6"/>
    </row>
    <row r="229" spans="9:33" ht="21.75" customHeight="1" x14ac:dyDescent="0.25">
      <c r="I229" s="211"/>
      <c r="J229" s="6"/>
      <c r="K229" s="211"/>
      <c r="L229" s="6"/>
      <c r="M229" s="211"/>
      <c r="N229" s="6"/>
      <c r="O229" s="211"/>
      <c r="P229" s="6"/>
      <c r="Q229" s="211"/>
      <c r="R229" s="6"/>
      <c r="S229" s="211"/>
      <c r="T229" s="6"/>
      <c r="U229" s="211"/>
      <c r="V229" s="6"/>
      <c r="W229" s="7"/>
      <c r="X229" s="6"/>
      <c r="Y229" s="6"/>
      <c r="Z229" s="7"/>
      <c r="AA229" s="6"/>
      <c r="AB229" s="6"/>
      <c r="AC229" s="7"/>
      <c r="AD229" s="6"/>
      <c r="AE229" s="6"/>
      <c r="AF229" s="12"/>
      <c r="AG229" s="6"/>
    </row>
    <row r="230" spans="9:33" ht="21.75" customHeight="1" x14ac:dyDescent="0.25">
      <c r="I230" s="211"/>
      <c r="J230" s="6"/>
      <c r="K230" s="211"/>
      <c r="L230" s="6"/>
      <c r="M230" s="211"/>
      <c r="N230" s="6"/>
      <c r="O230" s="211"/>
      <c r="P230" s="6"/>
      <c r="Q230" s="211"/>
      <c r="R230" s="6"/>
      <c r="S230" s="211"/>
      <c r="T230" s="6"/>
      <c r="U230" s="211"/>
      <c r="V230" s="6"/>
      <c r="W230" s="7"/>
      <c r="X230" s="6"/>
      <c r="Y230" s="6"/>
      <c r="Z230" s="7"/>
      <c r="AA230" s="6"/>
      <c r="AB230" s="6"/>
      <c r="AC230" s="7"/>
      <c r="AD230" s="6"/>
      <c r="AE230" s="6"/>
      <c r="AF230" s="12"/>
      <c r="AG230" s="6"/>
    </row>
    <row r="231" spans="9:33" ht="21.75" customHeight="1" x14ac:dyDescent="0.25">
      <c r="I231" s="211"/>
      <c r="J231" s="6"/>
      <c r="K231" s="211"/>
      <c r="L231" s="6"/>
      <c r="M231" s="211"/>
      <c r="N231" s="6"/>
      <c r="O231" s="211"/>
      <c r="P231" s="6"/>
      <c r="Q231" s="211"/>
      <c r="R231" s="6"/>
      <c r="S231" s="211"/>
      <c r="T231" s="6"/>
      <c r="U231" s="211"/>
      <c r="V231" s="6"/>
      <c r="W231" s="7"/>
      <c r="X231" s="6"/>
      <c r="Y231" s="6"/>
      <c r="Z231" s="7"/>
      <c r="AA231" s="6"/>
      <c r="AB231" s="6"/>
      <c r="AC231" s="7"/>
      <c r="AD231" s="6"/>
      <c r="AE231" s="6"/>
      <c r="AF231" s="12"/>
      <c r="AG231" s="6"/>
    </row>
    <row r="232" spans="9:33" ht="21.75" customHeight="1" x14ac:dyDescent="0.25">
      <c r="I232" s="211"/>
      <c r="J232" s="6"/>
      <c r="K232" s="211"/>
      <c r="L232" s="6"/>
      <c r="M232" s="211"/>
      <c r="N232" s="6"/>
      <c r="O232" s="211"/>
      <c r="P232" s="6"/>
      <c r="Q232" s="211"/>
      <c r="R232" s="6"/>
      <c r="S232" s="211"/>
      <c r="T232" s="6"/>
      <c r="U232" s="211"/>
      <c r="V232" s="6"/>
      <c r="W232" s="7"/>
      <c r="X232" s="6"/>
      <c r="Y232" s="6"/>
      <c r="Z232" s="7"/>
      <c r="AA232" s="6"/>
      <c r="AB232" s="6"/>
      <c r="AC232" s="7"/>
      <c r="AD232" s="6"/>
      <c r="AE232" s="6"/>
      <c r="AF232" s="12"/>
      <c r="AG232" s="6"/>
    </row>
    <row r="233" spans="9:33" ht="21.75" customHeight="1" x14ac:dyDescent="0.25">
      <c r="I233" s="211"/>
      <c r="J233" s="6"/>
      <c r="K233" s="211"/>
      <c r="L233" s="6"/>
      <c r="M233" s="211"/>
      <c r="N233" s="6"/>
      <c r="O233" s="211"/>
      <c r="P233" s="6"/>
      <c r="Q233" s="211"/>
      <c r="R233" s="6"/>
      <c r="S233" s="211"/>
      <c r="T233" s="6"/>
      <c r="U233" s="211"/>
      <c r="V233" s="6"/>
      <c r="W233" s="7"/>
      <c r="X233" s="6"/>
      <c r="Y233" s="6"/>
      <c r="Z233" s="7"/>
      <c r="AA233" s="6"/>
      <c r="AB233" s="6"/>
      <c r="AC233" s="7"/>
      <c r="AD233" s="6"/>
      <c r="AE233" s="6"/>
      <c r="AF233" s="12"/>
      <c r="AG233" s="6"/>
    </row>
    <row r="234" spans="9:33" ht="21.75" customHeight="1" x14ac:dyDescent="0.25">
      <c r="I234" s="211"/>
      <c r="J234" s="6"/>
      <c r="K234" s="211"/>
      <c r="L234" s="6"/>
      <c r="M234" s="211"/>
      <c r="N234" s="6"/>
      <c r="O234" s="211"/>
      <c r="P234" s="6"/>
      <c r="Q234" s="211"/>
      <c r="R234" s="6"/>
      <c r="S234" s="211"/>
      <c r="T234" s="6"/>
      <c r="U234" s="211"/>
      <c r="V234" s="6"/>
      <c r="W234" s="7"/>
      <c r="X234" s="6"/>
      <c r="Y234" s="6"/>
      <c r="Z234" s="7"/>
      <c r="AA234" s="6"/>
      <c r="AB234" s="6"/>
      <c r="AC234" s="7"/>
      <c r="AD234" s="6"/>
      <c r="AE234" s="6"/>
      <c r="AF234" s="12"/>
      <c r="AG234" s="6"/>
    </row>
    <row r="235" spans="9:33" ht="21.75" customHeight="1" x14ac:dyDescent="0.25">
      <c r="I235" s="211"/>
      <c r="J235" s="6"/>
      <c r="K235" s="211"/>
      <c r="L235" s="6"/>
      <c r="M235" s="211"/>
      <c r="N235" s="6"/>
      <c r="O235" s="211"/>
      <c r="P235" s="6"/>
      <c r="Q235" s="211"/>
      <c r="R235" s="6"/>
      <c r="S235" s="211"/>
      <c r="T235" s="6"/>
      <c r="U235" s="211"/>
      <c r="V235" s="6"/>
      <c r="W235" s="7"/>
      <c r="X235" s="6"/>
      <c r="Y235" s="6"/>
      <c r="Z235" s="7"/>
      <c r="AA235" s="6"/>
      <c r="AB235" s="6"/>
      <c r="AC235" s="7"/>
      <c r="AD235" s="6"/>
      <c r="AE235" s="6"/>
      <c r="AF235" s="12"/>
      <c r="AG235" s="6"/>
    </row>
    <row r="236" spans="9:33" ht="21.75" customHeight="1" x14ac:dyDescent="0.25">
      <c r="I236" s="211"/>
      <c r="J236" s="6"/>
      <c r="K236" s="211"/>
      <c r="L236" s="6"/>
      <c r="M236" s="211"/>
      <c r="N236" s="6"/>
      <c r="O236" s="211"/>
      <c r="P236" s="6"/>
      <c r="Q236" s="211"/>
      <c r="R236" s="6"/>
      <c r="S236" s="211"/>
      <c r="T236" s="6"/>
      <c r="U236" s="211"/>
      <c r="V236" s="6"/>
      <c r="W236" s="7"/>
      <c r="X236" s="6"/>
      <c r="Y236" s="6"/>
      <c r="Z236" s="7"/>
      <c r="AA236" s="6"/>
      <c r="AB236" s="6"/>
      <c r="AC236" s="7"/>
      <c r="AD236" s="6"/>
      <c r="AE236" s="6"/>
      <c r="AF236" s="12"/>
      <c r="AG236" s="6"/>
    </row>
    <row r="237" spans="9:33" ht="21.75" customHeight="1" x14ac:dyDescent="0.25">
      <c r="I237" s="211"/>
      <c r="J237" s="6"/>
      <c r="K237" s="211"/>
      <c r="L237" s="6"/>
      <c r="M237" s="211"/>
      <c r="N237" s="6"/>
      <c r="O237" s="211"/>
      <c r="P237" s="6"/>
      <c r="Q237" s="211"/>
      <c r="R237" s="6"/>
      <c r="S237" s="211"/>
      <c r="T237" s="6"/>
      <c r="U237" s="211"/>
      <c r="V237" s="6"/>
      <c r="W237" s="7"/>
      <c r="X237" s="6"/>
      <c r="Y237" s="6"/>
      <c r="Z237" s="7"/>
      <c r="AA237" s="6"/>
      <c r="AB237" s="6"/>
      <c r="AC237" s="7"/>
      <c r="AD237" s="6"/>
      <c r="AE237" s="6"/>
      <c r="AF237" s="12"/>
      <c r="AG237" s="6"/>
    </row>
    <row r="238" spans="9:33" ht="21.75" customHeight="1" x14ac:dyDescent="0.25">
      <c r="I238" s="211"/>
      <c r="J238" s="6"/>
      <c r="K238" s="211"/>
      <c r="L238" s="6"/>
      <c r="M238" s="211"/>
      <c r="N238" s="6"/>
      <c r="O238" s="211"/>
      <c r="P238" s="6"/>
      <c r="Q238" s="211"/>
      <c r="R238" s="6"/>
      <c r="S238" s="211"/>
      <c r="T238" s="6"/>
      <c r="U238" s="211"/>
      <c r="V238" s="6"/>
      <c r="W238" s="7"/>
      <c r="X238" s="6"/>
      <c r="Y238" s="6"/>
      <c r="Z238" s="7"/>
      <c r="AA238" s="6"/>
      <c r="AB238" s="6"/>
      <c r="AC238" s="7"/>
      <c r="AD238" s="6"/>
      <c r="AE238" s="6"/>
      <c r="AF238" s="12"/>
      <c r="AG238" s="6"/>
    </row>
    <row r="239" spans="9:33" ht="21.75" customHeight="1" x14ac:dyDescent="0.25">
      <c r="I239" s="211"/>
      <c r="J239" s="6"/>
      <c r="K239" s="211"/>
      <c r="L239" s="6"/>
      <c r="M239" s="211"/>
      <c r="N239" s="6"/>
      <c r="O239" s="211"/>
      <c r="P239" s="6"/>
      <c r="Q239" s="211"/>
      <c r="R239" s="6"/>
      <c r="S239" s="211"/>
      <c r="T239" s="6"/>
      <c r="U239" s="211"/>
      <c r="V239" s="6"/>
      <c r="W239" s="7"/>
      <c r="X239" s="6"/>
      <c r="Y239" s="6"/>
      <c r="Z239" s="7"/>
      <c r="AA239" s="6"/>
      <c r="AB239" s="6"/>
      <c r="AC239" s="7"/>
      <c r="AD239" s="6"/>
      <c r="AE239" s="6"/>
      <c r="AF239" s="12"/>
      <c r="AG239" s="6"/>
    </row>
    <row r="240" spans="9:33" ht="21.75" customHeight="1" x14ac:dyDescent="0.25">
      <c r="I240" s="211"/>
      <c r="J240" s="6"/>
      <c r="K240" s="211"/>
      <c r="L240" s="6"/>
      <c r="M240" s="211"/>
      <c r="N240" s="6"/>
      <c r="O240" s="211"/>
      <c r="P240" s="6"/>
      <c r="Q240" s="211"/>
      <c r="R240" s="6"/>
      <c r="S240" s="211"/>
      <c r="T240" s="6"/>
      <c r="U240" s="211"/>
      <c r="V240" s="6"/>
      <c r="W240" s="7"/>
      <c r="X240" s="6"/>
      <c r="Y240" s="6"/>
      <c r="Z240" s="7"/>
      <c r="AA240" s="6"/>
      <c r="AB240" s="6"/>
      <c r="AC240" s="7"/>
      <c r="AD240" s="6"/>
      <c r="AE240" s="6"/>
      <c r="AF240" s="12"/>
      <c r="AG240" s="6"/>
    </row>
    <row r="241" spans="9:33" ht="21.75" customHeight="1" x14ac:dyDescent="0.25">
      <c r="I241" s="211"/>
      <c r="J241" s="6"/>
      <c r="K241" s="211"/>
      <c r="L241" s="6"/>
      <c r="M241" s="211"/>
      <c r="N241" s="6"/>
      <c r="O241" s="211"/>
      <c r="P241" s="6"/>
      <c r="Q241" s="211"/>
      <c r="R241" s="6"/>
      <c r="S241" s="211"/>
      <c r="T241" s="6"/>
      <c r="U241" s="211"/>
      <c r="V241" s="6"/>
      <c r="W241" s="7"/>
      <c r="X241" s="6"/>
      <c r="Y241" s="6"/>
      <c r="Z241" s="7"/>
      <c r="AA241" s="6"/>
      <c r="AB241" s="6"/>
      <c r="AC241" s="7"/>
      <c r="AD241" s="6"/>
      <c r="AE241" s="6"/>
      <c r="AF241" s="12"/>
      <c r="AG241" s="6"/>
    </row>
    <row r="242" spans="9:33" ht="21.75" customHeight="1" x14ac:dyDescent="0.25">
      <c r="I242" s="211"/>
      <c r="J242" s="6"/>
      <c r="K242" s="211"/>
      <c r="L242" s="6"/>
      <c r="M242" s="211"/>
      <c r="N242" s="6"/>
      <c r="O242" s="211"/>
      <c r="P242" s="6"/>
      <c r="Q242" s="211"/>
      <c r="R242" s="6"/>
      <c r="S242" s="211"/>
      <c r="T242" s="6"/>
      <c r="U242" s="211"/>
      <c r="V242" s="6"/>
      <c r="W242" s="7"/>
      <c r="X242" s="6"/>
      <c r="Y242" s="6"/>
      <c r="Z242" s="7"/>
      <c r="AA242" s="6"/>
      <c r="AB242" s="6"/>
      <c r="AC242" s="7"/>
      <c r="AD242" s="6"/>
      <c r="AE242" s="6"/>
      <c r="AF242" s="12"/>
      <c r="AG242" s="6"/>
    </row>
    <row r="243" spans="9:33" ht="21.75" customHeight="1" x14ac:dyDescent="0.25">
      <c r="I243" s="211"/>
      <c r="J243" s="6"/>
      <c r="K243" s="211"/>
      <c r="L243" s="6"/>
      <c r="M243" s="211"/>
      <c r="N243" s="6"/>
      <c r="O243" s="211"/>
      <c r="P243" s="6"/>
      <c r="Q243" s="211"/>
      <c r="R243" s="6"/>
      <c r="S243" s="211"/>
      <c r="T243" s="6"/>
      <c r="U243" s="211"/>
      <c r="V243" s="6"/>
      <c r="W243" s="7"/>
      <c r="X243" s="6"/>
      <c r="Y243" s="6"/>
      <c r="Z243" s="7"/>
      <c r="AA243" s="6"/>
      <c r="AB243" s="6"/>
      <c r="AC243" s="7"/>
      <c r="AD243" s="6"/>
      <c r="AE243" s="6"/>
      <c r="AF243" s="12"/>
      <c r="AG243" s="6"/>
    </row>
    <row r="244" spans="9:33" ht="21.75" customHeight="1" x14ac:dyDescent="0.25">
      <c r="I244" s="211"/>
      <c r="J244" s="6"/>
      <c r="K244" s="211"/>
      <c r="L244" s="6"/>
      <c r="M244" s="211"/>
      <c r="N244" s="6"/>
      <c r="O244" s="211"/>
      <c r="P244" s="6"/>
      <c r="Q244" s="211"/>
      <c r="R244" s="6"/>
      <c r="S244" s="211"/>
      <c r="T244" s="6"/>
      <c r="U244" s="211"/>
      <c r="V244" s="6"/>
      <c r="W244" s="7"/>
      <c r="X244" s="6"/>
      <c r="Y244" s="6"/>
      <c r="Z244" s="7"/>
      <c r="AA244" s="6"/>
      <c r="AB244" s="6"/>
      <c r="AC244" s="7"/>
      <c r="AD244" s="6"/>
      <c r="AE244" s="6"/>
      <c r="AF244" s="12"/>
      <c r="AG244" s="6"/>
    </row>
    <row r="245" spans="9:33" ht="21.75" customHeight="1" x14ac:dyDescent="0.25">
      <c r="I245" s="211"/>
      <c r="J245" s="6"/>
      <c r="K245" s="211"/>
      <c r="L245" s="6"/>
      <c r="M245" s="211"/>
      <c r="N245" s="6"/>
      <c r="O245" s="211"/>
      <c r="P245" s="6"/>
      <c r="Q245" s="211"/>
      <c r="R245" s="6"/>
      <c r="S245" s="211"/>
      <c r="T245" s="6"/>
      <c r="U245" s="211"/>
      <c r="V245" s="6"/>
      <c r="W245" s="7"/>
      <c r="X245" s="6"/>
      <c r="Y245" s="6"/>
      <c r="Z245" s="7"/>
      <c r="AA245" s="6"/>
      <c r="AB245" s="6"/>
      <c r="AC245" s="7"/>
      <c r="AD245" s="6"/>
      <c r="AE245" s="6"/>
      <c r="AF245" s="12"/>
      <c r="AG245" s="6"/>
    </row>
    <row r="246" spans="9:33" ht="21.75" customHeight="1" x14ac:dyDescent="0.25">
      <c r="I246" s="211"/>
      <c r="J246" s="6"/>
      <c r="K246" s="211"/>
      <c r="L246" s="6"/>
      <c r="M246" s="211"/>
      <c r="N246" s="6"/>
      <c r="O246" s="211"/>
      <c r="P246" s="6"/>
      <c r="Q246" s="211"/>
      <c r="R246" s="6"/>
      <c r="S246" s="211"/>
      <c r="T246" s="6"/>
      <c r="U246" s="211"/>
      <c r="V246" s="6"/>
      <c r="W246" s="7"/>
      <c r="X246" s="6"/>
      <c r="Y246" s="6"/>
      <c r="Z246" s="7"/>
      <c r="AA246" s="6"/>
      <c r="AB246" s="6"/>
      <c r="AC246" s="7"/>
      <c r="AD246" s="6"/>
      <c r="AE246" s="6"/>
      <c r="AF246" s="12"/>
      <c r="AG246" s="6"/>
    </row>
    <row r="247" spans="9:33" ht="21.75" customHeight="1" x14ac:dyDescent="0.25">
      <c r="I247" s="211"/>
      <c r="J247" s="6"/>
      <c r="K247" s="211"/>
      <c r="L247" s="6"/>
      <c r="M247" s="211"/>
      <c r="N247" s="6"/>
      <c r="O247" s="211"/>
      <c r="P247" s="6"/>
      <c r="Q247" s="211"/>
      <c r="R247" s="6"/>
      <c r="S247" s="211"/>
      <c r="T247" s="6"/>
      <c r="U247" s="211"/>
      <c r="V247" s="6"/>
      <c r="W247" s="7"/>
      <c r="X247" s="6"/>
      <c r="Y247" s="6"/>
      <c r="Z247" s="7"/>
      <c r="AA247" s="6"/>
      <c r="AB247" s="6"/>
      <c r="AC247" s="7"/>
      <c r="AD247" s="6"/>
      <c r="AE247" s="6"/>
      <c r="AF247" s="12"/>
      <c r="AG247" s="6"/>
    </row>
    <row r="248" spans="9:33" ht="21.75" customHeight="1" x14ac:dyDescent="0.25">
      <c r="I248" s="211"/>
      <c r="J248" s="6"/>
      <c r="K248" s="211"/>
      <c r="L248" s="6"/>
      <c r="M248" s="211"/>
      <c r="N248" s="6"/>
      <c r="O248" s="211"/>
      <c r="P248" s="6"/>
      <c r="Q248" s="211"/>
      <c r="R248" s="6"/>
      <c r="S248" s="211"/>
      <c r="T248" s="6"/>
      <c r="U248" s="211"/>
      <c r="V248" s="6"/>
      <c r="W248" s="7"/>
      <c r="X248" s="6"/>
      <c r="Y248" s="6"/>
      <c r="Z248" s="7"/>
      <c r="AA248" s="6"/>
      <c r="AB248" s="6"/>
      <c r="AC248" s="7"/>
      <c r="AD248" s="6"/>
      <c r="AE248" s="6"/>
      <c r="AF248" s="12"/>
      <c r="AG248" s="6"/>
    </row>
    <row r="249" spans="9:33" ht="21.75" customHeight="1" x14ac:dyDescent="0.25">
      <c r="I249" s="211"/>
      <c r="J249" s="6"/>
      <c r="K249" s="211"/>
      <c r="L249" s="6"/>
      <c r="M249" s="211"/>
      <c r="N249" s="6"/>
      <c r="O249" s="211"/>
      <c r="P249" s="6"/>
      <c r="Q249" s="211"/>
      <c r="R249" s="6"/>
      <c r="S249" s="211"/>
      <c r="T249" s="6"/>
      <c r="U249" s="211"/>
      <c r="V249" s="6"/>
      <c r="W249" s="7"/>
      <c r="X249" s="6"/>
      <c r="Y249" s="6"/>
      <c r="Z249" s="7"/>
      <c r="AA249" s="6"/>
      <c r="AB249" s="6"/>
      <c r="AC249" s="7"/>
      <c r="AD249" s="6"/>
      <c r="AE249" s="6"/>
      <c r="AF249" s="12"/>
      <c r="AG249" s="6"/>
    </row>
    <row r="250" spans="9:33" ht="21.75" customHeight="1" x14ac:dyDescent="0.25">
      <c r="I250" s="211"/>
      <c r="J250" s="6"/>
      <c r="K250" s="211"/>
      <c r="L250" s="6"/>
      <c r="M250" s="211"/>
      <c r="N250" s="6"/>
      <c r="O250" s="211"/>
      <c r="P250" s="6"/>
      <c r="Q250" s="211"/>
      <c r="R250" s="6"/>
      <c r="S250" s="211"/>
      <c r="T250" s="6"/>
      <c r="U250" s="211"/>
      <c r="V250" s="6"/>
      <c r="W250" s="7"/>
      <c r="X250" s="6"/>
      <c r="Y250" s="6"/>
      <c r="Z250" s="7"/>
      <c r="AA250" s="6"/>
      <c r="AB250" s="6"/>
      <c r="AC250" s="7"/>
      <c r="AD250" s="6"/>
      <c r="AE250" s="6"/>
      <c r="AF250" s="12"/>
      <c r="AG250" s="6"/>
    </row>
    <row r="251" spans="9:33" ht="21.75" customHeight="1" x14ac:dyDescent="0.25">
      <c r="I251" s="211"/>
      <c r="J251" s="6"/>
      <c r="K251" s="211"/>
      <c r="L251" s="6"/>
      <c r="M251" s="211"/>
      <c r="N251" s="6"/>
      <c r="O251" s="211"/>
      <c r="P251" s="6"/>
      <c r="Q251" s="211"/>
      <c r="R251" s="6"/>
      <c r="S251" s="211"/>
      <c r="T251" s="6"/>
      <c r="U251" s="211"/>
      <c r="V251" s="6"/>
      <c r="W251" s="7"/>
      <c r="X251" s="6"/>
      <c r="Y251" s="6"/>
      <c r="Z251" s="7"/>
      <c r="AA251" s="6"/>
      <c r="AB251" s="6"/>
      <c r="AC251" s="7"/>
      <c r="AD251" s="6"/>
      <c r="AE251" s="6"/>
      <c r="AF251" s="12"/>
      <c r="AG251" s="6"/>
    </row>
    <row r="252" spans="9:33" ht="21.75" customHeight="1" x14ac:dyDescent="0.25">
      <c r="I252" s="211"/>
      <c r="J252" s="6"/>
      <c r="K252" s="211"/>
      <c r="L252" s="6"/>
      <c r="M252" s="211"/>
      <c r="N252" s="6"/>
      <c r="O252" s="211"/>
      <c r="P252" s="6"/>
      <c r="Q252" s="211"/>
      <c r="R252" s="6"/>
      <c r="S252" s="211"/>
      <c r="T252" s="6"/>
      <c r="U252" s="211"/>
      <c r="V252" s="6"/>
      <c r="W252" s="7"/>
      <c r="X252" s="6"/>
      <c r="Y252" s="6"/>
      <c r="Z252" s="7"/>
      <c r="AA252" s="6"/>
      <c r="AB252" s="6"/>
      <c r="AC252" s="7"/>
      <c r="AD252" s="6"/>
      <c r="AE252" s="6"/>
      <c r="AF252" s="12"/>
      <c r="AG252" s="6"/>
    </row>
    <row r="253" spans="9:33" ht="21.75" customHeight="1" x14ac:dyDescent="0.25">
      <c r="I253" s="211"/>
      <c r="J253" s="6"/>
      <c r="K253" s="211"/>
      <c r="L253" s="6"/>
      <c r="M253" s="211"/>
      <c r="N253" s="6"/>
      <c r="O253" s="211"/>
      <c r="P253" s="6"/>
      <c r="Q253" s="211"/>
      <c r="R253" s="6"/>
      <c r="S253" s="211"/>
      <c r="T253" s="6"/>
      <c r="U253" s="211"/>
      <c r="V253" s="6"/>
      <c r="W253" s="7"/>
      <c r="X253" s="6"/>
      <c r="Y253" s="6"/>
      <c r="Z253" s="7"/>
      <c r="AA253" s="6"/>
      <c r="AB253" s="6"/>
      <c r="AC253" s="7"/>
      <c r="AD253" s="6"/>
      <c r="AE253" s="6"/>
      <c r="AF253" s="12"/>
      <c r="AG253" s="6"/>
    </row>
    <row r="254" spans="9:33" ht="21.75" customHeight="1" x14ac:dyDescent="0.25">
      <c r="I254" s="211"/>
      <c r="J254" s="6"/>
      <c r="K254" s="211"/>
      <c r="L254" s="6"/>
      <c r="M254" s="211"/>
      <c r="N254" s="6"/>
      <c r="O254" s="211"/>
      <c r="P254" s="6"/>
      <c r="Q254" s="211"/>
      <c r="R254" s="6"/>
      <c r="S254" s="211"/>
      <c r="T254" s="6"/>
      <c r="U254" s="211"/>
      <c r="V254" s="6"/>
      <c r="W254" s="7"/>
      <c r="X254" s="6"/>
      <c r="Y254" s="6"/>
      <c r="Z254" s="7"/>
      <c r="AA254" s="6"/>
      <c r="AB254" s="6"/>
      <c r="AC254" s="7"/>
      <c r="AD254" s="6"/>
      <c r="AE254" s="6"/>
      <c r="AF254" s="12"/>
      <c r="AG254" s="6"/>
    </row>
    <row r="255" spans="9:33" ht="21.75" customHeight="1" x14ac:dyDescent="0.25">
      <c r="I255" s="211"/>
      <c r="J255" s="6"/>
      <c r="K255" s="211"/>
      <c r="L255" s="6"/>
      <c r="M255" s="211"/>
      <c r="N255" s="6"/>
      <c r="O255" s="211"/>
      <c r="P255" s="6"/>
      <c r="Q255" s="211"/>
      <c r="R255" s="6"/>
      <c r="S255" s="211"/>
      <c r="T255" s="6"/>
      <c r="U255" s="211"/>
      <c r="V255" s="6"/>
      <c r="W255" s="7"/>
      <c r="X255" s="6"/>
      <c r="Y255" s="6"/>
      <c r="Z255" s="7"/>
      <c r="AA255" s="6"/>
      <c r="AB255" s="6"/>
      <c r="AC255" s="7"/>
      <c r="AD255" s="6"/>
      <c r="AE255" s="6"/>
      <c r="AF255" s="12"/>
      <c r="AG255" s="6"/>
    </row>
    <row r="256" spans="9:33" ht="21.75" customHeight="1" x14ac:dyDescent="0.25">
      <c r="I256" s="211"/>
      <c r="J256" s="6"/>
      <c r="K256" s="211"/>
      <c r="L256" s="6"/>
      <c r="M256" s="211"/>
      <c r="N256" s="6"/>
      <c r="O256" s="211"/>
      <c r="P256" s="6"/>
      <c r="Q256" s="211"/>
      <c r="R256" s="6"/>
      <c r="S256" s="211"/>
      <c r="T256" s="6"/>
      <c r="U256" s="211"/>
      <c r="V256" s="6"/>
      <c r="W256" s="7"/>
      <c r="X256" s="6"/>
      <c r="Y256" s="6"/>
      <c r="Z256" s="7"/>
      <c r="AA256" s="6"/>
      <c r="AB256" s="6"/>
      <c r="AC256" s="7"/>
      <c r="AD256" s="6"/>
      <c r="AE256" s="6"/>
      <c r="AF256" s="12"/>
      <c r="AG256" s="6"/>
    </row>
    <row r="257" spans="9:33" ht="21.75" customHeight="1" x14ac:dyDescent="0.25">
      <c r="I257" s="211"/>
      <c r="J257" s="6"/>
      <c r="K257" s="211"/>
      <c r="L257" s="6"/>
      <c r="M257" s="211"/>
      <c r="N257" s="6"/>
      <c r="O257" s="211"/>
      <c r="P257" s="6"/>
      <c r="Q257" s="211"/>
      <c r="R257" s="6"/>
      <c r="S257" s="211"/>
      <c r="T257" s="6"/>
      <c r="U257" s="211"/>
      <c r="V257" s="6"/>
      <c r="W257" s="7"/>
      <c r="X257" s="6"/>
      <c r="Y257" s="6"/>
      <c r="Z257" s="7"/>
      <c r="AA257" s="6"/>
      <c r="AB257" s="6"/>
      <c r="AC257" s="7"/>
      <c r="AD257" s="6"/>
      <c r="AE257" s="6"/>
      <c r="AF257" s="12"/>
      <c r="AG257" s="6"/>
    </row>
    <row r="258" spans="9:33" ht="21.75" customHeight="1" x14ac:dyDescent="0.25">
      <c r="I258" s="211"/>
      <c r="J258" s="6"/>
      <c r="K258" s="211"/>
      <c r="L258" s="6"/>
      <c r="M258" s="211"/>
      <c r="N258" s="6"/>
      <c r="O258" s="211"/>
      <c r="P258" s="6"/>
      <c r="Q258" s="211"/>
      <c r="R258" s="6"/>
      <c r="S258" s="211"/>
      <c r="T258" s="6"/>
      <c r="U258" s="211"/>
      <c r="V258" s="6"/>
      <c r="W258" s="7"/>
      <c r="X258" s="6"/>
      <c r="Y258" s="6"/>
      <c r="Z258" s="7"/>
      <c r="AA258" s="6"/>
      <c r="AB258" s="6"/>
      <c r="AC258" s="7"/>
      <c r="AD258" s="6"/>
      <c r="AE258" s="6"/>
      <c r="AF258" s="12"/>
      <c r="AG258" s="6"/>
    </row>
    <row r="259" spans="9:33" ht="21.75" customHeight="1" x14ac:dyDescent="0.25">
      <c r="I259" s="211"/>
      <c r="J259" s="6"/>
      <c r="K259" s="211"/>
      <c r="L259" s="6"/>
      <c r="M259" s="211"/>
      <c r="N259" s="6"/>
      <c r="O259" s="211"/>
      <c r="P259" s="6"/>
      <c r="Q259" s="211"/>
      <c r="R259" s="6"/>
      <c r="S259" s="211"/>
      <c r="T259" s="6"/>
      <c r="U259" s="211"/>
      <c r="V259" s="6"/>
      <c r="W259" s="7"/>
      <c r="X259" s="6"/>
      <c r="Y259" s="6"/>
      <c r="Z259" s="7"/>
      <c r="AA259" s="6"/>
      <c r="AB259" s="6"/>
      <c r="AC259" s="7"/>
      <c r="AD259" s="6"/>
      <c r="AE259" s="6"/>
      <c r="AF259" s="12"/>
      <c r="AG259" s="6"/>
    </row>
    <row r="260" spans="9:33" ht="21.75" customHeight="1" x14ac:dyDescent="0.25">
      <c r="I260" s="211"/>
      <c r="J260" s="6"/>
      <c r="K260" s="211"/>
      <c r="L260" s="6"/>
      <c r="M260" s="211"/>
      <c r="N260" s="6"/>
      <c r="O260" s="211"/>
      <c r="P260" s="6"/>
      <c r="Q260" s="211"/>
      <c r="R260" s="6"/>
      <c r="S260" s="211"/>
      <c r="T260" s="6"/>
      <c r="U260" s="211"/>
      <c r="V260" s="6"/>
      <c r="W260" s="7"/>
      <c r="X260" s="6"/>
      <c r="Y260" s="6"/>
      <c r="Z260" s="7"/>
      <c r="AA260" s="6"/>
      <c r="AB260" s="6"/>
      <c r="AC260" s="7"/>
      <c r="AD260" s="6"/>
      <c r="AE260" s="6"/>
      <c r="AF260" s="12"/>
      <c r="AG260" s="6"/>
    </row>
    <row r="261" spans="9:33" ht="21.75" customHeight="1" x14ac:dyDescent="0.25">
      <c r="I261" s="211"/>
      <c r="J261" s="6"/>
      <c r="K261" s="211"/>
      <c r="L261" s="6"/>
      <c r="M261" s="211"/>
      <c r="N261" s="6"/>
      <c r="O261" s="211"/>
      <c r="P261" s="6"/>
      <c r="Q261" s="211"/>
      <c r="R261" s="6"/>
      <c r="S261" s="211"/>
      <c r="T261" s="6"/>
      <c r="U261" s="211"/>
      <c r="V261" s="6"/>
      <c r="W261" s="7"/>
      <c r="X261" s="6"/>
      <c r="Y261" s="6"/>
      <c r="Z261" s="7"/>
      <c r="AA261" s="6"/>
      <c r="AB261" s="6"/>
      <c r="AC261" s="7"/>
      <c r="AD261" s="6"/>
      <c r="AE261" s="6"/>
      <c r="AF261" s="12"/>
      <c r="AG261" s="6"/>
    </row>
    <row r="262" spans="9:33" ht="21.75" customHeight="1" x14ac:dyDescent="0.25">
      <c r="I262" s="211"/>
      <c r="J262" s="6"/>
      <c r="K262" s="211"/>
      <c r="L262" s="6"/>
      <c r="M262" s="211"/>
      <c r="N262" s="6"/>
      <c r="O262" s="211"/>
      <c r="P262" s="6"/>
      <c r="Q262" s="211"/>
      <c r="R262" s="6"/>
      <c r="S262" s="211"/>
      <c r="T262" s="6"/>
      <c r="U262" s="211"/>
      <c r="V262" s="6"/>
      <c r="W262" s="7"/>
      <c r="X262" s="6"/>
      <c r="Y262" s="6"/>
      <c r="Z262" s="7"/>
      <c r="AA262" s="6"/>
      <c r="AB262" s="6"/>
      <c r="AC262" s="7"/>
      <c r="AD262" s="6"/>
      <c r="AE262" s="6"/>
      <c r="AF262" s="12"/>
      <c r="AG262" s="6"/>
    </row>
    <row r="263" spans="9:33" ht="21.75" customHeight="1" x14ac:dyDescent="0.25">
      <c r="I263" s="211"/>
      <c r="J263" s="6"/>
      <c r="K263" s="211"/>
      <c r="L263" s="6"/>
      <c r="M263" s="211"/>
      <c r="N263" s="6"/>
      <c r="O263" s="211"/>
      <c r="P263" s="6"/>
      <c r="Q263" s="211"/>
      <c r="R263" s="6"/>
      <c r="S263" s="211"/>
      <c r="T263" s="6"/>
      <c r="U263" s="211"/>
      <c r="V263" s="6"/>
      <c r="W263" s="7"/>
      <c r="X263" s="6"/>
      <c r="Y263" s="6"/>
      <c r="Z263" s="7"/>
      <c r="AA263" s="6"/>
      <c r="AB263" s="6"/>
      <c r="AC263" s="7"/>
      <c r="AD263" s="6"/>
      <c r="AE263" s="6"/>
      <c r="AF263" s="12"/>
      <c r="AG263" s="6"/>
    </row>
    <row r="264" spans="9:33" ht="21.75" customHeight="1" x14ac:dyDescent="0.25">
      <c r="I264" s="211"/>
      <c r="J264" s="6"/>
      <c r="K264" s="211"/>
      <c r="L264" s="6"/>
      <c r="M264" s="211"/>
      <c r="N264" s="6"/>
      <c r="O264" s="211"/>
      <c r="P264" s="6"/>
      <c r="Q264" s="211"/>
      <c r="R264" s="6"/>
      <c r="S264" s="211"/>
      <c r="T264" s="6"/>
      <c r="U264" s="211"/>
      <c r="V264" s="6"/>
      <c r="W264" s="7"/>
      <c r="X264" s="6"/>
      <c r="Y264" s="6"/>
      <c r="Z264" s="7"/>
      <c r="AA264" s="6"/>
      <c r="AB264" s="6"/>
      <c r="AC264" s="7"/>
      <c r="AD264" s="6"/>
      <c r="AE264" s="6"/>
      <c r="AF264" s="12"/>
      <c r="AG264" s="6"/>
    </row>
    <row r="265" spans="9:33" ht="21.75" customHeight="1" x14ac:dyDescent="0.25">
      <c r="I265" s="211"/>
      <c r="J265" s="6"/>
      <c r="K265" s="211"/>
      <c r="L265" s="6"/>
      <c r="M265" s="211"/>
      <c r="N265" s="6"/>
      <c r="O265" s="211"/>
      <c r="P265" s="6"/>
      <c r="Q265" s="211"/>
      <c r="R265" s="6"/>
      <c r="S265" s="211"/>
      <c r="T265" s="6"/>
      <c r="U265" s="211"/>
      <c r="V265" s="6"/>
      <c r="W265" s="7"/>
      <c r="X265" s="6"/>
      <c r="Y265" s="6"/>
      <c r="Z265" s="7"/>
      <c r="AA265" s="6"/>
      <c r="AB265" s="6"/>
      <c r="AC265" s="7"/>
      <c r="AD265" s="6"/>
      <c r="AE265" s="6"/>
      <c r="AF265" s="12"/>
      <c r="AG265" s="6"/>
    </row>
    <row r="266" spans="9:33" ht="21.75" customHeight="1" x14ac:dyDescent="0.25">
      <c r="I266" s="211"/>
      <c r="J266" s="6"/>
      <c r="K266" s="211"/>
      <c r="L266" s="6"/>
      <c r="M266" s="211"/>
      <c r="N266" s="6"/>
      <c r="O266" s="211"/>
      <c r="P266" s="6"/>
      <c r="Q266" s="211"/>
      <c r="R266" s="6"/>
      <c r="S266" s="211"/>
      <c r="T266" s="6"/>
      <c r="U266" s="211"/>
      <c r="V266" s="6"/>
      <c r="W266" s="7"/>
      <c r="X266" s="6"/>
      <c r="Y266" s="6"/>
      <c r="Z266" s="7"/>
      <c r="AA266" s="6"/>
      <c r="AB266" s="6"/>
      <c r="AC266" s="7"/>
      <c r="AD266" s="6"/>
      <c r="AE266" s="6"/>
      <c r="AF266" s="12"/>
      <c r="AG266" s="6"/>
    </row>
    <row r="267" spans="9:33" ht="21.75" customHeight="1" x14ac:dyDescent="0.25">
      <c r="I267" s="211"/>
      <c r="J267" s="6"/>
      <c r="K267" s="211"/>
      <c r="L267" s="6"/>
      <c r="M267" s="211"/>
      <c r="N267" s="6"/>
      <c r="O267" s="211"/>
      <c r="P267" s="6"/>
      <c r="Q267" s="211"/>
      <c r="R267" s="6"/>
      <c r="S267" s="211"/>
      <c r="T267" s="6"/>
      <c r="U267" s="211"/>
      <c r="V267" s="6"/>
      <c r="W267" s="7"/>
      <c r="X267" s="6"/>
      <c r="Y267" s="6"/>
      <c r="Z267" s="7"/>
      <c r="AA267" s="6"/>
      <c r="AB267" s="6"/>
      <c r="AC267" s="7"/>
      <c r="AD267" s="6"/>
      <c r="AE267" s="6"/>
      <c r="AF267" s="12"/>
      <c r="AG267" s="6"/>
    </row>
    <row r="268" spans="9:33" ht="21.75" customHeight="1" x14ac:dyDescent="0.25">
      <c r="I268" s="211"/>
      <c r="J268" s="6"/>
      <c r="K268" s="211"/>
      <c r="L268" s="6"/>
      <c r="M268" s="211"/>
      <c r="N268" s="6"/>
      <c r="O268" s="211"/>
      <c r="P268" s="6"/>
      <c r="Q268" s="211"/>
      <c r="R268" s="6"/>
      <c r="S268" s="211"/>
      <c r="T268" s="6"/>
      <c r="U268" s="211"/>
      <c r="V268" s="6"/>
      <c r="W268" s="7"/>
      <c r="X268" s="6"/>
      <c r="Y268" s="6"/>
      <c r="Z268" s="7"/>
      <c r="AA268" s="6"/>
      <c r="AB268" s="6"/>
      <c r="AC268" s="7"/>
      <c r="AD268" s="6"/>
      <c r="AE268" s="6"/>
      <c r="AF268" s="12"/>
      <c r="AG268" s="6"/>
    </row>
    <row r="269" spans="9:33" ht="21.75" customHeight="1" x14ac:dyDescent="0.25">
      <c r="I269" s="211"/>
      <c r="J269" s="6"/>
      <c r="K269" s="211"/>
      <c r="L269" s="6"/>
      <c r="M269" s="211"/>
      <c r="N269" s="6"/>
      <c r="O269" s="211"/>
      <c r="P269" s="6"/>
      <c r="Q269" s="211"/>
      <c r="R269" s="6"/>
      <c r="S269" s="211"/>
      <c r="T269" s="6"/>
      <c r="U269" s="211"/>
      <c r="V269" s="6"/>
      <c r="W269" s="7"/>
      <c r="X269" s="6"/>
      <c r="Y269" s="6"/>
      <c r="Z269" s="7"/>
      <c r="AA269" s="6"/>
      <c r="AB269" s="6"/>
      <c r="AC269" s="7"/>
      <c r="AD269" s="6"/>
      <c r="AE269" s="6"/>
      <c r="AF269" s="12"/>
      <c r="AG269" s="6"/>
    </row>
    <row r="270" spans="9:33" ht="21.75" customHeight="1" x14ac:dyDescent="0.25">
      <c r="I270" s="211"/>
      <c r="J270" s="6"/>
      <c r="K270" s="211"/>
      <c r="L270" s="6"/>
      <c r="M270" s="211"/>
      <c r="N270" s="6"/>
      <c r="O270" s="211"/>
      <c r="P270" s="6"/>
      <c r="Q270" s="211"/>
      <c r="R270" s="6"/>
      <c r="S270" s="211"/>
      <c r="T270" s="6"/>
      <c r="U270" s="211"/>
      <c r="V270" s="6"/>
      <c r="W270" s="7"/>
      <c r="X270" s="6"/>
      <c r="Y270" s="6"/>
      <c r="Z270" s="7"/>
      <c r="AA270" s="6"/>
      <c r="AB270" s="6"/>
      <c r="AC270" s="7"/>
      <c r="AD270" s="6"/>
      <c r="AE270" s="6"/>
      <c r="AF270" s="12"/>
      <c r="AG270" s="6"/>
    </row>
    <row r="271" spans="9:33" ht="21.75" customHeight="1" x14ac:dyDescent="0.25">
      <c r="I271" s="211"/>
      <c r="J271" s="6"/>
      <c r="K271" s="211"/>
      <c r="L271" s="6"/>
      <c r="M271" s="211"/>
      <c r="N271" s="6"/>
      <c r="O271" s="211"/>
      <c r="P271" s="6"/>
      <c r="Q271" s="211"/>
      <c r="R271" s="6"/>
      <c r="S271" s="211"/>
      <c r="T271" s="6"/>
      <c r="U271" s="211"/>
      <c r="V271" s="6"/>
      <c r="W271" s="7"/>
      <c r="X271" s="6"/>
      <c r="Y271" s="6"/>
      <c r="Z271" s="7"/>
      <c r="AA271" s="6"/>
      <c r="AB271" s="6"/>
      <c r="AC271" s="7"/>
      <c r="AD271" s="6"/>
      <c r="AE271" s="6"/>
      <c r="AF271" s="12"/>
      <c r="AG271" s="6"/>
    </row>
    <row r="272" spans="9:33" ht="21.75" customHeight="1" x14ac:dyDescent="0.25">
      <c r="I272" s="211"/>
      <c r="J272" s="6"/>
      <c r="K272" s="211"/>
      <c r="L272" s="6"/>
      <c r="M272" s="211"/>
      <c r="N272" s="6"/>
      <c r="O272" s="211"/>
      <c r="P272" s="6"/>
      <c r="Q272" s="211"/>
      <c r="R272" s="6"/>
      <c r="S272" s="211"/>
      <c r="T272" s="6"/>
      <c r="U272" s="211"/>
      <c r="V272" s="6"/>
      <c r="W272" s="7"/>
      <c r="X272" s="6"/>
      <c r="Y272" s="6"/>
      <c r="Z272" s="7"/>
      <c r="AA272" s="6"/>
      <c r="AB272" s="6"/>
      <c r="AC272" s="7"/>
      <c r="AD272" s="6"/>
      <c r="AE272" s="6"/>
      <c r="AF272" s="12"/>
      <c r="AG272" s="6"/>
    </row>
    <row r="273" spans="9:33" ht="21.75" customHeight="1" x14ac:dyDescent="0.25">
      <c r="I273" s="211"/>
      <c r="J273" s="6"/>
      <c r="K273" s="211"/>
      <c r="L273" s="6"/>
      <c r="M273" s="211"/>
      <c r="N273" s="6"/>
      <c r="O273" s="211"/>
      <c r="P273" s="6"/>
      <c r="Q273" s="211"/>
      <c r="R273" s="6"/>
      <c r="S273" s="211"/>
      <c r="T273" s="6"/>
      <c r="U273" s="211"/>
      <c r="V273" s="6"/>
      <c r="W273" s="7"/>
      <c r="X273" s="6"/>
      <c r="Y273" s="6"/>
      <c r="Z273" s="7"/>
      <c r="AA273" s="6"/>
      <c r="AB273" s="6"/>
      <c r="AC273" s="7"/>
      <c r="AD273" s="6"/>
      <c r="AE273" s="6"/>
      <c r="AF273" s="12"/>
      <c r="AG273" s="6"/>
    </row>
    <row r="274" spans="9:33" ht="21.75" customHeight="1" x14ac:dyDescent="0.25">
      <c r="I274" s="211"/>
      <c r="J274" s="6"/>
      <c r="K274" s="211"/>
      <c r="L274" s="6"/>
      <c r="M274" s="211"/>
      <c r="N274" s="6"/>
      <c r="O274" s="211"/>
      <c r="P274" s="6"/>
      <c r="Q274" s="211"/>
      <c r="R274" s="6"/>
      <c r="S274" s="211"/>
      <c r="T274" s="6"/>
      <c r="U274" s="211"/>
      <c r="V274" s="6"/>
      <c r="W274" s="7"/>
      <c r="X274" s="6"/>
      <c r="Y274" s="6"/>
      <c r="Z274" s="7"/>
      <c r="AA274" s="6"/>
      <c r="AB274" s="6"/>
      <c r="AC274" s="7"/>
      <c r="AD274" s="6"/>
      <c r="AE274" s="6"/>
      <c r="AF274" s="12"/>
      <c r="AG274" s="6"/>
    </row>
    <row r="275" spans="9:33" ht="21.75" customHeight="1" x14ac:dyDescent="0.25">
      <c r="I275" s="211"/>
      <c r="J275" s="6"/>
      <c r="K275" s="211"/>
      <c r="L275" s="6"/>
      <c r="M275" s="211"/>
      <c r="N275" s="6"/>
      <c r="O275" s="211"/>
      <c r="P275" s="6"/>
      <c r="Q275" s="211"/>
      <c r="R275" s="6"/>
      <c r="S275" s="211"/>
      <c r="T275" s="6"/>
      <c r="U275" s="211"/>
      <c r="V275" s="6"/>
      <c r="W275" s="7"/>
      <c r="X275" s="6"/>
      <c r="Y275" s="6"/>
      <c r="Z275" s="7"/>
      <c r="AA275" s="6"/>
      <c r="AB275" s="6"/>
      <c r="AC275" s="7"/>
      <c r="AD275" s="6"/>
      <c r="AE275" s="6"/>
      <c r="AF275" s="12"/>
      <c r="AG275" s="6"/>
    </row>
    <row r="276" spans="9:33" ht="21.75" customHeight="1" x14ac:dyDescent="0.25">
      <c r="I276" s="211"/>
      <c r="J276" s="6"/>
      <c r="K276" s="211"/>
      <c r="L276" s="6"/>
      <c r="M276" s="211"/>
      <c r="N276" s="6"/>
      <c r="O276" s="211"/>
      <c r="P276" s="6"/>
      <c r="Q276" s="211"/>
      <c r="R276" s="6"/>
      <c r="S276" s="211"/>
      <c r="T276" s="6"/>
      <c r="U276" s="211"/>
      <c r="V276" s="6"/>
      <c r="W276" s="7"/>
      <c r="X276" s="6"/>
      <c r="Y276" s="6"/>
      <c r="Z276" s="7"/>
      <c r="AA276" s="6"/>
      <c r="AB276" s="6"/>
      <c r="AC276" s="7"/>
      <c r="AD276" s="6"/>
      <c r="AE276" s="6"/>
      <c r="AF276" s="12"/>
      <c r="AG276" s="6"/>
    </row>
    <row r="277" spans="9:33" ht="21.75" customHeight="1" x14ac:dyDescent="0.25">
      <c r="I277" s="211"/>
      <c r="J277" s="6"/>
      <c r="K277" s="211"/>
      <c r="L277" s="6"/>
      <c r="M277" s="211"/>
      <c r="N277" s="6"/>
      <c r="O277" s="211"/>
      <c r="P277" s="6"/>
      <c r="Q277" s="211"/>
      <c r="R277" s="6"/>
      <c r="S277" s="211"/>
      <c r="T277" s="6"/>
      <c r="U277" s="211"/>
      <c r="V277" s="6"/>
      <c r="W277" s="7"/>
      <c r="X277" s="6"/>
      <c r="Y277" s="6"/>
      <c r="Z277" s="7"/>
      <c r="AA277" s="6"/>
      <c r="AB277" s="6"/>
      <c r="AC277" s="7"/>
      <c r="AD277" s="6"/>
      <c r="AE277" s="6"/>
      <c r="AF277" s="12"/>
      <c r="AG277" s="6"/>
    </row>
    <row r="278" spans="9:33" ht="21.75" customHeight="1" x14ac:dyDescent="0.25">
      <c r="I278" s="211"/>
      <c r="J278" s="6"/>
      <c r="K278" s="211"/>
      <c r="L278" s="6"/>
      <c r="M278" s="211"/>
      <c r="N278" s="6"/>
      <c r="O278" s="211"/>
      <c r="P278" s="6"/>
      <c r="Q278" s="211"/>
      <c r="R278" s="6"/>
      <c r="S278" s="211"/>
      <c r="T278" s="6"/>
      <c r="U278" s="211"/>
      <c r="V278" s="6"/>
      <c r="W278" s="7"/>
      <c r="X278" s="6"/>
      <c r="Y278" s="6"/>
      <c r="Z278" s="7"/>
      <c r="AA278" s="6"/>
      <c r="AB278" s="6"/>
      <c r="AC278" s="7"/>
      <c r="AD278" s="6"/>
      <c r="AE278" s="6"/>
      <c r="AF278" s="12"/>
      <c r="AG278" s="6"/>
    </row>
    <row r="279" spans="9:33" ht="21.75" customHeight="1" x14ac:dyDescent="0.25">
      <c r="I279" s="211"/>
      <c r="J279" s="6"/>
      <c r="K279" s="211"/>
      <c r="L279" s="6"/>
      <c r="M279" s="211"/>
      <c r="N279" s="6"/>
      <c r="O279" s="211"/>
      <c r="P279" s="6"/>
      <c r="Q279" s="211"/>
      <c r="R279" s="6"/>
      <c r="S279" s="211"/>
      <c r="T279" s="6"/>
      <c r="U279" s="211"/>
      <c r="V279" s="6"/>
      <c r="W279" s="7"/>
      <c r="X279" s="6"/>
      <c r="Y279" s="6"/>
      <c r="Z279" s="7"/>
      <c r="AA279" s="6"/>
      <c r="AB279" s="6"/>
      <c r="AC279" s="7"/>
      <c r="AD279" s="6"/>
      <c r="AE279" s="6"/>
      <c r="AF279" s="12"/>
      <c r="AG279" s="6"/>
    </row>
    <row r="280" spans="9:33" ht="21.75" customHeight="1" x14ac:dyDescent="0.25">
      <c r="I280" s="211"/>
      <c r="J280" s="6"/>
      <c r="K280" s="211"/>
      <c r="L280" s="6"/>
      <c r="M280" s="211"/>
      <c r="N280" s="6"/>
      <c r="O280" s="211"/>
      <c r="P280" s="6"/>
      <c r="Q280" s="211"/>
      <c r="R280" s="6"/>
      <c r="S280" s="211"/>
      <c r="T280" s="6"/>
      <c r="U280" s="211"/>
      <c r="V280" s="6"/>
      <c r="W280" s="7"/>
      <c r="X280" s="6"/>
      <c r="Y280" s="6"/>
      <c r="Z280" s="7"/>
      <c r="AA280" s="6"/>
      <c r="AB280" s="6"/>
      <c r="AC280" s="7"/>
      <c r="AD280" s="6"/>
      <c r="AE280" s="6"/>
      <c r="AF280" s="12"/>
      <c r="AG280" s="6"/>
    </row>
    <row r="281" spans="9:33" ht="21.75" customHeight="1" x14ac:dyDescent="0.25">
      <c r="I281" s="211"/>
      <c r="J281" s="6"/>
      <c r="K281" s="211"/>
      <c r="L281" s="6"/>
      <c r="M281" s="211"/>
      <c r="N281" s="6"/>
      <c r="O281" s="211"/>
      <c r="P281" s="6"/>
      <c r="Q281" s="211"/>
      <c r="R281" s="6"/>
      <c r="S281" s="211"/>
      <c r="T281" s="6"/>
      <c r="U281" s="211"/>
      <c r="V281" s="6"/>
      <c r="W281" s="7"/>
      <c r="X281" s="6"/>
      <c r="Y281" s="6"/>
      <c r="Z281" s="7"/>
      <c r="AA281" s="6"/>
      <c r="AB281" s="6"/>
      <c r="AC281" s="7"/>
      <c r="AD281" s="6"/>
      <c r="AE281" s="6"/>
      <c r="AF281" s="12"/>
      <c r="AG281" s="6"/>
    </row>
    <row r="282" spans="9:33" ht="21.75" customHeight="1" x14ac:dyDescent="0.25">
      <c r="I282" s="211"/>
      <c r="J282" s="6"/>
      <c r="K282" s="211"/>
      <c r="L282" s="6"/>
      <c r="M282" s="211"/>
      <c r="N282" s="6"/>
      <c r="O282" s="211"/>
      <c r="P282" s="6"/>
      <c r="Q282" s="211"/>
      <c r="R282" s="6"/>
      <c r="S282" s="211"/>
      <c r="T282" s="6"/>
      <c r="U282" s="211"/>
      <c r="V282" s="6"/>
      <c r="W282" s="7"/>
      <c r="X282" s="6"/>
      <c r="Y282" s="6"/>
      <c r="Z282" s="7"/>
      <c r="AA282" s="6"/>
      <c r="AB282" s="6"/>
      <c r="AC282" s="7"/>
      <c r="AD282" s="6"/>
      <c r="AE282" s="6"/>
      <c r="AF282" s="12"/>
      <c r="AG282" s="6"/>
    </row>
    <row r="283" spans="9:33" ht="21.75" customHeight="1" x14ac:dyDescent="0.25">
      <c r="I283" s="211"/>
      <c r="J283" s="6"/>
      <c r="K283" s="211"/>
      <c r="L283" s="6"/>
      <c r="M283" s="211"/>
      <c r="N283" s="6"/>
      <c r="O283" s="211"/>
      <c r="P283" s="6"/>
      <c r="Q283" s="211"/>
      <c r="R283" s="6"/>
      <c r="S283" s="211"/>
      <c r="T283" s="6"/>
      <c r="U283" s="211"/>
      <c r="V283" s="6"/>
      <c r="W283" s="7"/>
      <c r="X283" s="6"/>
      <c r="Y283" s="6"/>
      <c r="Z283" s="7"/>
      <c r="AA283" s="6"/>
      <c r="AB283" s="6"/>
      <c r="AC283" s="7"/>
      <c r="AD283" s="6"/>
      <c r="AE283" s="6"/>
      <c r="AF283" s="12"/>
      <c r="AG283" s="6"/>
    </row>
    <row r="284" spans="9:33" ht="21.75" customHeight="1" x14ac:dyDescent="0.25">
      <c r="I284" s="211"/>
      <c r="J284" s="6"/>
      <c r="K284" s="211"/>
      <c r="L284" s="6"/>
      <c r="M284" s="211"/>
      <c r="N284" s="6"/>
      <c r="O284" s="211"/>
      <c r="P284" s="6"/>
      <c r="Q284" s="211"/>
      <c r="R284" s="6"/>
      <c r="S284" s="211"/>
      <c r="T284" s="6"/>
      <c r="U284" s="211"/>
      <c r="V284" s="6"/>
      <c r="W284" s="7"/>
      <c r="X284" s="6"/>
      <c r="Y284" s="6"/>
      <c r="Z284" s="7"/>
      <c r="AA284" s="6"/>
      <c r="AB284" s="6"/>
      <c r="AC284" s="7"/>
      <c r="AD284" s="6"/>
      <c r="AE284" s="6"/>
      <c r="AF284" s="12"/>
      <c r="AG284" s="6"/>
    </row>
    <row r="285" spans="9:33" ht="21.75" customHeight="1" x14ac:dyDescent="0.25">
      <c r="I285" s="211"/>
      <c r="J285" s="6"/>
      <c r="K285" s="211"/>
      <c r="L285" s="6"/>
      <c r="M285" s="211"/>
      <c r="N285" s="6"/>
      <c r="O285" s="211"/>
      <c r="P285" s="6"/>
      <c r="Q285" s="211"/>
      <c r="R285" s="6"/>
      <c r="S285" s="211"/>
      <c r="T285" s="6"/>
      <c r="U285" s="211"/>
      <c r="V285" s="6"/>
      <c r="W285" s="7"/>
      <c r="X285" s="6"/>
      <c r="Y285" s="6"/>
      <c r="Z285" s="7"/>
      <c r="AA285" s="6"/>
      <c r="AB285" s="6"/>
      <c r="AC285" s="7"/>
      <c r="AD285" s="6"/>
      <c r="AE285" s="6"/>
      <c r="AF285" s="12"/>
      <c r="AG285" s="6"/>
    </row>
    <row r="286" spans="9:33" ht="21.75" customHeight="1" x14ac:dyDescent="0.25">
      <c r="I286" s="211"/>
      <c r="J286" s="6"/>
      <c r="K286" s="211"/>
      <c r="L286" s="6"/>
      <c r="M286" s="211"/>
      <c r="N286" s="6"/>
      <c r="O286" s="211"/>
      <c r="P286" s="6"/>
      <c r="Q286" s="211"/>
      <c r="R286" s="6"/>
      <c r="S286" s="211"/>
      <c r="T286" s="6"/>
      <c r="U286" s="211"/>
      <c r="V286" s="6"/>
      <c r="W286" s="7"/>
      <c r="X286" s="6"/>
      <c r="Y286" s="6"/>
      <c r="Z286" s="7"/>
      <c r="AA286" s="6"/>
      <c r="AB286" s="6"/>
      <c r="AC286" s="7"/>
      <c r="AD286" s="6"/>
      <c r="AE286" s="6"/>
      <c r="AF286" s="12"/>
      <c r="AG286" s="6"/>
    </row>
    <row r="287" spans="9:33" ht="21.75" customHeight="1" x14ac:dyDescent="0.25">
      <c r="I287" s="211"/>
      <c r="J287" s="6"/>
      <c r="K287" s="211"/>
      <c r="L287" s="6"/>
      <c r="M287" s="211"/>
      <c r="N287" s="6"/>
      <c r="O287" s="211"/>
      <c r="P287" s="6"/>
      <c r="Q287" s="211"/>
      <c r="R287" s="6"/>
      <c r="S287" s="211"/>
      <c r="T287" s="6"/>
      <c r="U287" s="211"/>
      <c r="V287" s="6"/>
      <c r="W287" s="7"/>
      <c r="X287" s="6"/>
      <c r="Y287" s="6"/>
      <c r="Z287" s="7"/>
      <c r="AA287" s="6"/>
      <c r="AB287" s="6"/>
      <c r="AC287" s="7"/>
      <c r="AD287" s="6"/>
      <c r="AE287" s="6"/>
      <c r="AF287" s="12"/>
      <c r="AG287" s="6"/>
    </row>
    <row r="288" spans="9:33" ht="21.75" customHeight="1" x14ac:dyDescent="0.25">
      <c r="I288" s="211"/>
      <c r="J288" s="6"/>
      <c r="K288" s="211"/>
      <c r="L288" s="6"/>
      <c r="M288" s="211"/>
      <c r="N288" s="6"/>
      <c r="O288" s="211"/>
      <c r="P288" s="6"/>
      <c r="Q288" s="211"/>
      <c r="R288" s="6"/>
      <c r="S288" s="211"/>
      <c r="T288" s="6"/>
      <c r="U288" s="211"/>
      <c r="V288" s="6"/>
      <c r="W288" s="7"/>
      <c r="X288" s="6"/>
      <c r="Y288" s="6"/>
      <c r="Z288" s="7"/>
      <c r="AA288" s="6"/>
      <c r="AB288" s="6"/>
      <c r="AC288" s="7"/>
      <c r="AD288" s="6"/>
      <c r="AE288" s="6"/>
      <c r="AF288" s="12"/>
      <c r="AG288" s="6"/>
    </row>
    <row r="289" spans="9:33" ht="21.75" customHeight="1" x14ac:dyDescent="0.25">
      <c r="I289" s="211"/>
      <c r="J289" s="6"/>
      <c r="K289" s="211"/>
      <c r="L289" s="6"/>
      <c r="M289" s="211"/>
      <c r="N289" s="6"/>
      <c r="O289" s="211"/>
      <c r="P289" s="6"/>
      <c r="Q289" s="211"/>
      <c r="R289" s="6"/>
      <c r="S289" s="211"/>
      <c r="T289" s="6"/>
      <c r="U289" s="211"/>
      <c r="V289" s="6"/>
      <c r="W289" s="7"/>
      <c r="X289" s="6"/>
      <c r="Y289" s="6"/>
      <c r="Z289" s="7"/>
      <c r="AA289" s="6"/>
      <c r="AB289" s="6"/>
      <c r="AC289" s="7"/>
      <c r="AD289" s="6"/>
      <c r="AE289" s="6"/>
      <c r="AF289" s="12"/>
      <c r="AG289" s="6"/>
    </row>
    <row r="290" spans="9:33" ht="21.75" customHeight="1" x14ac:dyDescent="0.25">
      <c r="I290" s="211"/>
      <c r="J290" s="6"/>
      <c r="K290" s="211"/>
      <c r="L290" s="6"/>
      <c r="M290" s="211"/>
      <c r="N290" s="6"/>
      <c r="O290" s="211"/>
      <c r="P290" s="6"/>
      <c r="Q290" s="211"/>
      <c r="R290" s="6"/>
      <c r="S290" s="211"/>
      <c r="T290" s="6"/>
      <c r="U290" s="211"/>
      <c r="V290" s="6"/>
      <c r="W290" s="7"/>
      <c r="X290" s="6"/>
      <c r="Y290" s="6"/>
      <c r="Z290" s="7"/>
      <c r="AA290" s="6"/>
      <c r="AB290" s="6"/>
      <c r="AC290" s="7"/>
      <c r="AD290" s="6"/>
      <c r="AE290" s="6"/>
      <c r="AF290" s="12"/>
      <c r="AG290" s="6"/>
    </row>
    <row r="291" spans="9:33" ht="21.75" customHeight="1" x14ac:dyDescent="0.25">
      <c r="I291" s="211"/>
      <c r="J291" s="6"/>
      <c r="K291" s="211"/>
      <c r="L291" s="6"/>
      <c r="M291" s="211"/>
      <c r="N291" s="6"/>
      <c r="O291" s="211"/>
      <c r="P291" s="6"/>
      <c r="Q291" s="211"/>
      <c r="R291" s="6"/>
      <c r="S291" s="211"/>
      <c r="T291" s="6"/>
      <c r="U291" s="211"/>
      <c r="V291" s="6"/>
      <c r="W291" s="7"/>
      <c r="X291" s="6"/>
      <c r="Y291" s="6"/>
      <c r="Z291" s="7"/>
      <c r="AA291" s="6"/>
      <c r="AB291" s="6"/>
      <c r="AC291" s="7"/>
      <c r="AD291" s="6"/>
      <c r="AE291" s="6"/>
      <c r="AF291" s="12"/>
      <c r="AG291" s="6"/>
    </row>
    <row r="292" spans="9:33" ht="21.75" customHeight="1" x14ac:dyDescent="0.25">
      <c r="I292" s="211"/>
      <c r="J292" s="6"/>
      <c r="K292" s="211"/>
      <c r="L292" s="6"/>
      <c r="M292" s="211"/>
      <c r="N292" s="6"/>
      <c r="O292" s="211"/>
      <c r="P292" s="6"/>
      <c r="Q292" s="211"/>
      <c r="R292" s="6"/>
      <c r="S292" s="211"/>
      <c r="T292" s="6"/>
      <c r="U292" s="211"/>
      <c r="V292" s="6"/>
      <c r="W292" s="7"/>
      <c r="X292" s="6"/>
      <c r="Y292" s="6"/>
      <c r="Z292" s="7"/>
      <c r="AA292" s="6"/>
      <c r="AB292" s="6"/>
      <c r="AC292" s="7"/>
      <c r="AD292" s="6"/>
      <c r="AE292" s="6"/>
      <c r="AF292" s="12"/>
      <c r="AG292" s="6"/>
    </row>
    <row r="293" spans="9:33" ht="21.75" customHeight="1" x14ac:dyDescent="0.25">
      <c r="I293" s="211"/>
      <c r="J293" s="6"/>
      <c r="K293" s="211"/>
      <c r="L293" s="6"/>
      <c r="M293" s="211"/>
      <c r="N293" s="6"/>
      <c r="O293" s="211"/>
      <c r="P293" s="6"/>
      <c r="Q293" s="211"/>
      <c r="R293" s="6"/>
      <c r="S293" s="211"/>
      <c r="T293" s="6"/>
      <c r="U293" s="211"/>
      <c r="V293" s="6"/>
      <c r="W293" s="7"/>
      <c r="X293" s="6"/>
      <c r="Y293" s="6"/>
      <c r="Z293" s="7"/>
      <c r="AA293" s="6"/>
      <c r="AB293" s="6"/>
      <c r="AC293" s="7"/>
      <c r="AD293" s="6"/>
      <c r="AE293" s="6"/>
      <c r="AF293" s="12"/>
      <c r="AG293" s="6"/>
    </row>
    <row r="294" spans="9:33" ht="21.75" customHeight="1" x14ac:dyDescent="0.25">
      <c r="I294" s="211"/>
      <c r="J294" s="6"/>
      <c r="K294" s="211"/>
      <c r="L294" s="6"/>
      <c r="M294" s="211"/>
      <c r="N294" s="6"/>
      <c r="O294" s="211"/>
      <c r="P294" s="6"/>
      <c r="Q294" s="211"/>
      <c r="R294" s="6"/>
      <c r="S294" s="211"/>
      <c r="T294" s="6"/>
      <c r="U294" s="211"/>
      <c r="V294" s="6"/>
      <c r="W294" s="7"/>
      <c r="X294" s="6"/>
      <c r="Y294" s="6"/>
      <c r="Z294" s="7"/>
      <c r="AA294" s="6"/>
      <c r="AB294" s="6"/>
      <c r="AC294" s="7"/>
      <c r="AD294" s="6"/>
      <c r="AE294" s="6"/>
      <c r="AF294" s="12"/>
      <c r="AG294" s="6"/>
    </row>
    <row r="295" spans="9:33" ht="21.75" customHeight="1" x14ac:dyDescent="0.25">
      <c r="I295" s="211"/>
      <c r="J295" s="6"/>
      <c r="K295" s="211"/>
      <c r="L295" s="6"/>
      <c r="M295" s="211"/>
      <c r="N295" s="6"/>
      <c r="O295" s="211"/>
      <c r="P295" s="6"/>
      <c r="Q295" s="211"/>
      <c r="R295" s="6"/>
      <c r="S295" s="211"/>
      <c r="T295" s="6"/>
      <c r="U295" s="211"/>
      <c r="V295" s="6"/>
      <c r="W295" s="7"/>
      <c r="X295" s="6"/>
      <c r="Y295" s="6"/>
      <c r="Z295" s="7"/>
      <c r="AA295" s="6"/>
      <c r="AB295" s="6"/>
      <c r="AC295" s="7"/>
      <c r="AD295" s="6"/>
      <c r="AE295" s="6"/>
      <c r="AF295" s="12"/>
      <c r="AG295" s="6"/>
    </row>
    <row r="296" spans="9:33" ht="21.75" customHeight="1" x14ac:dyDescent="0.25">
      <c r="I296" s="211"/>
      <c r="J296" s="6"/>
      <c r="K296" s="211"/>
      <c r="L296" s="6"/>
      <c r="M296" s="211"/>
      <c r="N296" s="6"/>
      <c r="O296" s="211"/>
      <c r="P296" s="6"/>
      <c r="Q296" s="211"/>
      <c r="R296" s="6"/>
      <c r="S296" s="211"/>
      <c r="T296" s="6"/>
      <c r="U296" s="211"/>
      <c r="V296" s="6"/>
      <c r="W296" s="7"/>
      <c r="X296" s="6"/>
      <c r="Y296" s="6"/>
      <c r="Z296" s="7"/>
      <c r="AA296" s="6"/>
      <c r="AB296" s="6"/>
      <c r="AC296" s="7"/>
      <c r="AD296" s="6"/>
      <c r="AE296" s="6"/>
      <c r="AF296" s="12"/>
      <c r="AG296" s="6"/>
    </row>
    <row r="297" spans="9:33" ht="21.75" customHeight="1" x14ac:dyDescent="0.25">
      <c r="I297" s="211"/>
      <c r="J297" s="6"/>
      <c r="K297" s="211"/>
      <c r="L297" s="6"/>
      <c r="M297" s="211"/>
      <c r="N297" s="6"/>
      <c r="O297" s="211"/>
      <c r="P297" s="6"/>
      <c r="Q297" s="211"/>
      <c r="R297" s="6"/>
      <c r="S297" s="211"/>
      <c r="T297" s="6"/>
      <c r="U297" s="211"/>
      <c r="V297" s="6"/>
      <c r="W297" s="7"/>
      <c r="X297" s="6"/>
      <c r="Y297" s="6"/>
      <c r="Z297" s="7"/>
      <c r="AA297" s="6"/>
      <c r="AB297" s="6"/>
      <c r="AC297" s="7"/>
      <c r="AD297" s="6"/>
      <c r="AE297" s="6"/>
      <c r="AF297" s="12"/>
      <c r="AG297" s="6"/>
    </row>
    <row r="298" spans="9:33" ht="21.75" customHeight="1" x14ac:dyDescent="0.25">
      <c r="I298" s="211"/>
      <c r="J298" s="6"/>
      <c r="K298" s="211"/>
      <c r="L298" s="6"/>
      <c r="M298" s="211"/>
      <c r="N298" s="6"/>
      <c r="O298" s="211"/>
      <c r="P298" s="6"/>
      <c r="Q298" s="211"/>
      <c r="R298" s="6"/>
      <c r="S298" s="211"/>
      <c r="T298" s="6"/>
      <c r="U298" s="211"/>
      <c r="V298" s="6"/>
      <c r="W298" s="7"/>
      <c r="X298" s="6"/>
      <c r="Y298" s="6"/>
      <c r="Z298" s="7"/>
      <c r="AA298" s="6"/>
      <c r="AB298" s="6"/>
      <c r="AC298" s="7"/>
      <c r="AD298" s="6"/>
      <c r="AE298" s="6"/>
      <c r="AF298" s="12"/>
      <c r="AG298" s="6"/>
    </row>
    <row r="299" spans="9:33" ht="21.75" customHeight="1" x14ac:dyDescent="0.25">
      <c r="I299" s="211"/>
      <c r="J299" s="6"/>
      <c r="K299" s="211"/>
      <c r="L299" s="6"/>
      <c r="M299" s="211"/>
      <c r="N299" s="6"/>
      <c r="O299" s="211"/>
      <c r="P299" s="6"/>
      <c r="Q299" s="211"/>
      <c r="R299" s="6"/>
      <c r="S299" s="211"/>
      <c r="T299" s="6"/>
      <c r="U299" s="211"/>
      <c r="V299" s="6"/>
      <c r="W299" s="7"/>
      <c r="X299" s="6"/>
      <c r="Y299" s="6"/>
      <c r="Z299" s="7"/>
      <c r="AA299" s="6"/>
      <c r="AB299" s="6"/>
      <c r="AC299" s="7"/>
      <c r="AD299" s="6"/>
      <c r="AE299" s="6"/>
      <c r="AF299" s="12"/>
      <c r="AG299" s="6"/>
    </row>
    <row r="300" spans="9:33" ht="21.75" customHeight="1" x14ac:dyDescent="0.25">
      <c r="I300" s="211"/>
      <c r="J300" s="6"/>
      <c r="K300" s="211"/>
      <c r="L300" s="6"/>
      <c r="M300" s="211"/>
      <c r="N300" s="6"/>
      <c r="O300" s="211"/>
      <c r="P300" s="6"/>
      <c r="Q300" s="211"/>
      <c r="R300" s="6"/>
      <c r="S300" s="211"/>
      <c r="T300" s="6"/>
      <c r="U300" s="211"/>
      <c r="V300" s="6"/>
      <c r="W300" s="7"/>
      <c r="X300" s="6"/>
      <c r="Y300" s="6"/>
      <c r="Z300" s="7"/>
      <c r="AA300" s="6"/>
      <c r="AB300" s="6"/>
      <c r="AC300" s="7"/>
      <c r="AD300" s="6"/>
      <c r="AE300" s="6"/>
      <c r="AF300" s="12"/>
      <c r="AG300" s="6"/>
    </row>
    <row r="301" spans="9:33" ht="21.75" customHeight="1" x14ac:dyDescent="0.25">
      <c r="I301" s="211"/>
      <c r="J301" s="6"/>
      <c r="K301" s="211"/>
      <c r="L301" s="6"/>
      <c r="M301" s="211"/>
      <c r="N301" s="6"/>
      <c r="O301" s="211"/>
      <c r="P301" s="6"/>
      <c r="Q301" s="211"/>
      <c r="R301" s="6"/>
      <c r="S301" s="211"/>
      <c r="T301" s="6"/>
      <c r="U301" s="211"/>
      <c r="V301" s="6"/>
      <c r="W301" s="7"/>
      <c r="X301" s="6"/>
      <c r="Y301" s="6"/>
      <c r="Z301" s="7"/>
      <c r="AA301" s="6"/>
      <c r="AB301" s="6"/>
      <c r="AC301" s="7"/>
      <c r="AD301" s="6"/>
      <c r="AE301" s="6"/>
      <c r="AF301" s="12"/>
      <c r="AG301" s="6"/>
    </row>
    <row r="302" spans="9:33" ht="21.75" customHeight="1" x14ac:dyDescent="0.25">
      <c r="I302" s="211"/>
      <c r="J302" s="6"/>
      <c r="K302" s="211"/>
      <c r="L302" s="6"/>
      <c r="M302" s="211"/>
      <c r="N302" s="6"/>
      <c r="O302" s="211"/>
      <c r="P302" s="6"/>
      <c r="Q302" s="211"/>
      <c r="R302" s="6"/>
      <c r="S302" s="211"/>
      <c r="T302" s="6"/>
      <c r="U302" s="211"/>
      <c r="V302" s="6"/>
      <c r="W302" s="7"/>
      <c r="X302" s="6"/>
      <c r="Y302" s="6"/>
      <c r="Z302" s="7"/>
      <c r="AA302" s="6"/>
      <c r="AB302" s="6"/>
      <c r="AC302" s="7"/>
      <c r="AD302" s="6"/>
      <c r="AE302" s="6"/>
      <c r="AF302" s="12"/>
      <c r="AG302" s="6"/>
    </row>
    <row r="303" spans="9:33" ht="21.75" customHeight="1" x14ac:dyDescent="0.25">
      <c r="I303" s="211"/>
      <c r="J303" s="6"/>
      <c r="K303" s="211"/>
      <c r="L303" s="6"/>
      <c r="M303" s="211"/>
      <c r="N303" s="6"/>
      <c r="O303" s="211"/>
      <c r="P303" s="6"/>
      <c r="Q303" s="211"/>
      <c r="R303" s="6"/>
      <c r="S303" s="211"/>
      <c r="T303" s="6"/>
      <c r="U303" s="211"/>
      <c r="V303" s="6"/>
      <c r="W303" s="7"/>
      <c r="X303" s="6"/>
      <c r="Y303" s="6"/>
      <c r="Z303" s="7"/>
      <c r="AA303" s="6"/>
      <c r="AB303" s="6"/>
      <c r="AC303" s="7"/>
      <c r="AD303" s="6"/>
      <c r="AE303" s="6"/>
      <c r="AF303" s="12"/>
      <c r="AG303" s="6"/>
    </row>
    <row r="304" spans="9:33" ht="21.75" customHeight="1" x14ac:dyDescent="0.25">
      <c r="I304" s="211"/>
      <c r="J304" s="6"/>
      <c r="K304" s="211"/>
      <c r="L304" s="6"/>
      <c r="M304" s="211"/>
      <c r="N304" s="6"/>
      <c r="O304" s="211"/>
      <c r="P304" s="6"/>
      <c r="Q304" s="211"/>
      <c r="R304" s="6"/>
      <c r="S304" s="211"/>
      <c r="T304" s="6"/>
      <c r="U304" s="211"/>
      <c r="V304" s="6"/>
      <c r="W304" s="7"/>
      <c r="X304" s="6"/>
      <c r="Y304" s="6"/>
      <c r="Z304" s="7"/>
      <c r="AA304" s="6"/>
      <c r="AB304" s="6"/>
      <c r="AC304" s="7"/>
      <c r="AD304" s="6"/>
      <c r="AE304" s="6"/>
      <c r="AF304" s="12"/>
      <c r="AG304" s="6"/>
    </row>
    <row r="305" spans="9:33" ht="21.75" customHeight="1" x14ac:dyDescent="0.25">
      <c r="I305" s="211"/>
      <c r="J305" s="6"/>
      <c r="K305" s="211"/>
      <c r="L305" s="6"/>
      <c r="M305" s="211"/>
      <c r="N305" s="6"/>
      <c r="O305" s="211"/>
      <c r="P305" s="6"/>
      <c r="Q305" s="211"/>
      <c r="R305" s="6"/>
      <c r="S305" s="211"/>
      <c r="T305" s="6"/>
      <c r="U305" s="211"/>
      <c r="V305" s="6"/>
      <c r="W305" s="7"/>
      <c r="X305" s="6"/>
      <c r="Y305" s="6"/>
      <c r="Z305" s="7"/>
      <c r="AA305" s="6"/>
      <c r="AB305" s="6"/>
      <c r="AC305" s="7"/>
      <c r="AD305" s="6"/>
      <c r="AE305" s="6"/>
      <c r="AF305" s="12"/>
      <c r="AG305" s="6"/>
    </row>
    <row r="306" spans="9:33" ht="21.75" customHeight="1" x14ac:dyDescent="0.25">
      <c r="I306" s="211"/>
      <c r="J306" s="6"/>
      <c r="K306" s="211"/>
      <c r="L306" s="6"/>
      <c r="M306" s="211"/>
      <c r="N306" s="6"/>
      <c r="O306" s="211"/>
      <c r="P306" s="6"/>
      <c r="Q306" s="211"/>
      <c r="R306" s="6"/>
      <c r="S306" s="211"/>
      <c r="T306" s="6"/>
      <c r="U306" s="211"/>
      <c r="V306" s="6"/>
      <c r="W306" s="7"/>
      <c r="X306" s="6"/>
      <c r="Y306" s="6"/>
      <c r="Z306" s="7"/>
      <c r="AA306" s="6"/>
      <c r="AB306" s="6"/>
      <c r="AC306" s="7"/>
      <c r="AD306" s="6"/>
      <c r="AE306" s="6"/>
      <c r="AF306" s="12"/>
      <c r="AG306" s="6"/>
    </row>
    <row r="307" spans="9:33" ht="21.75" customHeight="1" x14ac:dyDescent="0.25">
      <c r="I307" s="211"/>
      <c r="J307" s="6"/>
      <c r="K307" s="211"/>
      <c r="L307" s="6"/>
      <c r="M307" s="211"/>
      <c r="N307" s="6"/>
      <c r="O307" s="211"/>
      <c r="P307" s="6"/>
      <c r="Q307" s="211"/>
      <c r="R307" s="6"/>
      <c r="S307" s="211"/>
      <c r="T307" s="6"/>
      <c r="U307" s="211"/>
      <c r="V307" s="6"/>
      <c r="W307" s="7"/>
      <c r="X307" s="6"/>
      <c r="Y307" s="6"/>
      <c r="Z307" s="7"/>
      <c r="AA307" s="6"/>
      <c r="AB307" s="6"/>
      <c r="AC307" s="7"/>
      <c r="AD307" s="6"/>
      <c r="AE307" s="6"/>
      <c r="AF307" s="12"/>
      <c r="AG307" s="6"/>
    </row>
    <row r="308" spans="9:33" ht="21.75" customHeight="1" x14ac:dyDescent="0.25">
      <c r="I308" s="211"/>
      <c r="J308" s="6"/>
      <c r="K308" s="211"/>
      <c r="L308" s="6"/>
      <c r="M308" s="211"/>
      <c r="N308" s="6"/>
      <c r="O308" s="211"/>
      <c r="P308" s="6"/>
      <c r="Q308" s="211"/>
      <c r="R308" s="6"/>
      <c r="S308" s="211"/>
      <c r="T308" s="6"/>
      <c r="U308" s="211"/>
      <c r="V308" s="6"/>
      <c r="W308" s="7"/>
      <c r="X308" s="6"/>
      <c r="Y308" s="6"/>
      <c r="Z308" s="7"/>
      <c r="AA308" s="6"/>
      <c r="AB308" s="6"/>
      <c r="AC308" s="7"/>
      <c r="AD308" s="6"/>
      <c r="AE308" s="6"/>
      <c r="AF308" s="12"/>
      <c r="AG308" s="6"/>
    </row>
    <row r="309" spans="9:33" ht="21.75" customHeight="1" x14ac:dyDescent="0.25">
      <c r="I309" s="211"/>
      <c r="J309" s="6"/>
      <c r="K309" s="211"/>
      <c r="L309" s="6"/>
      <c r="M309" s="211"/>
      <c r="N309" s="6"/>
      <c r="O309" s="211"/>
      <c r="P309" s="6"/>
      <c r="Q309" s="211"/>
      <c r="R309" s="6"/>
      <c r="S309" s="211"/>
      <c r="T309" s="6"/>
      <c r="U309" s="211"/>
      <c r="V309" s="6"/>
      <c r="W309" s="7"/>
      <c r="X309" s="6"/>
      <c r="Y309" s="6"/>
      <c r="Z309" s="7"/>
      <c r="AA309" s="6"/>
      <c r="AB309" s="6"/>
      <c r="AC309" s="7"/>
      <c r="AD309" s="6"/>
      <c r="AE309" s="6"/>
      <c r="AF309" s="12"/>
      <c r="AG309" s="6"/>
    </row>
    <row r="310" spans="9:33" ht="21.75" customHeight="1" x14ac:dyDescent="0.25">
      <c r="I310" s="211"/>
      <c r="J310" s="6"/>
      <c r="K310" s="211"/>
      <c r="L310" s="6"/>
      <c r="M310" s="211"/>
      <c r="N310" s="6"/>
      <c r="O310" s="211"/>
      <c r="P310" s="6"/>
      <c r="Q310" s="211"/>
      <c r="R310" s="6"/>
      <c r="S310" s="211"/>
      <c r="T310" s="6"/>
      <c r="U310" s="211"/>
      <c r="V310" s="6"/>
      <c r="W310" s="7"/>
      <c r="X310" s="6"/>
      <c r="Y310" s="6"/>
      <c r="Z310" s="7"/>
      <c r="AA310" s="6"/>
      <c r="AB310" s="6"/>
      <c r="AC310" s="7"/>
      <c r="AD310" s="6"/>
      <c r="AE310" s="6"/>
      <c r="AF310" s="12"/>
      <c r="AG310" s="6"/>
    </row>
    <row r="311" spans="9:33" ht="21.75" customHeight="1" x14ac:dyDescent="0.25">
      <c r="I311" s="211"/>
      <c r="J311" s="6"/>
      <c r="K311" s="211"/>
      <c r="L311" s="6"/>
      <c r="M311" s="211"/>
      <c r="N311" s="6"/>
      <c r="O311" s="211"/>
      <c r="P311" s="6"/>
      <c r="Q311" s="211"/>
      <c r="R311" s="6"/>
      <c r="S311" s="211"/>
      <c r="T311" s="6"/>
      <c r="U311" s="211"/>
      <c r="V311" s="6"/>
      <c r="W311" s="7"/>
      <c r="X311" s="6"/>
      <c r="Y311" s="6"/>
      <c r="Z311" s="7"/>
      <c r="AA311" s="6"/>
      <c r="AB311" s="6"/>
      <c r="AC311" s="7"/>
      <c r="AD311" s="6"/>
      <c r="AE311" s="6"/>
      <c r="AF311" s="12"/>
      <c r="AG311" s="6"/>
    </row>
    <row r="312" spans="9:33" ht="21.75" customHeight="1" x14ac:dyDescent="0.25">
      <c r="I312" s="211"/>
      <c r="J312" s="6"/>
      <c r="K312" s="211"/>
      <c r="L312" s="6"/>
      <c r="M312" s="211"/>
      <c r="N312" s="6"/>
      <c r="O312" s="211"/>
      <c r="P312" s="6"/>
      <c r="Q312" s="211"/>
      <c r="R312" s="6"/>
      <c r="S312" s="211"/>
      <c r="T312" s="6"/>
      <c r="U312" s="211"/>
      <c r="V312" s="6"/>
      <c r="W312" s="7"/>
      <c r="X312" s="6"/>
      <c r="Y312" s="6"/>
      <c r="Z312" s="7"/>
      <c r="AA312" s="6"/>
      <c r="AB312" s="6"/>
      <c r="AC312" s="7"/>
      <c r="AD312" s="6"/>
      <c r="AE312" s="6"/>
      <c r="AF312" s="12"/>
      <c r="AG312" s="6"/>
    </row>
    <row r="313" spans="9:33" ht="21.75" customHeight="1" x14ac:dyDescent="0.25">
      <c r="I313" s="211"/>
      <c r="J313" s="6"/>
      <c r="K313" s="211"/>
      <c r="L313" s="6"/>
      <c r="M313" s="211"/>
      <c r="N313" s="6"/>
      <c r="O313" s="211"/>
      <c r="P313" s="6"/>
      <c r="Q313" s="211"/>
      <c r="R313" s="6"/>
      <c r="S313" s="211"/>
      <c r="T313" s="6"/>
      <c r="U313" s="211"/>
      <c r="V313" s="6"/>
      <c r="W313" s="7"/>
      <c r="X313" s="6"/>
      <c r="Y313" s="6"/>
      <c r="Z313" s="7"/>
      <c r="AA313" s="6"/>
      <c r="AB313" s="6"/>
      <c r="AC313" s="7"/>
      <c r="AD313" s="6"/>
      <c r="AE313" s="6"/>
      <c r="AF313" s="12"/>
      <c r="AG313" s="6"/>
    </row>
    <row r="314" spans="9:33" ht="21.75" customHeight="1" x14ac:dyDescent="0.25">
      <c r="I314" s="211"/>
      <c r="J314" s="6"/>
      <c r="K314" s="211"/>
      <c r="L314" s="6"/>
      <c r="M314" s="211"/>
      <c r="N314" s="6"/>
      <c r="O314" s="211"/>
      <c r="P314" s="6"/>
      <c r="Q314" s="211"/>
      <c r="R314" s="6"/>
      <c r="S314" s="211"/>
      <c r="T314" s="6"/>
      <c r="U314" s="211"/>
      <c r="V314" s="6"/>
      <c r="W314" s="7"/>
      <c r="X314" s="6"/>
      <c r="Y314" s="6"/>
      <c r="Z314" s="7"/>
      <c r="AA314" s="6"/>
      <c r="AB314" s="6"/>
      <c r="AC314" s="7"/>
      <c r="AD314" s="6"/>
      <c r="AE314" s="6"/>
      <c r="AF314" s="12"/>
      <c r="AG314" s="6"/>
    </row>
    <row r="315" spans="9:33" ht="21.75" customHeight="1" x14ac:dyDescent="0.25">
      <c r="I315" s="211"/>
      <c r="J315" s="6"/>
      <c r="K315" s="211"/>
      <c r="L315" s="6"/>
      <c r="M315" s="211"/>
      <c r="N315" s="6"/>
      <c r="O315" s="211"/>
      <c r="P315" s="6"/>
      <c r="Q315" s="211"/>
      <c r="R315" s="6"/>
      <c r="S315" s="211"/>
      <c r="T315" s="6"/>
      <c r="U315" s="211"/>
      <c r="V315" s="6"/>
      <c r="W315" s="7"/>
      <c r="X315" s="6"/>
      <c r="Y315" s="6"/>
      <c r="Z315" s="7"/>
      <c r="AA315" s="6"/>
      <c r="AB315" s="6"/>
      <c r="AC315" s="7"/>
      <c r="AD315" s="6"/>
      <c r="AE315" s="6"/>
      <c r="AF315" s="12"/>
      <c r="AG315" s="6"/>
    </row>
    <row r="316" spans="9:33" ht="21.75" customHeight="1" x14ac:dyDescent="0.25">
      <c r="I316" s="211"/>
      <c r="J316" s="6"/>
      <c r="K316" s="211"/>
      <c r="L316" s="6"/>
      <c r="M316" s="211"/>
      <c r="N316" s="6"/>
      <c r="O316" s="211"/>
      <c r="P316" s="6"/>
      <c r="Q316" s="211"/>
      <c r="R316" s="6"/>
      <c r="S316" s="211"/>
      <c r="T316" s="6"/>
      <c r="U316" s="211"/>
      <c r="V316" s="6"/>
      <c r="W316" s="7"/>
      <c r="X316" s="6"/>
      <c r="Y316" s="6"/>
      <c r="Z316" s="7"/>
      <c r="AA316" s="6"/>
      <c r="AB316" s="6"/>
      <c r="AC316" s="7"/>
      <c r="AD316" s="6"/>
      <c r="AE316" s="6"/>
      <c r="AF316" s="12"/>
      <c r="AG316" s="6"/>
    </row>
    <row r="317" spans="9:33" ht="21.75" customHeight="1" x14ac:dyDescent="0.25">
      <c r="I317" s="211"/>
      <c r="J317" s="6"/>
      <c r="K317" s="211"/>
      <c r="L317" s="6"/>
      <c r="M317" s="211"/>
      <c r="N317" s="6"/>
      <c r="O317" s="211"/>
      <c r="P317" s="6"/>
      <c r="Q317" s="211"/>
      <c r="R317" s="6"/>
      <c r="S317" s="211"/>
      <c r="T317" s="6"/>
      <c r="U317" s="211"/>
      <c r="V317" s="6"/>
      <c r="W317" s="7"/>
      <c r="X317" s="6"/>
      <c r="Y317" s="6"/>
      <c r="Z317" s="7"/>
      <c r="AA317" s="6"/>
      <c r="AB317" s="6"/>
      <c r="AC317" s="7"/>
      <c r="AD317" s="6"/>
      <c r="AE317" s="6"/>
      <c r="AF317" s="12"/>
      <c r="AG317" s="6"/>
    </row>
    <row r="318" spans="9:33" ht="21.75" customHeight="1" x14ac:dyDescent="0.25">
      <c r="I318" s="211"/>
      <c r="J318" s="6"/>
      <c r="K318" s="211"/>
      <c r="L318" s="6"/>
      <c r="M318" s="211"/>
      <c r="N318" s="6"/>
      <c r="O318" s="211"/>
      <c r="P318" s="6"/>
      <c r="Q318" s="211"/>
      <c r="R318" s="6"/>
      <c r="S318" s="211"/>
      <c r="T318" s="6"/>
      <c r="U318" s="211"/>
      <c r="V318" s="6"/>
      <c r="W318" s="7"/>
      <c r="X318" s="6"/>
      <c r="Y318" s="6"/>
      <c r="Z318" s="7"/>
      <c r="AA318" s="6"/>
      <c r="AB318" s="6"/>
      <c r="AC318" s="7"/>
      <c r="AD318" s="6"/>
      <c r="AE318" s="6"/>
      <c r="AF318" s="12"/>
      <c r="AG318" s="6"/>
    </row>
    <row r="319" spans="9:33" ht="21.75" customHeight="1" x14ac:dyDescent="0.25">
      <c r="I319" s="211"/>
      <c r="J319" s="6"/>
      <c r="K319" s="211"/>
      <c r="L319" s="6"/>
      <c r="M319" s="211"/>
      <c r="N319" s="6"/>
      <c r="O319" s="211"/>
      <c r="P319" s="6"/>
      <c r="Q319" s="211"/>
      <c r="R319" s="6"/>
      <c r="S319" s="211"/>
      <c r="T319" s="6"/>
      <c r="U319" s="211"/>
      <c r="V319" s="6"/>
      <c r="W319" s="7"/>
      <c r="X319" s="6"/>
      <c r="Y319" s="6"/>
      <c r="Z319" s="7"/>
      <c r="AA319" s="6"/>
      <c r="AB319" s="6"/>
      <c r="AC319" s="7"/>
      <c r="AD319" s="6"/>
      <c r="AE319" s="6"/>
      <c r="AF319" s="12"/>
      <c r="AG319" s="6"/>
    </row>
    <row r="320" spans="9:33" ht="21.75" customHeight="1" x14ac:dyDescent="0.25">
      <c r="I320" s="211"/>
      <c r="J320" s="6"/>
      <c r="K320" s="211"/>
      <c r="L320" s="6"/>
      <c r="M320" s="211"/>
      <c r="N320" s="6"/>
      <c r="O320" s="211"/>
      <c r="P320" s="6"/>
      <c r="Q320" s="211"/>
      <c r="R320" s="6"/>
      <c r="S320" s="211"/>
      <c r="T320" s="6"/>
      <c r="U320" s="211"/>
      <c r="V320" s="6"/>
      <c r="W320" s="7"/>
      <c r="X320" s="6"/>
      <c r="Y320" s="6"/>
      <c r="Z320" s="7"/>
      <c r="AA320" s="6"/>
      <c r="AB320" s="6"/>
      <c r="AC320" s="7"/>
      <c r="AD320" s="6"/>
      <c r="AE320" s="6"/>
      <c r="AF320" s="12"/>
      <c r="AG320" s="6"/>
    </row>
    <row r="321" spans="9:33" ht="21.75" customHeight="1" x14ac:dyDescent="0.25">
      <c r="I321" s="211"/>
      <c r="J321" s="6"/>
      <c r="K321" s="211"/>
      <c r="L321" s="6"/>
      <c r="M321" s="211"/>
      <c r="N321" s="6"/>
      <c r="O321" s="211"/>
      <c r="P321" s="6"/>
      <c r="Q321" s="211"/>
      <c r="R321" s="6"/>
      <c r="S321" s="211"/>
      <c r="T321" s="6"/>
      <c r="U321" s="211"/>
      <c r="V321" s="6"/>
      <c r="W321" s="7"/>
      <c r="X321" s="6"/>
      <c r="Y321" s="6"/>
      <c r="Z321" s="7"/>
      <c r="AA321" s="6"/>
      <c r="AB321" s="6"/>
      <c r="AC321" s="7"/>
      <c r="AD321" s="6"/>
      <c r="AE321" s="6"/>
      <c r="AF321" s="12"/>
      <c r="AG321" s="6"/>
    </row>
    <row r="322" spans="9:33" ht="21.75" customHeight="1" x14ac:dyDescent="0.25">
      <c r="I322" s="211"/>
      <c r="J322" s="6"/>
      <c r="K322" s="211"/>
      <c r="L322" s="6"/>
      <c r="M322" s="211"/>
      <c r="N322" s="6"/>
      <c r="O322" s="211"/>
      <c r="P322" s="6"/>
      <c r="Q322" s="211"/>
      <c r="R322" s="6"/>
      <c r="S322" s="211"/>
      <c r="T322" s="6"/>
      <c r="U322" s="211"/>
      <c r="V322" s="6"/>
      <c r="W322" s="7"/>
      <c r="X322" s="6"/>
      <c r="Y322" s="6"/>
      <c r="Z322" s="7"/>
      <c r="AA322" s="6"/>
      <c r="AB322" s="6"/>
      <c r="AC322" s="7"/>
      <c r="AD322" s="6"/>
      <c r="AE322" s="6"/>
      <c r="AF322" s="12"/>
      <c r="AG322" s="6"/>
    </row>
    <row r="323" spans="9:33" ht="21.75" customHeight="1" x14ac:dyDescent="0.25">
      <c r="I323" s="211"/>
      <c r="J323" s="6"/>
      <c r="K323" s="211"/>
      <c r="L323" s="6"/>
      <c r="M323" s="211"/>
      <c r="N323" s="6"/>
      <c r="O323" s="211"/>
      <c r="P323" s="6"/>
      <c r="Q323" s="211"/>
      <c r="R323" s="6"/>
      <c r="S323" s="211"/>
      <c r="T323" s="6"/>
      <c r="U323" s="211"/>
      <c r="V323" s="6"/>
      <c r="W323" s="7"/>
      <c r="X323" s="6"/>
      <c r="Y323" s="6"/>
      <c r="Z323" s="7"/>
      <c r="AA323" s="6"/>
      <c r="AB323" s="6"/>
      <c r="AC323" s="7"/>
      <c r="AD323" s="6"/>
      <c r="AE323" s="6"/>
      <c r="AF323" s="12"/>
      <c r="AG323" s="6"/>
    </row>
    <row r="324" spans="9:33" ht="21.75" customHeight="1" x14ac:dyDescent="0.25">
      <c r="I324" s="211"/>
      <c r="J324" s="6"/>
      <c r="K324" s="211"/>
      <c r="L324" s="6"/>
      <c r="M324" s="211"/>
      <c r="N324" s="6"/>
      <c r="O324" s="211"/>
      <c r="P324" s="6"/>
      <c r="Q324" s="211"/>
      <c r="R324" s="6"/>
      <c r="S324" s="211"/>
      <c r="T324" s="6"/>
      <c r="U324" s="211"/>
      <c r="V324" s="6"/>
      <c r="W324" s="7"/>
      <c r="X324" s="6"/>
      <c r="Y324" s="6"/>
      <c r="Z324" s="7"/>
      <c r="AA324" s="6"/>
      <c r="AB324" s="6"/>
      <c r="AC324" s="7"/>
      <c r="AD324" s="6"/>
      <c r="AE324" s="6"/>
      <c r="AF324" s="12"/>
      <c r="AG324" s="6"/>
    </row>
    <row r="325" spans="9:33" ht="21.75" customHeight="1" x14ac:dyDescent="0.25">
      <c r="I325" s="211"/>
      <c r="J325" s="6"/>
      <c r="K325" s="211"/>
      <c r="L325" s="6"/>
      <c r="M325" s="211"/>
      <c r="N325" s="6"/>
      <c r="O325" s="211"/>
      <c r="P325" s="6"/>
      <c r="Q325" s="211"/>
      <c r="R325" s="6"/>
      <c r="S325" s="211"/>
      <c r="T325" s="6"/>
      <c r="U325" s="211"/>
      <c r="V325" s="6"/>
      <c r="W325" s="7"/>
      <c r="X325" s="6"/>
      <c r="Y325" s="6"/>
      <c r="Z325" s="7"/>
      <c r="AA325" s="6"/>
      <c r="AB325" s="6"/>
      <c r="AC325" s="7"/>
      <c r="AD325" s="6"/>
      <c r="AE325" s="6"/>
      <c r="AF325" s="12"/>
      <c r="AG325" s="6"/>
    </row>
    <row r="326" spans="9:33" ht="21.75" customHeight="1" x14ac:dyDescent="0.25">
      <c r="I326" s="211"/>
      <c r="J326" s="6"/>
      <c r="K326" s="211"/>
      <c r="L326" s="6"/>
      <c r="M326" s="211"/>
      <c r="N326" s="6"/>
      <c r="O326" s="211"/>
      <c r="P326" s="6"/>
      <c r="Q326" s="211"/>
      <c r="R326" s="6"/>
      <c r="S326" s="211"/>
      <c r="T326" s="6"/>
      <c r="U326" s="211"/>
      <c r="V326" s="6"/>
      <c r="W326" s="7"/>
      <c r="X326" s="6"/>
      <c r="Y326" s="6"/>
      <c r="Z326" s="7"/>
      <c r="AA326" s="6"/>
      <c r="AB326" s="6"/>
      <c r="AC326" s="7"/>
      <c r="AD326" s="6"/>
      <c r="AE326" s="6"/>
      <c r="AF326" s="12"/>
      <c r="AG326" s="6"/>
    </row>
    <row r="327" spans="9:33" ht="21.75" customHeight="1" x14ac:dyDescent="0.25">
      <c r="I327" s="211"/>
      <c r="J327" s="6"/>
      <c r="K327" s="211"/>
      <c r="L327" s="6"/>
      <c r="M327" s="211"/>
      <c r="N327" s="6"/>
      <c r="O327" s="211"/>
      <c r="P327" s="6"/>
      <c r="Q327" s="211"/>
      <c r="R327" s="6"/>
      <c r="S327" s="211"/>
      <c r="T327" s="6"/>
      <c r="U327" s="211"/>
      <c r="V327" s="6"/>
      <c r="W327" s="7"/>
      <c r="X327" s="6"/>
      <c r="Y327" s="6"/>
      <c r="Z327" s="7"/>
      <c r="AA327" s="6"/>
      <c r="AB327" s="6"/>
      <c r="AC327" s="7"/>
      <c r="AD327" s="6"/>
      <c r="AE327" s="6"/>
      <c r="AF327" s="12"/>
      <c r="AG327" s="6"/>
    </row>
    <row r="328" spans="9:33" ht="21.75" customHeight="1" x14ac:dyDescent="0.25">
      <c r="I328" s="211"/>
      <c r="J328" s="6"/>
      <c r="K328" s="211"/>
      <c r="L328" s="6"/>
      <c r="M328" s="211"/>
      <c r="N328" s="6"/>
      <c r="O328" s="211"/>
      <c r="P328" s="6"/>
      <c r="Q328" s="211"/>
      <c r="R328" s="6"/>
      <c r="S328" s="211"/>
      <c r="T328" s="6"/>
      <c r="U328" s="211"/>
      <c r="V328" s="6"/>
      <c r="W328" s="7"/>
      <c r="X328" s="6"/>
      <c r="Y328" s="6"/>
      <c r="Z328" s="7"/>
      <c r="AA328" s="6"/>
      <c r="AB328" s="6"/>
      <c r="AC328" s="7"/>
      <c r="AD328" s="6"/>
      <c r="AE328" s="6"/>
      <c r="AF328" s="12"/>
      <c r="AG328" s="6"/>
    </row>
    <row r="329" spans="9:33" ht="21.75" customHeight="1" x14ac:dyDescent="0.25">
      <c r="I329" s="211"/>
      <c r="J329" s="6"/>
      <c r="K329" s="211"/>
      <c r="L329" s="6"/>
      <c r="M329" s="211"/>
      <c r="N329" s="6"/>
      <c r="O329" s="211"/>
      <c r="P329" s="6"/>
      <c r="Q329" s="211"/>
      <c r="R329" s="6"/>
      <c r="S329" s="211"/>
      <c r="T329" s="6"/>
      <c r="U329" s="211"/>
      <c r="V329" s="6"/>
      <c r="W329" s="7"/>
      <c r="X329" s="6"/>
      <c r="Y329" s="6"/>
      <c r="Z329" s="7"/>
      <c r="AA329" s="6"/>
      <c r="AB329" s="6"/>
      <c r="AC329" s="7"/>
      <c r="AD329" s="6"/>
      <c r="AE329" s="6"/>
      <c r="AF329" s="12"/>
      <c r="AG329" s="6"/>
    </row>
    <row r="330" spans="9:33" ht="21.75" customHeight="1" x14ac:dyDescent="0.25">
      <c r="I330" s="211"/>
      <c r="J330" s="6"/>
      <c r="K330" s="211"/>
      <c r="L330" s="6"/>
      <c r="M330" s="211"/>
      <c r="N330" s="6"/>
      <c r="O330" s="211"/>
      <c r="P330" s="6"/>
      <c r="Q330" s="211"/>
      <c r="R330" s="6"/>
      <c r="S330" s="211"/>
      <c r="T330" s="6"/>
      <c r="U330" s="211"/>
      <c r="V330" s="6"/>
      <c r="W330" s="7"/>
      <c r="X330" s="6"/>
      <c r="Y330" s="6"/>
      <c r="Z330" s="7"/>
      <c r="AA330" s="6"/>
      <c r="AB330" s="6"/>
      <c r="AC330" s="7"/>
      <c r="AD330" s="6"/>
      <c r="AE330" s="6"/>
      <c r="AF330" s="12"/>
      <c r="AG330" s="6"/>
    </row>
    <row r="331" spans="9:33" ht="21.75" customHeight="1" x14ac:dyDescent="0.25">
      <c r="I331" s="211"/>
      <c r="J331" s="6"/>
      <c r="K331" s="211"/>
      <c r="L331" s="6"/>
      <c r="M331" s="211"/>
      <c r="N331" s="6"/>
      <c r="O331" s="211"/>
      <c r="P331" s="6"/>
      <c r="Q331" s="211"/>
      <c r="R331" s="6"/>
      <c r="S331" s="211"/>
      <c r="T331" s="6"/>
      <c r="U331" s="211"/>
      <c r="V331" s="6"/>
      <c r="W331" s="7"/>
      <c r="X331" s="6"/>
      <c r="Y331" s="6"/>
      <c r="Z331" s="7"/>
      <c r="AA331" s="6"/>
      <c r="AB331" s="6"/>
      <c r="AC331" s="7"/>
      <c r="AD331" s="6"/>
      <c r="AE331" s="6"/>
      <c r="AF331" s="12"/>
      <c r="AG331" s="6"/>
    </row>
    <row r="332" spans="9:33" ht="21.75" customHeight="1" x14ac:dyDescent="0.25">
      <c r="I332" s="211"/>
      <c r="J332" s="6"/>
      <c r="K332" s="211"/>
      <c r="L332" s="6"/>
      <c r="M332" s="211"/>
      <c r="N332" s="6"/>
      <c r="O332" s="211"/>
      <c r="P332" s="6"/>
      <c r="Q332" s="211"/>
      <c r="R332" s="6"/>
      <c r="S332" s="211"/>
      <c r="T332" s="6"/>
      <c r="U332" s="211"/>
      <c r="V332" s="6"/>
      <c r="W332" s="7"/>
      <c r="X332" s="6"/>
      <c r="Y332" s="6"/>
      <c r="Z332" s="7"/>
      <c r="AA332" s="6"/>
      <c r="AB332" s="6"/>
      <c r="AC332" s="7"/>
      <c r="AD332" s="6"/>
      <c r="AE332" s="6"/>
      <c r="AF332" s="12"/>
      <c r="AG332" s="6"/>
    </row>
    <row r="333" spans="9:33" ht="21.75" customHeight="1" x14ac:dyDescent="0.25">
      <c r="I333" s="211"/>
      <c r="J333" s="6"/>
      <c r="K333" s="211"/>
      <c r="L333" s="6"/>
      <c r="M333" s="211"/>
      <c r="N333" s="6"/>
      <c r="O333" s="211"/>
      <c r="P333" s="6"/>
      <c r="Q333" s="211"/>
      <c r="R333" s="6"/>
      <c r="S333" s="211"/>
      <c r="T333" s="6"/>
      <c r="U333" s="211"/>
      <c r="V333" s="6"/>
      <c r="W333" s="7"/>
      <c r="X333" s="6"/>
      <c r="Y333" s="6"/>
      <c r="Z333" s="7"/>
      <c r="AA333" s="6"/>
      <c r="AB333" s="6"/>
      <c r="AC333" s="7"/>
      <c r="AD333" s="6"/>
      <c r="AE333" s="6"/>
      <c r="AF333" s="12"/>
      <c r="AG333" s="6"/>
    </row>
    <row r="334" spans="9:33" ht="21.75" customHeight="1" x14ac:dyDescent="0.25">
      <c r="I334" s="211"/>
      <c r="J334" s="6"/>
      <c r="K334" s="211"/>
      <c r="L334" s="6"/>
      <c r="M334" s="211"/>
      <c r="N334" s="6"/>
      <c r="O334" s="211"/>
      <c r="P334" s="6"/>
      <c r="Q334" s="211"/>
      <c r="R334" s="6"/>
      <c r="S334" s="211"/>
      <c r="T334" s="6"/>
      <c r="U334" s="211"/>
      <c r="V334" s="6"/>
      <c r="W334" s="7"/>
      <c r="X334" s="6"/>
      <c r="Y334" s="6"/>
      <c r="Z334" s="7"/>
      <c r="AA334" s="6"/>
      <c r="AB334" s="6"/>
      <c r="AC334" s="7"/>
      <c r="AD334" s="6"/>
      <c r="AE334" s="6"/>
      <c r="AF334" s="12"/>
      <c r="AG334" s="6"/>
    </row>
    <row r="335" spans="9:33" ht="21.75" customHeight="1" x14ac:dyDescent="0.25">
      <c r="I335" s="211"/>
      <c r="J335" s="6"/>
      <c r="K335" s="211"/>
      <c r="L335" s="6"/>
      <c r="M335" s="211"/>
      <c r="N335" s="6"/>
      <c r="O335" s="211"/>
      <c r="P335" s="6"/>
      <c r="Q335" s="211"/>
      <c r="R335" s="6"/>
      <c r="S335" s="211"/>
      <c r="T335" s="6"/>
      <c r="U335" s="211"/>
      <c r="V335" s="6"/>
      <c r="W335" s="7"/>
      <c r="X335" s="6"/>
      <c r="Y335" s="6"/>
      <c r="Z335" s="7"/>
      <c r="AA335" s="6"/>
      <c r="AB335" s="6"/>
      <c r="AC335" s="7"/>
      <c r="AD335" s="6"/>
      <c r="AE335" s="6"/>
      <c r="AF335" s="12"/>
      <c r="AG335" s="6"/>
    </row>
    <row r="336" spans="9:33" ht="21.75" customHeight="1" x14ac:dyDescent="0.25">
      <c r="I336" s="211"/>
      <c r="J336" s="6"/>
      <c r="K336" s="211"/>
      <c r="L336" s="6"/>
      <c r="M336" s="211"/>
      <c r="N336" s="6"/>
      <c r="O336" s="211"/>
      <c r="P336" s="6"/>
      <c r="Q336" s="211"/>
      <c r="R336" s="6"/>
      <c r="S336" s="211"/>
      <c r="T336" s="6"/>
      <c r="U336" s="211"/>
      <c r="V336" s="6"/>
      <c r="W336" s="7"/>
      <c r="X336" s="6"/>
      <c r="Y336" s="6"/>
      <c r="Z336" s="7"/>
      <c r="AA336" s="6"/>
      <c r="AB336" s="6"/>
      <c r="AC336" s="7"/>
      <c r="AD336" s="6"/>
      <c r="AE336" s="6"/>
      <c r="AF336" s="12"/>
      <c r="AG336" s="6"/>
    </row>
    <row r="337" spans="9:33" ht="21.75" customHeight="1" x14ac:dyDescent="0.25">
      <c r="I337" s="211"/>
      <c r="J337" s="6"/>
      <c r="K337" s="211"/>
      <c r="L337" s="6"/>
      <c r="M337" s="211"/>
      <c r="N337" s="6"/>
      <c r="O337" s="211"/>
      <c r="P337" s="6"/>
      <c r="Q337" s="211"/>
      <c r="R337" s="6"/>
      <c r="S337" s="211"/>
      <c r="T337" s="6"/>
      <c r="U337" s="211"/>
      <c r="V337" s="6"/>
      <c r="W337" s="7"/>
      <c r="X337" s="6"/>
      <c r="Y337" s="6"/>
      <c r="Z337" s="7"/>
      <c r="AA337" s="6"/>
      <c r="AB337" s="6"/>
      <c r="AC337" s="7"/>
      <c r="AD337" s="6"/>
      <c r="AE337" s="6"/>
      <c r="AF337" s="12"/>
      <c r="AG337" s="6"/>
    </row>
    <row r="338" spans="9:33" ht="21.75" customHeight="1" x14ac:dyDescent="0.25">
      <c r="I338" s="211"/>
      <c r="J338" s="6"/>
      <c r="K338" s="211"/>
      <c r="L338" s="6"/>
      <c r="M338" s="211"/>
      <c r="N338" s="6"/>
      <c r="O338" s="211"/>
      <c r="P338" s="6"/>
      <c r="Q338" s="211"/>
      <c r="R338" s="6"/>
      <c r="S338" s="211"/>
      <c r="T338" s="6"/>
      <c r="U338" s="211"/>
      <c r="V338" s="6"/>
      <c r="W338" s="7"/>
      <c r="X338" s="6"/>
      <c r="Y338" s="6"/>
      <c r="Z338" s="7"/>
      <c r="AA338" s="6"/>
      <c r="AB338" s="6"/>
      <c r="AC338" s="7"/>
      <c r="AD338" s="6"/>
      <c r="AE338" s="6"/>
      <c r="AF338" s="12"/>
      <c r="AG338" s="6"/>
    </row>
    <row r="339" spans="9:33" ht="21.75" customHeight="1" x14ac:dyDescent="0.25">
      <c r="I339" s="211"/>
      <c r="J339" s="6"/>
      <c r="K339" s="211"/>
      <c r="L339" s="6"/>
      <c r="M339" s="211"/>
      <c r="N339" s="6"/>
      <c r="O339" s="211"/>
      <c r="P339" s="6"/>
      <c r="Q339" s="211"/>
      <c r="R339" s="6"/>
      <c r="S339" s="211"/>
      <c r="T339" s="6"/>
      <c r="U339" s="211"/>
      <c r="V339" s="6"/>
      <c r="W339" s="7"/>
      <c r="X339" s="6"/>
      <c r="Y339" s="6"/>
      <c r="Z339" s="7"/>
      <c r="AA339" s="6"/>
      <c r="AB339" s="6"/>
      <c r="AC339" s="7"/>
      <c r="AD339" s="6"/>
      <c r="AE339" s="6"/>
      <c r="AF339" s="12"/>
      <c r="AG339" s="6"/>
    </row>
    <row r="340" spans="9:33" ht="21.75" customHeight="1" x14ac:dyDescent="0.25">
      <c r="I340" s="211"/>
      <c r="J340" s="6"/>
      <c r="K340" s="211"/>
      <c r="L340" s="6"/>
      <c r="M340" s="211"/>
      <c r="N340" s="6"/>
      <c r="O340" s="211"/>
      <c r="P340" s="6"/>
      <c r="Q340" s="211"/>
      <c r="R340" s="6"/>
      <c r="S340" s="211"/>
      <c r="T340" s="6"/>
      <c r="U340" s="211"/>
      <c r="V340" s="6"/>
      <c r="W340" s="7"/>
      <c r="X340" s="6"/>
      <c r="Y340" s="6"/>
      <c r="Z340" s="7"/>
      <c r="AA340" s="6"/>
      <c r="AB340" s="6"/>
      <c r="AC340" s="7"/>
      <c r="AD340" s="6"/>
      <c r="AE340" s="6"/>
      <c r="AF340" s="12"/>
      <c r="AG340" s="6"/>
    </row>
    <row r="341" spans="9:33" ht="21.75" customHeight="1" x14ac:dyDescent="0.25">
      <c r="I341" s="211"/>
      <c r="J341" s="6"/>
      <c r="K341" s="211"/>
      <c r="L341" s="6"/>
      <c r="M341" s="211"/>
      <c r="N341" s="6"/>
      <c r="O341" s="211"/>
      <c r="P341" s="6"/>
      <c r="Q341" s="211"/>
      <c r="R341" s="6"/>
      <c r="S341" s="211"/>
      <c r="T341" s="6"/>
      <c r="U341" s="211"/>
      <c r="V341" s="6"/>
      <c r="W341" s="7"/>
      <c r="X341" s="6"/>
      <c r="Y341" s="6"/>
      <c r="Z341" s="7"/>
      <c r="AA341" s="6"/>
      <c r="AB341" s="6"/>
      <c r="AC341" s="7"/>
      <c r="AD341" s="6"/>
      <c r="AE341" s="6"/>
      <c r="AF341" s="12"/>
      <c r="AG341" s="6"/>
    </row>
    <row r="342" spans="9:33" ht="21.75" customHeight="1" x14ac:dyDescent="0.25">
      <c r="I342" s="211"/>
      <c r="J342" s="6"/>
      <c r="K342" s="211"/>
      <c r="L342" s="6"/>
      <c r="M342" s="211"/>
      <c r="N342" s="6"/>
      <c r="O342" s="211"/>
      <c r="P342" s="6"/>
      <c r="Q342" s="211"/>
      <c r="R342" s="6"/>
      <c r="S342" s="211"/>
      <c r="T342" s="6"/>
      <c r="U342" s="211"/>
      <c r="V342" s="6"/>
      <c r="W342" s="7"/>
      <c r="X342" s="6"/>
      <c r="Y342" s="6"/>
      <c r="Z342" s="7"/>
      <c r="AA342" s="6"/>
      <c r="AB342" s="6"/>
      <c r="AC342" s="7"/>
      <c r="AD342" s="6"/>
      <c r="AE342" s="6"/>
      <c r="AF342" s="12"/>
      <c r="AG342" s="6"/>
    </row>
    <row r="343" spans="9:33" ht="21.75" customHeight="1" x14ac:dyDescent="0.25">
      <c r="I343" s="211"/>
      <c r="J343" s="6"/>
      <c r="K343" s="211"/>
      <c r="L343" s="6"/>
      <c r="M343" s="211"/>
      <c r="N343" s="6"/>
      <c r="O343" s="211"/>
      <c r="P343" s="6"/>
      <c r="Q343" s="211"/>
      <c r="R343" s="6"/>
      <c r="S343" s="211"/>
      <c r="T343" s="6"/>
      <c r="U343" s="211"/>
      <c r="V343" s="6"/>
      <c r="W343" s="7"/>
      <c r="X343" s="6"/>
      <c r="Y343" s="6"/>
      <c r="Z343" s="7"/>
      <c r="AA343" s="6"/>
      <c r="AB343" s="6"/>
      <c r="AC343" s="7"/>
      <c r="AD343" s="6"/>
      <c r="AE343" s="6"/>
      <c r="AF343" s="12"/>
      <c r="AG343" s="6"/>
    </row>
    <row r="344" spans="9:33" ht="21.75" customHeight="1" x14ac:dyDescent="0.25">
      <c r="I344" s="211"/>
      <c r="J344" s="6"/>
      <c r="K344" s="211"/>
      <c r="L344" s="6"/>
      <c r="M344" s="211"/>
      <c r="N344" s="6"/>
      <c r="O344" s="211"/>
      <c r="P344" s="6"/>
      <c r="Q344" s="211"/>
      <c r="R344" s="6"/>
      <c r="S344" s="211"/>
      <c r="T344" s="6"/>
      <c r="U344" s="211"/>
      <c r="V344" s="6"/>
      <c r="W344" s="7"/>
      <c r="X344" s="6"/>
      <c r="Y344" s="6"/>
      <c r="Z344" s="7"/>
      <c r="AA344" s="6"/>
      <c r="AB344" s="6"/>
      <c r="AC344" s="7"/>
      <c r="AD344" s="6"/>
      <c r="AE344" s="6"/>
      <c r="AF344" s="12"/>
      <c r="AG344" s="6"/>
    </row>
    <row r="345" spans="9:33" ht="21.75" customHeight="1" x14ac:dyDescent="0.25">
      <c r="I345" s="211"/>
      <c r="J345" s="6"/>
      <c r="K345" s="211"/>
      <c r="L345" s="6"/>
      <c r="M345" s="211"/>
      <c r="N345" s="6"/>
      <c r="O345" s="211"/>
      <c r="P345" s="6"/>
      <c r="Q345" s="211"/>
      <c r="R345" s="6"/>
      <c r="S345" s="211"/>
      <c r="T345" s="6"/>
      <c r="U345" s="211"/>
      <c r="V345" s="6"/>
      <c r="W345" s="7"/>
      <c r="X345" s="6"/>
      <c r="Y345" s="6"/>
      <c r="Z345" s="7"/>
      <c r="AA345" s="6"/>
      <c r="AB345" s="6"/>
      <c r="AC345" s="7"/>
      <c r="AD345" s="6"/>
      <c r="AE345" s="6"/>
      <c r="AF345" s="12"/>
      <c r="AG345" s="6"/>
    </row>
    <row r="346" spans="9:33" ht="21.75" customHeight="1" x14ac:dyDescent="0.25">
      <c r="I346" s="211"/>
      <c r="J346" s="6"/>
      <c r="K346" s="211"/>
      <c r="L346" s="6"/>
      <c r="M346" s="211"/>
      <c r="N346" s="6"/>
      <c r="O346" s="211"/>
      <c r="P346" s="6"/>
      <c r="Q346" s="211"/>
      <c r="R346" s="6"/>
      <c r="S346" s="211"/>
      <c r="T346" s="6"/>
      <c r="U346" s="211"/>
      <c r="V346" s="6"/>
      <c r="W346" s="7"/>
      <c r="X346" s="6"/>
      <c r="Y346" s="6"/>
      <c r="Z346" s="7"/>
      <c r="AA346" s="6"/>
      <c r="AB346" s="6"/>
      <c r="AC346" s="7"/>
      <c r="AD346" s="6"/>
      <c r="AE346" s="6"/>
      <c r="AF346" s="12"/>
      <c r="AG346" s="6"/>
    </row>
    <row r="347" spans="9:33" ht="21.75" customHeight="1" x14ac:dyDescent="0.25">
      <c r="I347" s="211"/>
      <c r="J347" s="6"/>
      <c r="K347" s="211"/>
      <c r="L347" s="6"/>
      <c r="M347" s="211"/>
      <c r="N347" s="6"/>
      <c r="O347" s="211"/>
      <c r="P347" s="6"/>
      <c r="Q347" s="211"/>
      <c r="R347" s="6"/>
      <c r="S347" s="211"/>
      <c r="T347" s="6"/>
      <c r="U347" s="211"/>
      <c r="V347" s="6"/>
      <c r="W347" s="7"/>
      <c r="X347" s="6"/>
      <c r="Y347" s="6"/>
      <c r="Z347" s="7"/>
      <c r="AA347" s="6"/>
      <c r="AB347" s="6"/>
      <c r="AC347" s="7"/>
      <c r="AD347" s="6"/>
      <c r="AE347" s="6"/>
      <c r="AF347" s="12"/>
      <c r="AG347" s="6"/>
    </row>
    <row r="348" spans="9:33" ht="21.75" customHeight="1" x14ac:dyDescent="0.25">
      <c r="I348" s="211"/>
      <c r="J348" s="6"/>
      <c r="K348" s="211"/>
      <c r="L348" s="6"/>
      <c r="M348" s="211"/>
      <c r="N348" s="6"/>
      <c r="O348" s="211"/>
      <c r="P348" s="6"/>
      <c r="Q348" s="211"/>
      <c r="R348" s="6"/>
      <c r="S348" s="211"/>
      <c r="T348" s="6"/>
      <c r="U348" s="211"/>
      <c r="V348" s="6"/>
      <c r="W348" s="7"/>
      <c r="X348" s="6"/>
      <c r="Y348" s="6"/>
      <c r="Z348" s="7"/>
      <c r="AA348" s="6"/>
      <c r="AB348" s="6"/>
      <c r="AC348" s="7"/>
      <c r="AD348" s="6"/>
      <c r="AE348" s="6"/>
      <c r="AF348" s="12"/>
      <c r="AG348" s="6"/>
    </row>
    <row r="349" spans="9:33" ht="21.75" customHeight="1" x14ac:dyDescent="0.25">
      <c r="I349" s="211"/>
      <c r="J349" s="6"/>
      <c r="K349" s="211"/>
      <c r="L349" s="6"/>
      <c r="M349" s="211"/>
      <c r="N349" s="6"/>
      <c r="O349" s="211"/>
      <c r="P349" s="6"/>
      <c r="Q349" s="211"/>
      <c r="R349" s="6"/>
      <c r="S349" s="211"/>
      <c r="T349" s="6"/>
      <c r="U349" s="211"/>
      <c r="V349" s="6"/>
      <c r="W349" s="7"/>
      <c r="X349" s="6"/>
      <c r="Y349" s="6"/>
      <c r="Z349" s="7"/>
      <c r="AA349" s="6"/>
      <c r="AB349" s="6"/>
      <c r="AC349" s="7"/>
      <c r="AD349" s="6"/>
      <c r="AE349" s="6"/>
      <c r="AF349" s="12"/>
      <c r="AG349" s="6"/>
    </row>
    <row r="350" spans="9:33" ht="21.75" customHeight="1" x14ac:dyDescent="0.25">
      <c r="I350" s="211"/>
      <c r="J350" s="6"/>
      <c r="K350" s="211"/>
      <c r="L350" s="6"/>
      <c r="M350" s="211"/>
      <c r="N350" s="6"/>
      <c r="O350" s="211"/>
      <c r="P350" s="6"/>
      <c r="Q350" s="211"/>
      <c r="R350" s="6"/>
      <c r="S350" s="211"/>
      <c r="T350" s="6"/>
      <c r="U350" s="211"/>
      <c r="V350" s="6"/>
      <c r="W350" s="7"/>
      <c r="X350" s="6"/>
      <c r="Y350" s="6"/>
      <c r="Z350" s="7"/>
      <c r="AA350" s="6"/>
      <c r="AB350" s="6"/>
      <c r="AC350" s="7"/>
      <c r="AD350" s="6"/>
      <c r="AE350" s="6"/>
      <c r="AF350" s="12"/>
      <c r="AG350" s="6"/>
    </row>
    <row r="351" spans="9:33" ht="21.75" customHeight="1" x14ac:dyDescent="0.25">
      <c r="I351" s="211"/>
      <c r="J351" s="6"/>
      <c r="K351" s="211"/>
      <c r="L351" s="6"/>
      <c r="M351" s="211"/>
      <c r="N351" s="6"/>
      <c r="O351" s="211"/>
      <c r="P351" s="6"/>
      <c r="Q351" s="211"/>
      <c r="R351" s="6"/>
      <c r="S351" s="211"/>
      <c r="T351" s="6"/>
      <c r="U351" s="211"/>
      <c r="V351" s="6"/>
      <c r="W351" s="7"/>
      <c r="X351" s="6"/>
      <c r="Y351" s="6"/>
      <c r="Z351" s="7"/>
      <c r="AA351" s="6"/>
      <c r="AB351" s="6"/>
      <c r="AC351" s="7"/>
      <c r="AD351" s="6"/>
      <c r="AE351" s="6"/>
      <c r="AF351" s="12"/>
      <c r="AG351" s="6"/>
    </row>
    <row r="352" spans="9:33" ht="21.75" customHeight="1" x14ac:dyDescent="0.25">
      <c r="I352" s="211"/>
      <c r="J352" s="6"/>
      <c r="K352" s="211"/>
      <c r="L352" s="6"/>
      <c r="M352" s="211"/>
      <c r="N352" s="6"/>
      <c r="O352" s="211"/>
      <c r="P352" s="6"/>
      <c r="Q352" s="211"/>
      <c r="R352" s="6"/>
      <c r="S352" s="211"/>
      <c r="T352" s="6"/>
      <c r="U352" s="211"/>
      <c r="V352" s="6"/>
      <c r="W352" s="7"/>
      <c r="X352" s="6"/>
      <c r="Y352" s="6"/>
      <c r="Z352" s="7"/>
      <c r="AA352" s="6"/>
      <c r="AB352" s="6"/>
      <c r="AC352" s="7"/>
      <c r="AD352" s="6"/>
      <c r="AE352" s="6"/>
      <c r="AF352" s="12"/>
      <c r="AG352" s="6"/>
    </row>
    <row r="353" spans="9:33" ht="21.75" customHeight="1" x14ac:dyDescent="0.25">
      <c r="I353" s="211"/>
      <c r="J353" s="6"/>
      <c r="K353" s="211"/>
      <c r="L353" s="6"/>
      <c r="M353" s="211"/>
      <c r="N353" s="6"/>
      <c r="O353" s="211"/>
      <c r="P353" s="6"/>
      <c r="Q353" s="211"/>
      <c r="R353" s="6"/>
      <c r="S353" s="211"/>
      <c r="T353" s="6"/>
      <c r="U353" s="211"/>
      <c r="V353" s="6"/>
      <c r="W353" s="7"/>
      <c r="X353" s="6"/>
      <c r="Y353" s="6"/>
      <c r="Z353" s="7"/>
      <c r="AA353" s="6"/>
      <c r="AB353" s="6"/>
      <c r="AC353" s="7"/>
      <c r="AD353" s="6"/>
      <c r="AE353" s="6"/>
      <c r="AF353" s="12"/>
      <c r="AG353" s="6"/>
    </row>
    <row r="354" spans="9:33" ht="21.75" customHeight="1" x14ac:dyDescent="0.25">
      <c r="I354" s="211"/>
      <c r="J354" s="6"/>
      <c r="K354" s="211"/>
      <c r="L354" s="6"/>
      <c r="M354" s="211"/>
      <c r="N354" s="6"/>
      <c r="O354" s="211"/>
      <c r="P354" s="6"/>
      <c r="Q354" s="211"/>
      <c r="R354" s="6"/>
      <c r="S354" s="211"/>
      <c r="T354" s="6"/>
      <c r="U354" s="211"/>
      <c r="V354" s="6"/>
      <c r="W354" s="7"/>
      <c r="X354" s="6"/>
      <c r="Y354" s="6"/>
      <c r="Z354" s="7"/>
      <c r="AA354" s="6"/>
      <c r="AB354" s="6"/>
      <c r="AC354" s="7"/>
      <c r="AD354" s="6"/>
      <c r="AE354" s="6"/>
      <c r="AF354" s="12"/>
      <c r="AG354" s="6"/>
    </row>
    <row r="355" spans="9:33" ht="21.75" customHeight="1" x14ac:dyDescent="0.25">
      <c r="I355" s="211"/>
      <c r="J355" s="6"/>
      <c r="K355" s="211"/>
      <c r="L355" s="6"/>
      <c r="M355" s="211"/>
      <c r="N355" s="6"/>
      <c r="O355" s="211"/>
      <c r="P355" s="6"/>
      <c r="Q355" s="211"/>
      <c r="R355" s="6"/>
      <c r="S355" s="211"/>
      <c r="T355" s="6"/>
      <c r="U355" s="211"/>
      <c r="V355" s="6"/>
      <c r="W355" s="7"/>
      <c r="X355" s="6"/>
      <c r="Y355" s="6"/>
      <c r="Z355" s="7"/>
      <c r="AA355" s="6"/>
      <c r="AB355" s="6"/>
      <c r="AC355" s="7"/>
      <c r="AD355" s="6"/>
      <c r="AE355" s="6"/>
      <c r="AF355" s="12"/>
      <c r="AG355" s="6"/>
    </row>
    <row r="356" spans="9:33" ht="21.75" customHeight="1" x14ac:dyDescent="0.25">
      <c r="I356" s="211"/>
      <c r="J356" s="6"/>
      <c r="K356" s="211"/>
      <c r="L356" s="6"/>
      <c r="M356" s="211"/>
      <c r="N356" s="6"/>
      <c r="O356" s="211"/>
      <c r="P356" s="6"/>
      <c r="Q356" s="211"/>
      <c r="R356" s="6"/>
      <c r="S356" s="211"/>
      <c r="T356" s="6"/>
      <c r="U356" s="211"/>
      <c r="V356" s="6"/>
      <c r="W356" s="7"/>
      <c r="X356" s="6"/>
      <c r="Y356" s="6"/>
      <c r="Z356" s="7"/>
      <c r="AA356" s="6"/>
      <c r="AB356" s="6"/>
      <c r="AC356" s="7"/>
      <c r="AD356" s="6"/>
      <c r="AE356" s="6"/>
      <c r="AF356" s="12"/>
      <c r="AG356" s="6"/>
    </row>
    <row r="357" spans="9:33" ht="21.75" customHeight="1" x14ac:dyDescent="0.25">
      <c r="I357" s="211"/>
      <c r="J357" s="6"/>
      <c r="K357" s="211"/>
      <c r="L357" s="6"/>
      <c r="M357" s="211"/>
      <c r="N357" s="6"/>
      <c r="O357" s="211"/>
      <c r="P357" s="6"/>
      <c r="Q357" s="211"/>
      <c r="R357" s="6"/>
      <c r="S357" s="211"/>
      <c r="T357" s="6"/>
      <c r="U357" s="211"/>
      <c r="V357" s="6"/>
      <c r="W357" s="7"/>
      <c r="X357" s="6"/>
      <c r="Y357" s="6"/>
      <c r="Z357" s="7"/>
      <c r="AA357" s="6"/>
      <c r="AB357" s="6"/>
      <c r="AC357" s="7"/>
      <c r="AD357" s="6"/>
      <c r="AE357" s="6"/>
      <c r="AF357" s="12"/>
      <c r="AG357" s="6"/>
    </row>
    <row r="358" spans="9:33" ht="21.75" customHeight="1" x14ac:dyDescent="0.25">
      <c r="I358" s="211"/>
      <c r="J358" s="6"/>
      <c r="K358" s="211"/>
      <c r="L358" s="6"/>
      <c r="M358" s="211"/>
      <c r="N358" s="6"/>
      <c r="O358" s="211"/>
      <c r="P358" s="6"/>
      <c r="Q358" s="211"/>
      <c r="R358" s="6"/>
      <c r="S358" s="211"/>
      <c r="T358" s="6"/>
      <c r="U358" s="211"/>
      <c r="V358" s="6"/>
      <c r="W358" s="7"/>
      <c r="X358" s="6"/>
      <c r="Y358" s="6"/>
      <c r="Z358" s="7"/>
      <c r="AA358" s="6"/>
      <c r="AB358" s="6"/>
      <c r="AC358" s="7"/>
      <c r="AD358" s="6"/>
      <c r="AE358" s="6"/>
      <c r="AF358" s="12"/>
      <c r="AG358" s="6"/>
    </row>
    <row r="359" spans="9:33" ht="21.75" customHeight="1" x14ac:dyDescent="0.25">
      <c r="I359" s="211"/>
      <c r="J359" s="6"/>
      <c r="K359" s="211"/>
      <c r="L359" s="6"/>
      <c r="M359" s="211"/>
      <c r="N359" s="6"/>
      <c r="O359" s="211"/>
      <c r="P359" s="6"/>
      <c r="Q359" s="211"/>
      <c r="R359" s="6"/>
      <c r="S359" s="211"/>
      <c r="T359" s="6"/>
      <c r="U359" s="211"/>
      <c r="V359" s="6"/>
      <c r="W359" s="7"/>
      <c r="X359" s="6"/>
      <c r="Y359" s="6"/>
      <c r="Z359" s="7"/>
      <c r="AA359" s="6"/>
      <c r="AB359" s="6"/>
      <c r="AC359" s="7"/>
      <c r="AD359" s="6"/>
      <c r="AE359" s="6"/>
      <c r="AF359" s="12"/>
      <c r="AG359" s="6"/>
    </row>
    <row r="360" spans="9:33" ht="21.75" customHeight="1" x14ac:dyDescent="0.25">
      <c r="I360" s="211"/>
      <c r="J360" s="6"/>
      <c r="K360" s="211"/>
      <c r="L360" s="6"/>
      <c r="M360" s="211"/>
      <c r="N360" s="6"/>
      <c r="O360" s="211"/>
      <c r="P360" s="6"/>
      <c r="Q360" s="211"/>
      <c r="R360" s="6"/>
      <c r="S360" s="211"/>
      <c r="T360" s="6"/>
      <c r="U360" s="211"/>
      <c r="V360" s="6"/>
      <c r="W360" s="7"/>
      <c r="X360" s="6"/>
      <c r="Y360" s="6"/>
      <c r="Z360" s="7"/>
      <c r="AA360" s="6"/>
      <c r="AB360" s="6"/>
      <c r="AC360" s="7"/>
      <c r="AD360" s="6"/>
      <c r="AE360" s="6"/>
      <c r="AF360" s="12"/>
      <c r="AG360" s="6"/>
    </row>
    <row r="361" spans="9:33" ht="21.75" customHeight="1" x14ac:dyDescent="0.25">
      <c r="I361" s="211"/>
      <c r="J361" s="6"/>
      <c r="K361" s="211"/>
      <c r="L361" s="6"/>
      <c r="M361" s="211"/>
      <c r="N361" s="6"/>
      <c r="O361" s="211"/>
      <c r="P361" s="6"/>
      <c r="Q361" s="211"/>
      <c r="R361" s="6"/>
      <c r="S361" s="211"/>
      <c r="T361" s="6"/>
      <c r="U361" s="211"/>
      <c r="V361" s="6"/>
      <c r="W361" s="7"/>
      <c r="X361" s="6"/>
      <c r="Y361" s="6"/>
      <c r="Z361" s="7"/>
      <c r="AA361" s="6"/>
      <c r="AB361" s="6"/>
      <c r="AC361" s="7"/>
      <c r="AD361" s="6"/>
      <c r="AE361" s="6"/>
      <c r="AF361" s="12"/>
      <c r="AG361" s="6"/>
    </row>
    <row r="362" spans="9:33" ht="21.75" customHeight="1" x14ac:dyDescent="0.25">
      <c r="I362" s="211"/>
      <c r="J362" s="6"/>
      <c r="K362" s="211"/>
      <c r="L362" s="6"/>
      <c r="M362" s="211"/>
      <c r="N362" s="6"/>
      <c r="O362" s="211"/>
      <c r="P362" s="6"/>
      <c r="Q362" s="211"/>
      <c r="R362" s="6"/>
      <c r="S362" s="211"/>
      <c r="T362" s="6"/>
      <c r="U362" s="211"/>
      <c r="V362" s="6"/>
      <c r="W362" s="7"/>
      <c r="X362" s="6"/>
      <c r="Y362" s="6"/>
      <c r="Z362" s="7"/>
      <c r="AA362" s="6"/>
      <c r="AB362" s="6"/>
      <c r="AC362" s="7"/>
      <c r="AD362" s="6"/>
      <c r="AE362" s="6"/>
      <c r="AF362" s="12"/>
      <c r="AG362" s="6"/>
    </row>
    <row r="363" spans="9:33" ht="21.75" customHeight="1" x14ac:dyDescent="0.25">
      <c r="I363" s="211"/>
      <c r="J363" s="6"/>
      <c r="K363" s="211"/>
      <c r="L363" s="6"/>
      <c r="M363" s="211"/>
      <c r="N363" s="6"/>
      <c r="O363" s="211"/>
      <c r="P363" s="6"/>
      <c r="Q363" s="211"/>
      <c r="R363" s="6"/>
      <c r="S363" s="211"/>
      <c r="T363" s="6"/>
      <c r="U363" s="211"/>
      <c r="V363" s="6"/>
      <c r="W363" s="7"/>
      <c r="X363" s="6"/>
      <c r="Y363" s="6"/>
      <c r="Z363" s="7"/>
      <c r="AA363" s="6"/>
      <c r="AB363" s="6"/>
      <c r="AC363" s="7"/>
      <c r="AD363" s="6"/>
      <c r="AE363" s="6"/>
      <c r="AF363" s="12"/>
      <c r="AG363" s="6"/>
    </row>
    <row r="364" spans="9:33" ht="21.75" customHeight="1" x14ac:dyDescent="0.25">
      <c r="I364" s="211"/>
      <c r="J364" s="6"/>
      <c r="K364" s="211"/>
      <c r="L364" s="6"/>
      <c r="M364" s="211"/>
      <c r="N364" s="6"/>
      <c r="O364" s="211"/>
      <c r="P364" s="6"/>
      <c r="Q364" s="211"/>
      <c r="R364" s="6"/>
      <c r="S364" s="211"/>
      <c r="T364" s="6"/>
      <c r="U364" s="211"/>
      <c r="V364" s="6"/>
      <c r="W364" s="7"/>
      <c r="X364" s="6"/>
      <c r="Y364" s="6"/>
      <c r="Z364" s="7"/>
      <c r="AA364" s="6"/>
      <c r="AB364" s="6"/>
      <c r="AC364" s="7"/>
      <c r="AD364" s="6"/>
      <c r="AE364" s="6"/>
      <c r="AF364" s="12"/>
      <c r="AG364" s="6"/>
    </row>
    <row r="365" spans="9:33" ht="21.75" customHeight="1" x14ac:dyDescent="0.25">
      <c r="I365" s="211"/>
      <c r="J365" s="6"/>
      <c r="K365" s="211"/>
      <c r="L365" s="6"/>
      <c r="M365" s="211"/>
      <c r="N365" s="6"/>
      <c r="O365" s="211"/>
      <c r="P365" s="6"/>
      <c r="Q365" s="211"/>
      <c r="R365" s="6"/>
      <c r="S365" s="211"/>
      <c r="T365" s="6"/>
      <c r="U365" s="211"/>
      <c r="V365" s="6"/>
      <c r="W365" s="7"/>
      <c r="X365" s="6"/>
      <c r="Y365" s="6"/>
      <c r="Z365" s="7"/>
      <c r="AA365" s="6"/>
      <c r="AB365" s="6"/>
      <c r="AC365" s="7"/>
      <c r="AD365" s="6"/>
      <c r="AE365" s="6"/>
      <c r="AF365" s="12"/>
      <c r="AG365" s="6"/>
    </row>
    <row r="366" spans="9:33" ht="21.75" customHeight="1" x14ac:dyDescent="0.25">
      <c r="I366" s="211"/>
      <c r="J366" s="6"/>
      <c r="K366" s="211"/>
      <c r="L366" s="6"/>
      <c r="M366" s="211"/>
      <c r="N366" s="6"/>
      <c r="O366" s="211"/>
      <c r="P366" s="6"/>
      <c r="Q366" s="211"/>
      <c r="R366" s="6"/>
      <c r="S366" s="211"/>
      <c r="T366" s="6"/>
      <c r="U366" s="211"/>
      <c r="V366" s="6"/>
      <c r="W366" s="7"/>
      <c r="X366" s="6"/>
      <c r="Y366" s="6"/>
      <c r="Z366" s="7"/>
      <c r="AA366" s="6"/>
      <c r="AB366" s="6"/>
      <c r="AC366" s="7"/>
      <c r="AD366" s="6"/>
      <c r="AE366" s="6"/>
      <c r="AF366" s="12"/>
      <c r="AG366" s="6"/>
    </row>
    <row r="367" spans="9:33" ht="21.75" customHeight="1" x14ac:dyDescent="0.25">
      <c r="I367" s="211"/>
      <c r="J367" s="6"/>
      <c r="K367" s="211"/>
      <c r="L367" s="6"/>
      <c r="M367" s="211"/>
      <c r="N367" s="6"/>
      <c r="O367" s="211"/>
      <c r="P367" s="6"/>
      <c r="Q367" s="211"/>
      <c r="R367" s="6"/>
      <c r="S367" s="211"/>
      <c r="T367" s="6"/>
      <c r="U367" s="211"/>
      <c r="V367" s="6"/>
      <c r="W367" s="7"/>
      <c r="X367" s="6"/>
      <c r="Y367" s="6"/>
      <c r="Z367" s="7"/>
      <c r="AA367" s="6"/>
      <c r="AB367" s="6"/>
      <c r="AC367" s="7"/>
      <c r="AD367" s="6"/>
      <c r="AE367" s="6"/>
      <c r="AF367" s="12"/>
      <c r="AG367" s="6"/>
    </row>
    <row r="368" spans="9:33" ht="21.75" customHeight="1" x14ac:dyDescent="0.25">
      <c r="I368" s="211"/>
      <c r="J368" s="6"/>
      <c r="K368" s="211"/>
      <c r="L368" s="6"/>
      <c r="M368" s="211"/>
      <c r="N368" s="6"/>
      <c r="O368" s="211"/>
      <c r="P368" s="6"/>
      <c r="Q368" s="211"/>
      <c r="R368" s="6"/>
      <c r="S368" s="211"/>
      <c r="T368" s="6"/>
      <c r="U368" s="211"/>
      <c r="V368" s="6"/>
      <c r="W368" s="7"/>
      <c r="X368" s="6"/>
      <c r="Y368" s="6"/>
      <c r="Z368" s="7"/>
      <c r="AA368" s="6"/>
      <c r="AB368" s="6"/>
      <c r="AC368" s="7"/>
      <c r="AD368" s="6"/>
      <c r="AE368" s="6"/>
      <c r="AF368" s="12"/>
      <c r="AG368" s="6"/>
    </row>
    <row r="369" spans="9:33" ht="21.75" customHeight="1" x14ac:dyDescent="0.25">
      <c r="I369" s="211"/>
      <c r="J369" s="6"/>
      <c r="K369" s="211"/>
      <c r="L369" s="6"/>
      <c r="M369" s="211"/>
      <c r="N369" s="6"/>
      <c r="O369" s="211"/>
      <c r="P369" s="6"/>
      <c r="Q369" s="211"/>
      <c r="R369" s="6"/>
      <c r="S369" s="211"/>
      <c r="T369" s="6"/>
      <c r="U369" s="211"/>
      <c r="V369" s="6"/>
      <c r="W369" s="7"/>
      <c r="X369" s="6"/>
      <c r="Y369" s="6"/>
      <c r="Z369" s="7"/>
      <c r="AA369" s="6"/>
      <c r="AB369" s="6"/>
      <c r="AC369" s="7"/>
      <c r="AD369" s="6"/>
      <c r="AE369" s="6"/>
      <c r="AF369" s="12"/>
      <c r="AG369" s="6"/>
    </row>
    <row r="370" spans="9:33" ht="21.75" customHeight="1" x14ac:dyDescent="0.25">
      <c r="I370" s="211"/>
      <c r="J370" s="6"/>
      <c r="K370" s="211"/>
      <c r="L370" s="6"/>
      <c r="M370" s="211"/>
      <c r="N370" s="6"/>
      <c r="O370" s="211"/>
      <c r="P370" s="6"/>
      <c r="Q370" s="211"/>
      <c r="R370" s="6"/>
      <c r="S370" s="211"/>
      <c r="T370" s="6"/>
      <c r="U370" s="211"/>
      <c r="V370" s="6"/>
      <c r="W370" s="7"/>
      <c r="X370" s="6"/>
      <c r="Y370" s="6"/>
      <c r="Z370" s="7"/>
      <c r="AA370" s="6"/>
      <c r="AB370" s="6"/>
      <c r="AC370" s="7"/>
      <c r="AD370" s="6"/>
      <c r="AE370" s="6"/>
      <c r="AF370" s="12"/>
      <c r="AG370" s="6"/>
    </row>
    <row r="371" spans="9:33" ht="21.75" customHeight="1" x14ac:dyDescent="0.25">
      <c r="I371" s="211"/>
      <c r="J371" s="6"/>
      <c r="K371" s="211"/>
      <c r="L371" s="6"/>
      <c r="M371" s="211"/>
      <c r="N371" s="6"/>
      <c r="O371" s="211"/>
      <c r="P371" s="6"/>
      <c r="Q371" s="211"/>
      <c r="R371" s="6"/>
      <c r="S371" s="211"/>
      <c r="T371" s="6"/>
      <c r="U371" s="211"/>
      <c r="V371" s="6"/>
      <c r="W371" s="7"/>
      <c r="X371" s="6"/>
      <c r="Y371" s="6"/>
      <c r="Z371" s="7"/>
      <c r="AA371" s="6"/>
      <c r="AB371" s="6"/>
      <c r="AC371" s="7"/>
      <c r="AD371" s="6"/>
      <c r="AE371" s="6"/>
      <c r="AF371" s="12"/>
      <c r="AG371" s="6"/>
    </row>
    <row r="372" spans="9:33" ht="21.75" customHeight="1" x14ac:dyDescent="0.25">
      <c r="I372" s="211"/>
      <c r="J372" s="6"/>
      <c r="K372" s="211"/>
      <c r="L372" s="6"/>
      <c r="M372" s="211"/>
      <c r="N372" s="6"/>
      <c r="O372" s="211"/>
      <c r="P372" s="6"/>
      <c r="Q372" s="211"/>
      <c r="R372" s="6"/>
      <c r="S372" s="211"/>
      <c r="T372" s="6"/>
      <c r="U372" s="211"/>
      <c r="V372" s="6"/>
      <c r="W372" s="7"/>
      <c r="X372" s="6"/>
      <c r="Y372" s="6"/>
      <c r="Z372" s="7"/>
      <c r="AA372" s="6"/>
      <c r="AB372" s="6"/>
      <c r="AC372" s="7"/>
      <c r="AD372" s="6"/>
      <c r="AE372" s="6"/>
      <c r="AF372" s="12"/>
      <c r="AG372" s="6"/>
    </row>
    <row r="373" spans="9:33" ht="21.75" customHeight="1" x14ac:dyDescent="0.25">
      <c r="I373" s="211"/>
      <c r="J373" s="6"/>
      <c r="K373" s="211"/>
      <c r="L373" s="6"/>
      <c r="M373" s="211"/>
      <c r="N373" s="6"/>
      <c r="O373" s="211"/>
      <c r="P373" s="6"/>
      <c r="Q373" s="211"/>
      <c r="R373" s="6"/>
      <c r="S373" s="211"/>
      <c r="T373" s="6"/>
      <c r="U373" s="211"/>
      <c r="V373" s="6"/>
      <c r="W373" s="7"/>
      <c r="X373" s="6"/>
      <c r="Y373" s="6"/>
      <c r="Z373" s="7"/>
      <c r="AA373" s="6"/>
      <c r="AB373" s="6"/>
      <c r="AC373" s="7"/>
      <c r="AD373" s="6"/>
      <c r="AE373" s="6"/>
      <c r="AF373" s="12"/>
      <c r="AG373" s="6"/>
    </row>
    <row r="374" spans="9:33" ht="21.75" customHeight="1" x14ac:dyDescent="0.25">
      <c r="I374" s="211"/>
      <c r="J374" s="6"/>
      <c r="K374" s="211"/>
      <c r="L374" s="6"/>
      <c r="M374" s="211"/>
      <c r="N374" s="6"/>
      <c r="O374" s="211"/>
      <c r="P374" s="6"/>
      <c r="Q374" s="211"/>
      <c r="R374" s="6"/>
      <c r="S374" s="211"/>
      <c r="T374" s="6"/>
      <c r="U374" s="211"/>
      <c r="V374" s="6"/>
      <c r="W374" s="7"/>
      <c r="X374" s="6"/>
      <c r="Y374" s="6"/>
      <c r="Z374" s="7"/>
      <c r="AA374" s="6"/>
      <c r="AB374" s="6"/>
      <c r="AC374" s="7"/>
      <c r="AD374" s="6"/>
      <c r="AE374" s="6"/>
      <c r="AF374" s="12"/>
      <c r="AG374" s="6"/>
    </row>
    <row r="375" spans="9:33" ht="21.75" customHeight="1" x14ac:dyDescent="0.25">
      <c r="I375" s="211"/>
      <c r="J375" s="6"/>
      <c r="K375" s="211"/>
      <c r="L375" s="6"/>
      <c r="M375" s="211"/>
      <c r="N375" s="6"/>
      <c r="O375" s="211"/>
      <c r="P375" s="6"/>
      <c r="Q375" s="211"/>
      <c r="R375" s="6"/>
      <c r="S375" s="211"/>
      <c r="T375" s="6"/>
      <c r="U375" s="211"/>
      <c r="V375" s="6"/>
      <c r="W375" s="7"/>
      <c r="X375" s="6"/>
      <c r="Y375" s="6"/>
      <c r="Z375" s="7"/>
      <c r="AA375" s="6"/>
      <c r="AB375" s="6"/>
      <c r="AC375" s="7"/>
      <c r="AD375" s="6"/>
      <c r="AE375" s="6"/>
      <c r="AF375" s="12"/>
      <c r="AG375" s="6"/>
    </row>
    <row r="376" spans="9:33" ht="21.75" customHeight="1" x14ac:dyDescent="0.25">
      <c r="I376" s="211"/>
      <c r="J376" s="6"/>
      <c r="K376" s="211"/>
      <c r="L376" s="6"/>
      <c r="M376" s="211"/>
      <c r="N376" s="6"/>
      <c r="O376" s="211"/>
      <c r="P376" s="6"/>
      <c r="Q376" s="211"/>
      <c r="R376" s="6"/>
      <c r="S376" s="211"/>
      <c r="T376" s="6"/>
      <c r="U376" s="211"/>
      <c r="V376" s="6"/>
      <c r="W376" s="7"/>
      <c r="X376" s="6"/>
      <c r="Y376" s="6"/>
      <c r="Z376" s="7"/>
      <c r="AA376" s="6"/>
      <c r="AB376" s="6"/>
      <c r="AC376" s="7"/>
      <c r="AD376" s="6"/>
      <c r="AE376" s="6"/>
      <c r="AF376" s="12"/>
      <c r="AG376" s="6"/>
    </row>
    <row r="377" spans="9:33" ht="21.75" customHeight="1" x14ac:dyDescent="0.25">
      <c r="I377" s="211"/>
      <c r="J377" s="6"/>
      <c r="K377" s="211"/>
      <c r="L377" s="6"/>
      <c r="M377" s="211"/>
      <c r="N377" s="6"/>
      <c r="O377" s="211"/>
      <c r="P377" s="6"/>
      <c r="Q377" s="211"/>
      <c r="R377" s="6"/>
      <c r="S377" s="211"/>
      <c r="T377" s="6"/>
      <c r="U377" s="211"/>
      <c r="V377" s="6"/>
      <c r="W377" s="7"/>
      <c r="X377" s="6"/>
      <c r="Y377" s="6"/>
      <c r="Z377" s="7"/>
      <c r="AA377" s="6"/>
      <c r="AB377" s="6"/>
      <c r="AC377" s="7"/>
      <c r="AD377" s="6"/>
      <c r="AE377" s="6"/>
      <c r="AF377" s="12"/>
      <c r="AG377" s="6"/>
    </row>
    <row r="378" spans="9:33" ht="21.75" customHeight="1" x14ac:dyDescent="0.25">
      <c r="I378" s="211"/>
      <c r="J378" s="6"/>
      <c r="K378" s="211"/>
      <c r="L378" s="6"/>
      <c r="M378" s="211"/>
      <c r="N378" s="6"/>
      <c r="O378" s="211"/>
      <c r="P378" s="6"/>
      <c r="Q378" s="211"/>
      <c r="R378" s="6"/>
      <c r="S378" s="211"/>
      <c r="T378" s="6"/>
      <c r="U378" s="211"/>
      <c r="V378" s="6"/>
      <c r="W378" s="7"/>
      <c r="X378" s="6"/>
      <c r="Y378" s="6"/>
      <c r="Z378" s="7"/>
      <c r="AA378" s="6"/>
      <c r="AB378" s="6"/>
      <c r="AC378" s="7"/>
      <c r="AD378" s="6"/>
      <c r="AE378" s="6"/>
      <c r="AF378" s="12"/>
      <c r="AG378" s="6"/>
    </row>
    <row r="379" spans="9:33" ht="21.75" customHeight="1" x14ac:dyDescent="0.25">
      <c r="I379" s="211"/>
      <c r="J379" s="6"/>
      <c r="K379" s="211"/>
      <c r="L379" s="6"/>
      <c r="M379" s="211"/>
      <c r="N379" s="6"/>
      <c r="O379" s="211"/>
      <c r="P379" s="6"/>
      <c r="Q379" s="211"/>
      <c r="R379" s="6"/>
      <c r="S379" s="211"/>
      <c r="T379" s="6"/>
      <c r="U379" s="211"/>
      <c r="V379" s="6"/>
      <c r="W379" s="7"/>
      <c r="X379" s="6"/>
      <c r="Y379" s="6"/>
      <c r="Z379" s="7"/>
      <c r="AA379" s="6"/>
      <c r="AB379" s="6"/>
      <c r="AC379" s="7"/>
      <c r="AD379" s="6"/>
      <c r="AE379" s="6"/>
      <c r="AF379" s="12"/>
      <c r="AG379" s="6"/>
    </row>
    <row r="380" spans="9:33" ht="21.75" customHeight="1" x14ac:dyDescent="0.25">
      <c r="I380" s="211"/>
      <c r="J380" s="6"/>
      <c r="K380" s="211"/>
      <c r="L380" s="6"/>
      <c r="M380" s="211"/>
      <c r="N380" s="6"/>
      <c r="O380" s="211"/>
      <c r="P380" s="6"/>
      <c r="Q380" s="211"/>
      <c r="R380" s="6"/>
      <c r="S380" s="211"/>
      <c r="T380" s="6"/>
      <c r="U380" s="211"/>
      <c r="V380" s="6"/>
      <c r="W380" s="7"/>
      <c r="X380" s="6"/>
      <c r="Y380" s="6"/>
      <c r="Z380" s="7"/>
      <c r="AA380" s="6"/>
      <c r="AB380" s="6"/>
      <c r="AC380" s="7"/>
      <c r="AD380" s="6"/>
      <c r="AE380" s="6"/>
      <c r="AF380" s="12"/>
      <c r="AG380" s="6"/>
    </row>
    <row r="381" spans="9:33" ht="21.75" customHeight="1" x14ac:dyDescent="0.25">
      <c r="I381" s="211"/>
      <c r="J381" s="6"/>
      <c r="K381" s="211"/>
      <c r="L381" s="6"/>
      <c r="M381" s="211"/>
      <c r="N381" s="6"/>
      <c r="O381" s="211"/>
      <c r="P381" s="6"/>
      <c r="Q381" s="211"/>
      <c r="R381" s="6"/>
      <c r="S381" s="211"/>
      <c r="T381" s="6"/>
      <c r="U381" s="211"/>
      <c r="V381" s="6"/>
      <c r="W381" s="7"/>
      <c r="X381" s="6"/>
      <c r="Y381" s="6"/>
      <c r="Z381" s="7"/>
      <c r="AA381" s="6"/>
      <c r="AB381" s="6"/>
      <c r="AC381" s="7"/>
      <c r="AD381" s="6"/>
      <c r="AE381" s="6"/>
      <c r="AF381" s="12"/>
      <c r="AG381" s="6"/>
    </row>
    <row r="382" spans="9:33" ht="21.75" customHeight="1" x14ac:dyDescent="0.25">
      <c r="I382" s="211"/>
      <c r="J382" s="6"/>
      <c r="K382" s="211"/>
      <c r="L382" s="6"/>
      <c r="M382" s="211"/>
      <c r="N382" s="6"/>
      <c r="O382" s="211"/>
      <c r="P382" s="6"/>
      <c r="Q382" s="211"/>
      <c r="R382" s="6"/>
      <c r="S382" s="211"/>
      <c r="T382" s="6"/>
      <c r="U382" s="211"/>
      <c r="V382" s="6"/>
      <c r="W382" s="7"/>
      <c r="X382" s="6"/>
      <c r="Y382" s="6"/>
      <c r="Z382" s="7"/>
      <c r="AA382" s="6"/>
      <c r="AB382" s="6"/>
      <c r="AC382" s="7"/>
      <c r="AD382" s="6"/>
      <c r="AE382" s="6"/>
      <c r="AF382" s="12"/>
      <c r="AG382" s="6"/>
    </row>
    <row r="383" spans="9:33" ht="21.75" customHeight="1" x14ac:dyDescent="0.25">
      <c r="I383" s="211"/>
      <c r="J383" s="6"/>
      <c r="K383" s="211"/>
      <c r="L383" s="6"/>
      <c r="M383" s="211"/>
      <c r="N383" s="6"/>
      <c r="O383" s="211"/>
      <c r="P383" s="6"/>
      <c r="Q383" s="211"/>
      <c r="R383" s="6"/>
      <c r="S383" s="211"/>
      <c r="T383" s="6"/>
      <c r="U383" s="211"/>
      <c r="V383" s="6"/>
      <c r="W383" s="7"/>
      <c r="X383" s="6"/>
      <c r="Y383" s="6"/>
      <c r="Z383" s="7"/>
      <c r="AA383" s="6"/>
      <c r="AB383" s="6"/>
      <c r="AC383" s="7"/>
      <c r="AD383" s="6"/>
      <c r="AE383" s="6"/>
      <c r="AF383" s="12"/>
      <c r="AG383" s="6"/>
    </row>
    <row r="384" spans="9:33" ht="21.75" customHeight="1" x14ac:dyDescent="0.25">
      <c r="I384" s="211"/>
      <c r="J384" s="6"/>
      <c r="K384" s="211"/>
      <c r="L384" s="6"/>
      <c r="M384" s="211"/>
      <c r="N384" s="6"/>
      <c r="O384" s="211"/>
      <c r="P384" s="6"/>
      <c r="Q384" s="211"/>
      <c r="R384" s="6"/>
      <c r="S384" s="211"/>
      <c r="T384" s="6"/>
      <c r="U384" s="211"/>
      <c r="V384" s="6"/>
      <c r="W384" s="7"/>
      <c r="X384" s="6"/>
      <c r="Y384" s="6"/>
      <c r="Z384" s="7"/>
      <c r="AA384" s="6"/>
      <c r="AB384" s="6"/>
      <c r="AC384" s="7"/>
      <c r="AD384" s="6"/>
      <c r="AE384" s="6"/>
      <c r="AF384" s="12"/>
      <c r="AG384" s="6"/>
    </row>
    <row r="385" spans="9:33" ht="21.75" customHeight="1" x14ac:dyDescent="0.25">
      <c r="I385" s="211"/>
      <c r="J385" s="6"/>
      <c r="K385" s="211"/>
      <c r="L385" s="6"/>
      <c r="M385" s="211"/>
      <c r="N385" s="6"/>
      <c r="O385" s="211"/>
      <c r="P385" s="6"/>
      <c r="Q385" s="211"/>
      <c r="R385" s="6"/>
      <c r="S385" s="211"/>
      <c r="T385" s="6"/>
      <c r="U385" s="211"/>
      <c r="V385" s="6"/>
      <c r="W385" s="7"/>
      <c r="X385" s="6"/>
      <c r="Y385" s="6"/>
      <c r="Z385" s="7"/>
      <c r="AA385" s="6"/>
      <c r="AB385" s="6"/>
      <c r="AC385" s="7"/>
      <c r="AD385" s="6"/>
      <c r="AE385" s="6"/>
      <c r="AF385" s="12"/>
      <c r="AG385" s="6"/>
    </row>
    <row r="386" spans="9:33" ht="21.75" customHeight="1" x14ac:dyDescent="0.25">
      <c r="I386" s="211"/>
      <c r="J386" s="6"/>
      <c r="K386" s="211"/>
      <c r="L386" s="6"/>
      <c r="M386" s="211"/>
      <c r="N386" s="6"/>
      <c r="O386" s="211"/>
      <c r="P386" s="6"/>
      <c r="Q386" s="211"/>
      <c r="R386" s="6"/>
      <c r="S386" s="211"/>
      <c r="T386" s="6"/>
      <c r="U386" s="211"/>
      <c r="V386" s="6"/>
      <c r="W386" s="7"/>
      <c r="X386" s="6"/>
      <c r="Y386" s="6"/>
      <c r="Z386" s="7"/>
      <c r="AA386" s="6"/>
      <c r="AB386" s="6"/>
      <c r="AC386" s="7"/>
      <c r="AD386" s="6"/>
      <c r="AE386" s="6"/>
      <c r="AF386" s="12"/>
      <c r="AG386" s="6"/>
    </row>
    <row r="387" spans="9:33" ht="21.75" customHeight="1" x14ac:dyDescent="0.25">
      <c r="I387" s="211"/>
      <c r="J387" s="6"/>
      <c r="K387" s="211"/>
      <c r="L387" s="6"/>
      <c r="M387" s="211"/>
      <c r="N387" s="6"/>
      <c r="O387" s="211"/>
      <c r="P387" s="6"/>
      <c r="Q387" s="211"/>
      <c r="R387" s="6"/>
      <c r="S387" s="211"/>
      <c r="T387" s="6"/>
      <c r="U387" s="211"/>
      <c r="V387" s="6"/>
      <c r="W387" s="7"/>
      <c r="X387" s="6"/>
      <c r="Y387" s="6"/>
      <c r="Z387" s="7"/>
      <c r="AA387" s="6"/>
      <c r="AB387" s="6"/>
      <c r="AC387" s="7"/>
      <c r="AD387" s="6"/>
      <c r="AE387" s="6"/>
      <c r="AF387" s="12"/>
      <c r="AG387" s="6"/>
    </row>
    <row r="388" spans="9:33" ht="21.75" customHeight="1" x14ac:dyDescent="0.25">
      <c r="I388" s="211"/>
      <c r="J388" s="6"/>
      <c r="K388" s="211"/>
      <c r="L388" s="6"/>
      <c r="M388" s="211"/>
      <c r="N388" s="6"/>
      <c r="O388" s="211"/>
      <c r="P388" s="6"/>
      <c r="Q388" s="211"/>
      <c r="R388" s="6"/>
      <c r="S388" s="211"/>
      <c r="T388" s="6"/>
      <c r="U388" s="211"/>
      <c r="V388" s="6"/>
      <c r="W388" s="7"/>
      <c r="X388" s="6"/>
      <c r="Y388" s="6"/>
      <c r="Z388" s="7"/>
      <c r="AA388" s="6"/>
      <c r="AB388" s="6"/>
      <c r="AC388" s="7"/>
      <c r="AD388" s="6"/>
      <c r="AE388" s="6"/>
      <c r="AF388" s="12"/>
      <c r="AG388" s="6"/>
    </row>
    <row r="389" spans="9:33" ht="21.75" customHeight="1" x14ac:dyDescent="0.25">
      <c r="I389" s="211"/>
      <c r="J389" s="6"/>
      <c r="K389" s="211"/>
      <c r="L389" s="6"/>
      <c r="M389" s="211"/>
      <c r="N389" s="6"/>
      <c r="O389" s="211"/>
      <c r="P389" s="6"/>
      <c r="Q389" s="211"/>
      <c r="R389" s="6"/>
      <c r="S389" s="211"/>
      <c r="T389" s="6"/>
      <c r="U389" s="211"/>
      <c r="V389" s="6"/>
      <c r="W389" s="7"/>
      <c r="X389" s="6"/>
      <c r="Y389" s="6"/>
      <c r="Z389" s="7"/>
      <c r="AA389" s="6"/>
      <c r="AB389" s="6"/>
      <c r="AC389" s="7"/>
      <c r="AD389" s="6"/>
      <c r="AE389" s="6"/>
      <c r="AF389" s="12"/>
      <c r="AG389" s="6"/>
    </row>
    <row r="390" spans="9:33" ht="21.75" customHeight="1" x14ac:dyDescent="0.25">
      <c r="I390" s="211"/>
      <c r="J390" s="6"/>
      <c r="K390" s="211"/>
      <c r="L390" s="6"/>
      <c r="M390" s="211"/>
      <c r="N390" s="6"/>
      <c r="O390" s="211"/>
      <c r="P390" s="6"/>
      <c r="Q390" s="211"/>
      <c r="R390" s="6"/>
      <c r="S390" s="211"/>
      <c r="T390" s="6"/>
      <c r="U390" s="211"/>
      <c r="V390" s="6"/>
      <c r="W390" s="7"/>
      <c r="X390" s="6"/>
      <c r="Y390" s="6"/>
      <c r="Z390" s="7"/>
      <c r="AA390" s="6"/>
      <c r="AB390" s="6"/>
      <c r="AC390" s="7"/>
      <c r="AD390" s="6"/>
      <c r="AE390" s="6"/>
      <c r="AF390" s="12"/>
      <c r="AG390" s="6"/>
    </row>
    <row r="391" spans="9:33" ht="21.75" customHeight="1" x14ac:dyDescent="0.25">
      <c r="I391" s="211"/>
      <c r="J391" s="6"/>
      <c r="K391" s="211"/>
      <c r="L391" s="6"/>
      <c r="M391" s="211"/>
      <c r="N391" s="6"/>
      <c r="O391" s="211"/>
      <c r="P391" s="6"/>
      <c r="Q391" s="211"/>
      <c r="R391" s="6"/>
      <c r="S391" s="211"/>
      <c r="T391" s="6"/>
      <c r="U391" s="211"/>
      <c r="V391" s="6"/>
      <c r="W391" s="7"/>
      <c r="X391" s="6"/>
      <c r="Y391" s="6"/>
      <c r="Z391" s="7"/>
      <c r="AA391" s="6"/>
      <c r="AB391" s="6"/>
      <c r="AC391" s="7"/>
      <c r="AD391" s="6"/>
      <c r="AE391" s="6"/>
      <c r="AF391" s="12"/>
      <c r="AG391" s="6"/>
    </row>
    <row r="392" spans="9:33" ht="21.75" customHeight="1" x14ac:dyDescent="0.25">
      <c r="I392" s="211"/>
      <c r="J392" s="6"/>
      <c r="K392" s="211"/>
      <c r="L392" s="6"/>
      <c r="M392" s="211"/>
      <c r="N392" s="6"/>
      <c r="O392" s="211"/>
      <c r="P392" s="6"/>
      <c r="Q392" s="211"/>
      <c r="R392" s="6"/>
      <c r="S392" s="211"/>
      <c r="T392" s="6"/>
      <c r="U392" s="211"/>
      <c r="V392" s="6"/>
      <c r="W392" s="7"/>
      <c r="X392" s="6"/>
      <c r="Y392" s="6"/>
      <c r="Z392" s="7"/>
      <c r="AA392" s="6"/>
      <c r="AB392" s="6"/>
      <c r="AC392" s="7"/>
      <c r="AD392" s="6"/>
      <c r="AE392" s="6"/>
      <c r="AF392" s="12"/>
      <c r="AG392" s="6"/>
    </row>
    <row r="393" spans="9:33" ht="21.75" customHeight="1" x14ac:dyDescent="0.25">
      <c r="I393" s="211"/>
      <c r="J393" s="6"/>
      <c r="K393" s="211"/>
      <c r="L393" s="6"/>
      <c r="M393" s="211"/>
      <c r="N393" s="6"/>
      <c r="O393" s="211"/>
      <c r="P393" s="6"/>
      <c r="Q393" s="211"/>
      <c r="R393" s="6"/>
      <c r="S393" s="211"/>
      <c r="T393" s="6"/>
      <c r="U393" s="211"/>
      <c r="V393" s="6"/>
      <c r="W393" s="7"/>
      <c r="X393" s="6"/>
      <c r="Y393" s="6"/>
      <c r="Z393" s="7"/>
      <c r="AA393" s="6"/>
      <c r="AB393" s="6"/>
      <c r="AC393" s="7"/>
      <c r="AD393" s="6"/>
      <c r="AE393" s="6"/>
      <c r="AF393" s="12"/>
      <c r="AG393" s="6"/>
    </row>
    <row r="394" spans="9:33" ht="21.75" customHeight="1" x14ac:dyDescent="0.25">
      <c r="I394" s="211"/>
      <c r="J394" s="6"/>
      <c r="K394" s="211"/>
      <c r="L394" s="6"/>
      <c r="M394" s="211"/>
      <c r="N394" s="6"/>
      <c r="O394" s="211"/>
      <c r="P394" s="6"/>
      <c r="Q394" s="211"/>
      <c r="R394" s="6"/>
      <c r="S394" s="211"/>
      <c r="T394" s="6"/>
      <c r="U394" s="211"/>
      <c r="V394" s="6"/>
      <c r="W394" s="7"/>
      <c r="X394" s="6"/>
      <c r="Y394" s="6"/>
      <c r="Z394" s="7"/>
      <c r="AA394" s="6"/>
      <c r="AB394" s="6"/>
      <c r="AC394" s="7"/>
      <c r="AD394" s="6"/>
      <c r="AE394" s="6"/>
      <c r="AF394" s="12"/>
      <c r="AG394" s="6"/>
    </row>
    <row r="395" spans="9:33" ht="21.75" customHeight="1" x14ac:dyDescent="0.25">
      <c r="I395" s="211"/>
      <c r="J395" s="6"/>
      <c r="K395" s="211"/>
      <c r="L395" s="6"/>
      <c r="M395" s="211"/>
      <c r="N395" s="6"/>
      <c r="O395" s="211"/>
      <c r="P395" s="6"/>
      <c r="Q395" s="211"/>
      <c r="R395" s="6"/>
      <c r="S395" s="211"/>
      <c r="T395" s="6"/>
      <c r="U395" s="211"/>
      <c r="V395" s="6"/>
      <c r="W395" s="7"/>
      <c r="X395" s="6"/>
      <c r="Y395" s="6"/>
      <c r="Z395" s="7"/>
      <c r="AA395" s="6"/>
      <c r="AB395" s="6"/>
      <c r="AC395" s="7"/>
      <c r="AD395" s="6"/>
      <c r="AE395" s="6"/>
      <c r="AF395" s="12"/>
      <c r="AG395" s="6"/>
    </row>
    <row r="396" spans="9:33" ht="21.75" customHeight="1" x14ac:dyDescent="0.25">
      <c r="I396" s="211"/>
      <c r="J396" s="6"/>
      <c r="K396" s="211"/>
      <c r="L396" s="6"/>
      <c r="M396" s="211"/>
      <c r="N396" s="6"/>
      <c r="O396" s="211"/>
      <c r="P396" s="6"/>
      <c r="Q396" s="211"/>
      <c r="R396" s="6"/>
      <c r="S396" s="211"/>
      <c r="T396" s="6"/>
      <c r="U396" s="211"/>
      <c r="V396" s="6"/>
      <c r="W396" s="7"/>
      <c r="X396" s="6"/>
      <c r="Y396" s="6"/>
      <c r="Z396" s="7"/>
      <c r="AA396" s="6"/>
      <c r="AB396" s="6"/>
      <c r="AC396" s="7"/>
      <c r="AD396" s="6"/>
      <c r="AE396" s="6"/>
      <c r="AF396" s="12"/>
      <c r="AG396" s="6"/>
    </row>
    <row r="397" spans="9:33" ht="21.75" customHeight="1" x14ac:dyDescent="0.25">
      <c r="I397" s="211"/>
      <c r="J397" s="6"/>
      <c r="K397" s="211"/>
      <c r="L397" s="6"/>
      <c r="M397" s="211"/>
      <c r="N397" s="6"/>
      <c r="O397" s="211"/>
      <c r="P397" s="6"/>
      <c r="Q397" s="211"/>
      <c r="R397" s="6"/>
      <c r="S397" s="211"/>
      <c r="T397" s="6"/>
      <c r="U397" s="211"/>
      <c r="V397" s="6"/>
      <c r="W397" s="7"/>
      <c r="X397" s="6"/>
      <c r="Y397" s="6"/>
      <c r="Z397" s="7"/>
      <c r="AA397" s="6"/>
      <c r="AB397" s="6"/>
      <c r="AC397" s="7"/>
      <c r="AD397" s="6"/>
      <c r="AE397" s="6"/>
      <c r="AF397" s="12"/>
      <c r="AG397" s="6"/>
    </row>
    <row r="398" spans="9:33" ht="21.75" customHeight="1" x14ac:dyDescent="0.25">
      <c r="I398" s="211"/>
      <c r="J398" s="6"/>
      <c r="K398" s="211"/>
      <c r="L398" s="6"/>
      <c r="M398" s="211"/>
      <c r="N398" s="6"/>
      <c r="O398" s="211"/>
      <c r="P398" s="6"/>
      <c r="Q398" s="211"/>
      <c r="R398" s="6"/>
      <c r="S398" s="211"/>
      <c r="T398" s="6"/>
      <c r="U398" s="211"/>
      <c r="V398" s="6"/>
      <c r="W398" s="7"/>
      <c r="X398" s="6"/>
      <c r="Y398" s="6"/>
      <c r="Z398" s="7"/>
      <c r="AA398" s="6"/>
      <c r="AB398" s="6"/>
      <c r="AC398" s="7"/>
      <c r="AD398" s="6"/>
      <c r="AE398" s="6"/>
      <c r="AF398" s="12"/>
      <c r="AG398" s="6"/>
    </row>
    <row r="399" spans="9:33" ht="21.75" customHeight="1" x14ac:dyDescent="0.25">
      <c r="I399" s="211"/>
      <c r="J399" s="6"/>
      <c r="K399" s="211"/>
      <c r="L399" s="6"/>
      <c r="M399" s="211"/>
      <c r="N399" s="6"/>
      <c r="O399" s="211"/>
      <c r="P399" s="6"/>
      <c r="Q399" s="211"/>
      <c r="R399" s="6"/>
      <c r="S399" s="211"/>
      <c r="T399" s="6"/>
      <c r="U399" s="211"/>
      <c r="V399" s="6"/>
      <c r="W399" s="7"/>
      <c r="X399" s="6"/>
      <c r="Y399" s="6"/>
      <c r="Z399" s="7"/>
      <c r="AA399" s="6"/>
      <c r="AB399" s="6"/>
      <c r="AC399" s="7"/>
      <c r="AD399" s="6"/>
      <c r="AE399" s="6"/>
      <c r="AF399" s="12"/>
      <c r="AG399" s="6"/>
    </row>
    <row r="400" spans="9:33" ht="21.75" customHeight="1" x14ac:dyDescent="0.25">
      <c r="I400" s="211"/>
      <c r="J400" s="6"/>
      <c r="K400" s="211"/>
      <c r="L400" s="6"/>
      <c r="M400" s="211"/>
      <c r="N400" s="6"/>
      <c r="O400" s="211"/>
      <c r="P400" s="6"/>
      <c r="Q400" s="211"/>
      <c r="R400" s="6"/>
      <c r="S400" s="211"/>
      <c r="T400" s="6"/>
      <c r="U400" s="211"/>
      <c r="V400" s="6"/>
      <c r="W400" s="7"/>
      <c r="X400" s="6"/>
      <c r="Y400" s="6"/>
      <c r="Z400" s="7"/>
      <c r="AA400" s="6"/>
      <c r="AB400" s="6"/>
      <c r="AC400" s="7"/>
      <c r="AD400" s="6"/>
      <c r="AE400" s="6"/>
      <c r="AF400" s="12"/>
      <c r="AG400" s="6"/>
    </row>
    <row r="401" spans="9:33" ht="21.75" customHeight="1" x14ac:dyDescent="0.25">
      <c r="I401" s="211"/>
      <c r="J401" s="6"/>
      <c r="K401" s="211"/>
      <c r="L401" s="6"/>
      <c r="M401" s="211"/>
      <c r="N401" s="6"/>
      <c r="O401" s="211"/>
      <c r="P401" s="6"/>
      <c r="Q401" s="211"/>
      <c r="R401" s="6"/>
      <c r="S401" s="211"/>
      <c r="T401" s="6"/>
      <c r="U401" s="211"/>
      <c r="V401" s="6"/>
      <c r="W401" s="7"/>
      <c r="X401" s="6"/>
      <c r="Y401" s="6"/>
      <c r="Z401" s="7"/>
      <c r="AA401" s="6"/>
      <c r="AB401" s="6"/>
      <c r="AC401" s="7"/>
      <c r="AD401" s="6"/>
      <c r="AE401" s="6"/>
      <c r="AF401" s="12"/>
      <c r="AG401" s="6"/>
    </row>
    <row r="402" spans="9:33" ht="21.75" customHeight="1" x14ac:dyDescent="0.25">
      <c r="I402" s="211"/>
      <c r="J402" s="6"/>
      <c r="K402" s="211"/>
      <c r="L402" s="6"/>
      <c r="M402" s="211"/>
      <c r="N402" s="6"/>
      <c r="O402" s="211"/>
      <c r="P402" s="6"/>
      <c r="Q402" s="211"/>
      <c r="R402" s="6"/>
      <c r="S402" s="211"/>
      <c r="T402" s="6"/>
      <c r="U402" s="211"/>
      <c r="V402" s="6"/>
      <c r="W402" s="7"/>
      <c r="X402" s="6"/>
      <c r="Y402" s="6"/>
      <c r="Z402" s="7"/>
      <c r="AA402" s="6"/>
      <c r="AB402" s="6"/>
      <c r="AC402" s="7"/>
      <c r="AD402" s="6"/>
      <c r="AE402" s="6"/>
      <c r="AF402" s="12"/>
      <c r="AG402" s="6"/>
    </row>
    <row r="403" spans="9:33" ht="21.75" customHeight="1" x14ac:dyDescent="0.25">
      <c r="I403" s="211"/>
      <c r="J403" s="6"/>
      <c r="K403" s="211"/>
      <c r="L403" s="6"/>
      <c r="M403" s="211"/>
      <c r="N403" s="6"/>
      <c r="O403" s="211"/>
      <c r="P403" s="6"/>
      <c r="Q403" s="211"/>
      <c r="R403" s="6"/>
      <c r="S403" s="211"/>
      <c r="T403" s="6"/>
      <c r="U403" s="211"/>
      <c r="V403" s="6"/>
      <c r="W403" s="7"/>
      <c r="X403" s="6"/>
      <c r="Y403" s="6"/>
      <c r="Z403" s="7"/>
      <c r="AA403" s="6"/>
      <c r="AB403" s="6"/>
      <c r="AC403" s="7"/>
      <c r="AD403" s="6"/>
      <c r="AE403" s="6"/>
      <c r="AF403" s="12"/>
      <c r="AG403" s="6"/>
    </row>
    <row r="404" spans="9:33" ht="21.75" customHeight="1" x14ac:dyDescent="0.25">
      <c r="I404" s="211"/>
      <c r="J404" s="6"/>
      <c r="K404" s="211"/>
      <c r="L404" s="6"/>
      <c r="M404" s="211"/>
      <c r="N404" s="6"/>
      <c r="O404" s="211"/>
      <c r="P404" s="6"/>
      <c r="Q404" s="211"/>
      <c r="R404" s="6"/>
      <c r="S404" s="211"/>
      <c r="T404" s="6"/>
      <c r="U404" s="211"/>
      <c r="V404" s="6"/>
      <c r="W404" s="7"/>
      <c r="X404" s="6"/>
      <c r="Y404" s="6"/>
      <c r="Z404" s="7"/>
      <c r="AA404" s="6"/>
      <c r="AB404" s="6"/>
      <c r="AC404" s="7"/>
      <c r="AD404" s="6"/>
      <c r="AE404" s="6"/>
      <c r="AF404" s="12"/>
      <c r="AG404" s="6"/>
    </row>
    <row r="405" spans="9:33" ht="21.75" customHeight="1" x14ac:dyDescent="0.25">
      <c r="I405" s="211"/>
      <c r="J405" s="6"/>
      <c r="K405" s="211"/>
      <c r="L405" s="6"/>
      <c r="M405" s="211"/>
      <c r="N405" s="6"/>
      <c r="O405" s="211"/>
      <c r="P405" s="6"/>
      <c r="Q405" s="211"/>
      <c r="R405" s="6"/>
      <c r="S405" s="211"/>
      <c r="T405" s="6"/>
      <c r="U405" s="211"/>
      <c r="V405" s="6"/>
      <c r="W405" s="7"/>
      <c r="X405" s="6"/>
      <c r="Y405" s="6"/>
      <c r="Z405" s="7"/>
      <c r="AA405" s="6"/>
      <c r="AB405" s="6"/>
      <c r="AC405" s="7"/>
      <c r="AD405" s="6"/>
      <c r="AE405" s="6"/>
      <c r="AF405" s="12"/>
      <c r="AG405" s="6"/>
    </row>
    <row r="406" spans="9:33" ht="21.75" customHeight="1" x14ac:dyDescent="0.25">
      <c r="I406" s="211"/>
      <c r="J406" s="6"/>
      <c r="K406" s="211"/>
      <c r="L406" s="6"/>
      <c r="M406" s="211"/>
      <c r="N406" s="6"/>
      <c r="O406" s="211"/>
      <c r="P406" s="6"/>
      <c r="Q406" s="211"/>
      <c r="R406" s="6"/>
      <c r="S406" s="211"/>
      <c r="T406" s="6"/>
      <c r="U406" s="211"/>
      <c r="V406" s="6"/>
      <c r="W406" s="7"/>
      <c r="X406" s="6"/>
      <c r="Y406" s="6"/>
      <c r="Z406" s="7"/>
      <c r="AA406" s="6"/>
      <c r="AB406" s="6"/>
      <c r="AC406" s="7"/>
      <c r="AD406" s="6"/>
      <c r="AE406" s="6"/>
      <c r="AF406" s="12"/>
      <c r="AG406" s="6"/>
    </row>
    <row r="407" spans="9:33" ht="21.75" customHeight="1" x14ac:dyDescent="0.25">
      <c r="I407" s="211"/>
      <c r="J407" s="6"/>
      <c r="K407" s="211"/>
      <c r="L407" s="6"/>
      <c r="M407" s="211"/>
      <c r="N407" s="6"/>
      <c r="O407" s="211"/>
      <c r="P407" s="6"/>
      <c r="Q407" s="211"/>
      <c r="R407" s="6"/>
      <c r="S407" s="211"/>
      <c r="T407" s="6"/>
      <c r="U407" s="211"/>
      <c r="V407" s="6"/>
      <c r="W407" s="7"/>
      <c r="X407" s="6"/>
      <c r="Y407" s="6"/>
      <c r="Z407" s="7"/>
      <c r="AA407" s="6"/>
      <c r="AB407" s="6"/>
      <c r="AC407" s="7"/>
      <c r="AD407" s="6"/>
      <c r="AE407" s="6"/>
      <c r="AF407" s="12"/>
      <c r="AG407" s="6"/>
    </row>
    <row r="408" spans="9:33" ht="21.75" customHeight="1" x14ac:dyDescent="0.25">
      <c r="I408" s="211"/>
      <c r="J408" s="6"/>
      <c r="K408" s="211"/>
      <c r="L408" s="6"/>
      <c r="M408" s="211"/>
      <c r="N408" s="6"/>
      <c r="O408" s="211"/>
      <c r="P408" s="6"/>
      <c r="Q408" s="211"/>
      <c r="R408" s="6"/>
      <c r="S408" s="211"/>
      <c r="T408" s="6"/>
      <c r="U408" s="211"/>
      <c r="V408" s="6"/>
      <c r="W408" s="7"/>
      <c r="X408" s="6"/>
      <c r="Y408" s="6"/>
      <c r="Z408" s="7"/>
      <c r="AA408" s="6"/>
      <c r="AB408" s="6"/>
      <c r="AC408" s="7"/>
      <c r="AD408" s="6"/>
      <c r="AE408" s="6"/>
      <c r="AF408" s="12"/>
      <c r="AG408" s="6"/>
    </row>
    <row r="409" spans="9:33" ht="21.75" customHeight="1" x14ac:dyDescent="0.25">
      <c r="I409" s="211"/>
      <c r="J409" s="6"/>
      <c r="K409" s="211"/>
      <c r="L409" s="6"/>
      <c r="M409" s="211"/>
      <c r="N409" s="6"/>
      <c r="O409" s="211"/>
      <c r="P409" s="6"/>
      <c r="Q409" s="211"/>
      <c r="R409" s="6"/>
      <c r="S409" s="211"/>
      <c r="T409" s="6"/>
      <c r="U409" s="211"/>
      <c r="V409" s="6"/>
      <c r="W409" s="7"/>
      <c r="X409" s="6"/>
      <c r="Y409" s="6"/>
      <c r="Z409" s="7"/>
      <c r="AA409" s="6"/>
      <c r="AB409" s="6"/>
      <c r="AC409" s="7"/>
      <c r="AD409" s="6"/>
      <c r="AE409" s="6"/>
      <c r="AF409" s="12"/>
      <c r="AG409" s="6"/>
    </row>
    <row r="410" spans="9:33" ht="21.75" customHeight="1" x14ac:dyDescent="0.25">
      <c r="I410" s="211"/>
      <c r="J410" s="6"/>
      <c r="K410" s="211"/>
      <c r="L410" s="6"/>
      <c r="M410" s="211"/>
      <c r="N410" s="6"/>
      <c r="O410" s="211"/>
      <c r="P410" s="6"/>
      <c r="Q410" s="211"/>
      <c r="R410" s="6"/>
      <c r="S410" s="211"/>
      <c r="T410" s="6"/>
      <c r="U410" s="211"/>
      <c r="V410" s="6"/>
      <c r="W410" s="7"/>
      <c r="X410" s="6"/>
      <c r="Y410" s="6"/>
      <c r="Z410" s="7"/>
      <c r="AA410" s="6"/>
      <c r="AB410" s="6"/>
      <c r="AC410" s="7"/>
      <c r="AD410" s="6"/>
      <c r="AE410" s="6"/>
      <c r="AF410" s="12"/>
      <c r="AG410" s="6"/>
    </row>
    <row r="411" spans="9:33" ht="21.75" customHeight="1" x14ac:dyDescent="0.25">
      <c r="I411" s="211"/>
      <c r="J411" s="6"/>
      <c r="K411" s="211"/>
      <c r="L411" s="6"/>
      <c r="M411" s="211"/>
      <c r="N411" s="6"/>
      <c r="O411" s="211"/>
      <c r="P411" s="6"/>
      <c r="Q411" s="211"/>
      <c r="R411" s="6"/>
      <c r="S411" s="211"/>
      <c r="T411" s="6"/>
      <c r="U411" s="211"/>
      <c r="V411" s="6"/>
      <c r="W411" s="7"/>
      <c r="X411" s="6"/>
      <c r="Y411" s="6"/>
      <c r="Z411" s="7"/>
      <c r="AA411" s="6"/>
      <c r="AB411" s="6"/>
      <c r="AC411" s="7"/>
      <c r="AD411" s="6"/>
      <c r="AE411" s="6"/>
      <c r="AF411" s="12"/>
      <c r="AG411" s="6"/>
    </row>
    <row r="412" spans="9:33" ht="21.75" customHeight="1" x14ac:dyDescent="0.25">
      <c r="I412" s="211"/>
      <c r="J412" s="6"/>
      <c r="K412" s="211"/>
      <c r="L412" s="6"/>
      <c r="M412" s="211"/>
      <c r="N412" s="6"/>
      <c r="O412" s="211"/>
      <c r="P412" s="6"/>
      <c r="Q412" s="211"/>
      <c r="R412" s="6"/>
      <c r="S412" s="211"/>
      <c r="T412" s="6"/>
      <c r="U412" s="211"/>
      <c r="V412" s="6"/>
      <c r="W412" s="7"/>
      <c r="X412" s="6"/>
      <c r="Y412" s="6"/>
      <c r="Z412" s="7"/>
      <c r="AA412" s="6"/>
      <c r="AB412" s="6"/>
      <c r="AC412" s="7"/>
      <c r="AD412" s="6"/>
      <c r="AE412" s="6"/>
      <c r="AF412" s="12"/>
      <c r="AG412" s="6"/>
    </row>
    <row r="413" spans="9:33" ht="21.75" customHeight="1" x14ac:dyDescent="0.25">
      <c r="I413" s="211"/>
      <c r="J413" s="6"/>
      <c r="K413" s="211"/>
      <c r="L413" s="6"/>
      <c r="M413" s="211"/>
      <c r="N413" s="6"/>
      <c r="O413" s="211"/>
      <c r="P413" s="6"/>
      <c r="Q413" s="211"/>
      <c r="R413" s="6"/>
      <c r="S413" s="211"/>
      <c r="T413" s="6"/>
      <c r="U413" s="211"/>
      <c r="V413" s="6"/>
      <c r="W413" s="7"/>
      <c r="X413" s="6"/>
      <c r="Y413" s="6"/>
      <c r="Z413" s="7"/>
      <c r="AA413" s="6"/>
      <c r="AB413" s="6"/>
      <c r="AC413" s="7"/>
      <c r="AD413" s="6"/>
      <c r="AE413" s="6"/>
      <c r="AF413" s="12"/>
      <c r="AG413" s="6"/>
    </row>
    <row r="414" spans="9:33" ht="21.75" customHeight="1" x14ac:dyDescent="0.25">
      <c r="I414" s="211"/>
      <c r="J414" s="6"/>
      <c r="K414" s="211"/>
      <c r="L414" s="6"/>
      <c r="M414" s="211"/>
      <c r="N414" s="6"/>
      <c r="O414" s="211"/>
      <c r="P414" s="6"/>
      <c r="Q414" s="211"/>
      <c r="R414" s="6"/>
      <c r="S414" s="211"/>
      <c r="T414" s="6"/>
      <c r="U414" s="211"/>
      <c r="V414" s="6"/>
      <c r="W414" s="7"/>
      <c r="X414" s="6"/>
      <c r="Y414" s="6"/>
      <c r="Z414" s="7"/>
      <c r="AA414" s="6"/>
      <c r="AB414" s="6"/>
      <c r="AC414" s="7"/>
      <c r="AD414" s="6"/>
      <c r="AE414" s="6"/>
      <c r="AF414" s="12"/>
      <c r="AG414" s="6"/>
    </row>
    <row r="415" spans="9:33" ht="21.75" customHeight="1" x14ac:dyDescent="0.25">
      <c r="I415" s="211"/>
      <c r="J415" s="6"/>
      <c r="K415" s="211"/>
      <c r="L415" s="6"/>
      <c r="M415" s="211"/>
      <c r="N415" s="6"/>
      <c r="O415" s="211"/>
      <c r="P415" s="6"/>
      <c r="Q415" s="211"/>
      <c r="R415" s="6"/>
      <c r="S415" s="211"/>
      <c r="T415" s="6"/>
      <c r="U415" s="211"/>
      <c r="V415" s="6"/>
      <c r="W415" s="7"/>
      <c r="X415" s="6"/>
      <c r="Y415" s="6"/>
      <c r="Z415" s="7"/>
      <c r="AA415" s="6"/>
      <c r="AB415" s="6"/>
      <c r="AC415" s="7"/>
      <c r="AD415" s="6"/>
      <c r="AE415" s="6"/>
      <c r="AF415" s="12"/>
      <c r="AG415" s="6"/>
    </row>
    <row r="416" spans="9:33" ht="21.75" customHeight="1" x14ac:dyDescent="0.25">
      <c r="I416" s="211"/>
      <c r="J416" s="6"/>
      <c r="K416" s="211"/>
      <c r="L416" s="6"/>
      <c r="M416" s="211"/>
      <c r="N416" s="6"/>
      <c r="O416" s="211"/>
      <c r="P416" s="6"/>
      <c r="Q416" s="211"/>
      <c r="R416" s="6"/>
      <c r="S416" s="211"/>
      <c r="T416" s="6"/>
      <c r="U416" s="211"/>
      <c r="V416" s="6"/>
      <c r="W416" s="7"/>
      <c r="X416" s="6"/>
      <c r="Y416" s="6"/>
      <c r="Z416" s="7"/>
      <c r="AA416" s="6"/>
      <c r="AB416" s="6"/>
      <c r="AC416" s="7"/>
      <c r="AD416" s="6"/>
      <c r="AE416" s="6"/>
      <c r="AF416" s="12"/>
      <c r="AG416" s="6"/>
    </row>
    <row r="417" spans="9:33" ht="21.75" customHeight="1" x14ac:dyDescent="0.25">
      <c r="I417" s="211"/>
      <c r="J417" s="6"/>
      <c r="K417" s="211"/>
      <c r="L417" s="6"/>
      <c r="M417" s="211"/>
      <c r="N417" s="6"/>
      <c r="O417" s="211"/>
      <c r="P417" s="6"/>
      <c r="Q417" s="211"/>
      <c r="R417" s="6"/>
      <c r="S417" s="211"/>
      <c r="T417" s="6"/>
      <c r="U417" s="211"/>
      <c r="V417" s="6"/>
      <c r="W417" s="7"/>
      <c r="X417" s="6"/>
      <c r="Y417" s="6"/>
      <c r="Z417" s="7"/>
      <c r="AA417" s="6"/>
      <c r="AB417" s="6"/>
      <c r="AC417" s="7"/>
      <c r="AD417" s="6"/>
      <c r="AE417" s="6"/>
      <c r="AF417" s="12"/>
      <c r="AG417" s="6"/>
    </row>
    <row r="418" spans="9:33" ht="21.75" customHeight="1" x14ac:dyDescent="0.25">
      <c r="I418" s="211"/>
      <c r="J418" s="6"/>
      <c r="K418" s="211"/>
      <c r="L418" s="6"/>
      <c r="M418" s="211"/>
      <c r="N418" s="6"/>
      <c r="O418" s="211"/>
      <c r="P418" s="6"/>
      <c r="Q418" s="211"/>
      <c r="R418" s="6"/>
      <c r="S418" s="211"/>
      <c r="T418" s="6"/>
      <c r="U418" s="211"/>
      <c r="V418" s="6"/>
      <c r="W418" s="7"/>
      <c r="X418" s="6"/>
      <c r="Y418" s="6"/>
      <c r="Z418" s="7"/>
      <c r="AA418" s="6"/>
      <c r="AB418" s="6"/>
      <c r="AC418" s="7"/>
      <c r="AD418" s="6"/>
      <c r="AE418" s="6"/>
      <c r="AF418" s="12"/>
      <c r="AG418" s="6"/>
    </row>
    <row r="419" spans="9:33" ht="21.75" customHeight="1" x14ac:dyDescent="0.25">
      <c r="I419" s="211"/>
      <c r="J419" s="6"/>
      <c r="K419" s="211"/>
      <c r="L419" s="6"/>
      <c r="M419" s="211"/>
      <c r="N419" s="6"/>
      <c r="O419" s="211"/>
      <c r="P419" s="6"/>
      <c r="Q419" s="211"/>
      <c r="R419" s="6"/>
      <c r="S419" s="211"/>
      <c r="T419" s="6"/>
      <c r="U419" s="211"/>
      <c r="V419" s="6"/>
      <c r="W419" s="7"/>
      <c r="X419" s="6"/>
      <c r="Y419" s="6"/>
      <c r="Z419" s="7"/>
      <c r="AA419" s="6"/>
      <c r="AB419" s="6"/>
      <c r="AC419" s="7"/>
      <c r="AD419" s="6"/>
      <c r="AE419" s="6"/>
      <c r="AF419" s="12"/>
      <c r="AG419" s="6"/>
    </row>
    <row r="420" spans="9:33" ht="21.75" customHeight="1" x14ac:dyDescent="0.25">
      <c r="I420" s="211"/>
      <c r="J420" s="6"/>
      <c r="K420" s="211"/>
      <c r="L420" s="6"/>
      <c r="M420" s="211"/>
      <c r="N420" s="6"/>
      <c r="O420" s="211"/>
      <c r="P420" s="6"/>
      <c r="Q420" s="211"/>
      <c r="R420" s="6"/>
      <c r="S420" s="211"/>
      <c r="T420" s="6"/>
      <c r="U420" s="211"/>
      <c r="V420" s="6"/>
      <c r="W420" s="7"/>
      <c r="X420" s="6"/>
      <c r="Y420" s="6"/>
      <c r="Z420" s="7"/>
      <c r="AA420" s="6"/>
      <c r="AB420" s="6"/>
      <c r="AC420" s="7"/>
      <c r="AD420" s="6"/>
      <c r="AE420" s="6"/>
      <c r="AF420" s="12"/>
      <c r="AG420" s="6"/>
    </row>
    <row r="421" spans="9:33" ht="21.75" customHeight="1" x14ac:dyDescent="0.25">
      <c r="I421" s="211"/>
      <c r="J421" s="6"/>
      <c r="K421" s="211"/>
      <c r="L421" s="6"/>
      <c r="M421" s="211"/>
      <c r="N421" s="6"/>
      <c r="O421" s="211"/>
      <c r="P421" s="6"/>
      <c r="Q421" s="211"/>
      <c r="R421" s="6"/>
      <c r="S421" s="211"/>
      <c r="T421" s="6"/>
      <c r="U421" s="211"/>
      <c r="V421" s="6"/>
      <c r="W421" s="7"/>
      <c r="X421" s="6"/>
      <c r="Y421" s="6"/>
      <c r="Z421" s="7"/>
      <c r="AA421" s="6"/>
      <c r="AB421" s="6"/>
      <c r="AC421" s="7"/>
      <c r="AD421" s="6"/>
      <c r="AE421" s="6"/>
      <c r="AF421" s="12"/>
      <c r="AG421" s="6"/>
    </row>
    <row r="422" spans="9:33" ht="21.75" customHeight="1" x14ac:dyDescent="0.25">
      <c r="I422" s="211"/>
      <c r="J422" s="6"/>
      <c r="K422" s="211"/>
      <c r="L422" s="6"/>
      <c r="M422" s="211"/>
      <c r="N422" s="6"/>
      <c r="O422" s="211"/>
      <c r="P422" s="6"/>
      <c r="Q422" s="211"/>
      <c r="R422" s="6"/>
      <c r="S422" s="211"/>
      <c r="T422" s="6"/>
      <c r="U422" s="211"/>
      <c r="V422" s="6"/>
      <c r="W422" s="7"/>
      <c r="X422" s="6"/>
      <c r="Y422" s="6"/>
      <c r="Z422" s="7"/>
      <c r="AA422" s="6"/>
      <c r="AB422" s="6"/>
      <c r="AC422" s="7"/>
      <c r="AD422" s="6"/>
      <c r="AE422" s="6"/>
      <c r="AF422" s="12"/>
      <c r="AG422" s="6"/>
    </row>
    <row r="423" spans="9:33" ht="21.75" customHeight="1" x14ac:dyDescent="0.25">
      <c r="I423" s="211"/>
      <c r="J423" s="6"/>
      <c r="K423" s="211"/>
      <c r="L423" s="6"/>
      <c r="M423" s="211"/>
      <c r="N423" s="6"/>
      <c r="O423" s="211"/>
      <c r="P423" s="6"/>
      <c r="Q423" s="211"/>
      <c r="R423" s="6"/>
      <c r="S423" s="211"/>
      <c r="T423" s="6"/>
      <c r="U423" s="211"/>
      <c r="V423" s="6"/>
      <c r="W423" s="7"/>
      <c r="X423" s="6"/>
      <c r="Y423" s="6"/>
      <c r="Z423" s="7"/>
      <c r="AA423" s="6"/>
      <c r="AB423" s="6"/>
      <c r="AC423" s="7"/>
      <c r="AD423" s="6"/>
      <c r="AE423" s="6"/>
      <c r="AF423" s="12"/>
      <c r="AG423" s="6"/>
    </row>
  </sheetData>
  <conditionalFormatting sqref="G5:H143">
    <cfRule type="dataBar" priority="177">
      <dataBar>
        <cfvo type="min"/>
        <cfvo type="max"/>
        <color rgb="FF638EC6"/>
      </dataBar>
    </cfRule>
  </conditionalFormatting>
  <conditionalFormatting sqref="I5:I1048576">
    <cfRule type="colorScale" priority="3">
      <colorScale>
        <cfvo type="min"/>
        <cfvo type="max"/>
        <color rgb="FF63BE7B"/>
        <color rgb="FFFFEF9C"/>
      </colorScale>
    </cfRule>
  </conditionalFormatting>
  <conditionalFormatting sqref="J5:J143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048576">
    <cfRule type="colorScale" priority="2">
      <colorScale>
        <cfvo type="min"/>
        <cfvo type="max"/>
        <color rgb="FF63BE7B"/>
        <color rgb="FFFFEF9C"/>
      </colorScale>
    </cfRule>
  </conditionalFormatting>
  <conditionalFormatting sqref="L5:L143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1048576">
    <cfRule type="colorScale" priority="1">
      <colorScale>
        <cfvo type="min"/>
        <cfvo type="max"/>
        <color rgb="FF63BE7B"/>
        <color rgb="FFFFEF9C"/>
      </colorScale>
    </cfRule>
  </conditionalFormatting>
  <conditionalFormatting sqref="N5:N143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143">
    <cfRule type="colorScale" priority="1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5:O1048576">
    <cfRule type="colorScale" priority="7">
      <colorScale>
        <cfvo type="min"/>
        <cfvo type="max"/>
        <color rgb="FF63BE7B"/>
        <color rgb="FFFFEF9C"/>
      </colorScale>
    </cfRule>
  </conditionalFormatting>
  <conditionalFormatting sqref="O5:P143">
    <cfRule type="colorScale" priority="1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5:Q1048576">
    <cfRule type="colorScale" priority="6">
      <colorScale>
        <cfvo type="min"/>
        <cfvo type="max"/>
        <color rgb="FF63BE7B"/>
        <color rgb="FFFFEF9C"/>
      </colorScale>
    </cfRule>
  </conditionalFormatting>
  <conditionalFormatting sqref="S5:S1048576">
    <cfRule type="colorScale" priority="4">
      <colorScale>
        <cfvo type="min"/>
        <cfvo type="max"/>
        <color rgb="FF63BE7B"/>
        <color rgb="FFFFEF9C"/>
      </colorScale>
    </cfRule>
  </conditionalFormatting>
  <conditionalFormatting sqref="U5:U143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">
      <colorScale>
        <cfvo type="min"/>
        <cfvo type="max"/>
        <color rgb="FF63BE7B"/>
        <color rgb="FFFFEF9C"/>
      </colorScale>
    </cfRule>
  </conditionalFormatting>
  <conditionalFormatting sqref="U5:U1048576">
    <cfRule type="colorScale" priority="5">
      <colorScale>
        <cfvo type="min"/>
        <cfvo type="max"/>
        <color rgb="FF63BE7B"/>
        <color rgb="FFFFEF9C"/>
      </colorScale>
    </cfRule>
  </conditionalFormatting>
  <conditionalFormatting sqref="AH5:AI143">
    <cfRule type="colorScale" priority="1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5:AK143">
    <cfRule type="colorScale" priority="1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5:AM143">
    <cfRule type="colorScale" priority="17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5:AO143">
    <cfRule type="colorScale" priority="17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autoPageBreaks="0"/>
  </sheetPr>
  <dimension ref="A1:AN341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C28" sqref="AC28:AI28"/>
    </sheetView>
  </sheetViews>
  <sheetFormatPr defaultColWidth="9.140625" defaultRowHeight="18.75" customHeight="1" outlineLevelCol="1" x14ac:dyDescent="0.2"/>
  <cols>
    <col min="1" max="1" width="3.85546875" style="108" customWidth="1"/>
    <col min="2" max="2" width="3.85546875" style="108" hidden="1" customWidth="1" outlineLevel="1"/>
    <col min="3" max="3" width="2" style="123" hidden="1" customWidth="1" outlineLevel="1"/>
    <col min="4" max="4" width="13.5703125" style="152" hidden="1" customWidth="1" outlineLevel="1"/>
    <col min="5" max="5" width="13.5703125" style="123" hidden="1" customWidth="1" outlineLevel="1"/>
    <col min="6" max="10" width="18" style="123" hidden="1" customWidth="1" outlineLevel="1"/>
    <col min="11" max="11" width="2" style="123" hidden="1" customWidth="1" outlineLevel="1"/>
    <col min="12" max="17" width="18" style="123" hidden="1" customWidth="1" outlineLevel="1"/>
    <col min="18" max="18" width="2" style="123" customWidth="1" collapsed="1"/>
    <col min="19" max="19" width="9.5703125" style="152" customWidth="1"/>
    <col min="20" max="21" width="9.5703125" style="123" customWidth="1"/>
    <col min="22" max="22" width="20.140625" style="123" customWidth="1"/>
    <col min="23" max="23" width="6.28515625" style="123" customWidth="1"/>
    <col min="24" max="24" width="9.5703125" style="152" customWidth="1"/>
    <col min="25" max="26" width="9.5703125" style="123" customWidth="1"/>
    <col min="27" max="27" width="20.140625" style="180" customWidth="1"/>
    <col min="28" max="28" width="7.28515625" style="123" customWidth="1"/>
    <col min="29" max="29" width="12.85546875" style="152" customWidth="1"/>
    <col min="30" max="30" width="12.85546875" style="123" customWidth="1"/>
    <col min="31" max="35" width="20.42578125" style="123" customWidth="1"/>
    <col min="36" max="36" width="3" style="123" customWidth="1"/>
    <col min="37" max="37" width="8.5703125" style="123" customWidth="1"/>
    <col min="38" max="38" width="17.42578125" style="123" customWidth="1"/>
    <col min="39" max="66" width="12.85546875" style="123" customWidth="1"/>
    <col min="67" max="68" width="10.7109375" style="123" customWidth="1"/>
    <col min="69" max="73" width="9.140625" style="123" customWidth="1"/>
    <col min="74" max="16384" width="9.140625" style="123"/>
  </cols>
  <sheetData>
    <row r="1" spans="1:40" s="128" customFormat="1" ht="18.75" customHeight="1" thickBot="1" x14ac:dyDescent="0.25">
      <c r="A1" s="126"/>
      <c r="B1" s="127"/>
      <c r="C1" s="127"/>
      <c r="D1" s="150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50"/>
      <c r="T1" s="127"/>
      <c r="U1" s="127"/>
      <c r="V1" s="127"/>
      <c r="W1" s="127"/>
      <c r="X1" s="150"/>
      <c r="Y1" s="127"/>
      <c r="Z1" s="127"/>
      <c r="AA1" s="181"/>
      <c r="AB1" s="127"/>
      <c r="AC1" s="150"/>
      <c r="AD1" s="127"/>
      <c r="AE1" s="127"/>
      <c r="AF1" s="127"/>
      <c r="AG1" s="127"/>
      <c r="AH1" s="127"/>
      <c r="AI1" s="127"/>
      <c r="AJ1" s="127"/>
      <c r="AK1" s="127"/>
      <c r="AL1" s="127"/>
    </row>
    <row r="2" spans="1:40" s="143" customFormat="1" ht="18.75" customHeight="1" thickBot="1" x14ac:dyDescent="0.3">
      <c r="A2" s="129">
        <v>1</v>
      </c>
      <c r="B2" s="130"/>
      <c r="C2" s="131"/>
      <c r="D2" s="132"/>
      <c r="E2" s="133"/>
      <c r="F2" s="134"/>
      <c r="G2" s="135"/>
      <c r="H2" s="135"/>
      <c r="I2" s="135"/>
      <c r="J2" s="135"/>
      <c r="K2" s="136"/>
      <c r="L2" s="137"/>
      <c r="M2" s="138"/>
      <c r="N2" s="138"/>
      <c r="O2" s="138"/>
      <c r="P2" s="138"/>
      <c r="Q2" s="138"/>
      <c r="R2" s="139"/>
      <c r="S2" s="140" t="s">
        <v>7</v>
      </c>
      <c r="T2" s="325" t="s">
        <v>34</v>
      </c>
      <c r="U2" s="326"/>
      <c r="V2" s="141" t="s">
        <v>35</v>
      </c>
      <c r="W2" s="138"/>
      <c r="X2" s="158"/>
      <c r="Y2" s="138"/>
      <c r="Z2" s="138"/>
      <c r="AA2" s="182"/>
      <c r="AB2" s="142"/>
      <c r="AC2" s="159"/>
      <c r="AD2" s="136"/>
      <c r="AE2" s="136"/>
      <c r="AF2" s="142"/>
      <c r="AG2" s="142"/>
      <c r="AH2" s="142"/>
      <c r="AI2" s="142"/>
      <c r="AJ2" s="142"/>
      <c r="AK2" s="142"/>
      <c r="AL2" s="142"/>
      <c r="AM2" s="136"/>
      <c r="AN2" s="136"/>
    </row>
    <row r="3" spans="1:40" ht="10.5" customHeight="1" x14ac:dyDescent="0.25">
      <c r="B3" s="109"/>
      <c r="C3" s="14"/>
      <c r="D3" s="15"/>
      <c r="E3" s="18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51"/>
      <c r="T3" s="16"/>
      <c r="U3" s="16"/>
      <c r="V3" s="16"/>
      <c r="W3" s="16"/>
      <c r="X3" s="151"/>
      <c r="Y3" s="16"/>
      <c r="Z3" s="16"/>
      <c r="AA3" s="184"/>
      <c r="AB3" s="16"/>
      <c r="AC3" s="151"/>
      <c r="AD3" s="16"/>
      <c r="AE3" s="16"/>
      <c r="AF3" s="16"/>
      <c r="AG3" s="16"/>
      <c r="AH3" s="16"/>
      <c r="AI3" s="16"/>
      <c r="AJ3" s="16"/>
      <c r="AK3" s="16"/>
      <c r="AL3" s="16"/>
    </row>
    <row r="4" spans="1:40" ht="18.75" customHeight="1" thickBot="1" x14ac:dyDescent="0.25">
      <c r="B4" s="110"/>
      <c r="C4" s="17"/>
      <c r="D4" s="317" t="s">
        <v>36</v>
      </c>
      <c r="E4" s="318"/>
      <c r="F4" s="319" t="s">
        <v>37</v>
      </c>
      <c r="G4" s="319" t="s">
        <v>38</v>
      </c>
      <c r="H4" s="319" t="s">
        <v>39</v>
      </c>
      <c r="I4" s="319" t="s">
        <v>40</v>
      </c>
      <c r="J4" s="319" t="s">
        <v>41</v>
      </c>
      <c r="K4" s="186"/>
      <c r="L4" s="319">
        <v>2013</v>
      </c>
      <c r="M4" s="319">
        <v>2014</v>
      </c>
      <c r="N4" s="319">
        <v>2015</v>
      </c>
      <c r="O4" s="319">
        <v>2016</v>
      </c>
      <c r="P4" s="319">
        <v>2017</v>
      </c>
      <c r="Q4" s="319" t="s">
        <v>42</v>
      </c>
      <c r="S4" s="280" t="s">
        <v>0</v>
      </c>
      <c r="T4" s="281"/>
      <c r="U4" s="281"/>
      <c r="V4" s="282"/>
      <c r="W4" s="21"/>
      <c r="X4" s="280" t="s">
        <v>5</v>
      </c>
      <c r="Y4" s="281"/>
      <c r="Z4" s="295"/>
      <c r="AA4" s="298" t="s">
        <v>43</v>
      </c>
      <c r="AB4" s="21"/>
      <c r="AC4" s="285" t="s">
        <v>44</v>
      </c>
      <c r="AD4" s="296"/>
      <c r="AE4" s="295"/>
      <c r="AF4" s="323">
        <f>M4</f>
        <v>2014</v>
      </c>
      <c r="AG4" s="323">
        <f>N4</f>
        <v>2015</v>
      </c>
      <c r="AH4" s="323">
        <f>O4</f>
        <v>2016</v>
      </c>
      <c r="AI4" s="323">
        <f>P4</f>
        <v>2017</v>
      </c>
      <c r="AJ4" s="22"/>
      <c r="AK4" s="23"/>
      <c r="AM4" s="24"/>
      <c r="AN4" s="175"/>
    </row>
    <row r="5" spans="1:40" ht="18.75" customHeight="1" x14ac:dyDescent="0.2">
      <c r="A5" s="111"/>
      <c r="B5" s="112"/>
      <c r="C5" s="25"/>
      <c r="D5" s="307" t="s">
        <v>29</v>
      </c>
      <c r="E5" s="308"/>
      <c r="F5" s="309">
        <v>15547000</v>
      </c>
      <c r="G5" s="309">
        <v>14981000</v>
      </c>
      <c r="H5" s="309">
        <v>-15997000</v>
      </c>
      <c r="I5" s="309">
        <v>7870000</v>
      </c>
      <c r="J5" s="309"/>
      <c r="K5" s="27"/>
      <c r="L5" s="309">
        <v>63444000</v>
      </c>
      <c r="M5" s="309">
        <v>71171000</v>
      </c>
      <c r="N5" s="309">
        <v>64459000</v>
      </c>
      <c r="O5" s="309">
        <v>61149000</v>
      </c>
      <c r="P5" s="309">
        <v>27647000</v>
      </c>
      <c r="Q5" s="309">
        <v>250000000</v>
      </c>
      <c r="S5" s="51" t="s">
        <v>8</v>
      </c>
      <c r="T5" s="274"/>
      <c r="U5" s="274"/>
      <c r="V5" s="286">
        <v>5.42</v>
      </c>
      <c r="W5" s="188"/>
      <c r="X5" s="51" t="s">
        <v>29</v>
      </c>
      <c r="Y5" s="51"/>
      <c r="Z5" s="52"/>
      <c r="AA5" s="293">
        <f>IF(AA4="Year over Year",AI5,IF(AA4="3-Year Average",AVERAGE(AH5:AI5),IF(AA4="5-Year Average",AVERAGE(AF5:AI5),"")))</f>
        <v>-0.14293524047931411</v>
      </c>
      <c r="AB5" s="190"/>
      <c r="AC5" s="51" t="s">
        <v>45</v>
      </c>
      <c r="AD5" s="52"/>
      <c r="AE5" s="53"/>
      <c r="AF5" s="191">
        <f>IF(AND(M5&gt;0,L5&gt;0,L5&lt;&gt;""),M5/L5-1,IF(AND(L5&lt;0,M5&lt;0,L5&lt;&gt;""),(M5-L5)/ABS(L5),IF(AND(L5&gt;0,M5&lt;0,L5&lt;&gt;""),"L",IF(AND(L5&lt;0,M5&gt;0,L5&lt;&gt;""),"P",""))))</f>
        <v>0.12179244688228996</v>
      </c>
      <c r="AG5" s="191">
        <f>IF(AND(N5&gt;0,M5&gt;0,M5&lt;&gt;""),N5/M5-1,IF(AND(M5&lt;0,N5&lt;0,M5&lt;&gt;""),(N5-M5)/ABS(M5),IF(AND(M5&gt;0,N5&lt;0,M5&lt;&gt;""),"L",IF(AND(M5&lt;0,N5&gt;0,M5&lt;&gt;""),"P",""))))</f>
        <v>-9.4308074918154849E-2</v>
      </c>
      <c r="AH5" s="191">
        <f>IF(AND(O5&gt;0,N5&gt;0,N5&lt;&gt;""),O5/N5-1,IF(AND(N5&lt;0,O5&lt;0,N5&lt;&gt;""),(O5-N5)/ABS(N5),IF(AND(N5&gt;0,O5&lt;0,N5&lt;&gt;""),"L",IF(AND(N5&lt;0,O5&gt;0,N5&lt;&gt;""),"P",""))))</f>
        <v>-5.1350470841930562E-2</v>
      </c>
      <c r="AI5" s="191">
        <f>IF(AND(P5&gt;0,O5&gt;0,O5&lt;&gt;""),P5/O5-1,IF(AND(O5&lt;0,P5&lt;0,O5&lt;&gt;""),(P5-O5)/ABS(O5),IF(AND(O5&gt;0,P5&lt;0,O5&lt;&gt;""),"L",IF(AND(O5&lt;0,P5&gt;0,O5&lt;&gt;""),"P",""))))</f>
        <v>-0.54787486303946098</v>
      </c>
    </row>
    <row r="6" spans="1:40" ht="18.75" customHeight="1" x14ac:dyDescent="0.2">
      <c r="A6" s="111"/>
      <c r="B6" s="112"/>
      <c r="C6" s="25"/>
      <c r="D6" s="310" t="s">
        <v>46</v>
      </c>
      <c r="E6" s="311"/>
      <c r="F6" s="312">
        <v>6098000</v>
      </c>
      <c r="G6" s="312">
        <v>6477000</v>
      </c>
      <c r="H6" s="312">
        <v>-6056000</v>
      </c>
      <c r="I6" s="312">
        <v>3220000</v>
      </c>
      <c r="J6" s="312"/>
      <c r="K6" s="28"/>
      <c r="L6" s="312">
        <v>26607000</v>
      </c>
      <c r="M6" s="312">
        <v>30758000</v>
      </c>
      <c r="N6" s="312">
        <v>28069000</v>
      </c>
      <c r="O6" s="312">
        <v>24893000</v>
      </c>
      <c r="P6" s="312">
        <v>12452000</v>
      </c>
      <c r="Q6" s="312"/>
      <c r="S6" s="275" t="s">
        <v>9</v>
      </c>
      <c r="T6" s="276"/>
      <c r="U6" s="277"/>
      <c r="V6" s="287">
        <f>V5*Q13</f>
        <v>50682701.839999996</v>
      </c>
      <c r="W6" s="188"/>
      <c r="X6" s="51" t="s">
        <v>47</v>
      </c>
      <c r="Y6" s="51"/>
      <c r="Z6" s="52"/>
      <c r="AA6" s="293">
        <f>IF(AA4="Year over Year",AI6,IF(AA4="3-Year Average",AVERAGE(AH6:AI6),IF(AA4="5-Year Average",AVERAGE(AF6:AI6),"")))</f>
        <v>9.5715838321320801E-2</v>
      </c>
      <c r="AB6" s="190"/>
      <c r="AC6" s="51" t="s">
        <v>30</v>
      </c>
      <c r="AD6" s="52"/>
      <c r="AE6" s="53"/>
      <c r="AF6" s="191">
        <f t="shared" ref="AF6:AI8" si="0">IF(AND(M8&gt;0,L8&gt;0,L8&lt;&gt;""),M8/L8-1,IF(AND(L8&lt;0,M8&lt;0,L8&lt;&gt;""),(M8-L8)/ABS(L8),IF(AND(L8&gt;0,M8&lt;0,L8&lt;&gt;""),"L",IF(AND(L8&lt;0,M8&gt;0,L8&lt;&gt;""),"P",""))))</f>
        <v>5.2631578947368363E-2</v>
      </c>
      <c r="AG6" s="191">
        <f t="shared" si="0"/>
        <v>-0.82150943396226417</v>
      </c>
      <c r="AH6" s="191">
        <f t="shared" si="0"/>
        <v>1.0560253699788582</v>
      </c>
      <c r="AI6" s="191" t="str">
        <f t="shared" si="0"/>
        <v>L</v>
      </c>
    </row>
    <row r="7" spans="1:40" ht="18.75" customHeight="1" x14ac:dyDescent="0.2">
      <c r="B7" s="112"/>
      <c r="C7" s="25"/>
      <c r="D7" s="310" t="s">
        <v>48</v>
      </c>
      <c r="E7" s="311"/>
      <c r="F7" s="312">
        <v>9449000</v>
      </c>
      <c r="G7" s="312">
        <v>8504000</v>
      </c>
      <c r="H7" s="312">
        <v>-9941000</v>
      </c>
      <c r="I7" s="312">
        <v>4650000</v>
      </c>
      <c r="J7" s="312">
        <v>0</v>
      </c>
      <c r="K7" s="27"/>
      <c r="L7" s="312">
        <v>36837000</v>
      </c>
      <c r="M7" s="312">
        <v>40413000</v>
      </c>
      <c r="N7" s="312">
        <v>36390000</v>
      </c>
      <c r="O7" s="312">
        <v>36256000</v>
      </c>
      <c r="P7" s="312">
        <v>15195000</v>
      </c>
      <c r="Q7" s="312">
        <v>0</v>
      </c>
      <c r="S7" s="275" t="s">
        <v>10</v>
      </c>
      <c r="T7" s="276"/>
      <c r="U7" s="278"/>
      <c r="V7" s="287">
        <f>V6+(J21+J23)-J17</f>
        <v>-6864298.1600000039</v>
      </c>
      <c r="W7" s="190"/>
      <c r="X7" s="51" t="s">
        <v>31</v>
      </c>
      <c r="Y7" s="51"/>
      <c r="AA7" s="293">
        <f>IF(AA4="Year over Year",AI7,IF(AA4="3-Year Average",AVERAGE(AH7:AI7),IF(AA4="5-Year Average",AVERAGE(AF7:AI7),"")))</f>
        <v>-13.927713297306148</v>
      </c>
      <c r="AB7" s="190"/>
      <c r="AC7" s="51" t="s">
        <v>49</v>
      </c>
      <c r="AD7" s="52"/>
      <c r="AE7" s="53"/>
      <c r="AF7" s="191">
        <f t="shared" si="0"/>
        <v>3.3561676082862526</v>
      </c>
      <c r="AG7" s="191" t="str">
        <f t="shared" si="0"/>
        <v>L</v>
      </c>
      <c r="AH7" s="191">
        <f t="shared" si="0"/>
        <v>-31.211594202898549</v>
      </c>
      <c r="AI7" s="191" t="str">
        <f t="shared" si="0"/>
        <v>P</v>
      </c>
    </row>
    <row r="8" spans="1:40" ht="18.75" customHeight="1" x14ac:dyDescent="0.2">
      <c r="B8" s="112"/>
      <c r="C8" s="25"/>
      <c r="D8" s="310" t="s">
        <v>50</v>
      </c>
      <c r="E8" s="311"/>
      <c r="F8" s="312">
        <v>-48000</v>
      </c>
      <c r="G8" s="312">
        <v>-1573000</v>
      </c>
      <c r="H8" s="312">
        <v>-7672000</v>
      </c>
      <c r="I8" s="312">
        <v>-1115000</v>
      </c>
      <c r="J8" s="312">
        <v>-3859000</v>
      </c>
      <c r="K8" s="40"/>
      <c r="L8" s="312">
        <v>5035000</v>
      </c>
      <c r="M8" s="312">
        <v>5300000</v>
      </c>
      <c r="N8" s="312">
        <v>946000</v>
      </c>
      <c r="O8" s="312">
        <v>1945000</v>
      </c>
      <c r="P8" s="312">
        <v>-12236000</v>
      </c>
      <c r="Q8" s="312">
        <v>-29791000</v>
      </c>
      <c r="S8" s="275" t="s">
        <v>11</v>
      </c>
      <c r="T8" s="276"/>
      <c r="U8" s="278"/>
      <c r="V8" s="287">
        <f>J20-J24</f>
        <v>62117000</v>
      </c>
      <c r="W8" s="188"/>
      <c r="X8" s="51" t="s">
        <v>32</v>
      </c>
      <c r="Y8" s="51"/>
      <c r="Z8" s="52"/>
      <c r="AA8" s="293">
        <f>IF(AA4="Year over Year",AI8,IF(AA4="3-Year Average",AVERAGE(AH8:AI8),IF(AA4="5-Year Average",AVERAGE(AF8:AI8),"")))</f>
        <v>-13.002551020408161</v>
      </c>
      <c r="AB8" s="190"/>
      <c r="AC8" s="51" t="s">
        <v>51</v>
      </c>
      <c r="AD8" s="52"/>
      <c r="AE8" s="53"/>
      <c r="AF8" s="191">
        <f t="shared" si="0"/>
        <v>3.2448979591836737</v>
      </c>
      <c r="AG8" s="191" t="str">
        <f t="shared" si="0"/>
        <v>L</v>
      </c>
      <c r="AH8" s="191">
        <f t="shared" si="0"/>
        <v>-29.249999999999996</v>
      </c>
      <c r="AI8" s="191" t="str">
        <f t="shared" si="0"/>
        <v>P</v>
      </c>
    </row>
    <row r="9" spans="1:40" ht="18.75" customHeight="1" x14ac:dyDescent="0.2">
      <c r="B9" s="112"/>
      <c r="C9" s="25"/>
      <c r="D9" s="310" t="s">
        <v>52</v>
      </c>
      <c r="E9" s="311"/>
      <c r="F9" s="312">
        <v>-88000</v>
      </c>
      <c r="G9" s="312">
        <v>-1658000</v>
      </c>
      <c r="H9" s="312">
        <v>33055000</v>
      </c>
      <c r="I9" s="312">
        <v>-1010000</v>
      </c>
      <c r="J9" s="312">
        <v>19888000</v>
      </c>
      <c r="K9" s="27"/>
      <c r="L9" s="312">
        <v>4248000</v>
      </c>
      <c r="M9" s="312">
        <v>18505000</v>
      </c>
      <c r="N9" s="312">
        <v>-345000</v>
      </c>
      <c r="O9" s="312">
        <v>-11113000</v>
      </c>
      <c r="P9" s="312">
        <v>28381000</v>
      </c>
      <c r="Q9" s="312">
        <v>50275000</v>
      </c>
      <c r="S9" s="275" t="s">
        <v>53</v>
      </c>
      <c r="T9" s="276"/>
      <c r="U9" s="277"/>
      <c r="V9" s="288" t="str">
        <f>IF(V6&gt;10000,"Large Cap",IF(AND(10000&gt;V6,2000&lt;V6),"Mid Cap",IF(AND(2000&gt;V6,V6&gt;50),"Small Cap",IF(V6&lt;50,"Micro Cap",NA))))</f>
        <v>Large Cap</v>
      </c>
      <c r="W9" s="188"/>
      <c r="AA9" s="299"/>
      <c r="AB9" s="41"/>
    </row>
    <row r="10" spans="1:40" ht="18.75" customHeight="1" thickBot="1" x14ac:dyDescent="0.25">
      <c r="B10" s="112"/>
      <c r="C10" s="25"/>
      <c r="D10" s="310" t="s">
        <v>54</v>
      </c>
      <c r="E10" s="311"/>
      <c r="F10" s="312">
        <v>-0.01</v>
      </c>
      <c r="G10" s="312">
        <v>-0.18</v>
      </c>
      <c r="H10" s="312">
        <v>3.58</v>
      </c>
      <c r="I10" s="312">
        <v>-0.11</v>
      </c>
      <c r="J10" s="312">
        <v>2.11</v>
      </c>
      <c r="K10" s="55"/>
      <c r="L10" s="312">
        <v>0.49</v>
      </c>
      <c r="M10" s="312">
        <v>2.08</v>
      </c>
      <c r="N10" s="312">
        <v>-0.04</v>
      </c>
      <c r="O10" s="312">
        <v>-1.21</v>
      </c>
      <c r="P10" s="312">
        <v>3.07</v>
      </c>
      <c r="Q10" s="312">
        <v>5.4</v>
      </c>
      <c r="S10" s="51" t="s">
        <v>55</v>
      </c>
      <c r="V10" s="289"/>
      <c r="W10" s="190"/>
      <c r="X10" s="285" t="s">
        <v>2</v>
      </c>
      <c r="Y10" s="296"/>
      <c r="Z10" s="297"/>
      <c r="AA10" s="300"/>
      <c r="AC10" s="283" t="s">
        <v>56</v>
      </c>
      <c r="AD10" s="284"/>
      <c r="AE10" s="324">
        <f>L4</f>
        <v>2013</v>
      </c>
      <c r="AF10" s="324">
        <f>M4</f>
        <v>2014</v>
      </c>
      <c r="AG10" s="324">
        <f>N4</f>
        <v>2015</v>
      </c>
      <c r="AH10" s="324">
        <f>O4</f>
        <v>2016</v>
      </c>
      <c r="AI10" s="324">
        <f>P4</f>
        <v>2017</v>
      </c>
    </row>
    <row r="11" spans="1:40" ht="18.75" hidden="1" customHeight="1" thickBot="1" x14ac:dyDescent="0.25">
      <c r="B11" s="112"/>
      <c r="C11" s="25"/>
      <c r="D11" s="310"/>
      <c r="E11" s="311"/>
      <c r="F11" s="312">
        <v>9244590</v>
      </c>
      <c r="G11" s="312">
        <v>9261862</v>
      </c>
      <c r="H11" s="312">
        <v>9313304</v>
      </c>
      <c r="I11" s="312">
        <v>9392197</v>
      </c>
      <c r="J11" s="312">
        <v>9436845</v>
      </c>
      <c r="K11" s="55"/>
      <c r="L11" s="312">
        <v>8736000</v>
      </c>
      <c r="M11" s="312">
        <v>8911000</v>
      </c>
      <c r="N11" s="312">
        <v>9067697</v>
      </c>
      <c r="O11" s="312">
        <v>9154437</v>
      </c>
      <c r="P11" s="312">
        <v>9252275</v>
      </c>
      <c r="Q11" s="312">
        <v>9351052</v>
      </c>
      <c r="S11" s="51"/>
      <c r="V11" s="170"/>
      <c r="W11" s="190"/>
      <c r="X11" s="171"/>
      <c r="Y11" s="172"/>
      <c r="Z11" s="173"/>
      <c r="AA11" s="301"/>
      <c r="AC11" s="174"/>
      <c r="AD11" s="175"/>
      <c r="AE11" s="176"/>
      <c r="AF11" s="176"/>
      <c r="AG11" s="176"/>
      <c r="AH11" s="176"/>
      <c r="AI11" s="176"/>
    </row>
    <row r="12" spans="1:40" ht="18.75" hidden="1" customHeight="1" thickBot="1" x14ac:dyDescent="0.25">
      <c r="B12" s="112"/>
      <c r="C12" s="25"/>
      <c r="D12" s="310"/>
      <c r="E12" s="311"/>
      <c r="F12" s="312">
        <v>-0.01</v>
      </c>
      <c r="G12" s="312">
        <v>-0.18</v>
      </c>
      <c r="H12" s="312">
        <v>3.58</v>
      </c>
      <c r="I12" s="312">
        <v>-0.11</v>
      </c>
      <c r="J12" s="312">
        <v>2.11</v>
      </c>
      <c r="K12" s="55"/>
      <c r="L12" s="312">
        <v>0.49</v>
      </c>
      <c r="M12" s="312">
        <v>2.08</v>
      </c>
      <c r="N12" s="312">
        <v>-0.04</v>
      </c>
      <c r="O12" s="312">
        <v>-1.21</v>
      </c>
      <c r="P12" s="312">
        <v>3.07</v>
      </c>
      <c r="Q12" s="312">
        <v>5.4</v>
      </c>
      <c r="S12" s="51"/>
      <c r="V12" s="170"/>
      <c r="W12" s="190"/>
      <c r="X12" s="171"/>
      <c r="Y12" s="172"/>
      <c r="Z12" s="173"/>
      <c r="AA12" s="301"/>
      <c r="AC12" s="174"/>
      <c r="AD12" s="175"/>
      <c r="AE12" s="176"/>
      <c r="AF12" s="176"/>
      <c r="AG12" s="176"/>
      <c r="AH12" s="176"/>
      <c r="AI12" s="176"/>
    </row>
    <row r="13" spans="1:40" ht="18.75" customHeight="1" x14ac:dyDescent="0.2">
      <c r="B13" s="112"/>
      <c r="C13" s="25"/>
      <c r="D13" s="310" t="s">
        <v>57</v>
      </c>
      <c r="E13" s="311"/>
      <c r="F13" s="312">
        <v>9244590</v>
      </c>
      <c r="G13" s="312">
        <v>9261862</v>
      </c>
      <c r="H13" s="312">
        <v>9313304</v>
      </c>
      <c r="I13" s="312">
        <v>9392197</v>
      </c>
      <c r="J13" s="312">
        <v>9436845</v>
      </c>
      <c r="K13" s="28"/>
      <c r="L13" s="312">
        <v>8736000</v>
      </c>
      <c r="M13" s="312">
        <v>8911000</v>
      </c>
      <c r="N13" s="312">
        <v>9067697</v>
      </c>
      <c r="O13" s="312">
        <v>9154437</v>
      </c>
      <c r="P13" s="312">
        <v>9252275</v>
      </c>
      <c r="Q13" s="312">
        <v>9351052</v>
      </c>
      <c r="S13" s="123"/>
      <c r="X13" s="275" t="s">
        <v>20</v>
      </c>
      <c r="Y13" s="275"/>
      <c r="Z13" s="276"/>
      <c r="AA13" s="290">
        <f>AVERAGE(G19:J19)/AVERAGE(G22:J22)</f>
        <v>5.4407029359149739</v>
      </c>
      <c r="AC13" s="74" t="s">
        <v>29</v>
      </c>
      <c r="AD13" s="75"/>
      <c r="AE13" s="76">
        <f>IF(L5="","",L5)</f>
        <v>63444000</v>
      </c>
      <c r="AF13" s="76">
        <f>IF(M5="","",M5)</f>
        <v>71171000</v>
      </c>
      <c r="AG13" s="76">
        <f>IF(N5="","",N5)</f>
        <v>64459000</v>
      </c>
      <c r="AH13" s="76">
        <f>IF(O5="","",O5)</f>
        <v>61149000</v>
      </c>
      <c r="AI13" s="76">
        <f>IF(P5="","",P5)</f>
        <v>27647000</v>
      </c>
    </row>
    <row r="14" spans="1:40" ht="18.75" customHeight="1" thickBot="1" x14ac:dyDescent="0.25">
      <c r="B14" s="112"/>
      <c r="C14" s="25"/>
      <c r="D14" s="310" t="s">
        <v>58</v>
      </c>
      <c r="E14" s="311"/>
      <c r="F14" s="312">
        <v>478000</v>
      </c>
      <c r="G14" s="312">
        <v>-1093000</v>
      </c>
      <c r="H14" s="312">
        <v>-7467000</v>
      </c>
      <c r="I14" s="312">
        <v>-786000</v>
      </c>
      <c r="J14" s="312">
        <v>-3582000</v>
      </c>
      <c r="K14" s="40"/>
      <c r="L14" s="312">
        <v>7845000</v>
      </c>
      <c r="M14" s="312">
        <v>7461000</v>
      </c>
      <c r="N14" s="312">
        <v>2102000</v>
      </c>
      <c r="O14" s="312">
        <v>4516000</v>
      </c>
      <c r="P14" s="312">
        <v>-10421000</v>
      </c>
      <c r="Q14" s="312">
        <v>-13095000</v>
      </c>
      <c r="S14" s="280" t="s">
        <v>59</v>
      </c>
      <c r="T14" s="281"/>
      <c r="U14" s="281"/>
      <c r="V14" s="281"/>
      <c r="X14" s="51" t="s">
        <v>21</v>
      </c>
      <c r="Y14" s="51"/>
      <c r="Z14" s="274"/>
      <c r="AA14" s="290">
        <f>AVERAGE(G20:J20)/AVERAGE(G25:J25)</f>
        <v>1.3644478799137254</v>
      </c>
      <c r="AC14" s="74" t="s">
        <v>60</v>
      </c>
      <c r="AD14" s="75"/>
      <c r="AE14" s="195">
        <f>IF(OR(L5="",L7=""),"",L7/L5)</f>
        <v>0.5806222810667675</v>
      </c>
      <c r="AF14" s="195">
        <f>IF(OR(M5="",M7=""),"",M7/M5)</f>
        <v>0.56782959351421225</v>
      </c>
      <c r="AG14" s="195">
        <f>IF(OR(N5="",N7=""),"",N7/N5)</f>
        <v>0.56454490451294626</v>
      </c>
      <c r="AH14" s="195">
        <f>IF(OR(O5="",O7=""),"",O7/O5)</f>
        <v>0.59291239431552434</v>
      </c>
      <c r="AI14" s="195">
        <f>IF(OR(P5="",P7=""),"",P7/P5)</f>
        <v>0.54960755235649439</v>
      </c>
    </row>
    <row r="15" spans="1:40" ht="18.75" customHeight="1" x14ac:dyDescent="0.2">
      <c r="B15" s="113"/>
      <c r="C15" s="37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S15" s="275" t="s">
        <v>13</v>
      </c>
      <c r="T15" s="275"/>
      <c r="U15" s="276"/>
      <c r="V15" s="290">
        <f>IF(Q10&gt;0,V5/Q10,"")</f>
        <v>1.0037037037037035</v>
      </c>
      <c r="X15" s="51" t="s">
        <v>22</v>
      </c>
      <c r="Y15" s="51"/>
      <c r="Z15" s="274"/>
      <c r="AA15" s="290" t="e">
        <f>AVERAGE(G23:J23)/AVERAGE(G25:J25)</f>
        <v>#DIV/0!</v>
      </c>
      <c r="AC15" s="74" t="s">
        <v>47</v>
      </c>
      <c r="AD15" s="75"/>
      <c r="AE15" s="76">
        <f>IF(L8="","",L8)</f>
        <v>5035000</v>
      </c>
      <c r="AF15" s="76">
        <f>IF(M8="","",M8)</f>
        <v>5300000</v>
      </c>
      <c r="AG15" s="76">
        <f>IF(N8="","",N8)</f>
        <v>946000</v>
      </c>
      <c r="AH15" s="76">
        <f>IF(O8="","",O8)</f>
        <v>1945000</v>
      </c>
      <c r="AI15" s="76">
        <f>IF(P8="","",P8)</f>
        <v>-12236000</v>
      </c>
    </row>
    <row r="16" spans="1:40" ht="18.75" customHeight="1" thickBot="1" x14ac:dyDescent="0.3">
      <c r="B16" s="114"/>
      <c r="C16" s="73"/>
      <c r="D16" s="317" t="s">
        <v>61</v>
      </c>
      <c r="E16" s="318"/>
      <c r="F16" s="320" t="str">
        <f>F4</f>
        <v>2016-10</v>
      </c>
      <c r="G16" s="320" t="str">
        <f>G4</f>
        <v>2017-01</v>
      </c>
      <c r="H16" s="320" t="str">
        <f>H4</f>
        <v>2017-04</v>
      </c>
      <c r="I16" s="320" t="str">
        <f>I4</f>
        <v>2017-07</v>
      </c>
      <c r="J16" s="320" t="str">
        <f>J4</f>
        <v>2017-10</v>
      </c>
      <c r="K16" s="197"/>
      <c r="L16" s="321">
        <f>L4</f>
        <v>2013</v>
      </c>
      <c r="M16" s="321">
        <f>M4</f>
        <v>2014</v>
      </c>
      <c r="N16" s="321">
        <f>N4</f>
        <v>2015</v>
      </c>
      <c r="O16" s="321">
        <f>O4</f>
        <v>2016</v>
      </c>
      <c r="P16" s="321">
        <f>P4</f>
        <v>2017</v>
      </c>
      <c r="Q16" s="319"/>
      <c r="S16" s="275" t="s">
        <v>15</v>
      </c>
      <c r="T16" s="275"/>
      <c r="U16" s="276"/>
      <c r="V16" s="290">
        <f>V5/((J20-J24)/J13)</f>
        <v>0.82340904905259427</v>
      </c>
      <c r="W16" s="199"/>
      <c r="X16" s="123"/>
      <c r="AA16" s="22"/>
      <c r="AC16" s="74" t="s">
        <v>62</v>
      </c>
      <c r="AD16" s="75"/>
      <c r="AE16" s="195">
        <f>IF(OR(L5="",L8=""),"",L8/L5)</f>
        <v>7.9361326524178807E-2</v>
      </c>
      <c r="AF16" s="195">
        <f>IF(OR(M5="",M8=""),"",M8/M5)</f>
        <v>7.4468533531916084E-2</v>
      </c>
      <c r="AG16" s="195">
        <f>IF(OR(N5="",N8=""),"",N8/N5)</f>
        <v>1.4675995594098575E-2</v>
      </c>
      <c r="AH16" s="195">
        <f>IF(OR(O5="",O8=""),"",O8/O5)</f>
        <v>3.1807552045004822E-2</v>
      </c>
      <c r="AI16" s="195">
        <f>IF(OR(P5="",P8=""),"",P8/P5)</f>
        <v>-0.44257966506311713</v>
      </c>
      <c r="AJ16" s="77"/>
      <c r="AK16" s="23"/>
    </row>
    <row r="17" spans="2:37" ht="18.75" customHeight="1" thickBot="1" x14ac:dyDescent="0.25">
      <c r="B17" s="110"/>
      <c r="C17" s="17"/>
      <c r="D17" s="307" t="s">
        <v>63</v>
      </c>
      <c r="E17" s="313"/>
      <c r="F17" s="309">
        <v>18804000</v>
      </c>
      <c r="G17" s="309">
        <v>15750000</v>
      </c>
      <c r="H17" s="309">
        <v>35893000</v>
      </c>
      <c r="I17" s="309">
        <v>31624000</v>
      </c>
      <c r="J17" s="309">
        <v>57547000</v>
      </c>
      <c r="K17" s="27"/>
      <c r="L17" s="309">
        <v>27927000</v>
      </c>
      <c r="M17" s="309">
        <v>28074000</v>
      </c>
      <c r="N17" s="309">
        <v>25451000</v>
      </c>
      <c r="O17" s="309">
        <v>20268000</v>
      </c>
      <c r="P17" s="309">
        <v>35893000</v>
      </c>
      <c r="Q17" s="309"/>
      <c r="S17" s="275" t="s">
        <v>14</v>
      </c>
      <c r="T17" s="275"/>
      <c r="U17" s="276"/>
      <c r="V17" s="290">
        <f>V5/(Q5/Q13)</f>
        <v>0.20273080735999999</v>
      </c>
      <c r="W17" s="200"/>
      <c r="X17" s="285" t="s">
        <v>36</v>
      </c>
      <c r="Y17" s="296"/>
      <c r="Z17" s="296"/>
      <c r="AA17" s="302"/>
      <c r="AC17" s="74" t="s">
        <v>31</v>
      </c>
      <c r="AD17" s="75"/>
      <c r="AE17" s="76">
        <f t="shared" ref="AE17:AI18" si="1">IF(L9="","",L9)</f>
        <v>4248000</v>
      </c>
      <c r="AF17" s="76">
        <f t="shared" si="1"/>
        <v>18505000</v>
      </c>
      <c r="AG17" s="76">
        <f t="shared" si="1"/>
        <v>-345000</v>
      </c>
      <c r="AH17" s="76">
        <f t="shared" si="1"/>
        <v>-11113000</v>
      </c>
      <c r="AI17" s="76">
        <f t="shared" si="1"/>
        <v>28381000</v>
      </c>
      <c r="AK17" s="202"/>
    </row>
    <row r="18" spans="2:37" ht="18.75" customHeight="1" x14ac:dyDescent="0.2">
      <c r="B18" s="112"/>
      <c r="C18" s="25"/>
      <c r="D18" s="314" t="s">
        <v>64</v>
      </c>
      <c r="E18" s="315"/>
      <c r="F18" s="316">
        <v>18804000</v>
      </c>
      <c r="G18" s="316">
        <v>18173000</v>
      </c>
      <c r="H18" s="316">
        <v>42763000</v>
      </c>
      <c r="I18" s="316">
        <v>37908000</v>
      </c>
      <c r="J18" s="316">
        <v>65514000</v>
      </c>
      <c r="K18" s="80"/>
      <c r="L18" s="316">
        <v>27927000</v>
      </c>
      <c r="M18" s="316">
        <v>28074000</v>
      </c>
      <c r="N18" s="316">
        <v>25451000</v>
      </c>
      <c r="O18" s="316">
        <v>20268000</v>
      </c>
      <c r="P18" s="316">
        <v>42763000</v>
      </c>
      <c r="Q18" s="316"/>
      <c r="S18" s="51" t="s">
        <v>17</v>
      </c>
      <c r="T18" s="51"/>
      <c r="U18" s="52"/>
      <c r="V18" s="290" t="str">
        <f>IF(AVERAGE(N28:P28)&gt;0,V5/(AVERAGE(N28:P28)/Q13),"")</f>
        <v/>
      </c>
      <c r="W18" s="200"/>
      <c r="X18" s="146" t="s">
        <v>29</v>
      </c>
      <c r="Y18" s="146"/>
      <c r="Z18" s="279"/>
      <c r="AA18" s="303">
        <f>Q5</f>
        <v>250000000</v>
      </c>
      <c r="AC18" s="74" t="s">
        <v>32</v>
      </c>
      <c r="AD18" s="75"/>
      <c r="AE18" s="203">
        <f t="shared" si="1"/>
        <v>0.49</v>
      </c>
      <c r="AF18" s="203">
        <f t="shared" si="1"/>
        <v>2.08</v>
      </c>
      <c r="AG18" s="203">
        <f t="shared" si="1"/>
        <v>-0.04</v>
      </c>
      <c r="AH18" s="203">
        <f t="shared" si="1"/>
        <v>-1.21</v>
      </c>
      <c r="AI18" s="203">
        <f t="shared" si="1"/>
        <v>3.07</v>
      </c>
      <c r="AK18" s="202"/>
    </row>
    <row r="19" spans="2:37" ht="18.75" customHeight="1" x14ac:dyDescent="0.25">
      <c r="B19" s="114"/>
      <c r="C19" s="73"/>
      <c r="D19" s="314" t="s">
        <v>65</v>
      </c>
      <c r="E19" s="315"/>
      <c r="F19" s="316">
        <v>29921000</v>
      </c>
      <c r="G19" s="316">
        <v>31911000</v>
      </c>
      <c r="H19" s="316">
        <v>54924000</v>
      </c>
      <c r="I19" s="316">
        <v>50227000</v>
      </c>
      <c r="J19" s="316">
        <v>69750000</v>
      </c>
      <c r="K19" s="80"/>
      <c r="L19" s="316">
        <v>43796000</v>
      </c>
      <c r="M19" s="316">
        <v>44963000</v>
      </c>
      <c r="N19" s="316">
        <v>41213000</v>
      </c>
      <c r="O19" s="316">
        <v>39928000</v>
      </c>
      <c r="P19" s="316">
        <v>54924000</v>
      </c>
      <c r="Q19" s="316"/>
      <c r="S19" s="275" t="s">
        <v>16</v>
      </c>
      <c r="T19" s="275"/>
      <c r="U19" s="276"/>
      <c r="V19" s="290" t="str">
        <f>IF(AVERAGE(N30:P30)&gt;0,V6/AVERAGE(N30:P30),"")</f>
        <v/>
      </c>
      <c r="X19" s="146" t="s">
        <v>66</v>
      </c>
      <c r="Y19" s="146"/>
      <c r="Z19" s="279"/>
      <c r="AA19" s="303">
        <f>Q7</f>
        <v>0</v>
      </c>
      <c r="AC19" s="74" t="s">
        <v>67</v>
      </c>
      <c r="AD19" s="75"/>
      <c r="AE19" s="76">
        <f>IF(L13="","",L13)</f>
        <v>8736000</v>
      </c>
      <c r="AF19" s="76">
        <f>IF(M13="","",M13)</f>
        <v>8911000</v>
      </c>
      <c r="AG19" s="76">
        <f>IF(N13="","",N13)</f>
        <v>9067697</v>
      </c>
      <c r="AH19" s="76">
        <f>IF(O13="","",O13)</f>
        <v>9154437</v>
      </c>
      <c r="AI19" s="76">
        <f>IF(P13="","",P13)</f>
        <v>9252275</v>
      </c>
      <c r="AK19" s="202"/>
    </row>
    <row r="20" spans="2:37" ht="18.75" customHeight="1" x14ac:dyDescent="0.2">
      <c r="B20" s="113"/>
      <c r="C20" s="37"/>
      <c r="D20" s="314" t="s">
        <v>68</v>
      </c>
      <c r="E20" s="315"/>
      <c r="F20" s="316">
        <v>34785000</v>
      </c>
      <c r="G20" s="316">
        <v>36347000</v>
      </c>
      <c r="H20" s="316">
        <v>57807000</v>
      </c>
      <c r="I20" s="316">
        <v>53132000</v>
      </c>
      <c r="J20" s="316">
        <v>71596000</v>
      </c>
      <c r="K20" s="85"/>
      <c r="L20" s="316">
        <v>48469000</v>
      </c>
      <c r="M20" s="316">
        <v>62386000</v>
      </c>
      <c r="N20" s="316">
        <v>57873000</v>
      </c>
      <c r="O20" s="316">
        <v>45236000</v>
      </c>
      <c r="P20" s="316">
        <v>57807000</v>
      </c>
      <c r="Q20" s="316"/>
      <c r="S20" s="275" t="s">
        <v>18</v>
      </c>
      <c r="T20" s="275"/>
      <c r="U20" s="276"/>
      <c r="V20" s="290">
        <f>(V6+(J21+J23)-J17)/J14</f>
        <v>1.9163311446119498</v>
      </c>
      <c r="X20" s="146" t="s">
        <v>31</v>
      </c>
      <c r="Y20" s="146"/>
      <c r="Z20" s="279"/>
      <c r="AA20" s="303">
        <f>Q9</f>
        <v>50275000</v>
      </c>
      <c r="AC20" s="74" t="s">
        <v>69</v>
      </c>
      <c r="AD20" s="75"/>
      <c r="AE20" s="204">
        <f>IF(OR(L25="",L13="",L20="",L24=""),"",(L20-L24)/L13)</f>
        <v>2.9515796703296702</v>
      </c>
      <c r="AF20" s="204">
        <f>IF(OR(M25="",M13="",M20="",M24=""),"",(M20-M24)/M13)</f>
        <v>4.5397822915497699</v>
      </c>
      <c r="AG20" s="204">
        <f>IF(OR(N25="",N13="",N20="",N24=""),"",(N20-N24)/N13)</f>
        <v>4.0369677107649276</v>
      </c>
      <c r="AH20" s="204">
        <f>IF(OR(O25="",O13="",O20="",O24=""),"",(O20-O24)/O13)</f>
        <v>2.2937511067037764</v>
      </c>
      <c r="AI20" s="204">
        <f>IF(OR(P25="",P13="",P20="",P24=""),"",(P20-P24)/P13)</f>
        <v>4.6981958491289983</v>
      </c>
      <c r="AK20" s="202"/>
    </row>
    <row r="21" spans="2:37" ht="18.75" customHeight="1" x14ac:dyDescent="0.2">
      <c r="B21" s="112"/>
      <c r="C21" s="25"/>
      <c r="D21" s="314" t="s">
        <v>70</v>
      </c>
      <c r="E21" s="315"/>
      <c r="F21" s="316"/>
      <c r="G21" s="316"/>
      <c r="H21" s="316"/>
      <c r="I21" s="316"/>
      <c r="J21" s="316"/>
      <c r="K21" s="27"/>
      <c r="L21" s="316"/>
      <c r="M21" s="316"/>
      <c r="N21" s="316"/>
      <c r="O21" s="316"/>
      <c r="P21" s="316"/>
      <c r="Q21" s="316"/>
      <c r="S21" s="51"/>
      <c r="T21" s="51"/>
      <c r="U21" s="52"/>
      <c r="V21" s="290"/>
      <c r="X21" s="275" t="s">
        <v>32</v>
      </c>
      <c r="Y21" s="275"/>
      <c r="Z21" s="276"/>
      <c r="AA21" s="304">
        <f>Q10</f>
        <v>5.4</v>
      </c>
      <c r="AK21" s="202"/>
    </row>
    <row r="22" spans="2:37" ht="18.75" customHeight="1" thickBot="1" x14ac:dyDescent="0.25">
      <c r="B22" s="115"/>
      <c r="C22" s="91"/>
      <c r="D22" s="314" t="s">
        <v>71</v>
      </c>
      <c r="E22" s="315"/>
      <c r="F22" s="316">
        <v>12513000</v>
      </c>
      <c r="G22" s="316">
        <v>16619000</v>
      </c>
      <c r="H22" s="316">
        <v>9618000</v>
      </c>
      <c r="I22" s="316">
        <v>6946000</v>
      </c>
      <c r="J22" s="316">
        <v>4829000</v>
      </c>
      <c r="K22" s="80"/>
      <c r="L22" s="316">
        <v>16054000</v>
      </c>
      <c r="M22" s="316">
        <v>15032000</v>
      </c>
      <c r="N22" s="316">
        <v>14704000</v>
      </c>
      <c r="O22" s="316">
        <v>17317000</v>
      </c>
      <c r="P22" s="316">
        <v>9618000</v>
      </c>
      <c r="Q22" s="316"/>
      <c r="V22" s="22"/>
      <c r="AA22" s="299"/>
      <c r="AC22" s="283" t="s">
        <v>3</v>
      </c>
      <c r="AD22" s="284"/>
      <c r="AE22" s="324">
        <f>L4</f>
        <v>2013</v>
      </c>
      <c r="AF22" s="324">
        <f>M4</f>
        <v>2014</v>
      </c>
      <c r="AG22" s="324">
        <f>N4</f>
        <v>2015</v>
      </c>
      <c r="AH22" s="324">
        <f>O4</f>
        <v>2016</v>
      </c>
      <c r="AI22" s="324">
        <f>P4</f>
        <v>2017</v>
      </c>
    </row>
    <row r="23" spans="2:37" ht="18.75" customHeight="1" thickBot="1" x14ac:dyDescent="0.25">
      <c r="B23" s="113"/>
      <c r="C23" s="37"/>
      <c r="D23" s="314" t="s">
        <v>72</v>
      </c>
      <c r="E23" s="315"/>
      <c r="F23" s="316"/>
      <c r="G23" s="316"/>
      <c r="H23" s="316"/>
      <c r="I23" s="316"/>
      <c r="J23" s="316"/>
      <c r="K23" s="71"/>
      <c r="L23" s="316"/>
      <c r="M23" s="316"/>
      <c r="N23" s="316"/>
      <c r="O23" s="316"/>
      <c r="P23" s="316"/>
      <c r="Q23" s="316"/>
      <c r="S23" s="283" t="s">
        <v>3</v>
      </c>
      <c r="T23" s="284"/>
      <c r="U23" s="284"/>
      <c r="V23" s="291"/>
      <c r="X23" s="285" t="s">
        <v>61</v>
      </c>
      <c r="Y23" s="296"/>
      <c r="Z23" s="296"/>
      <c r="AA23" s="305"/>
      <c r="AC23" s="74" t="s">
        <v>73</v>
      </c>
      <c r="AD23" s="75"/>
      <c r="AE23" s="207">
        <f>IF(OR(L5="",L9="",L5=0,L9=0),"",L9/L5)</f>
        <v>6.6956686211462071E-2</v>
      </c>
      <c r="AF23" s="207">
        <f>IF(OR(M5="",M9="",M5=0,M9=0),"",M9/M5)</f>
        <v>0.26000758736002022</v>
      </c>
      <c r="AG23" s="207">
        <f>IF(OR(N5="",N9="",N5=0,N9=0),"",N9/N5)</f>
        <v>-5.3522394079957803E-3</v>
      </c>
      <c r="AH23" s="207">
        <f>IF(OR(O5="",O9="",O5=0,O9=0),"",O9/O5)</f>
        <v>-0.18173641433220494</v>
      </c>
      <c r="AI23" s="207">
        <f>IF(OR(P5="",P9="",P5=0,P9=0),"",P9/P5)</f>
        <v>1.0265489926574312</v>
      </c>
    </row>
    <row r="24" spans="2:37" ht="18.75" customHeight="1" x14ac:dyDescent="0.2">
      <c r="B24" s="116"/>
      <c r="C24" s="93"/>
      <c r="D24" s="314" t="s">
        <v>74</v>
      </c>
      <c r="E24" s="315"/>
      <c r="F24" s="316">
        <v>18780000</v>
      </c>
      <c r="G24" s="316">
        <v>22978000</v>
      </c>
      <c r="H24" s="316">
        <v>14338000</v>
      </c>
      <c r="I24" s="316">
        <v>11669000</v>
      </c>
      <c r="J24" s="316">
        <v>9479000</v>
      </c>
      <c r="K24" s="80"/>
      <c r="L24" s="316">
        <v>22684000</v>
      </c>
      <c r="M24" s="316">
        <v>21932000</v>
      </c>
      <c r="N24" s="316">
        <v>21267000</v>
      </c>
      <c r="O24" s="316">
        <v>24238000</v>
      </c>
      <c r="P24" s="316">
        <v>14338000</v>
      </c>
      <c r="Q24" s="316"/>
      <c r="S24" s="51" t="s">
        <v>12</v>
      </c>
      <c r="T24" s="51"/>
      <c r="U24" s="52"/>
      <c r="V24" s="292">
        <f>Q5</f>
        <v>250000000</v>
      </c>
      <c r="X24" s="51" t="s">
        <v>75</v>
      </c>
      <c r="Y24" s="51"/>
      <c r="Z24" s="52"/>
      <c r="AA24" s="303">
        <f>J18</f>
        <v>65514000</v>
      </c>
      <c r="AC24" s="74" t="s">
        <v>76</v>
      </c>
      <c r="AD24" s="75"/>
      <c r="AE24" s="207" t="str">
        <f>IF(OR(L9="",L23="",L9=0,L23=0),"",L9/L23)</f>
        <v/>
      </c>
      <c r="AF24" s="207" t="str">
        <f>IF(OR(M9="",M23="",M9=0,M23=0),"",M9/M23)</f>
        <v/>
      </c>
      <c r="AG24" s="207" t="str">
        <f>IF(OR(N9="",N23="",N9=0,N23=0),"",N9/N23)</f>
        <v/>
      </c>
      <c r="AH24" s="207" t="str">
        <f>IF(OR(O9="",O23="",O9=0,O23=0),"",O9/O23)</f>
        <v/>
      </c>
      <c r="AI24" s="207" t="str">
        <f>IF(OR(P9="",P23="",P9=0,P23=0),"",P9/P23)</f>
        <v/>
      </c>
    </row>
    <row r="25" spans="2:37" ht="18.75" customHeight="1" x14ac:dyDescent="0.2">
      <c r="B25" s="113"/>
      <c r="C25" s="37"/>
      <c r="D25" s="314" t="s">
        <v>77</v>
      </c>
      <c r="E25" s="315"/>
      <c r="F25" s="316">
        <v>16005000</v>
      </c>
      <c r="G25" s="316">
        <v>13369000</v>
      </c>
      <c r="H25" s="316">
        <v>43469000</v>
      </c>
      <c r="I25" s="316">
        <v>41463000</v>
      </c>
      <c r="J25" s="316">
        <v>62117000</v>
      </c>
      <c r="K25" s="85"/>
      <c r="L25" s="316">
        <v>25785000</v>
      </c>
      <c r="M25" s="316">
        <v>40454000</v>
      </c>
      <c r="N25" s="316">
        <v>36606000</v>
      </c>
      <c r="O25" s="316">
        <v>20998000</v>
      </c>
      <c r="P25" s="316">
        <v>43469000</v>
      </c>
      <c r="Q25" s="316"/>
      <c r="S25" s="146" t="s">
        <v>23</v>
      </c>
      <c r="T25" s="146"/>
      <c r="U25" s="279"/>
      <c r="V25" s="293">
        <f>(Q5-Q6)/Q5</f>
        <v>1</v>
      </c>
      <c r="X25" s="146" t="s">
        <v>78</v>
      </c>
      <c r="Y25" s="146"/>
      <c r="Z25" s="279"/>
      <c r="AA25" s="303">
        <f>J19</f>
        <v>69750000</v>
      </c>
      <c r="AC25" s="74" t="s">
        <v>79</v>
      </c>
      <c r="AD25" s="75"/>
      <c r="AE25" s="207">
        <f>IF(OR(L9="",L20="",L9=0,L20=0),"",L9/L20)</f>
        <v>8.7643648517609196E-2</v>
      </c>
      <c r="AF25" s="207">
        <f>IF(OR(M9="",M20="",M9=0,M20=0),"",M9/M20)</f>
        <v>0.29662103677107043</v>
      </c>
      <c r="AG25" s="207">
        <f>IF(OR(N9="",N20="",N9=0,N20=0),"",N9/N20)</f>
        <v>-5.9613291172049146E-3</v>
      </c>
      <c r="AH25" s="207">
        <f>IF(OR(O9="",O20="",O9=0,O20=0),"",O9/O20)</f>
        <v>-0.24566716774250597</v>
      </c>
      <c r="AI25" s="207">
        <f>IF(OR(P9="",P20="",P9=0,P20=0),"",P9/P20)</f>
        <v>0.49096130226443163</v>
      </c>
    </row>
    <row r="26" spans="2:37" ht="18.75" customHeight="1" x14ac:dyDescent="0.2">
      <c r="B26" s="113"/>
      <c r="C26" s="37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S26" s="146" t="s">
        <v>24</v>
      </c>
      <c r="T26" s="146"/>
      <c r="U26" s="279"/>
      <c r="V26" s="293">
        <f>Q9/Q5</f>
        <v>0.2011</v>
      </c>
      <c r="X26" s="51" t="s">
        <v>80</v>
      </c>
      <c r="Y26" s="51"/>
      <c r="Z26" s="52"/>
      <c r="AA26" s="303">
        <f>J22</f>
        <v>4829000</v>
      </c>
      <c r="AC26" s="74" t="s">
        <v>28</v>
      </c>
      <c r="AD26" s="75"/>
      <c r="AE26" s="92">
        <f>IF(OR(L5="",L20="",L5=0,L20=0),"",L5/L20)</f>
        <v>1.3089603664197735</v>
      </c>
      <c r="AF26" s="92">
        <f>IF(OR(M5="",M20="",M5=0,M20=0),"",M5/M20)</f>
        <v>1.1408168499342801</v>
      </c>
      <c r="AG26" s="92">
        <f>IF(OR(N5="",N20="",N5=0,N20=0),"",N5/N20)</f>
        <v>1.1138009088867002</v>
      </c>
      <c r="AH26" s="92">
        <f>IF(OR(O5="",O20="",O5=0,O20=0),"",O5/O20)</f>
        <v>1.3517773454770536</v>
      </c>
      <c r="AI26" s="92">
        <f>IF(OR(P5="",P20="",P5=0,P20=0),"",P5/P20)</f>
        <v>0.47826387807704951</v>
      </c>
    </row>
    <row r="27" spans="2:37" ht="18.75" customHeight="1" thickBot="1" x14ac:dyDescent="0.25">
      <c r="B27" s="113"/>
      <c r="C27" s="37"/>
      <c r="D27" s="317" t="s">
        <v>81</v>
      </c>
      <c r="E27" s="318"/>
      <c r="F27" s="320" t="str">
        <f>F4</f>
        <v>2016-10</v>
      </c>
      <c r="G27" s="320" t="str">
        <f>G4</f>
        <v>2017-01</v>
      </c>
      <c r="H27" s="320" t="str">
        <f>H4</f>
        <v>2017-04</v>
      </c>
      <c r="I27" s="320" t="str">
        <f>I4</f>
        <v>2017-07</v>
      </c>
      <c r="J27" s="320" t="str">
        <f>J4</f>
        <v>2017-10</v>
      </c>
      <c r="K27" s="197"/>
      <c r="L27" s="322">
        <f>L4</f>
        <v>2013</v>
      </c>
      <c r="M27" s="322">
        <f>M4</f>
        <v>2014</v>
      </c>
      <c r="N27" s="322">
        <f>N4</f>
        <v>2015</v>
      </c>
      <c r="O27" s="322">
        <f>O4</f>
        <v>2016</v>
      </c>
      <c r="P27" s="322">
        <f>P4</f>
        <v>2017</v>
      </c>
      <c r="Q27" s="319" t="s">
        <v>42</v>
      </c>
      <c r="S27" s="146" t="s">
        <v>25</v>
      </c>
      <c r="T27" s="146"/>
      <c r="U27" s="279"/>
      <c r="V27" s="293">
        <f>Q8/Q5</f>
        <v>-0.11916400000000001</v>
      </c>
      <c r="X27" s="51" t="s">
        <v>82</v>
      </c>
      <c r="AA27" s="303">
        <f>J21+J23</f>
        <v>0</v>
      </c>
      <c r="AJ27" s="95"/>
    </row>
    <row r="28" spans="2:37" ht="18.75" customHeight="1" thickBot="1" x14ac:dyDescent="0.3">
      <c r="B28" s="117"/>
      <c r="C28" s="96"/>
      <c r="D28" s="307" t="s">
        <v>83</v>
      </c>
      <c r="E28" s="308"/>
      <c r="F28" s="309">
        <v>1134000</v>
      </c>
      <c r="G28" s="309">
        <v>622000</v>
      </c>
      <c r="H28" s="309">
        <v>-5190000</v>
      </c>
      <c r="I28" s="309">
        <v>-3505000</v>
      </c>
      <c r="J28" s="309">
        <v>-113000</v>
      </c>
      <c r="K28" s="27"/>
      <c r="L28" s="309">
        <v>4924000</v>
      </c>
      <c r="M28" s="309">
        <v>6768000</v>
      </c>
      <c r="N28" s="309">
        <v>3544000</v>
      </c>
      <c r="O28" s="309">
        <v>-2221000</v>
      </c>
      <c r="P28" s="309">
        <v>-3004000</v>
      </c>
      <c r="Q28" s="309">
        <v>-8186000</v>
      </c>
      <c r="V28" s="22"/>
      <c r="X28" s="51"/>
      <c r="AA28" s="303"/>
      <c r="AC28" s="283" t="s">
        <v>2</v>
      </c>
      <c r="AD28" s="284"/>
      <c r="AE28" s="323">
        <f>L4</f>
        <v>2013</v>
      </c>
      <c r="AF28" s="323">
        <f>M4</f>
        <v>2014</v>
      </c>
      <c r="AG28" s="323">
        <f>N4</f>
        <v>2015</v>
      </c>
      <c r="AH28" s="323">
        <f>O4</f>
        <v>2016</v>
      </c>
      <c r="AI28" s="323">
        <f>P4</f>
        <v>2017</v>
      </c>
      <c r="AJ28" s="95"/>
    </row>
    <row r="29" spans="2:37" ht="18.75" customHeight="1" thickBot="1" x14ac:dyDescent="0.25">
      <c r="B29" s="113"/>
      <c r="C29" s="37"/>
      <c r="D29" s="310" t="s">
        <v>84</v>
      </c>
      <c r="E29" s="311"/>
      <c r="F29" s="312">
        <v>-190000</v>
      </c>
      <c r="G29" s="312">
        <v>-182000</v>
      </c>
      <c r="H29" s="312">
        <v>-193000</v>
      </c>
      <c r="I29" s="312">
        <v>-222000</v>
      </c>
      <c r="J29" s="312">
        <v>-53000</v>
      </c>
      <c r="K29" s="27"/>
      <c r="L29" s="312">
        <v>-1447000</v>
      </c>
      <c r="M29" s="312">
        <v>-1900000</v>
      </c>
      <c r="N29" s="312">
        <v>-1949000</v>
      </c>
      <c r="O29" s="312">
        <v>-2286000</v>
      </c>
      <c r="P29" s="312">
        <v>-912000</v>
      </c>
      <c r="Q29" s="312">
        <v>-650000</v>
      </c>
      <c r="S29" s="280" t="s">
        <v>4</v>
      </c>
      <c r="T29" s="281"/>
      <c r="U29" s="281"/>
      <c r="V29" s="294"/>
      <c r="X29" s="285" t="s">
        <v>85</v>
      </c>
      <c r="Y29" s="296"/>
      <c r="Z29" s="296"/>
      <c r="AA29" s="305"/>
      <c r="AC29" s="74" t="s">
        <v>20</v>
      </c>
      <c r="AD29" s="75"/>
      <c r="AE29" s="92">
        <f t="shared" ref="AE29:AI30" si="2">IF(OR(L19="",L22="",L19=0,L22=0),"",L19/L22)</f>
        <v>2.7280428553631495</v>
      </c>
      <c r="AF29" s="92">
        <f t="shared" si="2"/>
        <v>2.9911522086216071</v>
      </c>
      <c r="AG29" s="92">
        <f t="shared" si="2"/>
        <v>2.8028427638737758</v>
      </c>
      <c r="AH29" s="92">
        <f t="shared" si="2"/>
        <v>2.3057111508921868</v>
      </c>
      <c r="AI29" s="92">
        <f t="shared" si="2"/>
        <v>5.7105427323767932</v>
      </c>
      <c r="AJ29" s="95"/>
    </row>
    <row r="30" spans="2:37" ht="18.75" customHeight="1" x14ac:dyDescent="0.2">
      <c r="B30" s="113"/>
      <c r="C30" s="37"/>
      <c r="D30" s="310" t="s">
        <v>86</v>
      </c>
      <c r="E30" s="311"/>
      <c r="F30" s="312">
        <v>944000</v>
      </c>
      <c r="G30" s="312">
        <v>440000</v>
      </c>
      <c r="H30" s="312">
        <v>-5383000</v>
      </c>
      <c r="I30" s="312">
        <v>-3727000</v>
      </c>
      <c r="J30" s="312">
        <v>-166000</v>
      </c>
      <c r="K30" s="27"/>
      <c r="L30" s="312">
        <v>3477000</v>
      </c>
      <c r="M30" s="312">
        <v>4868000</v>
      </c>
      <c r="N30" s="312">
        <v>1595000</v>
      </c>
      <c r="O30" s="312">
        <v>-4507000</v>
      </c>
      <c r="P30" s="312">
        <v>-3916000</v>
      </c>
      <c r="Q30" s="312">
        <v>-8836000</v>
      </c>
      <c r="S30" s="275" t="s">
        <v>26</v>
      </c>
      <c r="T30" s="275"/>
      <c r="U30" s="276"/>
      <c r="V30" s="293">
        <f>Q9/AVERAGE(G25:J25)</f>
        <v>1.2535999700781708</v>
      </c>
      <c r="X30" s="146" t="s">
        <v>87</v>
      </c>
      <c r="Y30" s="146"/>
      <c r="Z30" s="279"/>
      <c r="AA30" s="287">
        <f>AVERAGE(N28:P28)</f>
        <v>-560333.33333333337</v>
      </c>
      <c r="AC30" s="74" t="s">
        <v>21</v>
      </c>
      <c r="AD30" s="75"/>
      <c r="AE30" s="92" t="str">
        <f t="shared" si="2"/>
        <v/>
      </c>
      <c r="AF30" s="92" t="str">
        <f t="shared" si="2"/>
        <v/>
      </c>
      <c r="AG30" s="92" t="str">
        <f t="shared" si="2"/>
        <v/>
      </c>
      <c r="AH30" s="92" t="str">
        <f t="shared" si="2"/>
        <v/>
      </c>
      <c r="AI30" s="92" t="str">
        <f t="shared" si="2"/>
        <v/>
      </c>
      <c r="AJ30" s="95"/>
    </row>
    <row r="31" spans="2:37" ht="18.75" customHeight="1" x14ac:dyDescent="0.2">
      <c r="B31" s="110"/>
      <c r="C31" s="17"/>
      <c r="S31" s="275" t="s">
        <v>27</v>
      </c>
      <c r="T31" s="275"/>
      <c r="U31" s="276"/>
      <c r="V31" s="293">
        <f>Q9/AVERAGE(G20:J20)</f>
        <v>0.91875987975256079</v>
      </c>
      <c r="X31" s="51" t="s">
        <v>88</v>
      </c>
      <c r="Y31" s="51"/>
      <c r="AA31" s="306">
        <f>ABS(AVERAGE(N29:P29))</f>
        <v>1715666.6666666667</v>
      </c>
      <c r="AC31" s="74" t="s">
        <v>22</v>
      </c>
      <c r="AD31" s="75"/>
      <c r="AE31" s="92" t="str">
        <f>IF(OR(L25="",L23="",L23=0,L25=0),"",L25/L23)</f>
        <v/>
      </c>
      <c r="AF31" s="92" t="str">
        <f>IF(OR(M25="",M23="",M23=0,M25=0),"",M25/M23)</f>
        <v/>
      </c>
      <c r="AG31" s="92" t="str">
        <f>IF(OR(N25="",N23="",N23=0,N25=0),"",N25/N23)</f>
        <v/>
      </c>
      <c r="AH31" s="92" t="str">
        <f>IF(OR(O25="",O23="",O23=0,O25=0),"",O25/O23)</f>
        <v/>
      </c>
      <c r="AI31" s="92" t="str">
        <f>IF(OR(P25="",P23="",P23=0,P25=0),"",P25/P23)</f>
        <v/>
      </c>
    </row>
    <row r="32" spans="2:37" ht="18.75" customHeight="1" x14ac:dyDescent="0.2">
      <c r="B32" s="110"/>
      <c r="C32" s="17"/>
      <c r="S32" s="275" t="s">
        <v>89</v>
      </c>
      <c r="T32" s="275"/>
      <c r="U32" s="276"/>
      <c r="V32" s="293">
        <f>Q8/(AVERAGE(G25:J25)+(AVERAGE(G20:J20)-AVERAGE(G22:J22)))</f>
        <v>-0.34915965401654908</v>
      </c>
      <c r="X32" s="51" t="s">
        <v>90</v>
      </c>
      <c r="Y32" s="51"/>
      <c r="Z32" s="52"/>
      <c r="AA32" s="287">
        <f>AVERAGE(N30:P30)</f>
        <v>-2276000</v>
      </c>
    </row>
    <row r="33" spans="1:40" ht="18.75" customHeight="1" x14ac:dyDescent="0.2">
      <c r="B33" s="113"/>
      <c r="C33" s="37"/>
      <c r="S33" s="275" t="s">
        <v>28</v>
      </c>
      <c r="T33" s="275"/>
      <c r="U33" s="276"/>
      <c r="V33" s="290">
        <f>Q5/AVERAGE(G20:J20)</f>
        <v>4.5686717043886658</v>
      </c>
      <c r="X33" s="123"/>
      <c r="AA33" s="123"/>
      <c r="AJ33" s="99"/>
    </row>
    <row r="34" spans="1:40" s="105" customFormat="1" ht="18.75" customHeight="1" thickBot="1" x14ac:dyDescent="0.35">
      <c r="A34" s="118"/>
      <c r="B34" s="119"/>
      <c r="C34" s="100"/>
      <c r="D34" s="169"/>
      <c r="E34" s="100"/>
      <c r="F34" s="101"/>
      <c r="G34" s="101"/>
      <c r="H34" s="101"/>
      <c r="I34" s="101"/>
      <c r="J34" s="101"/>
      <c r="K34" s="102"/>
      <c r="L34" s="103"/>
      <c r="M34" s="104"/>
      <c r="N34" s="104"/>
      <c r="O34" s="104"/>
      <c r="P34" s="102"/>
      <c r="Q34" s="102"/>
      <c r="R34" s="100"/>
      <c r="S34" s="156"/>
      <c r="X34" s="156"/>
      <c r="AA34" s="209"/>
      <c r="AC34" s="156"/>
    </row>
    <row r="35" spans="1:40" s="106" customFormat="1" ht="18.75" customHeight="1" thickBot="1" x14ac:dyDescent="0.25">
      <c r="D35" s="15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S35" s="157"/>
      <c r="X35" s="157"/>
      <c r="AA35" s="210"/>
      <c r="AC35" s="157"/>
    </row>
    <row r="36" spans="1:40" s="143" customFormat="1" ht="18.75" customHeight="1" thickBot="1" x14ac:dyDescent="0.3">
      <c r="A36" s="129">
        <v>2</v>
      </c>
      <c r="B36" s="130"/>
      <c r="C36" s="131"/>
      <c r="D36" s="132"/>
      <c r="E36" s="133"/>
      <c r="F36" s="134"/>
      <c r="G36" s="135"/>
      <c r="H36" s="135"/>
      <c r="I36" s="135"/>
      <c r="J36" s="135"/>
      <c r="K36" s="136"/>
      <c r="L36" s="137"/>
      <c r="M36" s="138"/>
      <c r="N36" s="138"/>
      <c r="O36" s="138"/>
      <c r="P36" s="138"/>
      <c r="Q36" s="138"/>
      <c r="R36" s="139"/>
      <c r="S36" s="140" t="s">
        <v>7</v>
      </c>
      <c r="T36" s="325" t="s">
        <v>91</v>
      </c>
      <c r="U36" s="326"/>
      <c r="V36" s="141" t="s">
        <v>35</v>
      </c>
      <c r="W36" s="138"/>
      <c r="X36" s="158"/>
      <c r="Y36" s="138"/>
      <c r="Z36" s="138"/>
      <c r="AA36" s="182"/>
      <c r="AB36" s="142"/>
      <c r="AC36" s="159"/>
      <c r="AD36" s="136"/>
      <c r="AE36" s="136"/>
      <c r="AF36" s="142"/>
      <c r="AG36" s="142"/>
      <c r="AH36" s="142"/>
      <c r="AI36" s="142"/>
      <c r="AJ36" s="142"/>
      <c r="AK36" s="142"/>
      <c r="AL36" s="142"/>
      <c r="AM36" s="136"/>
      <c r="AN36" s="136"/>
    </row>
    <row r="37" spans="1:40" ht="18.75" customHeight="1" x14ac:dyDescent="0.25">
      <c r="B37" s="109"/>
      <c r="C37" s="14"/>
      <c r="D37" s="15"/>
      <c r="E37" s="18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51"/>
      <c r="T37" s="16"/>
      <c r="U37" s="16"/>
      <c r="V37" s="16"/>
      <c r="W37" s="16"/>
      <c r="X37" s="151"/>
      <c r="Y37" s="16"/>
      <c r="Z37" s="16"/>
      <c r="AA37" s="184"/>
      <c r="AB37" s="16"/>
      <c r="AC37" s="151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40" ht="18.75" customHeight="1" x14ac:dyDescent="0.2">
      <c r="B38" s="110"/>
      <c r="C38" s="17"/>
      <c r="D38" s="120" t="s">
        <v>36</v>
      </c>
      <c r="E38" s="18"/>
      <c r="F38" s="185" t="s">
        <v>37</v>
      </c>
      <c r="G38" s="185" t="s">
        <v>38</v>
      </c>
      <c r="H38" s="185" t="s">
        <v>39</v>
      </c>
      <c r="I38" s="185" t="s">
        <v>40</v>
      </c>
      <c r="J38" s="185" t="s">
        <v>41</v>
      </c>
      <c r="K38" s="186"/>
      <c r="L38" s="185">
        <v>2013</v>
      </c>
      <c r="M38" s="185">
        <v>2014</v>
      </c>
      <c r="N38" s="185">
        <v>2015</v>
      </c>
      <c r="O38" s="185">
        <v>2016</v>
      </c>
      <c r="P38" s="185">
        <v>2017</v>
      </c>
      <c r="Q38" s="185" t="s">
        <v>42</v>
      </c>
      <c r="S38" s="153" t="s">
        <v>0</v>
      </c>
      <c r="T38" s="19"/>
      <c r="U38" s="19"/>
      <c r="V38" s="20"/>
      <c r="W38" s="21"/>
      <c r="X38" s="153" t="s">
        <v>5</v>
      </c>
      <c r="Y38" s="19"/>
      <c r="Z38" s="44"/>
      <c r="AA38" s="44" t="s">
        <v>43</v>
      </c>
      <c r="AB38" s="21"/>
      <c r="AC38" s="155" t="s">
        <v>44</v>
      </c>
      <c r="AD38" s="43"/>
      <c r="AE38" s="44"/>
      <c r="AF38" s="160">
        <f>M38</f>
        <v>2014</v>
      </c>
      <c r="AG38" s="160">
        <f>N38</f>
        <v>2015</v>
      </c>
      <c r="AH38" s="160">
        <f>O38</f>
        <v>2016</v>
      </c>
      <c r="AI38" s="160">
        <f>P38</f>
        <v>2017</v>
      </c>
      <c r="AJ38" s="22"/>
      <c r="AK38" s="23"/>
      <c r="AM38" s="24"/>
      <c r="AN38" s="175"/>
    </row>
    <row r="39" spans="1:40" ht="18.75" customHeight="1" thickBot="1" x14ac:dyDescent="0.25">
      <c r="A39" s="111"/>
      <c r="B39" s="112"/>
      <c r="C39" s="25"/>
      <c r="D39" s="60" t="s">
        <v>29</v>
      </c>
      <c r="E39" s="26"/>
      <c r="F39" s="62">
        <v>346574000</v>
      </c>
      <c r="G39" s="62">
        <v>59031000</v>
      </c>
      <c r="H39" s="62">
        <v>87135000</v>
      </c>
      <c r="I39" s="62">
        <v>79700000</v>
      </c>
      <c r="J39" s="62">
        <v>166643000</v>
      </c>
      <c r="K39" s="27"/>
      <c r="L39" s="62">
        <v>525749000</v>
      </c>
      <c r="M39" s="62">
        <v>561606000</v>
      </c>
      <c r="N39" s="62">
        <v>724689000</v>
      </c>
      <c r="O39" s="62">
        <v>629809000</v>
      </c>
      <c r="P39" s="62">
        <v>392509000</v>
      </c>
      <c r="Q39" s="62">
        <v>392509000</v>
      </c>
      <c r="S39" s="122" t="s">
        <v>8</v>
      </c>
      <c r="T39" s="149"/>
      <c r="U39" s="149"/>
      <c r="V39" s="187">
        <v>21.25</v>
      </c>
      <c r="W39" s="188"/>
      <c r="X39" s="50" t="s">
        <v>29</v>
      </c>
      <c r="Y39" s="50"/>
      <c r="Z39" s="78"/>
      <c r="AA39" s="189">
        <f>IF(AA38="Year over Year",AI39,IF(AA38="3-Year Average",AVERAGE(AH39:AI39),IF(AA38="5-Year Average",AVERAGE(AF39:AI39),"")))</f>
        <v>-3.7279355911500917E-2</v>
      </c>
      <c r="AB39" s="190"/>
      <c r="AC39" s="51" t="s">
        <v>45</v>
      </c>
      <c r="AD39" s="52"/>
      <c r="AE39" s="53"/>
      <c r="AF39" s="191">
        <f>IF(AND(M39&gt;0,L39&gt;0,L39&lt;&gt;""),M39/L39-1,IF(AND(L39&lt;0,M39&lt;0,L39&lt;&gt;""),(M39-L39)/ABS(L39),IF(AND(L39&gt;0,M39&lt;0,L39&lt;&gt;""),"L",IF(AND(L39&lt;0,M39&gt;0,L39&lt;&gt;""),"P",""))))</f>
        <v>6.8201746460763601E-2</v>
      </c>
      <c r="AG39" s="191">
        <f>IF(AND(N39&gt;0,M39&gt;0,M39&lt;&gt;""),N39/M39-1,IF(AND(M39&lt;0,N39&lt;0,M39&lt;&gt;""),(N39-M39)/ABS(M39),IF(AND(M39&gt;0,N39&lt;0,M39&lt;&gt;""),"L",IF(AND(M39&lt;0,N39&gt;0,M39&lt;&gt;""),"P",""))))</f>
        <v>0.29038685484129445</v>
      </c>
      <c r="AH39" s="191">
        <f>IF(AND(O39&gt;0,N39&gt;0,N39&lt;&gt;""),O39/N39-1,IF(AND(N39&lt;0,O39&lt;0,N39&lt;&gt;""),(O39-N39)/ABS(N39),IF(AND(N39&gt;0,O39&lt;0,N39&lt;&gt;""),"L",IF(AND(N39&lt;0,O39&gt;0,N39&lt;&gt;""),"P",""))))</f>
        <v>-0.13092512788244337</v>
      </c>
      <c r="AI39" s="191">
        <f>IF(AND(P39&gt;0,O39&gt;0,O39&lt;&gt;""),P39/O39-1,IF(AND(O39&lt;0,P39&lt;0,O39&lt;&gt;""),(P39-O39)/ABS(O39),IF(AND(O39&gt;0,P39&lt;0,O39&lt;&gt;""),"L",IF(AND(O39&lt;0,P39&gt;0,O39&lt;&gt;""),"P",""))))</f>
        <v>-0.37678089706561835</v>
      </c>
    </row>
    <row r="40" spans="1:40" ht="18.75" customHeight="1" thickBot="1" x14ac:dyDescent="0.25">
      <c r="A40" s="111"/>
      <c r="B40" s="112"/>
      <c r="C40" s="25"/>
      <c r="D40" s="60" t="s">
        <v>46</v>
      </c>
      <c r="E40" s="26"/>
      <c r="F40" s="62">
        <v>226083000</v>
      </c>
      <c r="G40" s="62">
        <v>35222000</v>
      </c>
      <c r="H40" s="62">
        <v>58792000</v>
      </c>
      <c r="I40" s="62">
        <v>51208000</v>
      </c>
      <c r="J40" s="62">
        <v>116583000</v>
      </c>
      <c r="K40" s="28"/>
      <c r="L40" s="62">
        <v>341423000</v>
      </c>
      <c r="M40" s="62">
        <v>377192000</v>
      </c>
      <c r="N40" s="62">
        <v>499006000</v>
      </c>
      <c r="O40" s="62">
        <v>409594000</v>
      </c>
      <c r="P40" s="62">
        <v>261805000</v>
      </c>
      <c r="Q40" s="62">
        <v>261805000</v>
      </c>
      <c r="S40" s="29" t="s">
        <v>9</v>
      </c>
      <c r="T40" s="30"/>
      <c r="U40" s="31"/>
      <c r="V40" s="32">
        <f>V39*Q47</f>
        <v>852953750</v>
      </c>
      <c r="W40" s="188"/>
      <c r="X40" s="63" t="s">
        <v>47</v>
      </c>
      <c r="Y40" s="63"/>
      <c r="Z40" s="64"/>
      <c r="AA40" s="192">
        <f>IF(AA38="Year over Year",AI40,IF(AA38="3-Year Average",AVERAGE(AH40:AI40),IF(AA38="5-Year Average",AVERAGE(AF40:AI40),"")))</f>
        <v>0.70159315986165327</v>
      </c>
      <c r="AB40" s="190"/>
      <c r="AC40" s="51" t="s">
        <v>30</v>
      </c>
      <c r="AD40" s="52"/>
      <c r="AE40" s="53"/>
      <c r="AF40" s="191">
        <f t="shared" ref="AF40:AI42" si="3">IF(AND(M42&gt;0,L42&gt;0,L42&lt;&gt;""),M42/L42-1,IF(AND(L42&lt;0,M42&lt;0,L42&lt;&gt;""),(M42-L42)/ABS(L42),IF(AND(L42&gt;0,M42&lt;0,L42&lt;&gt;""),"L",IF(AND(L42&lt;0,M42&gt;0,L42&lt;&gt;""),"P",""))))</f>
        <v>-0.57505773672055427</v>
      </c>
      <c r="AG40" s="191">
        <f t="shared" si="3"/>
        <v>3.45695652173913</v>
      </c>
      <c r="AH40" s="191">
        <f t="shared" si="3"/>
        <v>-0.77711930543361629</v>
      </c>
      <c r="AI40" s="191" t="str">
        <f t="shared" si="3"/>
        <v>L</v>
      </c>
    </row>
    <row r="41" spans="1:40" ht="18.75" customHeight="1" thickBot="1" x14ac:dyDescent="0.25">
      <c r="B41" s="112"/>
      <c r="C41" s="25"/>
      <c r="D41" s="33" t="s">
        <v>48</v>
      </c>
      <c r="E41" s="34"/>
      <c r="F41" s="35">
        <v>120491000</v>
      </c>
      <c r="G41" s="35">
        <v>23809000</v>
      </c>
      <c r="H41" s="35">
        <v>28343000</v>
      </c>
      <c r="I41" s="35">
        <v>28492000</v>
      </c>
      <c r="J41" s="35">
        <v>50060000</v>
      </c>
      <c r="K41" s="27"/>
      <c r="L41" s="35">
        <v>184326000</v>
      </c>
      <c r="M41" s="35">
        <v>184414000</v>
      </c>
      <c r="N41" s="35">
        <v>225683000</v>
      </c>
      <c r="O41" s="35">
        <v>220215000</v>
      </c>
      <c r="P41" s="35">
        <v>130704000</v>
      </c>
      <c r="Q41" s="62">
        <v>130704000</v>
      </c>
      <c r="S41" s="29" t="s">
        <v>10</v>
      </c>
      <c r="T41" s="30"/>
      <c r="U41" s="36"/>
      <c r="V41" s="32">
        <f>V40+(J55+J57)-J51</f>
        <v>715627750</v>
      </c>
      <c r="W41" s="190"/>
      <c r="X41" s="63" t="s">
        <v>31</v>
      </c>
      <c r="Y41" s="63"/>
      <c r="Z41" s="81"/>
      <c r="AA41" s="192">
        <f>IF(AA38="Year over Year",AI41,IF(AA38="3-Year Average",AVERAGE(AH41:AI41),IF(AA38="5-Year Average",AVERAGE(AF41:AI41),"")))</f>
        <v>-7.9519987996567856E-2</v>
      </c>
      <c r="AB41" s="190"/>
      <c r="AC41" s="51" t="s">
        <v>49</v>
      </c>
      <c r="AD41" s="52"/>
      <c r="AE41" s="53"/>
      <c r="AF41" s="191">
        <f t="shared" si="3"/>
        <v>0.93411538342177947</v>
      </c>
      <c r="AG41" s="191">
        <f t="shared" si="3"/>
        <v>-0.55815669977375926</v>
      </c>
      <c r="AH41" s="191">
        <f t="shared" si="3"/>
        <v>-0.61451864763772379</v>
      </c>
      <c r="AI41" s="191" t="str">
        <f t="shared" si="3"/>
        <v>L</v>
      </c>
    </row>
    <row r="42" spans="1:40" ht="18.75" customHeight="1" thickBot="1" x14ac:dyDescent="0.25">
      <c r="B42" s="112"/>
      <c r="C42" s="25"/>
      <c r="D42" s="60" t="s">
        <v>50</v>
      </c>
      <c r="E42" s="61"/>
      <c r="F42" s="62">
        <v>62454000</v>
      </c>
      <c r="G42" s="62">
        <v>-32281000</v>
      </c>
      <c r="H42" s="62">
        <v>-11434000</v>
      </c>
      <c r="I42" s="62">
        <v>-26201000</v>
      </c>
      <c r="J42" s="62">
        <v>4268000</v>
      </c>
      <c r="K42" s="40"/>
      <c r="L42" s="62">
        <v>21650000</v>
      </c>
      <c r="M42" s="62">
        <v>9200000</v>
      </c>
      <c r="N42" s="62">
        <v>41004000</v>
      </c>
      <c r="O42" s="62">
        <v>9139000</v>
      </c>
      <c r="P42" s="62">
        <v>-65648000</v>
      </c>
      <c r="Q42" s="62">
        <v>-65648000</v>
      </c>
      <c r="S42" s="29" t="s">
        <v>11</v>
      </c>
      <c r="T42" s="30"/>
      <c r="U42" s="36"/>
      <c r="V42" s="32">
        <f>J54-J58</f>
        <v>400297000</v>
      </c>
      <c r="W42" s="188"/>
      <c r="X42" s="63" t="s">
        <v>32</v>
      </c>
      <c r="Y42" s="63"/>
      <c r="Z42" s="64"/>
      <c r="AA42" s="192">
        <f>IF(AA38="Year over Year",AI42,IF(AA38="3-Year Average",AVERAGE(AH42:AI42),IF(AA38="5-Year Average",AVERAGE(AF42:AI42),"")))</f>
        <v>-9.5128486177079474E-2</v>
      </c>
      <c r="AB42" s="190"/>
      <c r="AC42" s="51" t="s">
        <v>51</v>
      </c>
      <c r="AD42" s="52"/>
      <c r="AE42" s="53"/>
      <c r="AF42" s="191">
        <f t="shared" si="3"/>
        <v>0.89411764705882368</v>
      </c>
      <c r="AG42" s="191">
        <f t="shared" si="3"/>
        <v>-0.56521739130434789</v>
      </c>
      <c r="AH42" s="191">
        <f t="shared" si="3"/>
        <v>-0.61428571428571421</v>
      </c>
      <c r="AI42" s="191" t="str">
        <f t="shared" si="3"/>
        <v>L</v>
      </c>
    </row>
    <row r="43" spans="1:40" ht="18.75" customHeight="1" thickBot="1" x14ac:dyDescent="0.25">
      <c r="B43" s="112"/>
      <c r="C43" s="25"/>
      <c r="D43" s="60" t="s">
        <v>52</v>
      </c>
      <c r="E43" s="61"/>
      <c r="F43" s="62">
        <v>51775000</v>
      </c>
      <c r="G43" s="62">
        <v>-19215000</v>
      </c>
      <c r="H43" s="62">
        <v>-6840000</v>
      </c>
      <c r="I43" s="62">
        <v>-10232000</v>
      </c>
      <c r="J43" s="62">
        <v>-97542000</v>
      </c>
      <c r="K43" s="27"/>
      <c r="L43" s="62">
        <v>32223000</v>
      </c>
      <c r="M43" s="62">
        <v>62323000</v>
      </c>
      <c r="N43" s="62">
        <v>27537000</v>
      </c>
      <c r="O43" s="62">
        <v>10615000</v>
      </c>
      <c r="P43" s="62">
        <v>-133829000</v>
      </c>
      <c r="Q43" s="62">
        <v>-133829000</v>
      </c>
      <c r="S43" s="29" t="s">
        <v>53</v>
      </c>
      <c r="T43" s="30"/>
      <c r="U43" s="31"/>
      <c r="V43" s="39" t="str">
        <f>IF(V40&gt;10000,"Large Cap",IF(AND(10000&gt;V40,2000&lt;V40),"Mid Cap",IF(AND(2000&gt;V40,V40&gt;50),"Small Cap",IF(V40&lt;50,"Micro Cap",NA))))</f>
        <v>Large Cap</v>
      </c>
      <c r="W43" s="188"/>
      <c r="AB43" s="41"/>
    </row>
    <row r="44" spans="1:40" ht="18.75" customHeight="1" thickBot="1" x14ac:dyDescent="0.25">
      <c r="B44" s="112"/>
      <c r="C44" s="25"/>
      <c r="D44" s="60" t="s">
        <v>54</v>
      </c>
      <c r="E44" s="61"/>
      <c r="F44" s="54">
        <v>1.3</v>
      </c>
      <c r="G44" s="54">
        <v>-0.48</v>
      </c>
      <c r="H44" s="54">
        <v>-0.17</v>
      </c>
      <c r="I44" s="54">
        <v>-0.25</v>
      </c>
      <c r="J44" s="54">
        <v>-2.42</v>
      </c>
      <c r="K44" s="55"/>
      <c r="L44" s="56">
        <v>0.85</v>
      </c>
      <c r="M44" s="56">
        <v>1.61</v>
      </c>
      <c r="N44" s="56">
        <v>0.7</v>
      </c>
      <c r="O44" s="56">
        <v>0.27</v>
      </c>
      <c r="P44" s="56">
        <v>-3.33</v>
      </c>
      <c r="Q44" s="54">
        <v>-3.33</v>
      </c>
      <c r="S44" s="122" t="s">
        <v>55</v>
      </c>
      <c r="T44" s="124"/>
      <c r="U44" s="124"/>
      <c r="V44" s="125"/>
      <c r="W44" s="190"/>
      <c r="X44" s="155" t="s">
        <v>2</v>
      </c>
      <c r="Y44" s="43"/>
      <c r="Z44" s="97"/>
      <c r="AA44" s="193"/>
      <c r="AC44" s="154" t="s">
        <v>56</v>
      </c>
      <c r="AD44" s="72"/>
      <c r="AE44" s="161">
        <f>L38</f>
        <v>2013</v>
      </c>
      <c r="AF44" s="161">
        <f>M38</f>
        <v>2014</v>
      </c>
      <c r="AG44" s="161">
        <f>N38</f>
        <v>2015</v>
      </c>
      <c r="AH44" s="161">
        <f>O38</f>
        <v>2016</v>
      </c>
      <c r="AI44" s="161">
        <f>P38</f>
        <v>2017</v>
      </c>
    </row>
    <row r="45" spans="1:40" ht="18.75" hidden="1" customHeight="1" x14ac:dyDescent="0.2">
      <c r="B45" s="112"/>
      <c r="C45" s="25"/>
      <c r="D45" s="60"/>
      <c r="E45" s="61"/>
      <c r="F45" s="54">
        <v>39974000</v>
      </c>
      <c r="G45" s="54">
        <v>39994000</v>
      </c>
      <c r="H45" s="54">
        <v>40051000</v>
      </c>
      <c r="I45" s="54">
        <v>40199000</v>
      </c>
      <c r="J45" s="54">
        <v>40310000</v>
      </c>
      <c r="K45" s="55"/>
      <c r="L45" s="56">
        <v>37832000</v>
      </c>
      <c r="M45" s="56">
        <v>38634000</v>
      </c>
      <c r="N45" s="56">
        <v>39257000</v>
      </c>
      <c r="O45" s="56">
        <v>39833000</v>
      </c>
      <c r="P45" s="56">
        <v>40139000</v>
      </c>
      <c r="Q45" s="54">
        <v>40139000</v>
      </c>
      <c r="S45" s="51"/>
      <c r="V45" s="170"/>
      <c r="W45" s="190"/>
      <c r="X45" s="171"/>
      <c r="Y45" s="172"/>
      <c r="Z45" s="173"/>
      <c r="AA45" s="194"/>
      <c r="AC45" s="174"/>
      <c r="AD45" s="175"/>
      <c r="AE45" s="176"/>
      <c r="AF45" s="176"/>
      <c r="AG45" s="176"/>
      <c r="AH45" s="176"/>
      <c r="AI45" s="176"/>
    </row>
    <row r="46" spans="1:40" ht="18.75" hidden="1" customHeight="1" x14ac:dyDescent="0.2">
      <c r="B46" s="112"/>
      <c r="C46" s="25"/>
      <c r="D46" s="60"/>
      <c r="E46" s="61"/>
      <c r="F46" s="54">
        <v>1.3</v>
      </c>
      <c r="G46" s="54">
        <v>-0.48</v>
      </c>
      <c r="H46" s="54">
        <v>-0.17</v>
      </c>
      <c r="I46" s="54">
        <v>-0.25</v>
      </c>
      <c r="J46" s="54">
        <v>-2.42</v>
      </c>
      <c r="K46" s="55"/>
      <c r="L46" s="56">
        <v>0.85</v>
      </c>
      <c r="M46" s="56">
        <v>1.61</v>
      </c>
      <c r="N46" s="56">
        <v>0.7</v>
      </c>
      <c r="O46" s="56">
        <v>0.27</v>
      </c>
      <c r="P46" s="56">
        <v>-3.33</v>
      </c>
      <c r="Q46" s="54">
        <v>-3.33</v>
      </c>
      <c r="S46" s="51"/>
      <c r="V46" s="170"/>
      <c r="W46" s="190"/>
      <c r="X46" s="171"/>
      <c r="Y46" s="172"/>
      <c r="Z46" s="173"/>
      <c r="AA46" s="194"/>
      <c r="AC46" s="174"/>
      <c r="AD46" s="175"/>
      <c r="AE46" s="176"/>
      <c r="AF46" s="176"/>
      <c r="AG46" s="176"/>
      <c r="AH46" s="176"/>
      <c r="AI46" s="176"/>
    </row>
    <row r="47" spans="1:40" ht="18.75" customHeight="1" thickBot="1" x14ac:dyDescent="0.25">
      <c r="B47" s="112"/>
      <c r="C47" s="25"/>
      <c r="D47" s="33" t="s">
        <v>57</v>
      </c>
      <c r="E47" s="61"/>
      <c r="F47" s="62">
        <v>39974000</v>
      </c>
      <c r="G47" s="62">
        <v>39994000</v>
      </c>
      <c r="H47" s="62">
        <v>40051000</v>
      </c>
      <c r="I47" s="62">
        <v>40199000</v>
      </c>
      <c r="J47" s="62">
        <v>40310000</v>
      </c>
      <c r="K47" s="28"/>
      <c r="L47" s="62">
        <v>37832000</v>
      </c>
      <c r="M47" s="62">
        <v>38634000</v>
      </c>
      <c r="N47" s="62">
        <v>39257000</v>
      </c>
      <c r="O47" s="62">
        <v>39833000</v>
      </c>
      <c r="P47" s="62">
        <v>40139000</v>
      </c>
      <c r="Q47" s="62">
        <v>40139000</v>
      </c>
      <c r="S47" s="123"/>
      <c r="X47" s="47" t="s">
        <v>20</v>
      </c>
      <c r="Y47" s="47"/>
      <c r="Z47" s="48"/>
      <c r="AA47" s="49">
        <f>AVERAGE(G53:J53)/AVERAGE(G56:J56)</f>
        <v>3.429380535325099</v>
      </c>
      <c r="AC47" s="74" t="s">
        <v>29</v>
      </c>
      <c r="AD47" s="75"/>
      <c r="AE47" s="76">
        <f>IF(L39="","",L39)</f>
        <v>525749000</v>
      </c>
      <c r="AF47" s="76">
        <f>IF(M39="","",M39)</f>
        <v>561606000</v>
      </c>
      <c r="AG47" s="76">
        <f>IF(N39="","",N39)</f>
        <v>724689000</v>
      </c>
      <c r="AH47" s="76">
        <f>IF(O39="","",O39)</f>
        <v>629809000</v>
      </c>
      <c r="AI47" s="76">
        <f>IF(P39="","",P39)</f>
        <v>392509000</v>
      </c>
    </row>
    <row r="48" spans="1:40" ht="18.75" customHeight="1" thickBot="1" x14ac:dyDescent="0.25">
      <c r="B48" s="112"/>
      <c r="C48" s="25"/>
      <c r="D48" s="33" t="s">
        <v>58</v>
      </c>
      <c r="E48" s="45"/>
      <c r="F48" s="35">
        <v>66342000</v>
      </c>
      <c r="G48" s="35">
        <v>-26573000</v>
      </c>
      <c r="H48" s="35">
        <v>-6260000</v>
      </c>
      <c r="I48" s="35">
        <v>-12469000</v>
      </c>
      <c r="J48" s="35">
        <v>9283000</v>
      </c>
      <c r="K48" s="40"/>
      <c r="L48" s="62">
        <v>35408000</v>
      </c>
      <c r="M48" s="62">
        <v>26158000</v>
      </c>
      <c r="N48" s="62">
        <v>59851000</v>
      </c>
      <c r="O48" s="62">
        <v>24632000</v>
      </c>
      <c r="P48" s="62">
        <v>-36020000</v>
      </c>
      <c r="Q48" s="62">
        <v>-36020000</v>
      </c>
      <c r="S48" s="153" t="s">
        <v>59</v>
      </c>
      <c r="T48" s="19"/>
      <c r="U48" s="19"/>
      <c r="V48" s="19"/>
      <c r="X48" s="63" t="s">
        <v>21</v>
      </c>
      <c r="Y48" s="63"/>
      <c r="Z48" s="98"/>
      <c r="AA48" s="65">
        <f>AVERAGE(G54:J54)/AVERAGE(G59:J59)</f>
        <v>1.3927085753728874</v>
      </c>
      <c r="AC48" s="74" t="s">
        <v>60</v>
      </c>
      <c r="AD48" s="75"/>
      <c r="AE48" s="195">
        <f>IF(OR(L39="",L41=""),"",L41/L39)</f>
        <v>0.35059695786392364</v>
      </c>
      <c r="AF48" s="195">
        <f>IF(OR(M39="",M41=""),"",M41/M39)</f>
        <v>0.32836899890670684</v>
      </c>
      <c r="AG48" s="195">
        <f>IF(OR(N39="",N41=""),"",N41/N39)</f>
        <v>0.31142048520123805</v>
      </c>
      <c r="AH48" s="195">
        <f>IF(OR(O39="",O41=""),"",O41/O39)</f>
        <v>0.34965362514667148</v>
      </c>
      <c r="AI48" s="195">
        <f>IF(OR(P39="",P41=""),"",P41/P39)</f>
        <v>0.33299618607471421</v>
      </c>
    </row>
    <row r="49" spans="2:37" ht="18.75" customHeight="1" x14ac:dyDescent="0.2">
      <c r="B49" s="113"/>
      <c r="C49" s="37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S49" s="47" t="s">
        <v>13</v>
      </c>
      <c r="T49" s="47"/>
      <c r="U49" s="48"/>
      <c r="V49" s="49" t="str">
        <f>IF(Q44&gt;0,V39/Q44,"")</f>
        <v/>
      </c>
      <c r="X49" s="63" t="s">
        <v>22</v>
      </c>
      <c r="Y49" s="63"/>
      <c r="Z49" s="98"/>
      <c r="AA49" s="65" t="e">
        <f>AVERAGE(G57:J57)/AVERAGE(G59:J59)</f>
        <v>#DIV/0!</v>
      </c>
      <c r="AC49" s="74" t="s">
        <v>47</v>
      </c>
      <c r="AD49" s="75"/>
      <c r="AE49" s="76">
        <f>IF(L42="","",L42)</f>
        <v>21650000</v>
      </c>
      <c r="AF49" s="76">
        <f>IF(M42="","",M42)</f>
        <v>9200000</v>
      </c>
      <c r="AG49" s="76">
        <f>IF(N42="","",N42)</f>
        <v>41004000</v>
      </c>
      <c r="AH49" s="76">
        <f>IF(O42="","",O42)</f>
        <v>9139000</v>
      </c>
      <c r="AI49" s="76">
        <f>IF(P42="","",P42)</f>
        <v>-65648000</v>
      </c>
    </row>
    <row r="50" spans="2:37" ht="18.75" customHeight="1" x14ac:dyDescent="0.25">
      <c r="B50" s="114"/>
      <c r="C50" s="73"/>
      <c r="D50" s="120" t="s">
        <v>61</v>
      </c>
      <c r="E50" s="18"/>
      <c r="F50" s="196" t="str">
        <f>F38</f>
        <v>2016-10</v>
      </c>
      <c r="G50" s="196" t="str">
        <f>G38</f>
        <v>2017-01</v>
      </c>
      <c r="H50" s="196" t="str">
        <f>H38</f>
        <v>2017-04</v>
      </c>
      <c r="I50" s="196" t="str">
        <f>I38</f>
        <v>2017-07</v>
      </c>
      <c r="J50" s="196" t="str">
        <f>J38</f>
        <v>2017-10</v>
      </c>
      <c r="K50" s="197"/>
      <c r="L50" s="198">
        <f>L38</f>
        <v>2013</v>
      </c>
      <c r="M50" s="198">
        <f>M38</f>
        <v>2014</v>
      </c>
      <c r="N50" s="198">
        <f>N38</f>
        <v>2015</v>
      </c>
      <c r="O50" s="198">
        <f>O38</f>
        <v>2016</v>
      </c>
      <c r="P50" s="198">
        <f>P38</f>
        <v>2017</v>
      </c>
      <c r="Q50" s="185"/>
      <c r="S50" s="57" t="s">
        <v>15</v>
      </c>
      <c r="T50" s="57"/>
      <c r="U50" s="58"/>
      <c r="V50" s="59">
        <f>V39/((J54-J58)/J47)</f>
        <v>2.1398798891822821</v>
      </c>
      <c r="W50" s="199"/>
      <c r="X50" s="123"/>
      <c r="AA50" s="123"/>
      <c r="AC50" s="74" t="s">
        <v>62</v>
      </c>
      <c r="AD50" s="75"/>
      <c r="AE50" s="195">
        <f>IF(OR(L39="",L42=""),"",L42/L39)</f>
        <v>4.1179346037748053E-2</v>
      </c>
      <c r="AF50" s="195">
        <f>IF(OR(M39="",M42=""),"",M42/M39)</f>
        <v>1.6381591364764622E-2</v>
      </c>
      <c r="AG50" s="195">
        <f>IF(OR(N39="",N42=""),"",N42/N39)</f>
        <v>5.6581512897256617E-2</v>
      </c>
      <c r="AH50" s="195">
        <f>IF(OR(O39="",O42=""),"",O42/O39)</f>
        <v>1.4510748496766481E-2</v>
      </c>
      <c r="AI50" s="195">
        <f>IF(OR(P39="",P42=""),"",P42/P39)</f>
        <v>-0.16725221587275707</v>
      </c>
      <c r="AJ50" s="77"/>
      <c r="AK50" s="23"/>
    </row>
    <row r="51" spans="2:37" ht="18.75" customHeight="1" thickBot="1" x14ac:dyDescent="0.25">
      <c r="B51" s="110"/>
      <c r="C51" s="17"/>
      <c r="D51" s="60" t="s">
        <v>63</v>
      </c>
      <c r="E51" s="61"/>
      <c r="F51" s="62">
        <v>222962000</v>
      </c>
      <c r="G51" s="62">
        <v>198320000</v>
      </c>
      <c r="H51" s="62">
        <v>170950000</v>
      </c>
      <c r="I51" s="62">
        <v>151886000</v>
      </c>
      <c r="J51" s="62">
        <v>137326000</v>
      </c>
      <c r="K51" s="27"/>
      <c r="L51" s="62">
        <v>192633000</v>
      </c>
      <c r="M51" s="62">
        <v>112633000</v>
      </c>
      <c r="N51" s="62">
        <v>266660000</v>
      </c>
      <c r="O51" s="62">
        <v>222962000</v>
      </c>
      <c r="P51" s="62">
        <v>137326000</v>
      </c>
      <c r="Q51" s="62"/>
      <c r="S51" s="57" t="s">
        <v>14</v>
      </c>
      <c r="T51" s="57"/>
      <c r="U51" s="58"/>
      <c r="V51" s="59">
        <f>V39/(Q39/Q47)</f>
        <v>2.1730807446453455</v>
      </c>
      <c r="W51" s="200"/>
      <c r="X51" s="155" t="s">
        <v>36</v>
      </c>
      <c r="Y51" s="43"/>
      <c r="Z51" s="43"/>
      <c r="AA51" s="201"/>
      <c r="AC51" s="74" t="s">
        <v>31</v>
      </c>
      <c r="AD51" s="75"/>
      <c r="AE51" s="76">
        <f t="shared" ref="AE51:AI52" si="4">IF(L43="","",L43)</f>
        <v>32223000</v>
      </c>
      <c r="AF51" s="76">
        <f t="shared" si="4"/>
        <v>62323000</v>
      </c>
      <c r="AG51" s="76">
        <f t="shared" si="4"/>
        <v>27537000</v>
      </c>
      <c r="AH51" s="76">
        <f t="shared" si="4"/>
        <v>10615000</v>
      </c>
      <c r="AI51" s="76">
        <f t="shared" si="4"/>
        <v>-133829000</v>
      </c>
      <c r="AK51" s="202"/>
    </row>
    <row r="52" spans="2:37" ht="18.75" customHeight="1" thickBot="1" x14ac:dyDescent="0.25">
      <c r="B52" s="112"/>
      <c r="C52" s="25"/>
      <c r="D52" s="94" t="s">
        <v>64</v>
      </c>
      <c r="E52" s="61"/>
      <c r="F52" s="38">
        <v>222962000</v>
      </c>
      <c r="G52" s="38">
        <v>283133000</v>
      </c>
      <c r="H52" s="38">
        <v>250783000</v>
      </c>
      <c r="I52" s="38">
        <v>179812000</v>
      </c>
      <c r="J52" s="38">
        <v>144323000</v>
      </c>
      <c r="K52" s="80"/>
      <c r="L52" s="38">
        <v>206681000</v>
      </c>
      <c r="M52" s="38">
        <v>128922000</v>
      </c>
      <c r="N52" s="38">
        <v>281585000</v>
      </c>
      <c r="O52" s="38">
        <v>222962000</v>
      </c>
      <c r="P52" s="38">
        <v>144323000</v>
      </c>
      <c r="Q52" s="38"/>
      <c r="S52" s="63" t="s">
        <v>17</v>
      </c>
      <c r="T52" s="63"/>
      <c r="U52" s="64"/>
      <c r="V52" s="65">
        <f>IF(AVERAGE(N62:P62)&gt;0,V39/(AVERAGE(N62:P62)/Q47),"")</f>
        <v>115.77509953850331</v>
      </c>
      <c r="W52" s="200"/>
      <c r="X52" s="145" t="s">
        <v>29</v>
      </c>
      <c r="Y52" s="145"/>
      <c r="Z52" s="147"/>
      <c r="AA52" s="148">
        <f>Q39</f>
        <v>392509000</v>
      </c>
      <c r="AC52" s="74" t="s">
        <v>32</v>
      </c>
      <c r="AD52" s="75"/>
      <c r="AE52" s="203">
        <f t="shared" si="4"/>
        <v>0.85</v>
      </c>
      <c r="AF52" s="203">
        <f t="shared" si="4"/>
        <v>1.61</v>
      </c>
      <c r="AG52" s="203">
        <f t="shared" si="4"/>
        <v>0.7</v>
      </c>
      <c r="AH52" s="203">
        <f t="shared" si="4"/>
        <v>0.27</v>
      </c>
      <c r="AI52" s="203">
        <f t="shared" si="4"/>
        <v>-3.33</v>
      </c>
      <c r="AK52" s="202"/>
    </row>
    <row r="53" spans="2:37" ht="18.75" customHeight="1" thickBot="1" x14ac:dyDescent="0.3">
      <c r="B53" s="114"/>
      <c r="C53" s="73"/>
      <c r="D53" s="94" t="s">
        <v>65</v>
      </c>
      <c r="E53" s="61"/>
      <c r="F53" s="38">
        <v>548280000</v>
      </c>
      <c r="G53" s="38">
        <v>468375000</v>
      </c>
      <c r="H53" s="38">
        <v>501485000</v>
      </c>
      <c r="I53" s="38">
        <v>463224000</v>
      </c>
      <c r="J53" s="38">
        <v>519643000</v>
      </c>
      <c r="K53" s="80"/>
      <c r="L53" s="38">
        <v>505336000</v>
      </c>
      <c r="M53" s="38">
        <v>508562000</v>
      </c>
      <c r="N53" s="38">
        <v>581286000</v>
      </c>
      <c r="O53" s="38">
        <v>548280000</v>
      </c>
      <c r="P53" s="38">
        <v>519643000</v>
      </c>
      <c r="Q53" s="38"/>
      <c r="S53" s="29" t="s">
        <v>16</v>
      </c>
      <c r="T53" s="29"/>
      <c r="U53" s="30"/>
      <c r="V53" s="65" t="str">
        <f>IF(AVERAGE(N64:P64)&gt;0,V40/AVERAGE(N64:P64),"")</f>
        <v/>
      </c>
      <c r="X53" s="68" t="s">
        <v>66</v>
      </c>
      <c r="Y53" s="68"/>
      <c r="Z53" s="69"/>
      <c r="AA53" s="70">
        <f>Q41</f>
        <v>130704000</v>
      </c>
      <c r="AC53" s="74" t="s">
        <v>67</v>
      </c>
      <c r="AD53" s="75"/>
      <c r="AE53" s="76">
        <f>IF(L47="","",L47)</f>
        <v>37832000</v>
      </c>
      <c r="AF53" s="76">
        <f>IF(M47="","",M47)</f>
        <v>38634000</v>
      </c>
      <c r="AG53" s="76">
        <f>IF(N47="","",N47)</f>
        <v>39257000</v>
      </c>
      <c r="AH53" s="76">
        <f>IF(O47="","",O47)</f>
        <v>39833000</v>
      </c>
      <c r="AI53" s="76">
        <f>IF(P47="","",P47)</f>
        <v>40139000</v>
      </c>
      <c r="AK53" s="202"/>
    </row>
    <row r="54" spans="2:37" ht="18.75" customHeight="1" thickBot="1" x14ac:dyDescent="0.25">
      <c r="B54" s="113"/>
      <c r="C54" s="37"/>
      <c r="D54" s="94" t="s">
        <v>68</v>
      </c>
      <c r="E54" s="61"/>
      <c r="F54" s="38">
        <v>714572000</v>
      </c>
      <c r="G54" s="38">
        <v>668684000</v>
      </c>
      <c r="H54" s="38">
        <v>700750000</v>
      </c>
      <c r="I54" s="38">
        <v>667065000</v>
      </c>
      <c r="J54" s="38">
        <v>618757000</v>
      </c>
      <c r="K54" s="85"/>
      <c r="L54" s="38">
        <v>603366000</v>
      </c>
      <c r="M54" s="38">
        <v>651434000</v>
      </c>
      <c r="N54" s="38">
        <v>694175000</v>
      </c>
      <c r="O54" s="38">
        <v>714572000</v>
      </c>
      <c r="P54" s="38">
        <v>618757000</v>
      </c>
      <c r="Q54" s="38"/>
      <c r="S54" s="57" t="s">
        <v>18</v>
      </c>
      <c r="T54" s="57"/>
      <c r="U54" s="58"/>
      <c r="V54" s="59">
        <f>(V40+(J55+J57)-J51)/J48</f>
        <v>77.090137886459118</v>
      </c>
      <c r="X54" s="68" t="s">
        <v>31</v>
      </c>
      <c r="Y54" s="68"/>
      <c r="Z54" s="69"/>
      <c r="AA54" s="70">
        <f>Q43</f>
        <v>-133829000</v>
      </c>
      <c r="AC54" s="74" t="s">
        <v>69</v>
      </c>
      <c r="AD54" s="75"/>
      <c r="AE54" s="204">
        <f>IF(OR(L59="",L47="",L54="",L58=""),"",(L54-L58)/L47)</f>
        <v>9.9277595686191589</v>
      </c>
      <c r="AF54" s="204">
        <f>IF(OR(M59="",M47="",M54="",M58=""),"",(M54-M58)/M47)</f>
        <v>11.747528084071025</v>
      </c>
      <c r="AG54" s="204">
        <f>IF(OR(N59="",N47="",N54="",N58=""),"",(N54-N58)/N47)</f>
        <v>12.545788012329011</v>
      </c>
      <c r="AH54" s="204">
        <f>IF(OR(O59="",O47="",O54="",O58=""),"",(O54-O58)/O47)</f>
        <v>13.191976501895413</v>
      </c>
      <c r="AI54" s="204">
        <f>IF(OR(P59="",P47="",P54="",P58=""),"",(P54-P58)/P47)</f>
        <v>9.9727696255512104</v>
      </c>
      <c r="AK54" s="202"/>
    </row>
    <row r="55" spans="2:37" ht="18.75" customHeight="1" thickBot="1" x14ac:dyDescent="0.25">
      <c r="B55" s="112"/>
      <c r="C55" s="25"/>
      <c r="D55" s="60" t="s">
        <v>70</v>
      </c>
      <c r="E55" s="26"/>
      <c r="F55" s="62"/>
      <c r="G55" s="62"/>
      <c r="H55" s="62"/>
      <c r="I55" s="62"/>
      <c r="J55" s="62"/>
      <c r="K55" s="27"/>
      <c r="L55" s="62"/>
      <c r="M55" s="62"/>
      <c r="N55" s="62"/>
      <c r="O55" s="62"/>
      <c r="P55" s="62"/>
      <c r="Q55" s="62"/>
      <c r="S55" s="63" t="s">
        <v>19</v>
      </c>
      <c r="T55" s="63"/>
      <c r="U55" s="64"/>
      <c r="V55" s="65">
        <f>(V40+(J55+J57)-J51)/J39</f>
        <v>4.294376301434804</v>
      </c>
      <c r="X55" s="29" t="s">
        <v>32</v>
      </c>
      <c r="Y55" s="29"/>
      <c r="Z55" s="30"/>
      <c r="AA55" s="205">
        <f>Q44</f>
        <v>-3.33</v>
      </c>
      <c r="AK55" s="202"/>
    </row>
    <row r="56" spans="2:37" ht="18.75" customHeight="1" thickBot="1" x14ac:dyDescent="0.25">
      <c r="B56" s="115"/>
      <c r="C56" s="91"/>
      <c r="D56" s="94" t="s">
        <v>71</v>
      </c>
      <c r="E56" s="61"/>
      <c r="F56" s="38">
        <v>156135000</v>
      </c>
      <c r="G56" s="38">
        <v>118661000</v>
      </c>
      <c r="H56" s="38">
        <v>159025000</v>
      </c>
      <c r="I56" s="38">
        <v>126382000</v>
      </c>
      <c r="J56" s="38">
        <v>165343000</v>
      </c>
      <c r="K56" s="80"/>
      <c r="L56" s="38">
        <v>170408000</v>
      </c>
      <c r="M56" s="38">
        <v>146948000</v>
      </c>
      <c r="N56" s="38">
        <v>166099000</v>
      </c>
      <c r="O56" s="38">
        <v>156135000</v>
      </c>
      <c r="P56" s="38">
        <v>165343000</v>
      </c>
      <c r="Q56" s="38"/>
      <c r="AC56" s="89" t="s">
        <v>3</v>
      </c>
      <c r="AD56" s="90"/>
      <c r="AE56" s="161">
        <f>L38</f>
        <v>2013</v>
      </c>
      <c r="AF56" s="161">
        <f>M38</f>
        <v>2014</v>
      </c>
      <c r="AG56" s="161">
        <f>N38</f>
        <v>2015</v>
      </c>
      <c r="AH56" s="161">
        <f>O38</f>
        <v>2016</v>
      </c>
      <c r="AI56" s="161">
        <f>P38</f>
        <v>2017</v>
      </c>
    </row>
    <row r="57" spans="2:37" ht="18.75" customHeight="1" thickBot="1" x14ac:dyDescent="0.25">
      <c r="B57" s="113"/>
      <c r="C57" s="37"/>
      <c r="D57" s="60" t="s">
        <v>72</v>
      </c>
      <c r="E57" s="26"/>
      <c r="F57" s="62"/>
      <c r="G57" s="62"/>
      <c r="H57" s="62"/>
      <c r="I57" s="62"/>
      <c r="J57" s="62"/>
      <c r="K57" s="71"/>
      <c r="L57" s="62"/>
      <c r="M57" s="62"/>
      <c r="N57" s="62"/>
      <c r="O57" s="62"/>
      <c r="P57" s="62"/>
      <c r="Q57" s="62"/>
      <c r="S57" s="154" t="s">
        <v>3</v>
      </c>
      <c r="T57" s="72"/>
      <c r="U57" s="72"/>
      <c r="V57" s="42"/>
      <c r="X57" s="155" t="s">
        <v>61</v>
      </c>
      <c r="Y57" s="43"/>
      <c r="Z57" s="43"/>
      <c r="AA57" s="206"/>
      <c r="AC57" s="74" t="s">
        <v>73</v>
      </c>
      <c r="AD57" s="75"/>
      <c r="AE57" s="207">
        <f>IF(OR(L39="",L43="",L39=0,L43=0),"",L43/L39)</f>
        <v>6.1289702881032582E-2</v>
      </c>
      <c r="AF57" s="207">
        <f>IF(OR(M39="",M43="",M39=0,M43=0),"",M43/M39)</f>
        <v>0.11097281724198103</v>
      </c>
      <c r="AG57" s="207">
        <f>IF(OR(N39="",N43="",N39=0,N43=0),"",N43/N39)</f>
        <v>3.7998368955510571E-2</v>
      </c>
      <c r="AH57" s="207">
        <f>IF(OR(O39="",O43="",O39=0,O43=0),"",O43/O39)</f>
        <v>1.6854316149816848E-2</v>
      </c>
      <c r="AI57" s="207">
        <f>IF(OR(P39="",P43="",P39=0,P43=0),"",P43/P39)</f>
        <v>-0.34095778695520357</v>
      </c>
    </row>
    <row r="58" spans="2:37" ht="18.75" customHeight="1" thickBot="1" x14ac:dyDescent="0.25">
      <c r="B58" s="116"/>
      <c r="C58" s="93"/>
      <c r="D58" s="94" t="s">
        <v>74</v>
      </c>
      <c r="E58" s="61"/>
      <c r="F58" s="38">
        <v>189096000</v>
      </c>
      <c r="G58" s="38">
        <v>159511000</v>
      </c>
      <c r="H58" s="38">
        <v>197933000</v>
      </c>
      <c r="I58" s="38">
        <v>172811000</v>
      </c>
      <c r="J58" s="38">
        <v>218460000</v>
      </c>
      <c r="K58" s="80"/>
      <c r="L58" s="46">
        <v>227779000</v>
      </c>
      <c r="M58" s="46">
        <v>197580000</v>
      </c>
      <c r="N58" s="46">
        <v>201665000</v>
      </c>
      <c r="O58" s="46">
        <v>189096000</v>
      </c>
      <c r="P58" s="46">
        <v>218460000</v>
      </c>
      <c r="Q58" s="38"/>
      <c r="S58" s="50" t="s">
        <v>12</v>
      </c>
      <c r="T58" s="50"/>
      <c r="U58" s="78"/>
      <c r="V58" s="79">
        <f>Q39</f>
        <v>392509000</v>
      </c>
      <c r="X58" s="122" t="s">
        <v>75</v>
      </c>
      <c r="Y58" s="122"/>
      <c r="Z58" s="144"/>
      <c r="AA58" s="148">
        <f>J52</f>
        <v>144323000</v>
      </c>
      <c r="AC58" s="74" t="s">
        <v>76</v>
      </c>
      <c r="AD58" s="75"/>
      <c r="AE58" s="207" t="str">
        <f>IF(OR(L43="",L57="",L43=0,L57=0),"",L43/L57)</f>
        <v/>
      </c>
      <c r="AF58" s="207" t="str">
        <f>IF(OR(M43="",M57="",M43=0,M57=0),"",M43/M57)</f>
        <v/>
      </c>
      <c r="AG58" s="207" t="str">
        <f>IF(OR(N43="",N57="",N43=0,N57=0),"",N43/N57)</f>
        <v/>
      </c>
      <c r="AH58" s="207" t="str">
        <f>IF(OR(O43="",O57="",O43=0,O57=0),"",O43/O57)</f>
        <v/>
      </c>
      <c r="AI58" s="207" t="str">
        <f>IF(OR(P43="",P57="",P43=0,P57=0),"",P43/P57)</f>
        <v/>
      </c>
    </row>
    <row r="59" spans="2:37" ht="18.75" customHeight="1" thickBot="1" x14ac:dyDescent="0.25">
      <c r="B59" s="113"/>
      <c r="C59" s="37"/>
      <c r="D59" s="94" t="s">
        <v>77</v>
      </c>
      <c r="E59" s="61"/>
      <c r="F59" s="38">
        <v>525476000</v>
      </c>
      <c r="G59" s="38">
        <v>509173000</v>
      </c>
      <c r="H59" s="38">
        <v>502817000</v>
      </c>
      <c r="I59" s="38">
        <v>494254000</v>
      </c>
      <c r="J59" s="38">
        <v>400297000</v>
      </c>
      <c r="K59" s="85"/>
      <c r="L59" s="46">
        <v>375587000</v>
      </c>
      <c r="M59" s="46">
        <v>453854000</v>
      </c>
      <c r="N59" s="46">
        <v>492510000</v>
      </c>
      <c r="O59" s="46">
        <v>525476000</v>
      </c>
      <c r="P59" s="46">
        <v>400297000</v>
      </c>
      <c r="Q59" s="38"/>
      <c r="S59" s="68" t="s">
        <v>23</v>
      </c>
      <c r="T59" s="68"/>
      <c r="U59" s="69"/>
      <c r="V59" s="192">
        <f>(Q39-Q40)/Q39</f>
        <v>0.33299618607471421</v>
      </c>
      <c r="X59" s="145" t="s">
        <v>78</v>
      </c>
      <c r="Y59" s="146"/>
      <c r="Z59" s="147"/>
      <c r="AA59" s="148">
        <f>J53</f>
        <v>519643000</v>
      </c>
      <c r="AC59" s="74" t="s">
        <v>79</v>
      </c>
      <c r="AD59" s="75"/>
      <c r="AE59" s="207">
        <f>IF(OR(L43="",L54="",L43=0,L54=0),"",L43/L54)</f>
        <v>5.3405395729954952E-2</v>
      </c>
      <c r="AF59" s="207">
        <f>IF(OR(M43="",M54="",M43=0,M54=0),"",M43/M54)</f>
        <v>9.5670474675868936E-2</v>
      </c>
      <c r="AG59" s="207">
        <f>IF(OR(N43="",N54="",N43=0,N54=0),"",N43/N54)</f>
        <v>3.9668671444520472E-2</v>
      </c>
      <c r="AH59" s="207">
        <f>IF(OR(O43="",O54="",O43=0,O54=0),"",O43/O54)</f>
        <v>1.4855046097524112E-2</v>
      </c>
      <c r="AI59" s="207">
        <f>IF(OR(P43="",P54="",P43=0,P54=0),"",P43/P54)</f>
        <v>-0.21628684604780229</v>
      </c>
    </row>
    <row r="60" spans="2:37" ht="18.75" customHeight="1" x14ac:dyDescent="0.2">
      <c r="B60" s="113"/>
      <c r="C60" s="37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S60" s="68" t="s">
        <v>24</v>
      </c>
      <c r="T60" s="68"/>
      <c r="U60" s="69"/>
      <c r="V60" s="192">
        <f>Q43/Q39</f>
        <v>-0.34095778695520357</v>
      </c>
      <c r="X60" s="63" t="s">
        <v>80</v>
      </c>
      <c r="Y60" s="63"/>
      <c r="Z60" s="64"/>
      <c r="AA60" s="70">
        <f>J56</f>
        <v>165343000</v>
      </c>
      <c r="AC60" s="74" t="s">
        <v>28</v>
      </c>
      <c r="AD60" s="75"/>
      <c r="AE60" s="92">
        <f>IF(OR(L39="",L54="",L39=0,L54=0),"",L39/L54)</f>
        <v>0.87136000371250621</v>
      </c>
      <c r="AF60" s="92">
        <f>IF(OR(M39="",M54="",M39=0,M54=0),"",M39/M54)</f>
        <v>0.86210728945679838</v>
      </c>
      <c r="AG60" s="92">
        <f>IF(OR(N39="",N54="",N39=0,N54=0),"",N39/N54)</f>
        <v>1.0439572153995751</v>
      </c>
      <c r="AH60" s="92">
        <f>IF(OR(O39="",O54="",O39=0,O54=0),"",O39/O54)</f>
        <v>0.88137934315926181</v>
      </c>
      <c r="AI60" s="92">
        <f>IF(OR(P39="",P54="",P39=0,P54=0),"",P39/P54)</f>
        <v>0.63435080330404348</v>
      </c>
    </row>
    <row r="61" spans="2:37" ht="18.75" customHeight="1" x14ac:dyDescent="0.2">
      <c r="B61" s="113"/>
      <c r="C61" s="37"/>
      <c r="D61" s="121" t="s">
        <v>81</v>
      </c>
      <c r="E61" s="18"/>
      <c r="F61" s="196" t="str">
        <f>F38</f>
        <v>2016-10</v>
      </c>
      <c r="G61" s="196" t="str">
        <f>G38</f>
        <v>2017-01</v>
      </c>
      <c r="H61" s="196" t="str">
        <f>H38</f>
        <v>2017-04</v>
      </c>
      <c r="I61" s="196" t="str">
        <f>I38</f>
        <v>2017-07</v>
      </c>
      <c r="J61" s="196" t="str">
        <f>J38</f>
        <v>2017-10</v>
      </c>
      <c r="K61" s="197"/>
      <c r="L61" s="208">
        <f>L38</f>
        <v>2013</v>
      </c>
      <c r="M61" s="208">
        <f>M38</f>
        <v>2014</v>
      </c>
      <c r="N61" s="208">
        <f>N38</f>
        <v>2015</v>
      </c>
      <c r="O61" s="208">
        <f>O38</f>
        <v>2016</v>
      </c>
      <c r="P61" s="208">
        <f>P38</f>
        <v>2017</v>
      </c>
      <c r="Q61" s="185" t="s">
        <v>42</v>
      </c>
      <c r="S61" s="68" t="s">
        <v>25</v>
      </c>
      <c r="T61" s="68"/>
      <c r="U61" s="69"/>
      <c r="V61" s="192">
        <f>Q42/Q39</f>
        <v>-0.16725221587275707</v>
      </c>
      <c r="X61" s="63" t="s">
        <v>82</v>
      </c>
      <c r="Y61" s="81"/>
      <c r="Z61" s="81"/>
      <c r="AA61" s="70">
        <f>J55+J57</f>
        <v>0</v>
      </c>
      <c r="AJ61" s="95"/>
    </row>
    <row r="62" spans="2:37" ht="18.75" customHeight="1" thickBot="1" x14ac:dyDescent="0.3">
      <c r="B62" s="117"/>
      <c r="C62" s="96"/>
      <c r="D62" s="60" t="s">
        <v>83</v>
      </c>
      <c r="E62" s="26"/>
      <c r="F62" s="62">
        <v>81176000</v>
      </c>
      <c r="G62" s="62">
        <v>69922000</v>
      </c>
      <c r="H62" s="62">
        <v>-28264000</v>
      </c>
      <c r="I62" s="62">
        <v>-80342000</v>
      </c>
      <c r="J62" s="62">
        <v>-34657000</v>
      </c>
      <c r="K62" s="27"/>
      <c r="L62" s="62">
        <v>-87350000</v>
      </c>
      <c r="M62" s="62">
        <v>-58109000</v>
      </c>
      <c r="N62" s="62">
        <v>147756000</v>
      </c>
      <c r="O62" s="62">
        <v>-52313000</v>
      </c>
      <c r="P62" s="62">
        <v>-73341000</v>
      </c>
      <c r="Q62" s="62">
        <v>-73341000</v>
      </c>
      <c r="X62" s="82"/>
      <c r="Y62" s="83"/>
      <c r="Z62" s="83"/>
      <c r="AA62" s="84"/>
      <c r="AC62" s="89" t="s">
        <v>2</v>
      </c>
      <c r="AD62" s="90"/>
      <c r="AE62" s="162">
        <f>L38</f>
        <v>2013</v>
      </c>
      <c r="AF62" s="162">
        <f>M38</f>
        <v>2014</v>
      </c>
      <c r="AG62" s="162">
        <f>N38</f>
        <v>2015</v>
      </c>
      <c r="AH62" s="162">
        <f>O38</f>
        <v>2016</v>
      </c>
      <c r="AI62" s="162">
        <f>P38</f>
        <v>2017</v>
      </c>
      <c r="AJ62" s="95"/>
    </row>
    <row r="63" spans="2:37" ht="18.75" customHeight="1" thickBot="1" x14ac:dyDescent="0.25">
      <c r="B63" s="113"/>
      <c r="C63" s="37"/>
      <c r="D63" s="60" t="s">
        <v>84</v>
      </c>
      <c r="E63" s="26"/>
      <c r="F63" s="62">
        <v>-3695000</v>
      </c>
      <c r="G63" s="62">
        <v>-10289000</v>
      </c>
      <c r="H63" s="62">
        <v>-3299000</v>
      </c>
      <c r="I63" s="62">
        <v>-2059000</v>
      </c>
      <c r="J63" s="62">
        <v>-1820000</v>
      </c>
      <c r="K63" s="27"/>
      <c r="L63" s="62">
        <v>-13136000</v>
      </c>
      <c r="M63" s="62">
        <v>-17193000</v>
      </c>
      <c r="N63" s="62">
        <v>-7467000</v>
      </c>
      <c r="O63" s="62">
        <v>-7503000</v>
      </c>
      <c r="P63" s="62">
        <v>-17467000</v>
      </c>
      <c r="Q63" s="62">
        <v>-17467000</v>
      </c>
      <c r="S63" s="153" t="s">
        <v>4</v>
      </c>
      <c r="T63" s="19"/>
      <c r="U63" s="19"/>
      <c r="V63" s="86"/>
      <c r="X63" s="155" t="s">
        <v>85</v>
      </c>
      <c r="Y63" s="43"/>
      <c r="Z63" s="43"/>
      <c r="AA63" s="196"/>
      <c r="AC63" s="74" t="s">
        <v>20</v>
      </c>
      <c r="AD63" s="75"/>
      <c r="AE63" s="92">
        <f t="shared" ref="AE63:AI64" si="5">IF(OR(L53="",L56="",L53=0,L56=0),"",L53/L56)</f>
        <v>2.965447631566593</v>
      </c>
      <c r="AF63" s="92">
        <f t="shared" si="5"/>
        <v>3.4608296812477883</v>
      </c>
      <c r="AG63" s="92">
        <f t="shared" si="5"/>
        <v>3.4996357593965044</v>
      </c>
      <c r="AH63" s="92">
        <f t="shared" si="5"/>
        <v>3.5115765203189548</v>
      </c>
      <c r="AI63" s="92">
        <f t="shared" si="5"/>
        <v>3.1428182626419021</v>
      </c>
      <c r="AJ63" s="95"/>
    </row>
    <row r="64" spans="2:37" ht="18.75" customHeight="1" thickBot="1" x14ac:dyDescent="0.25">
      <c r="B64" s="113"/>
      <c r="C64" s="37"/>
      <c r="D64" s="60" t="s">
        <v>86</v>
      </c>
      <c r="E64" s="26"/>
      <c r="F64" s="62">
        <v>77481000</v>
      </c>
      <c r="G64" s="62">
        <v>59633000</v>
      </c>
      <c r="H64" s="62">
        <v>-31563000</v>
      </c>
      <c r="I64" s="62">
        <v>-82401000</v>
      </c>
      <c r="J64" s="62">
        <v>-36477000</v>
      </c>
      <c r="K64" s="27"/>
      <c r="L64" s="62">
        <v>-100486000</v>
      </c>
      <c r="M64" s="62">
        <v>-75302000</v>
      </c>
      <c r="N64" s="62">
        <v>140289000</v>
      </c>
      <c r="O64" s="62">
        <v>-59816000</v>
      </c>
      <c r="P64" s="62">
        <v>-90808000</v>
      </c>
      <c r="Q64" s="62">
        <v>-90808000</v>
      </c>
      <c r="S64" s="47" t="s">
        <v>26</v>
      </c>
      <c r="T64" s="47"/>
      <c r="U64" s="48"/>
      <c r="V64" s="189">
        <f>Q43/AVERAGE(G59:J59)</f>
        <v>-0.28077864572542632</v>
      </c>
      <c r="X64" s="66" t="s">
        <v>87</v>
      </c>
      <c r="Y64" s="66"/>
      <c r="Z64" s="67"/>
      <c r="AA64" s="87">
        <f>AVERAGE(N62:P62)</f>
        <v>7367333.333333333</v>
      </c>
      <c r="AC64" s="74" t="s">
        <v>21</v>
      </c>
      <c r="AD64" s="75"/>
      <c r="AE64" s="92" t="str">
        <f t="shared" si="5"/>
        <v/>
      </c>
      <c r="AF64" s="92" t="str">
        <f t="shared" si="5"/>
        <v/>
      </c>
      <c r="AG64" s="92" t="str">
        <f t="shared" si="5"/>
        <v/>
      </c>
      <c r="AH64" s="92" t="str">
        <f t="shared" si="5"/>
        <v/>
      </c>
      <c r="AI64" s="92" t="str">
        <f t="shared" si="5"/>
        <v/>
      </c>
      <c r="AJ64" s="95"/>
    </row>
    <row r="65" spans="1:40" ht="18.75" customHeight="1" x14ac:dyDescent="0.2">
      <c r="B65" s="110"/>
      <c r="C65" s="17"/>
      <c r="S65" s="29" t="s">
        <v>27</v>
      </c>
      <c r="T65" s="29"/>
      <c r="U65" s="30"/>
      <c r="V65" s="192">
        <f>Q43/AVERAGE(G54:J54)</f>
        <v>-0.20160617281346882</v>
      </c>
      <c r="X65" s="63" t="s">
        <v>88</v>
      </c>
      <c r="Y65" s="63"/>
      <c r="Z65" s="81"/>
      <c r="AA65" s="88">
        <f>ABS(AVERAGE(N63:P63))</f>
        <v>10812333.333333334</v>
      </c>
      <c r="AC65" s="74" t="s">
        <v>22</v>
      </c>
      <c r="AD65" s="75"/>
      <c r="AE65" s="92" t="str">
        <f>IF(OR(L59="",L57="",L57=0,L59=0),"",L59/L57)</f>
        <v/>
      </c>
      <c r="AF65" s="92" t="str">
        <f>IF(OR(M59="",M57="",M57=0,M59=0),"",M59/M57)</f>
        <v/>
      </c>
      <c r="AG65" s="92" t="str">
        <f>IF(OR(N59="",N57="",N57=0,N59=0),"",N59/N57)</f>
        <v/>
      </c>
      <c r="AH65" s="92" t="str">
        <f>IF(OR(O59="",O57="",O57=0,O59=0),"",O59/O57)</f>
        <v/>
      </c>
      <c r="AI65" s="92" t="str">
        <f>IF(OR(P59="",P57="",P57=0,P59=0),"",P59/P57)</f>
        <v/>
      </c>
    </row>
    <row r="66" spans="1:40" ht="18.75" customHeight="1" x14ac:dyDescent="0.2">
      <c r="B66" s="110"/>
      <c r="C66" s="17"/>
      <c r="S66" s="29" t="s">
        <v>89</v>
      </c>
      <c r="T66" s="29"/>
      <c r="U66" s="30"/>
      <c r="V66" s="192">
        <f>Q42/(AVERAGE(G59:J59)+(AVERAGE(G54:J54)-AVERAGE(G56:J56)))</f>
        <v>-6.5773199284838685E-2</v>
      </c>
      <c r="X66" s="63" t="s">
        <v>90</v>
      </c>
      <c r="Y66" s="63"/>
      <c r="Z66" s="64"/>
      <c r="AA66" s="32">
        <f>AVERAGE(N64:P64)</f>
        <v>-3445000</v>
      </c>
    </row>
    <row r="67" spans="1:40" ht="18.75" customHeight="1" x14ac:dyDescent="0.2">
      <c r="B67" s="113"/>
      <c r="C67" s="37"/>
      <c r="S67" s="29" t="s">
        <v>28</v>
      </c>
      <c r="T67" s="29"/>
      <c r="U67" s="30"/>
      <c r="V67" s="65">
        <f>Q39/AVERAGE(G54:J54)</f>
        <v>0.59129364550913355</v>
      </c>
      <c r="X67" s="123"/>
      <c r="AA67" s="123"/>
      <c r="AJ67" s="99"/>
    </row>
    <row r="68" spans="1:40" s="105" customFormat="1" ht="18.75" customHeight="1" thickBot="1" x14ac:dyDescent="0.35">
      <c r="A68" s="118"/>
      <c r="B68" s="119"/>
      <c r="C68" s="100"/>
      <c r="D68" s="169"/>
      <c r="E68" s="100"/>
      <c r="F68" s="101"/>
      <c r="G68" s="101"/>
      <c r="H68" s="101"/>
      <c r="I68" s="101"/>
      <c r="J68" s="101"/>
      <c r="K68" s="102"/>
      <c r="L68" s="103"/>
      <c r="M68" s="104"/>
      <c r="N68" s="104"/>
      <c r="O68" s="104"/>
      <c r="P68" s="102"/>
      <c r="Q68" s="102"/>
      <c r="R68" s="100"/>
      <c r="S68" s="156"/>
      <c r="X68" s="156"/>
      <c r="AA68" s="209"/>
      <c r="AC68" s="156"/>
    </row>
    <row r="69" spans="1:40" s="106" customFormat="1" ht="18.75" customHeight="1" thickBot="1" x14ac:dyDescent="0.25">
      <c r="D69" s="15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S69" s="157"/>
      <c r="X69" s="157"/>
      <c r="AA69" s="210"/>
      <c r="AC69" s="157"/>
    </row>
    <row r="70" spans="1:40" s="143" customFormat="1" ht="18.75" customHeight="1" thickBot="1" x14ac:dyDescent="0.3">
      <c r="A70" s="129">
        <v>3</v>
      </c>
      <c r="B70" s="130"/>
      <c r="C70" s="131"/>
      <c r="D70" s="132"/>
      <c r="E70" s="133"/>
      <c r="F70" s="134"/>
      <c r="G70" s="135"/>
      <c r="H70" s="135"/>
      <c r="I70" s="135"/>
      <c r="J70" s="135"/>
      <c r="K70" s="136"/>
      <c r="L70" s="137"/>
      <c r="M70" s="138"/>
      <c r="N70" s="138"/>
      <c r="O70" s="138"/>
      <c r="P70" s="138"/>
      <c r="Q70" s="138"/>
      <c r="R70" s="139"/>
      <c r="S70" s="140" t="s">
        <v>7</v>
      </c>
      <c r="T70" s="325" t="s">
        <v>92</v>
      </c>
      <c r="U70" s="326"/>
      <c r="V70" s="141" t="s">
        <v>35</v>
      </c>
      <c r="W70" s="138"/>
      <c r="X70" s="158"/>
      <c r="Y70" s="138"/>
      <c r="Z70" s="138"/>
      <c r="AA70" s="182"/>
      <c r="AB70" s="142"/>
      <c r="AC70" s="159"/>
      <c r="AD70" s="136"/>
      <c r="AE70" s="136"/>
      <c r="AF70" s="142"/>
      <c r="AG70" s="142"/>
      <c r="AH70" s="142"/>
      <c r="AI70" s="142"/>
      <c r="AJ70" s="142"/>
      <c r="AK70" s="142"/>
      <c r="AL70" s="142"/>
      <c r="AM70" s="136"/>
      <c r="AN70" s="136"/>
    </row>
    <row r="71" spans="1:40" ht="18.75" customHeight="1" x14ac:dyDescent="0.25">
      <c r="B71" s="109"/>
      <c r="C71" s="14"/>
      <c r="D71" s="15"/>
      <c r="E71" s="18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51"/>
      <c r="T71" s="16"/>
      <c r="U71" s="16"/>
      <c r="V71" s="16"/>
      <c r="W71" s="16"/>
      <c r="X71" s="151"/>
      <c r="Y71" s="16"/>
      <c r="Z71" s="16"/>
      <c r="AA71" s="184"/>
      <c r="AB71" s="16"/>
      <c r="AC71" s="151"/>
      <c r="AD71" s="16"/>
      <c r="AE71" s="16"/>
      <c r="AF71" s="16"/>
      <c r="AG71" s="16"/>
      <c r="AH71" s="16"/>
      <c r="AI71" s="16"/>
      <c r="AJ71" s="16"/>
      <c r="AK71" s="16"/>
      <c r="AL71" s="16"/>
    </row>
    <row r="72" spans="1:40" ht="18.75" customHeight="1" x14ac:dyDescent="0.2">
      <c r="B72" s="110"/>
      <c r="C72" s="17"/>
      <c r="D72" s="120" t="s">
        <v>36</v>
      </c>
      <c r="E72" s="18"/>
      <c r="F72" s="185" t="s">
        <v>37</v>
      </c>
      <c r="G72" s="185" t="s">
        <v>38</v>
      </c>
      <c r="H72" s="185" t="s">
        <v>39</v>
      </c>
      <c r="I72" s="185" t="s">
        <v>40</v>
      </c>
      <c r="J72" s="185" t="s">
        <v>41</v>
      </c>
      <c r="K72" s="186"/>
      <c r="L72" s="185">
        <v>2013</v>
      </c>
      <c r="M72" s="185">
        <v>2014</v>
      </c>
      <c r="N72" s="185">
        <v>2015</v>
      </c>
      <c r="O72" s="185">
        <v>2016</v>
      </c>
      <c r="P72" s="185">
        <v>2017</v>
      </c>
      <c r="Q72" s="185" t="s">
        <v>42</v>
      </c>
      <c r="S72" s="153" t="s">
        <v>0</v>
      </c>
      <c r="T72" s="19"/>
      <c r="U72" s="19"/>
      <c r="V72" s="20"/>
      <c r="W72" s="21"/>
      <c r="X72" s="153" t="s">
        <v>5</v>
      </c>
      <c r="Y72" s="19"/>
      <c r="Z72" s="44"/>
      <c r="AA72" s="44" t="s">
        <v>43</v>
      </c>
      <c r="AB72" s="21"/>
      <c r="AC72" s="155" t="s">
        <v>44</v>
      </c>
      <c r="AD72" s="43"/>
      <c r="AE72" s="44"/>
      <c r="AF72" s="160">
        <f>M72</f>
        <v>2014</v>
      </c>
      <c r="AG72" s="160">
        <f>N72</f>
        <v>2015</v>
      </c>
      <c r="AH72" s="160">
        <f>O72</f>
        <v>2016</v>
      </c>
      <c r="AI72" s="160">
        <f>P72</f>
        <v>2017</v>
      </c>
      <c r="AJ72" s="22"/>
      <c r="AK72" s="23"/>
      <c r="AM72" s="24"/>
      <c r="AN72" s="175"/>
    </row>
    <row r="73" spans="1:40" ht="18.75" customHeight="1" thickBot="1" x14ac:dyDescent="0.25">
      <c r="A73" s="111"/>
      <c r="B73" s="112"/>
      <c r="C73" s="25"/>
      <c r="D73" s="60" t="s">
        <v>29</v>
      </c>
      <c r="E73" s="26"/>
      <c r="F73" s="62"/>
      <c r="G73" s="62"/>
      <c r="H73" s="62"/>
      <c r="I73" s="62"/>
      <c r="J73" s="62"/>
      <c r="K73" s="27"/>
      <c r="L73" s="62"/>
      <c r="M73" s="62"/>
      <c r="N73" s="62"/>
      <c r="O73" s="62"/>
      <c r="P73" s="62"/>
      <c r="Q73" s="62"/>
      <c r="S73" s="122" t="s">
        <v>8</v>
      </c>
      <c r="T73" s="149"/>
      <c r="U73" s="149"/>
      <c r="V73" s="187">
        <v>88.54</v>
      </c>
      <c r="W73" s="188"/>
      <c r="X73" s="50" t="s">
        <v>29</v>
      </c>
      <c r="Y73" s="50"/>
      <c r="Z73" s="78"/>
      <c r="AA73" s="189" t="e">
        <f>IF(AA72="Year over Year",AI73,IF(AA72="3-Year Average",AVERAGE(AH73:AI73),IF(AA72="5-Year Average",AVERAGE(AF73:AI73),"")))</f>
        <v>#DIV/0!</v>
      </c>
      <c r="AB73" s="190"/>
      <c r="AC73" s="51" t="s">
        <v>45</v>
      </c>
      <c r="AD73" s="52"/>
      <c r="AE73" s="53"/>
      <c r="AF73" s="191" t="str">
        <f>IF(AND(M73&gt;0,L73&gt;0,L73&lt;&gt;""),M73/L73-1,IF(AND(L73&lt;0,M73&lt;0,L73&lt;&gt;""),(M73-L73)/ABS(L73),IF(AND(L73&gt;0,M73&lt;0,L73&lt;&gt;""),"L",IF(AND(L73&lt;0,M73&gt;0,L73&lt;&gt;""),"P",""))))</f>
        <v/>
      </c>
      <c r="AG73" s="191" t="str">
        <f>IF(AND(N73&gt;0,M73&gt;0,M73&lt;&gt;""),N73/M73-1,IF(AND(M73&lt;0,N73&lt;0,M73&lt;&gt;""),(N73-M73)/ABS(M73),IF(AND(M73&gt;0,N73&lt;0,M73&lt;&gt;""),"L",IF(AND(M73&lt;0,N73&gt;0,M73&lt;&gt;""),"P",""))))</f>
        <v/>
      </c>
      <c r="AH73" s="191" t="str">
        <f>IF(AND(O73&gt;0,N73&gt;0,N73&lt;&gt;""),O73/N73-1,IF(AND(N73&lt;0,O73&lt;0,N73&lt;&gt;""),(O73-N73)/ABS(N73),IF(AND(N73&gt;0,O73&lt;0,N73&lt;&gt;""),"L",IF(AND(N73&lt;0,O73&gt;0,N73&lt;&gt;""),"P",""))))</f>
        <v/>
      </c>
      <c r="AI73" s="191" t="str">
        <f>IF(AND(P73&gt;0,O73&gt;0,O73&lt;&gt;""),P73/O73-1,IF(AND(O73&lt;0,P73&lt;0,O73&lt;&gt;""),(P73-O73)/ABS(O73),IF(AND(O73&gt;0,P73&lt;0,O73&lt;&gt;""),"L",IF(AND(O73&lt;0,P73&gt;0,O73&lt;&gt;""),"P",""))))</f>
        <v/>
      </c>
    </row>
    <row r="74" spans="1:40" ht="18.75" customHeight="1" thickBot="1" x14ac:dyDescent="0.25">
      <c r="A74" s="111"/>
      <c r="B74" s="112"/>
      <c r="C74" s="25"/>
      <c r="D74" s="60" t="s">
        <v>46</v>
      </c>
      <c r="E74" s="26"/>
      <c r="F74" s="62"/>
      <c r="G74" s="62"/>
      <c r="H74" s="62"/>
      <c r="I74" s="62"/>
      <c r="J74" s="62"/>
      <c r="K74" s="28"/>
      <c r="L74" s="62"/>
      <c r="M74" s="62"/>
      <c r="N74" s="62"/>
      <c r="O74" s="62"/>
      <c r="P74" s="62"/>
      <c r="Q74" s="62"/>
      <c r="S74" s="29" t="s">
        <v>9</v>
      </c>
      <c r="T74" s="30"/>
      <c r="U74" s="31"/>
      <c r="V74" s="32">
        <f>V73*Q81</f>
        <v>0</v>
      </c>
      <c r="W74" s="188"/>
      <c r="X74" s="63" t="s">
        <v>47</v>
      </c>
      <c r="Y74" s="63"/>
      <c r="Z74" s="64"/>
      <c r="AA74" s="192" t="e">
        <f>IF(AA72="Year over Year",AI74,IF(AA72="3-Year Average",AVERAGE(AH74:AI74),IF(AA72="5-Year Average",AVERAGE(AF74:AI74),"")))</f>
        <v>#DIV/0!</v>
      </c>
      <c r="AB74" s="190"/>
      <c r="AC74" s="51" t="s">
        <v>30</v>
      </c>
      <c r="AD74" s="52"/>
      <c r="AE74" s="53"/>
      <c r="AF74" s="191" t="str">
        <f t="shared" ref="AF74:AI76" si="6">IF(AND(M76&gt;0,L76&gt;0,L76&lt;&gt;""),M76/L76-1,IF(AND(L76&lt;0,M76&lt;0,L76&lt;&gt;""),(M76-L76)/ABS(L76),IF(AND(L76&gt;0,M76&lt;0,L76&lt;&gt;""),"L",IF(AND(L76&lt;0,M76&gt;0,L76&lt;&gt;""),"P",""))))</f>
        <v/>
      </c>
      <c r="AG74" s="191" t="str">
        <f t="shared" si="6"/>
        <v/>
      </c>
      <c r="AH74" s="191" t="str">
        <f t="shared" si="6"/>
        <v/>
      </c>
      <c r="AI74" s="191" t="str">
        <f t="shared" si="6"/>
        <v/>
      </c>
    </row>
    <row r="75" spans="1:40" ht="18.75" customHeight="1" thickBot="1" x14ac:dyDescent="0.25">
      <c r="B75" s="112"/>
      <c r="C75" s="25"/>
      <c r="D75" s="33" t="s">
        <v>48</v>
      </c>
      <c r="E75" s="34"/>
      <c r="F75" s="35"/>
      <c r="G75" s="35"/>
      <c r="H75" s="35"/>
      <c r="I75" s="35"/>
      <c r="J75" s="35"/>
      <c r="K75" s="27"/>
      <c r="L75" s="35"/>
      <c r="M75" s="35"/>
      <c r="N75" s="35"/>
      <c r="O75" s="35"/>
      <c r="P75" s="35"/>
      <c r="Q75" s="62"/>
      <c r="S75" s="29" t="s">
        <v>10</v>
      </c>
      <c r="T75" s="30"/>
      <c r="U75" s="36"/>
      <c r="V75" s="32">
        <f>V74+(J89+J91)-J85</f>
        <v>0</v>
      </c>
      <c r="W75" s="190"/>
      <c r="X75" s="63" t="s">
        <v>31</v>
      </c>
      <c r="Y75" s="63"/>
      <c r="Z75" s="81"/>
      <c r="AA75" s="192" t="e">
        <f>IF(AA72="Year over Year",AI75,IF(AA72="3-Year Average",AVERAGE(AH75:AI75),IF(AA72="5-Year Average",AVERAGE(AF75:AI75),"")))</f>
        <v>#DIV/0!</v>
      </c>
      <c r="AB75" s="190"/>
      <c r="AC75" s="51" t="s">
        <v>49</v>
      </c>
      <c r="AD75" s="52"/>
      <c r="AE75" s="53"/>
      <c r="AF75" s="191" t="str">
        <f t="shared" si="6"/>
        <v/>
      </c>
      <c r="AG75" s="191" t="str">
        <f t="shared" si="6"/>
        <v/>
      </c>
      <c r="AH75" s="191" t="str">
        <f t="shared" si="6"/>
        <v/>
      </c>
      <c r="AI75" s="191" t="str">
        <f t="shared" si="6"/>
        <v/>
      </c>
    </row>
    <row r="76" spans="1:40" ht="18.75" customHeight="1" thickBot="1" x14ac:dyDescent="0.25">
      <c r="B76" s="112"/>
      <c r="C76" s="25"/>
      <c r="D76" s="60" t="s">
        <v>50</v>
      </c>
      <c r="E76" s="61"/>
      <c r="F76" s="62"/>
      <c r="G76" s="62"/>
      <c r="H76" s="62"/>
      <c r="I76" s="62"/>
      <c r="J76" s="62"/>
      <c r="K76" s="40"/>
      <c r="L76" s="62"/>
      <c r="M76" s="62"/>
      <c r="N76" s="62"/>
      <c r="O76" s="62"/>
      <c r="P76" s="62"/>
      <c r="Q76" s="62"/>
      <c r="S76" s="29" t="s">
        <v>11</v>
      </c>
      <c r="T76" s="30"/>
      <c r="U76" s="36"/>
      <c r="V76" s="32">
        <f>J88-J92</f>
        <v>0</v>
      </c>
      <c r="W76" s="188"/>
      <c r="X76" s="63" t="s">
        <v>32</v>
      </c>
      <c r="Y76" s="63"/>
      <c r="Z76" s="64"/>
      <c r="AA76" s="192" t="e">
        <f>IF(AA72="Year over Year",AI76,IF(AA72="3-Year Average",AVERAGE(AH76:AI76),IF(AA72="5-Year Average",AVERAGE(AF76:AI76),"")))</f>
        <v>#DIV/0!</v>
      </c>
      <c r="AB76" s="190"/>
      <c r="AC76" s="51" t="s">
        <v>51</v>
      </c>
      <c r="AD76" s="52"/>
      <c r="AE76" s="53"/>
      <c r="AF76" s="191" t="str">
        <f t="shared" si="6"/>
        <v/>
      </c>
      <c r="AG76" s="191" t="str">
        <f t="shared" si="6"/>
        <v/>
      </c>
      <c r="AH76" s="191" t="str">
        <f t="shared" si="6"/>
        <v/>
      </c>
      <c r="AI76" s="191" t="str">
        <f t="shared" si="6"/>
        <v/>
      </c>
    </row>
    <row r="77" spans="1:40" ht="18.75" customHeight="1" thickBot="1" x14ac:dyDescent="0.25">
      <c r="B77" s="112"/>
      <c r="C77" s="25"/>
      <c r="D77" s="60" t="s">
        <v>52</v>
      </c>
      <c r="E77" s="61"/>
      <c r="F77" s="62"/>
      <c r="G77" s="62"/>
      <c r="H77" s="62"/>
      <c r="I77" s="62"/>
      <c r="J77" s="62"/>
      <c r="K77" s="27"/>
      <c r="L77" s="62"/>
      <c r="M77" s="62"/>
      <c r="N77" s="62"/>
      <c r="O77" s="62"/>
      <c r="P77" s="62"/>
      <c r="Q77" s="62"/>
      <c r="S77" s="29" t="s">
        <v>53</v>
      </c>
      <c r="T77" s="30"/>
      <c r="U77" s="31"/>
      <c r="V77" s="39" t="str">
        <f>IF(V74&gt;10000,"Large Cap",IF(AND(10000&gt;V74,2000&lt;V74),"Mid Cap",IF(AND(2000&gt;V74,V74&gt;50),"Small Cap",IF(V74&lt;50,"Micro Cap",NA))))</f>
        <v>Micro Cap</v>
      </c>
      <c r="W77" s="188"/>
      <c r="AB77" s="41"/>
    </row>
    <row r="78" spans="1:40" ht="18.75" customHeight="1" thickBot="1" x14ac:dyDescent="0.25">
      <c r="B78" s="112"/>
      <c r="C78" s="25"/>
      <c r="D78" s="60" t="s">
        <v>54</v>
      </c>
      <c r="E78" s="61"/>
      <c r="F78" s="54"/>
      <c r="G78" s="54"/>
      <c r="H78" s="54"/>
      <c r="I78" s="54"/>
      <c r="J78" s="54"/>
      <c r="K78" s="55"/>
      <c r="L78" s="56"/>
      <c r="M78" s="56"/>
      <c r="N78" s="56"/>
      <c r="O78" s="56"/>
      <c r="P78" s="56"/>
      <c r="Q78" s="54"/>
      <c r="S78" s="122" t="s">
        <v>55</v>
      </c>
      <c r="T78" s="124"/>
      <c r="U78" s="124"/>
      <c r="V78" s="125"/>
      <c r="W78" s="190"/>
      <c r="X78" s="155" t="s">
        <v>2</v>
      </c>
      <c r="Y78" s="43"/>
      <c r="Z78" s="97"/>
      <c r="AA78" s="193"/>
      <c r="AC78" s="154" t="s">
        <v>56</v>
      </c>
      <c r="AD78" s="72"/>
      <c r="AE78" s="161">
        <f>L72</f>
        <v>2013</v>
      </c>
      <c r="AF78" s="161">
        <f>M72</f>
        <v>2014</v>
      </c>
      <c r="AG78" s="161">
        <f>N72</f>
        <v>2015</v>
      </c>
      <c r="AH78" s="161">
        <f>O72</f>
        <v>2016</v>
      </c>
      <c r="AI78" s="161">
        <f>P72</f>
        <v>2017</v>
      </c>
    </row>
    <row r="79" spans="1:40" ht="18.75" hidden="1" customHeight="1" x14ac:dyDescent="0.2">
      <c r="B79" s="112"/>
      <c r="C79" s="25"/>
      <c r="D79" s="60"/>
      <c r="E79" s="61"/>
      <c r="F79" s="54"/>
      <c r="G79" s="54"/>
      <c r="H79" s="54"/>
      <c r="I79" s="54"/>
      <c r="J79" s="54"/>
      <c r="K79" s="55"/>
      <c r="L79" s="56"/>
      <c r="M79" s="56"/>
      <c r="N79" s="56"/>
      <c r="O79" s="56"/>
      <c r="P79" s="56"/>
      <c r="Q79" s="54"/>
      <c r="S79" s="51"/>
      <c r="V79" s="170"/>
      <c r="W79" s="190"/>
      <c r="X79" s="171"/>
      <c r="Y79" s="172"/>
      <c r="Z79" s="173"/>
      <c r="AA79" s="194"/>
      <c r="AC79" s="174"/>
      <c r="AD79" s="175"/>
      <c r="AE79" s="176"/>
      <c r="AF79" s="176"/>
      <c r="AG79" s="176"/>
      <c r="AH79" s="176"/>
      <c r="AI79" s="176"/>
    </row>
    <row r="80" spans="1:40" ht="18.75" hidden="1" customHeight="1" x14ac:dyDescent="0.2">
      <c r="B80" s="112"/>
      <c r="C80" s="25"/>
      <c r="D80" s="60"/>
      <c r="E80" s="61"/>
      <c r="F80" s="54"/>
      <c r="G80" s="54"/>
      <c r="H80" s="54"/>
      <c r="I80" s="54"/>
      <c r="J80" s="54"/>
      <c r="K80" s="55"/>
      <c r="L80" s="56"/>
      <c r="M80" s="56"/>
      <c r="N80" s="56"/>
      <c r="O80" s="56"/>
      <c r="P80" s="56"/>
      <c r="Q80" s="54"/>
      <c r="S80" s="51"/>
      <c r="V80" s="170"/>
      <c r="W80" s="190"/>
      <c r="X80" s="171"/>
      <c r="Y80" s="172"/>
      <c r="Z80" s="173"/>
      <c r="AA80" s="194"/>
      <c r="AC80" s="174"/>
      <c r="AD80" s="175"/>
      <c r="AE80" s="176"/>
      <c r="AF80" s="176"/>
      <c r="AG80" s="176"/>
      <c r="AH80" s="176"/>
      <c r="AI80" s="176"/>
    </row>
    <row r="81" spans="2:37" ht="18.75" customHeight="1" thickBot="1" x14ac:dyDescent="0.25">
      <c r="B81" s="112"/>
      <c r="C81" s="25"/>
      <c r="D81" s="33" t="s">
        <v>57</v>
      </c>
      <c r="E81" s="61"/>
      <c r="F81" s="62"/>
      <c r="G81" s="62"/>
      <c r="H81" s="62"/>
      <c r="I81" s="62"/>
      <c r="J81" s="62"/>
      <c r="K81" s="28"/>
      <c r="L81" s="62"/>
      <c r="M81" s="62"/>
      <c r="N81" s="62"/>
      <c r="O81" s="62"/>
      <c r="P81" s="62"/>
      <c r="Q81" s="62"/>
      <c r="S81" s="123"/>
      <c r="X81" s="47" t="s">
        <v>20</v>
      </c>
      <c r="Y81" s="47"/>
      <c r="Z81" s="48"/>
      <c r="AA81" s="49" t="e">
        <f>AVERAGE(G87:J87)/AVERAGE(G90:J90)</f>
        <v>#DIV/0!</v>
      </c>
      <c r="AC81" s="74" t="s">
        <v>29</v>
      </c>
      <c r="AD81" s="75"/>
      <c r="AE81" s="76" t="str">
        <f>IF(L73="","",L73)</f>
        <v/>
      </c>
      <c r="AF81" s="76" t="str">
        <f>IF(M73="","",M73)</f>
        <v/>
      </c>
      <c r="AG81" s="76" t="str">
        <f>IF(N73="","",N73)</f>
        <v/>
      </c>
      <c r="AH81" s="76" t="str">
        <f>IF(O73="","",O73)</f>
        <v/>
      </c>
      <c r="AI81" s="76" t="str">
        <f>IF(P73="","",P73)</f>
        <v/>
      </c>
    </row>
    <row r="82" spans="2:37" ht="18.75" customHeight="1" thickBot="1" x14ac:dyDescent="0.25">
      <c r="B82" s="112"/>
      <c r="C82" s="25"/>
      <c r="D82" s="33" t="s">
        <v>58</v>
      </c>
      <c r="E82" s="45"/>
      <c r="F82" s="35"/>
      <c r="G82" s="35"/>
      <c r="H82" s="35"/>
      <c r="I82" s="35"/>
      <c r="J82" s="35"/>
      <c r="K82" s="40"/>
      <c r="L82" s="62"/>
      <c r="M82" s="62"/>
      <c r="N82" s="62"/>
      <c r="O82" s="62"/>
      <c r="P82" s="62"/>
      <c r="Q82" s="62"/>
      <c r="S82" s="153" t="s">
        <v>59</v>
      </c>
      <c r="T82" s="19"/>
      <c r="U82" s="19"/>
      <c r="V82" s="19"/>
      <c r="X82" s="63" t="s">
        <v>21</v>
      </c>
      <c r="Y82" s="63"/>
      <c r="Z82" s="98"/>
      <c r="AA82" s="65" t="e">
        <f>AVERAGE(G88:J88)/AVERAGE(G93:J93)</f>
        <v>#DIV/0!</v>
      </c>
      <c r="AC82" s="74" t="s">
        <v>60</v>
      </c>
      <c r="AD82" s="75"/>
      <c r="AE82" s="195" t="str">
        <f>IF(OR(L73="",L75=""),"",L75/L73)</f>
        <v/>
      </c>
      <c r="AF82" s="195" t="str">
        <f>IF(OR(M73="",M75=""),"",M75/M73)</f>
        <v/>
      </c>
      <c r="AG82" s="195" t="str">
        <f>IF(OR(N73="",N75=""),"",N75/N73)</f>
        <v/>
      </c>
      <c r="AH82" s="195" t="str">
        <f>IF(OR(O73="",O75=""),"",O75/O73)</f>
        <v/>
      </c>
      <c r="AI82" s="195" t="str">
        <f>IF(OR(P73="",P75=""),"",P75/P73)</f>
        <v/>
      </c>
    </row>
    <row r="83" spans="2:37" ht="18.75" customHeight="1" x14ac:dyDescent="0.2">
      <c r="B83" s="113"/>
      <c r="C83" s="37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S83" s="47" t="s">
        <v>13</v>
      </c>
      <c r="T83" s="47"/>
      <c r="U83" s="48"/>
      <c r="V83" s="49" t="str">
        <f>IF(Q78&gt;0,V73/Q78,"")</f>
        <v/>
      </c>
      <c r="X83" s="63" t="s">
        <v>22</v>
      </c>
      <c r="Y83" s="63"/>
      <c r="Z83" s="98"/>
      <c r="AA83" s="65" t="e">
        <f>AVERAGE(G91:J91)/AVERAGE(G93:J93)</f>
        <v>#DIV/0!</v>
      </c>
      <c r="AC83" s="74" t="s">
        <v>47</v>
      </c>
      <c r="AD83" s="75"/>
      <c r="AE83" s="76" t="str">
        <f>IF(L76="","",L76)</f>
        <v/>
      </c>
      <c r="AF83" s="76" t="str">
        <f>IF(M76="","",M76)</f>
        <v/>
      </c>
      <c r="AG83" s="76" t="str">
        <f>IF(N76="","",N76)</f>
        <v/>
      </c>
      <c r="AH83" s="76" t="str">
        <f>IF(O76="","",O76)</f>
        <v/>
      </c>
      <c r="AI83" s="76" t="str">
        <f>IF(P76="","",P76)</f>
        <v/>
      </c>
    </row>
    <row r="84" spans="2:37" ht="18.75" customHeight="1" x14ac:dyDescent="0.25">
      <c r="B84" s="114"/>
      <c r="C84" s="73"/>
      <c r="D84" s="120" t="s">
        <v>61</v>
      </c>
      <c r="E84" s="18"/>
      <c r="F84" s="196" t="str">
        <f>F72</f>
        <v>2016-10</v>
      </c>
      <c r="G84" s="196" t="str">
        <f>G72</f>
        <v>2017-01</v>
      </c>
      <c r="H84" s="196" t="str">
        <f>H72</f>
        <v>2017-04</v>
      </c>
      <c r="I84" s="196" t="str">
        <f>I72</f>
        <v>2017-07</v>
      </c>
      <c r="J84" s="196" t="str">
        <f>J72</f>
        <v>2017-10</v>
      </c>
      <c r="K84" s="197"/>
      <c r="L84" s="198">
        <f>L72</f>
        <v>2013</v>
      </c>
      <c r="M84" s="198">
        <f>M72</f>
        <v>2014</v>
      </c>
      <c r="N84" s="198">
        <f>N72</f>
        <v>2015</v>
      </c>
      <c r="O84" s="198">
        <f>O72</f>
        <v>2016</v>
      </c>
      <c r="P84" s="198">
        <f>P72</f>
        <v>2017</v>
      </c>
      <c r="Q84" s="185"/>
      <c r="S84" s="57" t="s">
        <v>15</v>
      </c>
      <c r="T84" s="57"/>
      <c r="U84" s="58"/>
      <c r="V84" s="59" t="e">
        <f>V73/((J88-J92)/J81)</f>
        <v>#DIV/0!</v>
      </c>
      <c r="W84" s="199"/>
      <c r="X84" s="123"/>
      <c r="AA84" s="123"/>
      <c r="AC84" s="74" t="s">
        <v>62</v>
      </c>
      <c r="AD84" s="75"/>
      <c r="AE84" s="195" t="str">
        <f>IF(OR(L73="",L76=""),"",L76/L73)</f>
        <v/>
      </c>
      <c r="AF84" s="195" t="str">
        <f>IF(OR(M73="",M76=""),"",M76/M73)</f>
        <v/>
      </c>
      <c r="AG84" s="195" t="str">
        <f>IF(OR(N73="",N76=""),"",N76/N73)</f>
        <v/>
      </c>
      <c r="AH84" s="195" t="str">
        <f>IF(OR(O73="",O76=""),"",O76/O73)</f>
        <v/>
      </c>
      <c r="AI84" s="195" t="str">
        <f>IF(OR(P73="",P76=""),"",P76/P73)</f>
        <v/>
      </c>
      <c r="AJ84" s="77"/>
      <c r="AK84" s="23"/>
    </row>
    <row r="85" spans="2:37" ht="18.75" customHeight="1" thickBot="1" x14ac:dyDescent="0.25">
      <c r="B85" s="110"/>
      <c r="C85" s="17"/>
      <c r="D85" s="60" t="s">
        <v>63</v>
      </c>
      <c r="E85" s="61"/>
      <c r="F85" s="62"/>
      <c r="G85" s="62"/>
      <c r="H85" s="62"/>
      <c r="I85" s="62"/>
      <c r="J85" s="62"/>
      <c r="K85" s="27"/>
      <c r="L85" s="62"/>
      <c r="M85" s="62"/>
      <c r="N85" s="62"/>
      <c r="O85" s="62"/>
      <c r="P85" s="62"/>
      <c r="Q85" s="62"/>
      <c r="S85" s="57" t="s">
        <v>14</v>
      </c>
      <c r="T85" s="57"/>
      <c r="U85" s="58"/>
      <c r="V85" s="59" t="e">
        <f>V73/(Q73/Q81)</f>
        <v>#DIV/0!</v>
      </c>
      <c r="W85" s="200"/>
      <c r="X85" s="155" t="s">
        <v>36</v>
      </c>
      <c r="Y85" s="43"/>
      <c r="Z85" s="43"/>
      <c r="AA85" s="201"/>
      <c r="AC85" s="74" t="s">
        <v>31</v>
      </c>
      <c r="AD85" s="75"/>
      <c r="AE85" s="76" t="str">
        <f t="shared" ref="AE85:AI86" si="7">IF(L77="","",L77)</f>
        <v/>
      </c>
      <c r="AF85" s="76" t="str">
        <f t="shared" si="7"/>
        <v/>
      </c>
      <c r="AG85" s="76" t="str">
        <f t="shared" si="7"/>
        <v/>
      </c>
      <c r="AH85" s="76" t="str">
        <f t="shared" si="7"/>
        <v/>
      </c>
      <c r="AI85" s="76" t="str">
        <f t="shared" si="7"/>
        <v/>
      </c>
      <c r="AK85" s="202"/>
    </row>
    <row r="86" spans="2:37" ht="18.75" customHeight="1" thickBot="1" x14ac:dyDescent="0.25">
      <c r="B86" s="112"/>
      <c r="C86" s="25"/>
      <c r="D86" s="94" t="s">
        <v>64</v>
      </c>
      <c r="E86" s="61"/>
      <c r="F86" s="38"/>
      <c r="G86" s="38"/>
      <c r="H86" s="38"/>
      <c r="I86" s="38"/>
      <c r="J86" s="38"/>
      <c r="K86" s="80"/>
      <c r="L86" s="38"/>
      <c r="M86" s="38"/>
      <c r="N86" s="38"/>
      <c r="O86" s="38"/>
      <c r="P86" s="38"/>
      <c r="Q86" s="38"/>
      <c r="S86" s="63" t="s">
        <v>17</v>
      </c>
      <c r="T86" s="63"/>
      <c r="U86" s="64"/>
      <c r="V86" s="65" t="e">
        <f>IF(AVERAGE(N96:P96)&gt;0,V73/(AVERAGE(N96:P96)/Q81),"")</f>
        <v>#DIV/0!</v>
      </c>
      <c r="W86" s="200"/>
      <c r="X86" s="145" t="s">
        <v>29</v>
      </c>
      <c r="Y86" s="145"/>
      <c r="Z86" s="147"/>
      <c r="AA86" s="148">
        <f>Q73</f>
        <v>0</v>
      </c>
      <c r="AC86" s="74" t="s">
        <v>32</v>
      </c>
      <c r="AD86" s="75"/>
      <c r="AE86" s="203" t="str">
        <f t="shared" si="7"/>
        <v/>
      </c>
      <c r="AF86" s="203" t="str">
        <f t="shared" si="7"/>
        <v/>
      </c>
      <c r="AG86" s="203" t="str">
        <f t="shared" si="7"/>
        <v/>
      </c>
      <c r="AH86" s="203" t="str">
        <f t="shared" si="7"/>
        <v/>
      </c>
      <c r="AI86" s="203" t="str">
        <f t="shared" si="7"/>
        <v/>
      </c>
      <c r="AK86" s="202"/>
    </row>
    <row r="87" spans="2:37" ht="18.75" customHeight="1" thickBot="1" x14ac:dyDescent="0.3">
      <c r="B87" s="114"/>
      <c r="C87" s="73"/>
      <c r="D87" s="94" t="s">
        <v>65</v>
      </c>
      <c r="E87" s="61"/>
      <c r="F87" s="38"/>
      <c r="G87" s="38"/>
      <c r="H87" s="38"/>
      <c r="I87" s="38"/>
      <c r="J87" s="38"/>
      <c r="K87" s="80"/>
      <c r="L87" s="38"/>
      <c r="M87" s="38"/>
      <c r="N87" s="38"/>
      <c r="O87" s="38"/>
      <c r="P87" s="38"/>
      <c r="Q87" s="38"/>
      <c r="S87" s="29" t="s">
        <v>16</v>
      </c>
      <c r="T87" s="29"/>
      <c r="U87" s="30"/>
      <c r="V87" s="65" t="e">
        <f>IF(AVERAGE(N98:P98)&gt;0,V74/AVERAGE(N98:P98),"")</f>
        <v>#DIV/0!</v>
      </c>
      <c r="X87" s="68" t="s">
        <v>66</v>
      </c>
      <c r="Y87" s="68"/>
      <c r="Z87" s="69"/>
      <c r="AA87" s="70">
        <f>Q75</f>
        <v>0</v>
      </c>
      <c r="AC87" s="74" t="s">
        <v>67</v>
      </c>
      <c r="AD87" s="75"/>
      <c r="AE87" s="76" t="str">
        <f>IF(L81="","",L81)</f>
        <v/>
      </c>
      <c r="AF87" s="76" t="str">
        <f>IF(M81="","",M81)</f>
        <v/>
      </c>
      <c r="AG87" s="76" t="str">
        <f>IF(N81="","",N81)</f>
        <v/>
      </c>
      <c r="AH87" s="76" t="str">
        <f>IF(O81="","",O81)</f>
        <v/>
      </c>
      <c r="AI87" s="76" t="str">
        <f>IF(P81="","",P81)</f>
        <v/>
      </c>
      <c r="AK87" s="202"/>
    </row>
    <row r="88" spans="2:37" ht="18.75" customHeight="1" thickBot="1" x14ac:dyDescent="0.25">
      <c r="B88" s="113"/>
      <c r="C88" s="37"/>
      <c r="D88" s="94" t="s">
        <v>68</v>
      </c>
      <c r="E88" s="61"/>
      <c r="F88" s="38"/>
      <c r="G88" s="38"/>
      <c r="H88" s="38"/>
      <c r="I88" s="38"/>
      <c r="J88" s="38"/>
      <c r="K88" s="85"/>
      <c r="L88" s="38"/>
      <c r="M88" s="38"/>
      <c r="N88" s="38"/>
      <c r="O88" s="38"/>
      <c r="P88" s="38"/>
      <c r="Q88" s="38"/>
      <c r="S88" s="57" t="s">
        <v>18</v>
      </c>
      <c r="T88" s="57"/>
      <c r="U88" s="58"/>
      <c r="V88" s="59" t="e">
        <f>(V74+(J89+J91)-J85)/J82</f>
        <v>#DIV/0!</v>
      </c>
      <c r="X88" s="68" t="s">
        <v>31</v>
      </c>
      <c r="Y88" s="68"/>
      <c r="Z88" s="69"/>
      <c r="AA88" s="70">
        <f>Q77</f>
        <v>0</v>
      </c>
      <c r="AC88" s="74" t="s">
        <v>69</v>
      </c>
      <c r="AD88" s="75"/>
      <c r="AE88" s="204" t="str">
        <f>IF(OR(L93="",L81="",L88="",L92=""),"",(L88-L92)/L81)</f>
        <v/>
      </c>
      <c r="AF88" s="204" t="str">
        <f>IF(OR(M93="",M81="",M88="",M92=""),"",(M88-M92)/M81)</f>
        <v/>
      </c>
      <c r="AG88" s="204" t="str">
        <f>IF(OR(N93="",N81="",N88="",N92=""),"",(N88-N92)/N81)</f>
        <v/>
      </c>
      <c r="AH88" s="204" t="str">
        <f>IF(OR(O93="",O81="",O88="",O92=""),"",(O88-O92)/O81)</f>
        <v/>
      </c>
      <c r="AI88" s="204" t="str">
        <f>IF(OR(P93="",P81="",P88="",P92=""),"",(P88-P92)/P81)</f>
        <v/>
      </c>
      <c r="AK88" s="202"/>
    </row>
    <row r="89" spans="2:37" ht="18.75" customHeight="1" thickBot="1" x14ac:dyDescent="0.25">
      <c r="B89" s="112"/>
      <c r="C89" s="25"/>
      <c r="D89" s="60" t="s">
        <v>70</v>
      </c>
      <c r="E89" s="26"/>
      <c r="F89" s="62"/>
      <c r="G89" s="62"/>
      <c r="H89" s="62"/>
      <c r="I89" s="62"/>
      <c r="J89" s="62"/>
      <c r="K89" s="27"/>
      <c r="L89" s="62"/>
      <c r="M89" s="62"/>
      <c r="N89" s="62"/>
      <c r="O89" s="62"/>
      <c r="P89" s="62"/>
      <c r="Q89" s="62"/>
      <c r="S89" s="63" t="s">
        <v>19</v>
      </c>
      <c r="T89" s="63"/>
      <c r="U89" s="64"/>
      <c r="V89" s="65" t="e">
        <f>(V74+(J89+J91)-J85)/J73</f>
        <v>#DIV/0!</v>
      </c>
      <c r="X89" s="29" t="s">
        <v>32</v>
      </c>
      <c r="Y89" s="29"/>
      <c r="Z89" s="30"/>
      <c r="AA89" s="205">
        <f>Q78</f>
        <v>0</v>
      </c>
      <c r="AK89" s="202"/>
    </row>
    <row r="90" spans="2:37" ht="18.75" customHeight="1" thickBot="1" x14ac:dyDescent="0.25">
      <c r="B90" s="115"/>
      <c r="C90" s="91"/>
      <c r="D90" s="94" t="s">
        <v>71</v>
      </c>
      <c r="E90" s="61"/>
      <c r="F90" s="38"/>
      <c r="G90" s="38"/>
      <c r="H90" s="38"/>
      <c r="I90" s="38"/>
      <c r="J90" s="38"/>
      <c r="K90" s="80"/>
      <c r="L90" s="38"/>
      <c r="M90" s="38"/>
      <c r="N90" s="38"/>
      <c r="O90" s="38"/>
      <c r="P90" s="38"/>
      <c r="Q90" s="38"/>
      <c r="AC90" s="89" t="s">
        <v>3</v>
      </c>
      <c r="AD90" s="90"/>
      <c r="AE90" s="161">
        <f>L72</f>
        <v>2013</v>
      </c>
      <c r="AF90" s="161">
        <f>M72</f>
        <v>2014</v>
      </c>
      <c r="AG90" s="161">
        <f>N72</f>
        <v>2015</v>
      </c>
      <c r="AH90" s="161">
        <f>O72</f>
        <v>2016</v>
      </c>
      <c r="AI90" s="161">
        <f>P72</f>
        <v>2017</v>
      </c>
    </row>
    <row r="91" spans="2:37" ht="18.75" customHeight="1" thickBot="1" x14ac:dyDescent="0.25">
      <c r="B91" s="113"/>
      <c r="C91" s="37"/>
      <c r="D91" s="60" t="s">
        <v>72</v>
      </c>
      <c r="E91" s="26"/>
      <c r="F91" s="62"/>
      <c r="G91" s="62"/>
      <c r="H91" s="62"/>
      <c r="I91" s="62"/>
      <c r="J91" s="62"/>
      <c r="K91" s="71"/>
      <c r="L91" s="62"/>
      <c r="M91" s="62"/>
      <c r="N91" s="62"/>
      <c r="O91" s="62"/>
      <c r="P91" s="62"/>
      <c r="Q91" s="62"/>
      <c r="S91" s="154" t="s">
        <v>3</v>
      </c>
      <c r="T91" s="72"/>
      <c r="U91" s="72"/>
      <c r="V91" s="42"/>
      <c r="X91" s="155" t="s">
        <v>61</v>
      </c>
      <c r="Y91" s="43"/>
      <c r="Z91" s="43"/>
      <c r="AA91" s="206"/>
      <c r="AC91" s="74" t="s">
        <v>73</v>
      </c>
      <c r="AD91" s="75"/>
      <c r="AE91" s="207" t="str">
        <f>IF(OR(L73="",L77="",L73=0,L77=0),"",L77/L73)</f>
        <v/>
      </c>
      <c r="AF91" s="207" t="str">
        <f>IF(OR(M73="",M77="",M73=0,M77=0),"",M77/M73)</f>
        <v/>
      </c>
      <c r="AG91" s="207" t="str">
        <f>IF(OR(N73="",N77="",N73=0,N77=0),"",N77/N73)</f>
        <v/>
      </c>
      <c r="AH91" s="207" t="str">
        <f>IF(OR(O73="",O77="",O73=0,O77=0),"",O77/O73)</f>
        <v/>
      </c>
      <c r="AI91" s="207" t="str">
        <f>IF(OR(P73="",P77="",P73=0,P77=0),"",P77/P73)</f>
        <v/>
      </c>
    </row>
    <row r="92" spans="2:37" ht="18.75" customHeight="1" thickBot="1" x14ac:dyDescent="0.25">
      <c r="B92" s="116"/>
      <c r="C92" s="93"/>
      <c r="D92" s="94" t="s">
        <v>74</v>
      </c>
      <c r="E92" s="61"/>
      <c r="F92" s="38"/>
      <c r="G92" s="38"/>
      <c r="H92" s="38"/>
      <c r="I92" s="38"/>
      <c r="J92" s="38"/>
      <c r="K92" s="80"/>
      <c r="L92" s="46"/>
      <c r="M92" s="46"/>
      <c r="N92" s="46"/>
      <c r="O92" s="46"/>
      <c r="P92" s="46"/>
      <c r="Q92" s="38"/>
      <c r="S92" s="50" t="s">
        <v>12</v>
      </c>
      <c r="T92" s="50"/>
      <c r="U92" s="78"/>
      <c r="V92" s="79">
        <f>Q73</f>
        <v>0</v>
      </c>
      <c r="X92" s="122" t="s">
        <v>75</v>
      </c>
      <c r="Y92" s="122"/>
      <c r="Z92" s="144"/>
      <c r="AA92" s="148">
        <f>J86</f>
        <v>0</v>
      </c>
      <c r="AC92" s="74" t="s">
        <v>76</v>
      </c>
      <c r="AD92" s="75"/>
      <c r="AE92" s="207" t="str">
        <f>IF(OR(L77="",L91="",L77=0,L91=0),"",L77/L91)</f>
        <v/>
      </c>
      <c r="AF92" s="207" t="str">
        <f>IF(OR(M77="",M91="",M77=0,M91=0),"",M77/M91)</f>
        <v/>
      </c>
      <c r="AG92" s="207" t="str">
        <f>IF(OR(N77="",N91="",N77=0,N91=0),"",N77/N91)</f>
        <v/>
      </c>
      <c r="AH92" s="207" t="str">
        <f>IF(OR(O77="",O91="",O77=0,O91=0),"",O77/O91)</f>
        <v/>
      </c>
      <c r="AI92" s="207" t="str">
        <f>IF(OR(P77="",P91="",P77=0,P91=0),"",P77/P91)</f>
        <v/>
      </c>
    </row>
    <row r="93" spans="2:37" ht="18.75" customHeight="1" thickBot="1" x14ac:dyDescent="0.25">
      <c r="B93" s="113"/>
      <c r="C93" s="37"/>
      <c r="D93" s="94" t="s">
        <v>77</v>
      </c>
      <c r="E93" s="61"/>
      <c r="F93" s="38"/>
      <c r="G93" s="38"/>
      <c r="H93" s="38"/>
      <c r="I93" s="38"/>
      <c r="J93" s="38"/>
      <c r="K93" s="85"/>
      <c r="L93" s="46"/>
      <c r="M93" s="46"/>
      <c r="N93" s="46"/>
      <c r="O93" s="46"/>
      <c r="P93" s="46"/>
      <c r="Q93" s="38"/>
      <c r="S93" s="68" t="s">
        <v>23</v>
      </c>
      <c r="T93" s="68"/>
      <c r="U93" s="69"/>
      <c r="V93" s="192" t="e">
        <f>(Q73-Q74)/Q73</f>
        <v>#DIV/0!</v>
      </c>
      <c r="X93" s="145" t="s">
        <v>78</v>
      </c>
      <c r="Y93" s="146"/>
      <c r="Z93" s="147"/>
      <c r="AA93" s="148">
        <f>J87</f>
        <v>0</v>
      </c>
      <c r="AC93" s="74" t="s">
        <v>79</v>
      </c>
      <c r="AD93" s="75"/>
      <c r="AE93" s="207" t="str">
        <f>IF(OR(L77="",L88="",L77=0,L88=0),"",L77/L88)</f>
        <v/>
      </c>
      <c r="AF93" s="207" t="str">
        <f>IF(OR(M77="",M88="",M77=0,M88=0),"",M77/M88)</f>
        <v/>
      </c>
      <c r="AG93" s="207" t="str">
        <f>IF(OR(N77="",N88="",N77=0,N88=0),"",N77/N88)</f>
        <v/>
      </c>
      <c r="AH93" s="207" t="str">
        <f>IF(OR(O77="",O88="",O77=0,O88=0),"",O77/O88)</f>
        <v/>
      </c>
      <c r="AI93" s="207" t="str">
        <f>IF(OR(P77="",P88="",P77=0,P88=0),"",P77/P88)</f>
        <v/>
      </c>
    </row>
    <row r="94" spans="2:37" ht="18.75" customHeight="1" x14ac:dyDescent="0.2">
      <c r="B94" s="113"/>
      <c r="C94" s="37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S94" s="68" t="s">
        <v>24</v>
      </c>
      <c r="T94" s="68"/>
      <c r="U94" s="69"/>
      <c r="V94" s="192" t="e">
        <f>Q77/Q73</f>
        <v>#DIV/0!</v>
      </c>
      <c r="X94" s="63" t="s">
        <v>80</v>
      </c>
      <c r="Y94" s="63"/>
      <c r="Z94" s="64"/>
      <c r="AA94" s="70">
        <f>J90</f>
        <v>0</v>
      </c>
      <c r="AC94" s="74" t="s">
        <v>28</v>
      </c>
      <c r="AD94" s="75"/>
      <c r="AE94" s="92" t="str">
        <f>IF(OR(L73="",L88="",L73=0,L88=0),"",L73/L88)</f>
        <v/>
      </c>
      <c r="AF94" s="92" t="str">
        <f>IF(OR(M73="",M88="",M73=0,M88=0),"",M73/M88)</f>
        <v/>
      </c>
      <c r="AG94" s="92" t="str">
        <f>IF(OR(N73="",N88="",N73=0,N88=0),"",N73/N88)</f>
        <v/>
      </c>
      <c r="AH94" s="92" t="str">
        <f>IF(OR(O73="",O88="",O73=0,O88=0),"",O73/O88)</f>
        <v/>
      </c>
      <c r="AI94" s="92" t="str">
        <f>IF(OR(P73="",P88="",P73=0,P88=0),"",P73/P88)</f>
        <v/>
      </c>
    </row>
    <row r="95" spans="2:37" ht="18.75" customHeight="1" x14ac:dyDescent="0.2">
      <c r="B95" s="113"/>
      <c r="C95" s="37"/>
      <c r="D95" s="121" t="s">
        <v>81</v>
      </c>
      <c r="E95" s="18"/>
      <c r="F95" s="196" t="str">
        <f>F72</f>
        <v>2016-10</v>
      </c>
      <c r="G95" s="196" t="str">
        <f>G72</f>
        <v>2017-01</v>
      </c>
      <c r="H95" s="196" t="str">
        <f>H72</f>
        <v>2017-04</v>
      </c>
      <c r="I95" s="196" t="str">
        <f>I72</f>
        <v>2017-07</v>
      </c>
      <c r="J95" s="196" t="str">
        <f>J72</f>
        <v>2017-10</v>
      </c>
      <c r="K95" s="197"/>
      <c r="L95" s="208">
        <f>L72</f>
        <v>2013</v>
      </c>
      <c r="M95" s="208">
        <f>M72</f>
        <v>2014</v>
      </c>
      <c r="N95" s="208">
        <f>N72</f>
        <v>2015</v>
      </c>
      <c r="O95" s="208">
        <f>O72</f>
        <v>2016</v>
      </c>
      <c r="P95" s="208">
        <f>P72</f>
        <v>2017</v>
      </c>
      <c r="Q95" s="185" t="s">
        <v>42</v>
      </c>
      <c r="S95" s="68" t="s">
        <v>25</v>
      </c>
      <c r="T95" s="68"/>
      <c r="U95" s="69"/>
      <c r="V95" s="192" t="e">
        <f>Q76/Q73</f>
        <v>#DIV/0!</v>
      </c>
      <c r="X95" s="63" t="s">
        <v>82</v>
      </c>
      <c r="Y95" s="81"/>
      <c r="Z95" s="81"/>
      <c r="AA95" s="70">
        <f>J89+J91</f>
        <v>0</v>
      </c>
      <c r="AJ95" s="95"/>
    </row>
    <row r="96" spans="2:37" ht="18.75" customHeight="1" thickBot="1" x14ac:dyDescent="0.3">
      <c r="B96" s="117"/>
      <c r="C96" s="96"/>
      <c r="D96" s="60" t="s">
        <v>83</v>
      </c>
      <c r="E96" s="26"/>
      <c r="F96" s="62"/>
      <c r="G96" s="62"/>
      <c r="H96" s="62"/>
      <c r="I96" s="62"/>
      <c r="J96" s="62"/>
      <c r="K96" s="27"/>
      <c r="L96" s="62"/>
      <c r="M96" s="62"/>
      <c r="N96" s="62"/>
      <c r="O96" s="62"/>
      <c r="P96" s="62"/>
      <c r="Q96" s="62"/>
      <c r="X96" s="82"/>
      <c r="Y96" s="83"/>
      <c r="Z96" s="83"/>
      <c r="AA96" s="84"/>
      <c r="AC96" s="89" t="s">
        <v>2</v>
      </c>
      <c r="AD96" s="90"/>
      <c r="AE96" s="162">
        <f>L72</f>
        <v>2013</v>
      </c>
      <c r="AF96" s="162">
        <f>M72</f>
        <v>2014</v>
      </c>
      <c r="AG96" s="162">
        <f>N72</f>
        <v>2015</v>
      </c>
      <c r="AH96" s="162">
        <f>O72</f>
        <v>2016</v>
      </c>
      <c r="AI96" s="162">
        <f>P72</f>
        <v>2017</v>
      </c>
      <c r="AJ96" s="95"/>
    </row>
    <row r="97" spans="1:40" ht="18.75" customHeight="1" thickBot="1" x14ac:dyDescent="0.25">
      <c r="B97" s="113"/>
      <c r="C97" s="37"/>
      <c r="D97" s="60" t="s">
        <v>84</v>
      </c>
      <c r="E97" s="26"/>
      <c r="F97" s="62"/>
      <c r="G97" s="62"/>
      <c r="H97" s="62"/>
      <c r="I97" s="62"/>
      <c r="J97" s="62"/>
      <c r="K97" s="27"/>
      <c r="L97" s="62"/>
      <c r="M97" s="62"/>
      <c r="N97" s="62"/>
      <c r="O97" s="62"/>
      <c r="P97" s="62"/>
      <c r="Q97" s="62"/>
      <c r="S97" s="153" t="s">
        <v>4</v>
      </c>
      <c r="T97" s="19"/>
      <c r="U97" s="19"/>
      <c r="V97" s="86"/>
      <c r="X97" s="155" t="s">
        <v>85</v>
      </c>
      <c r="Y97" s="43"/>
      <c r="Z97" s="43"/>
      <c r="AA97" s="196"/>
      <c r="AC97" s="74" t="s">
        <v>20</v>
      </c>
      <c r="AD97" s="75"/>
      <c r="AE97" s="92" t="str">
        <f t="shared" ref="AE97:AI98" si="8">IF(OR(L87="",L90="",L87=0,L90=0),"",L87/L90)</f>
        <v/>
      </c>
      <c r="AF97" s="92" t="str">
        <f t="shared" si="8"/>
        <v/>
      </c>
      <c r="AG97" s="92" t="str">
        <f t="shared" si="8"/>
        <v/>
      </c>
      <c r="AH97" s="92" t="str">
        <f t="shared" si="8"/>
        <v/>
      </c>
      <c r="AI97" s="92" t="str">
        <f t="shared" si="8"/>
        <v/>
      </c>
      <c r="AJ97" s="95"/>
    </row>
    <row r="98" spans="1:40" ht="18.75" customHeight="1" thickBot="1" x14ac:dyDescent="0.25">
      <c r="B98" s="113"/>
      <c r="C98" s="37"/>
      <c r="D98" s="60" t="s">
        <v>86</v>
      </c>
      <c r="E98" s="26"/>
      <c r="F98" s="62"/>
      <c r="G98" s="62"/>
      <c r="H98" s="62"/>
      <c r="I98" s="62"/>
      <c r="J98" s="62"/>
      <c r="K98" s="27"/>
      <c r="L98" s="62"/>
      <c r="M98" s="62"/>
      <c r="N98" s="62"/>
      <c r="O98" s="62"/>
      <c r="P98" s="62"/>
      <c r="Q98" s="62"/>
      <c r="S98" s="47" t="s">
        <v>26</v>
      </c>
      <c r="T98" s="47"/>
      <c r="U98" s="48"/>
      <c r="V98" s="189" t="e">
        <f>Q77/AVERAGE(G93:J93)</f>
        <v>#DIV/0!</v>
      </c>
      <c r="X98" s="66" t="s">
        <v>87</v>
      </c>
      <c r="Y98" s="66"/>
      <c r="Z98" s="67"/>
      <c r="AA98" s="87" t="e">
        <f>AVERAGE(N96:P96)</f>
        <v>#DIV/0!</v>
      </c>
      <c r="AC98" s="74" t="s">
        <v>21</v>
      </c>
      <c r="AD98" s="75"/>
      <c r="AE98" s="92" t="str">
        <f t="shared" si="8"/>
        <v/>
      </c>
      <c r="AF98" s="92" t="str">
        <f t="shared" si="8"/>
        <v/>
      </c>
      <c r="AG98" s="92" t="str">
        <f t="shared" si="8"/>
        <v/>
      </c>
      <c r="AH98" s="92" t="str">
        <f t="shared" si="8"/>
        <v/>
      </c>
      <c r="AI98" s="92" t="str">
        <f t="shared" si="8"/>
        <v/>
      </c>
      <c r="AJ98" s="95"/>
    </row>
    <row r="99" spans="1:40" ht="18.75" customHeight="1" x14ac:dyDescent="0.2">
      <c r="B99" s="110"/>
      <c r="C99" s="17"/>
      <c r="S99" s="29" t="s">
        <v>27</v>
      </c>
      <c r="T99" s="29"/>
      <c r="U99" s="30"/>
      <c r="V99" s="192" t="e">
        <f>Q77/AVERAGE(G88:J88)</f>
        <v>#DIV/0!</v>
      </c>
      <c r="X99" s="63" t="s">
        <v>88</v>
      </c>
      <c r="Y99" s="63"/>
      <c r="Z99" s="81"/>
      <c r="AA99" s="88" t="e">
        <f>ABS(AVERAGE(N97:P97))</f>
        <v>#DIV/0!</v>
      </c>
      <c r="AC99" s="74" t="s">
        <v>22</v>
      </c>
      <c r="AD99" s="75"/>
      <c r="AE99" s="92" t="str">
        <f>IF(OR(L93="",L91="",L91=0,L93=0),"",L93/L91)</f>
        <v/>
      </c>
      <c r="AF99" s="92" t="str">
        <f>IF(OR(M93="",M91="",M91=0,M93=0),"",M93/M91)</f>
        <v/>
      </c>
      <c r="AG99" s="92" t="str">
        <f>IF(OR(N93="",N91="",N91=0,N93=0),"",N93/N91)</f>
        <v/>
      </c>
      <c r="AH99" s="92" t="str">
        <f>IF(OR(O93="",O91="",O91=0,O93=0),"",O93/O91)</f>
        <v/>
      </c>
      <c r="AI99" s="92" t="str">
        <f>IF(OR(P93="",P91="",P91=0,P93=0),"",P93/P91)</f>
        <v/>
      </c>
    </row>
    <row r="100" spans="1:40" ht="18.75" customHeight="1" x14ac:dyDescent="0.2">
      <c r="B100" s="110"/>
      <c r="C100" s="17"/>
      <c r="S100" s="29" t="s">
        <v>89</v>
      </c>
      <c r="T100" s="29"/>
      <c r="U100" s="30"/>
      <c r="V100" s="192" t="e">
        <f>Q76/(AVERAGE(G93:J93)+(AVERAGE(G88:J88)-AVERAGE(G90:J90)))</f>
        <v>#DIV/0!</v>
      </c>
      <c r="X100" s="63" t="s">
        <v>90</v>
      </c>
      <c r="Y100" s="63"/>
      <c r="Z100" s="64"/>
      <c r="AA100" s="32" t="e">
        <f>AVERAGE(N98:P98)</f>
        <v>#DIV/0!</v>
      </c>
    </row>
    <row r="101" spans="1:40" ht="18.75" customHeight="1" x14ac:dyDescent="0.2">
      <c r="B101" s="113"/>
      <c r="C101" s="37"/>
      <c r="S101" s="29" t="s">
        <v>28</v>
      </c>
      <c r="T101" s="29"/>
      <c r="U101" s="30"/>
      <c r="V101" s="65" t="e">
        <f>Q73/AVERAGE(G88:J88)</f>
        <v>#DIV/0!</v>
      </c>
      <c r="X101" s="123"/>
      <c r="AA101" s="123"/>
      <c r="AJ101" s="99"/>
    </row>
    <row r="102" spans="1:40" s="105" customFormat="1" ht="18.75" customHeight="1" thickBot="1" x14ac:dyDescent="0.35">
      <c r="A102" s="118"/>
      <c r="B102" s="119"/>
      <c r="C102" s="100"/>
      <c r="D102" s="169"/>
      <c r="E102" s="100"/>
      <c r="F102" s="101"/>
      <c r="G102" s="101"/>
      <c r="H102" s="101"/>
      <c r="I102" s="101"/>
      <c r="J102" s="101"/>
      <c r="K102" s="102"/>
      <c r="L102" s="103"/>
      <c r="M102" s="104"/>
      <c r="N102" s="104"/>
      <c r="O102" s="104"/>
      <c r="P102" s="102"/>
      <c r="Q102" s="102"/>
      <c r="R102" s="100"/>
      <c r="S102" s="156"/>
      <c r="X102" s="156"/>
      <c r="AA102" s="209"/>
      <c r="AC102" s="156"/>
    </row>
    <row r="103" spans="1:40" s="106" customFormat="1" ht="18.75" customHeight="1" thickBot="1" x14ac:dyDescent="0.25">
      <c r="D103" s="15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S103" s="157"/>
      <c r="X103" s="157"/>
      <c r="AA103" s="210"/>
      <c r="AC103" s="157"/>
    </row>
    <row r="104" spans="1:40" s="143" customFormat="1" ht="18.75" customHeight="1" thickBot="1" x14ac:dyDescent="0.3">
      <c r="A104" s="129">
        <v>4</v>
      </c>
      <c r="B104" s="130"/>
      <c r="C104" s="131"/>
      <c r="D104" s="132"/>
      <c r="E104" s="133"/>
      <c r="F104" s="134"/>
      <c r="G104" s="135"/>
      <c r="H104" s="135"/>
      <c r="I104" s="135"/>
      <c r="J104" s="135"/>
      <c r="K104" s="136"/>
      <c r="L104" s="137"/>
      <c r="M104" s="138"/>
      <c r="N104" s="138"/>
      <c r="O104" s="138"/>
      <c r="P104" s="138"/>
      <c r="Q104" s="138"/>
      <c r="R104" s="139"/>
      <c r="S104" s="140" t="s">
        <v>7</v>
      </c>
      <c r="T104" s="325" t="s">
        <v>93</v>
      </c>
      <c r="U104" s="326"/>
      <c r="V104" s="141" t="s">
        <v>35</v>
      </c>
      <c r="W104" s="138"/>
      <c r="X104" s="158"/>
      <c r="Y104" s="138"/>
      <c r="Z104" s="138"/>
      <c r="AA104" s="182"/>
      <c r="AB104" s="142"/>
      <c r="AC104" s="159"/>
      <c r="AD104" s="136"/>
      <c r="AE104" s="136"/>
      <c r="AF104" s="142"/>
      <c r="AG104" s="142"/>
      <c r="AH104" s="142"/>
      <c r="AI104" s="142"/>
      <c r="AJ104" s="142"/>
      <c r="AK104" s="142"/>
      <c r="AL104" s="142"/>
      <c r="AM104" s="136"/>
      <c r="AN104" s="136"/>
    </row>
    <row r="105" spans="1:40" ht="18.75" customHeight="1" x14ac:dyDescent="0.25">
      <c r="B105" s="109"/>
      <c r="C105" s="14"/>
      <c r="D105" s="15"/>
      <c r="E105" s="18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51"/>
      <c r="T105" s="16"/>
      <c r="U105" s="16"/>
      <c r="V105" s="16"/>
      <c r="W105" s="16"/>
      <c r="X105" s="151"/>
      <c r="Y105" s="16"/>
      <c r="Z105" s="16"/>
      <c r="AA105" s="184"/>
      <c r="AB105" s="16"/>
      <c r="AC105" s="151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 spans="1:40" ht="18.75" customHeight="1" x14ac:dyDescent="0.2">
      <c r="B106" s="110"/>
      <c r="C106" s="17"/>
      <c r="D106" s="120" t="s">
        <v>36</v>
      </c>
      <c r="E106" s="18"/>
      <c r="F106" s="185" t="s">
        <v>37</v>
      </c>
      <c r="G106" s="185" t="s">
        <v>38</v>
      </c>
      <c r="H106" s="185" t="s">
        <v>39</v>
      </c>
      <c r="I106" s="185" t="s">
        <v>40</v>
      </c>
      <c r="J106" s="185" t="s">
        <v>41</v>
      </c>
      <c r="K106" s="186"/>
      <c r="L106" s="185">
        <v>2013</v>
      </c>
      <c r="M106" s="185">
        <v>2014</v>
      </c>
      <c r="N106" s="185">
        <v>2015</v>
      </c>
      <c r="O106" s="185">
        <v>2016</v>
      </c>
      <c r="P106" s="185">
        <v>2017</v>
      </c>
      <c r="Q106" s="185" t="s">
        <v>42</v>
      </c>
      <c r="S106" s="153" t="s">
        <v>0</v>
      </c>
      <c r="T106" s="19"/>
      <c r="U106" s="19"/>
      <c r="V106" s="20"/>
      <c r="W106" s="21"/>
      <c r="X106" s="153" t="s">
        <v>5</v>
      </c>
      <c r="Y106" s="19"/>
      <c r="Z106" s="44"/>
      <c r="AA106" s="44" t="s">
        <v>43</v>
      </c>
      <c r="AB106" s="21"/>
      <c r="AC106" s="155" t="s">
        <v>44</v>
      </c>
      <c r="AD106" s="43"/>
      <c r="AE106" s="44"/>
      <c r="AF106" s="160">
        <f>M106</f>
        <v>2014</v>
      </c>
      <c r="AG106" s="160">
        <f>N106</f>
        <v>2015</v>
      </c>
      <c r="AH106" s="160">
        <f>O106</f>
        <v>2016</v>
      </c>
      <c r="AI106" s="160">
        <f>P106</f>
        <v>2017</v>
      </c>
      <c r="AJ106" s="22"/>
      <c r="AK106" s="23"/>
      <c r="AM106" s="24"/>
      <c r="AN106" s="175"/>
    </row>
    <row r="107" spans="1:40" ht="18.75" customHeight="1" thickBot="1" x14ac:dyDescent="0.25">
      <c r="A107" s="111"/>
      <c r="B107" s="112"/>
      <c r="C107" s="25"/>
      <c r="D107" s="60" t="s">
        <v>29</v>
      </c>
      <c r="E107" s="26"/>
      <c r="F107" s="62">
        <v>11407000000</v>
      </c>
      <c r="G107" s="62">
        <v>7445000000</v>
      </c>
      <c r="H107" s="62">
        <v>8209000000</v>
      </c>
      <c r="I107" s="62">
        <v>5661000000</v>
      </c>
      <c r="J107" s="62">
        <v>7674000000</v>
      </c>
      <c r="K107" s="27"/>
      <c r="L107" s="62">
        <v>57371000000</v>
      </c>
      <c r="M107" s="62">
        <v>55123000000</v>
      </c>
      <c r="N107" s="62">
        <v>52107000000</v>
      </c>
      <c r="O107" s="62">
        <v>50123000000</v>
      </c>
      <c r="P107" s="62">
        <v>28871000000</v>
      </c>
      <c r="Q107" s="62">
        <v>29643000000</v>
      </c>
      <c r="S107" s="122" t="s">
        <v>8</v>
      </c>
      <c r="T107" s="149"/>
      <c r="U107" s="149"/>
      <c r="V107" s="187">
        <v>18.780000999999999</v>
      </c>
      <c r="W107" s="188"/>
      <c r="X107" s="50" t="s">
        <v>29</v>
      </c>
      <c r="Y107" s="50"/>
      <c r="Z107" s="78"/>
      <c r="AA107" s="189">
        <f>IF(AA106="Year over Year",AI107,IF(AA106="3-Year Average",AVERAGE(AH107:AI107),IF(AA106="5-Year Average",AVERAGE(AF107:AI107),"")))</f>
        <v>-0.13899250720520492</v>
      </c>
      <c r="AB107" s="190"/>
      <c r="AC107" s="51" t="s">
        <v>45</v>
      </c>
      <c r="AD107" s="52"/>
      <c r="AE107" s="53"/>
      <c r="AF107" s="191">
        <f>IF(AND(M107&gt;0,L107&gt;0,L107&lt;&gt;""),M107/L107-1,IF(AND(L107&lt;0,M107&lt;0,L107&lt;&gt;""),(M107-L107)/ABS(L107),IF(AND(L107&gt;0,M107&lt;0,L107&lt;&gt;""),"L",IF(AND(L107&lt;0,M107&gt;0,L107&lt;&gt;""),"P",""))))</f>
        <v>-3.9183559638144683E-2</v>
      </c>
      <c r="AG107" s="191">
        <f>IF(AND(N107&gt;0,M107&gt;0,M107&lt;&gt;""),N107/M107-1,IF(AND(M107&lt;0,N107&lt;0,M107&lt;&gt;""),(N107-M107)/ABS(M107),IF(AND(M107&gt;0,N107&lt;0,M107&lt;&gt;""),"L",IF(AND(M107&lt;0,N107&gt;0,M107&lt;&gt;""),"P",""))))</f>
        <v>-5.4714003229142105E-2</v>
      </c>
      <c r="AH107" s="191">
        <f>IF(AND(O107&gt;0,N107&gt;0,N107&lt;&gt;""),O107/N107-1,IF(AND(N107&lt;0,O107&lt;0,N107&lt;&gt;""),(O107-N107)/ABS(N107),IF(AND(N107&gt;0,O107&lt;0,N107&lt;&gt;""),"L",IF(AND(N107&lt;0,O107&gt;0,N107&lt;&gt;""),"P",""))))</f>
        <v>-3.8075498493484572E-2</v>
      </c>
      <c r="AI107" s="191">
        <f>IF(AND(P107&gt;0,O107&gt;0,O107&lt;&gt;""),P107/O107-1,IF(AND(O107&lt;0,P107&lt;0,O107&lt;&gt;""),(P107-O107)/ABS(O107),IF(AND(O107&gt;0,P107&lt;0,O107&lt;&gt;""),"L",IF(AND(O107&lt;0,P107&gt;0,O107&lt;&gt;""),"P",""))))</f>
        <v>-0.42399696746004834</v>
      </c>
    </row>
    <row r="108" spans="1:40" ht="18.75" customHeight="1" thickBot="1" x14ac:dyDescent="0.25">
      <c r="A108" s="111"/>
      <c r="B108" s="112"/>
      <c r="C108" s="25"/>
      <c r="D108" s="60" t="s">
        <v>46</v>
      </c>
      <c r="E108" s="26"/>
      <c r="F108" s="62">
        <v>8108000000</v>
      </c>
      <c r="G108" s="62">
        <v>4927000000</v>
      </c>
      <c r="H108" s="62">
        <v>5496000000</v>
      </c>
      <c r="I108" s="62">
        <v>4930000000</v>
      </c>
      <c r="J108" s="62">
        <v>5491000000</v>
      </c>
      <c r="K108" s="28"/>
      <c r="L108" s="62">
        <v>41630000000</v>
      </c>
      <c r="M108" s="62">
        <v>39486000000</v>
      </c>
      <c r="N108" s="62">
        <v>37168000000</v>
      </c>
      <c r="O108" s="62">
        <v>35507000000</v>
      </c>
      <c r="P108" s="62">
        <v>20177000000</v>
      </c>
      <c r="Q108" s="62">
        <v>20979000000</v>
      </c>
      <c r="S108" s="29" t="s">
        <v>9</v>
      </c>
      <c r="T108" s="30"/>
      <c r="U108" s="31"/>
      <c r="V108" s="32">
        <f>V107*Q115</f>
        <v>30545671626.499996</v>
      </c>
      <c r="W108" s="188"/>
      <c r="X108" s="63" t="s">
        <v>47</v>
      </c>
      <c r="Y108" s="63"/>
      <c r="Z108" s="64"/>
      <c r="AA108" s="192">
        <f>IF(AA106="Year over Year",AI108,IF(AA106="3-Year Average",AVERAGE(AH108:AI108),IF(AA106="5-Year Average",AVERAGE(AF108:AI108),"")))</f>
        <v>7.9681264685316083E-2</v>
      </c>
      <c r="AB108" s="190"/>
      <c r="AC108" s="51" t="s">
        <v>30</v>
      </c>
      <c r="AD108" s="52"/>
      <c r="AE108" s="53"/>
      <c r="AF108" s="191">
        <f t="shared" ref="AF108:AI110" si="9">IF(AND(M110&gt;0,L110&gt;0,L110&lt;&gt;""),M110/L110-1,IF(AND(L110&lt;0,M110&lt;0,L110&lt;&gt;""),(M110-L110)/ABS(L110),IF(AND(L110&gt;0,M110&lt;0,L110&lt;&gt;""),"L",IF(AND(L110&lt;0,M110&gt;0,L110&lt;&gt;""),"P",""))))</f>
        <v>-0.2090108401084011</v>
      </c>
      <c r="AG108" s="191">
        <f t="shared" si="9"/>
        <v>-0.34775160599571731</v>
      </c>
      <c r="AH108" s="191">
        <f t="shared" si="9"/>
        <v>1.7248850952068286</v>
      </c>
      <c r="AI108" s="191">
        <f t="shared" si="9"/>
        <v>-0.8493975903614458</v>
      </c>
    </row>
    <row r="109" spans="1:40" ht="18.75" customHeight="1" thickBot="1" x14ac:dyDescent="0.25">
      <c r="B109" s="112"/>
      <c r="C109" s="25"/>
      <c r="D109" s="33" t="s">
        <v>48</v>
      </c>
      <c r="E109" s="34"/>
      <c r="F109" s="35">
        <v>3299000000</v>
      </c>
      <c r="G109" s="35">
        <v>2518000000</v>
      </c>
      <c r="H109" s="35">
        <v>2713000000</v>
      </c>
      <c r="I109" s="35">
        <v>731000000</v>
      </c>
      <c r="J109" s="35">
        <v>2183000000</v>
      </c>
      <c r="K109" s="27"/>
      <c r="L109" s="35">
        <v>15741000000</v>
      </c>
      <c r="M109" s="35">
        <v>15637000000</v>
      </c>
      <c r="N109" s="35">
        <v>14939000000</v>
      </c>
      <c r="O109" s="35">
        <v>14616000000</v>
      </c>
      <c r="P109" s="35">
        <v>8694000000</v>
      </c>
      <c r="Q109" s="62">
        <v>8664000000</v>
      </c>
      <c r="S109" s="29" t="s">
        <v>10</v>
      </c>
      <c r="T109" s="30"/>
      <c r="U109" s="36"/>
      <c r="V109" s="32">
        <f>V108+(J123+J125)-J119</f>
        <v>36827671626.5</v>
      </c>
      <c r="W109" s="190"/>
      <c r="X109" s="63" t="s">
        <v>31</v>
      </c>
      <c r="Y109" s="63"/>
      <c r="Z109" s="81"/>
      <c r="AA109" s="192">
        <f>IF(AA106="Year over Year",AI109,IF(AA106="3-Year Average",AVERAGE(AH109:AI109),IF(AA106="5-Year Average",AVERAGE(AF109:AI109),"")))</f>
        <v>-7.74751832909015E-2</v>
      </c>
      <c r="AB109" s="190"/>
      <c r="AC109" s="51" t="s">
        <v>49</v>
      </c>
      <c r="AD109" s="52"/>
      <c r="AE109" s="53"/>
      <c r="AF109" s="191">
        <f t="shared" si="9"/>
        <v>-0.19648951730862996</v>
      </c>
      <c r="AG109" s="191">
        <f t="shared" si="9"/>
        <v>0.49332524271844669</v>
      </c>
      <c r="AH109" s="191">
        <f t="shared" si="9"/>
        <v>0.28443722064201538</v>
      </c>
      <c r="AI109" s="191">
        <f t="shared" si="9"/>
        <v>-0.89117367921543811</v>
      </c>
    </row>
    <row r="110" spans="1:40" ht="18.75" customHeight="1" thickBot="1" x14ac:dyDescent="0.25">
      <c r="B110" s="112"/>
      <c r="C110" s="25"/>
      <c r="D110" s="60" t="s">
        <v>50</v>
      </c>
      <c r="E110" s="61"/>
      <c r="F110" s="62">
        <v>463000000</v>
      </c>
      <c r="G110" s="62">
        <v>182000000</v>
      </c>
      <c r="H110" s="62">
        <v>147000000</v>
      </c>
      <c r="I110" s="62">
        <v>-160000000</v>
      </c>
      <c r="J110" s="62">
        <v>515000000</v>
      </c>
      <c r="K110" s="40"/>
      <c r="L110" s="62">
        <v>2952000000</v>
      </c>
      <c r="M110" s="62">
        <v>2335000000</v>
      </c>
      <c r="N110" s="62">
        <v>1523000000</v>
      </c>
      <c r="O110" s="62">
        <v>4150000000</v>
      </c>
      <c r="P110" s="62">
        <v>625000000</v>
      </c>
      <c r="Q110" s="62">
        <v>549000000</v>
      </c>
      <c r="S110" s="29" t="s">
        <v>11</v>
      </c>
      <c r="T110" s="30"/>
      <c r="U110" s="36"/>
      <c r="V110" s="32">
        <f>J122-J126</f>
        <v>23951000000</v>
      </c>
      <c r="W110" s="188"/>
      <c r="X110" s="63" t="s">
        <v>32</v>
      </c>
      <c r="Y110" s="63"/>
      <c r="Z110" s="64"/>
      <c r="AA110" s="192">
        <f>IF(AA106="Year over Year",AI110,IF(AA106="3-Year Average",AVERAGE(AH110:AI110),IF(AA106="5-Year Average",AVERAGE(AF110:AI110),"")))</f>
        <v>8.5515098487907684E-2</v>
      </c>
      <c r="AB110" s="190"/>
      <c r="AC110" s="51" t="s">
        <v>51</v>
      </c>
      <c r="AD110" s="52"/>
      <c r="AE110" s="53"/>
      <c r="AF110" s="191" t="str">
        <f t="shared" si="9"/>
        <v/>
      </c>
      <c r="AG110" s="191">
        <f t="shared" si="9"/>
        <v>0.78947368421052633</v>
      </c>
      <c r="AH110" s="191">
        <f t="shared" si="9"/>
        <v>0.35294117647058809</v>
      </c>
      <c r="AI110" s="191">
        <f t="shared" si="9"/>
        <v>-0.88586956521739135</v>
      </c>
    </row>
    <row r="111" spans="1:40" ht="18.75" customHeight="1" thickBot="1" x14ac:dyDescent="0.25">
      <c r="B111" s="112"/>
      <c r="C111" s="25"/>
      <c r="D111" s="60" t="s">
        <v>52</v>
      </c>
      <c r="E111" s="61"/>
      <c r="F111" s="62">
        <v>267000000</v>
      </c>
      <c r="G111" s="62">
        <v>-612000000</v>
      </c>
      <c r="H111" s="62">
        <v>165000000</v>
      </c>
      <c r="I111" s="62">
        <v>524000000</v>
      </c>
      <c r="J111" s="62">
        <v>1436000000</v>
      </c>
      <c r="K111" s="27"/>
      <c r="L111" s="62">
        <v>2051000000</v>
      </c>
      <c r="M111" s="62">
        <v>1648000000</v>
      </c>
      <c r="N111" s="62">
        <v>2461000000</v>
      </c>
      <c r="O111" s="62">
        <v>3161000000</v>
      </c>
      <c r="P111" s="62">
        <v>344000000</v>
      </c>
      <c r="Q111" s="62">
        <v>1513000000</v>
      </c>
      <c r="S111" s="29" t="s">
        <v>53</v>
      </c>
      <c r="T111" s="30"/>
      <c r="U111" s="31"/>
      <c r="V111" s="39" t="str">
        <f>IF(V108&gt;10000,"Large Cap",IF(AND(10000&gt;V108,2000&lt;V108),"Mid Cap",IF(AND(2000&gt;V108,V108&gt;50),"Small Cap",IF(V108&lt;50,"Micro Cap",NA))))</f>
        <v>Large Cap</v>
      </c>
      <c r="W111" s="188"/>
      <c r="AB111" s="41"/>
    </row>
    <row r="112" spans="1:40" ht="18.75" customHeight="1" thickBot="1" x14ac:dyDescent="0.25">
      <c r="B112" s="112"/>
      <c r="C112" s="25"/>
      <c r="D112" s="60" t="s">
        <v>54</v>
      </c>
      <c r="E112" s="61"/>
      <c r="F112" s="54">
        <v>0.16</v>
      </c>
      <c r="G112" s="54">
        <v>-0.37</v>
      </c>
      <c r="H112" s="54">
        <v>0.1</v>
      </c>
      <c r="I112" s="54">
        <v>0.32</v>
      </c>
      <c r="J112" s="54">
        <v>0.9</v>
      </c>
      <c r="K112" s="55"/>
      <c r="L112" s="56"/>
      <c r="M112" s="56">
        <v>0.76</v>
      </c>
      <c r="N112" s="56">
        <v>1.36</v>
      </c>
      <c r="O112" s="56">
        <v>1.84</v>
      </c>
      <c r="P112" s="56">
        <v>0.21</v>
      </c>
      <c r="Q112" s="54">
        <v>0.95</v>
      </c>
      <c r="S112" s="122" t="s">
        <v>55</v>
      </c>
      <c r="T112" s="124"/>
      <c r="U112" s="124"/>
      <c r="V112" s="125"/>
      <c r="W112" s="190"/>
      <c r="X112" s="155" t="s">
        <v>2</v>
      </c>
      <c r="Y112" s="43"/>
      <c r="Z112" s="97"/>
      <c r="AA112" s="193"/>
      <c r="AC112" s="154" t="s">
        <v>56</v>
      </c>
      <c r="AD112" s="72"/>
      <c r="AE112" s="161">
        <f>L106</f>
        <v>2013</v>
      </c>
      <c r="AF112" s="161">
        <f>M106</f>
        <v>2014</v>
      </c>
      <c r="AG112" s="161">
        <f>N106</f>
        <v>2015</v>
      </c>
      <c r="AH112" s="161">
        <f>O106</f>
        <v>2016</v>
      </c>
      <c r="AI112" s="161">
        <f>P106</f>
        <v>2017</v>
      </c>
    </row>
    <row r="113" spans="2:37" ht="18.75" hidden="1" customHeight="1" x14ac:dyDescent="0.2">
      <c r="B113" s="112"/>
      <c r="C113" s="25"/>
      <c r="D113" s="60"/>
      <c r="E113" s="61"/>
      <c r="F113" s="54">
        <v>1669000000</v>
      </c>
      <c r="G113" s="54">
        <v>1658000000</v>
      </c>
      <c r="H113" s="54">
        <v>1641000000</v>
      </c>
      <c r="I113" s="54">
        <v>1616000000</v>
      </c>
      <c r="J113" s="54">
        <v>1591000000</v>
      </c>
      <c r="K113" s="55"/>
      <c r="L113" s="56"/>
      <c r="M113" s="56">
        <v>1839000000</v>
      </c>
      <c r="N113" s="56">
        <v>1804000000</v>
      </c>
      <c r="O113" s="56">
        <v>1715000000</v>
      </c>
      <c r="P113" s="56">
        <v>1646000000</v>
      </c>
      <c r="Q113" s="54">
        <v>1626500000</v>
      </c>
      <c r="S113" s="51"/>
      <c r="V113" s="170"/>
      <c r="W113" s="190"/>
      <c r="X113" s="171"/>
      <c r="Y113" s="172"/>
      <c r="Z113" s="173"/>
      <c r="AA113" s="194"/>
      <c r="AC113" s="174"/>
      <c r="AD113" s="175"/>
      <c r="AE113" s="176"/>
      <c r="AF113" s="176"/>
      <c r="AG113" s="176"/>
      <c r="AH113" s="176"/>
      <c r="AI113" s="176"/>
    </row>
    <row r="114" spans="2:37" ht="18.75" hidden="1" customHeight="1" x14ac:dyDescent="0.2">
      <c r="B114" s="112"/>
      <c r="C114" s="25"/>
      <c r="D114" s="60"/>
      <c r="E114" s="61"/>
      <c r="F114" s="54">
        <v>0.16</v>
      </c>
      <c r="G114" s="54">
        <v>-0.37</v>
      </c>
      <c r="H114" s="54">
        <v>0.1</v>
      </c>
      <c r="I114" s="54">
        <v>0.32</v>
      </c>
      <c r="J114" s="54">
        <v>0.9</v>
      </c>
      <c r="K114" s="55"/>
      <c r="L114" s="56"/>
      <c r="M114" s="56">
        <v>0.76</v>
      </c>
      <c r="N114" s="56">
        <v>1.36</v>
      </c>
      <c r="O114" s="56">
        <v>1.84</v>
      </c>
      <c r="P114" s="56">
        <v>0.21</v>
      </c>
      <c r="Q114" s="54">
        <v>0.95</v>
      </c>
      <c r="S114" s="51"/>
      <c r="V114" s="170"/>
      <c r="W114" s="190"/>
      <c r="X114" s="171"/>
      <c r="Y114" s="172"/>
      <c r="Z114" s="173"/>
      <c r="AA114" s="194"/>
      <c r="AC114" s="174"/>
      <c r="AD114" s="175"/>
      <c r="AE114" s="176"/>
      <c r="AF114" s="176"/>
      <c r="AG114" s="176"/>
      <c r="AH114" s="176"/>
      <c r="AI114" s="176"/>
    </row>
    <row r="115" spans="2:37" ht="18.75" customHeight="1" thickBot="1" x14ac:dyDescent="0.25">
      <c r="B115" s="112"/>
      <c r="C115" s="25"/>
      <c r="D115" s="33" t="s">
        <v>57</v>
      </c>
      <c r="E115" s="61"/>
      <c r="F115" s="62">
        <v>1669000000</v>
      </c>
      <c r="G115" s="62">
        <v>1658000000</v>
      </c>
      <c r="H115" s="62">
        <v>1641000000</v>
      </c>
      <c r="I115" s="62">
        <v>1616000000</v>
      </c>
      <c r="J115" s="62">
        <v>1591000000</v>
      </c>
      <c r="K115" s="28"/>
      <c r="L115" s="62"/>
      <c r="M115" s="62">
        <v>1839000000</v>
      </c>
      <c r="N115" s="62">
        <v>1804000000</v>
      </c>
      <c r="O115" s="62">
        <v>1715000000</v>
      </c>
      <c r="P115" s="62">
        <v>1646000000</v>
      </c>
      <c r="Q115" s="62">
        <v>1626500000</v>
      </c>
      <c r="S115" s="123"/>
      <c r="X115" s="47" t="s">
        <v>20</v>
      </c>
      <c r="Y115" s="47"/>
      <c r="Z115" s="48"/>
      <c r="AA115" s="49">
        <f>AVERAGE(G121:J121)/AVERAGE(G124:J124)</f>
        <v>1.1515703415897685</v>
      </c>
      <c r="AC115" s="74" t="s">
        <v>29</v>
      </c>
      <c r="AD115" s="75"/>
      <c r="AE115" s="76">
        <f>IF(L107="","",L107)</f>
        <v>57371000000</v>
      </c>
      <c r="AF115" s="76">
        <f>IF(M107="","",M107)</f>
        <v>55123000000</v>
      </c>
      <c r="AG115" s="76">
        <f>IF(N107="","",N107)</f>
        <v>52107000000</v>
      </c>
      <c r="AH115" s="76">
        <f>IF(O107="","",O107)</f>
        <v>50123000000</v>
      </c>
      <c r="AI115" s="76">
        <f>IF(P107="","",P107)</f>
        <v>28871000000</v>
      </c>
    </row>
    <row r="116" spans="2:37" ht="18.75" customHeight="1" thickBot="1" x14ac:dyDescent="0.25">
      <c r="B116" s="112"/>
      <c r="C116" s="25"/>
      <c r="D116" s="33" t="s">
        <v>58</v>
      </c>
      <c r="E116" s="45"/>
      <c r="F116" s="35">
        <v>1303000000</v>
      </c>
      <c r="G116" s="35">
        <v>974000000</v>
      </c>
      <c r="H116" s="35">
        <v>884000000</v>
      </c>
      <c r="I116" s="35">
        <v>522000000</v>
      </c>
      <c r="J116" s="35">
        <v>1150000000</v>
      </c>
      <c r="K116" s="40"/>
      <c r="L116" s="62">
        <v>7348000000</v>
      </c>
      <c r="M116" s="62">
        <v>6479000000</v>
      </c>
      <c r="N116" s="62">
        <v>5470000000</v>
      </c>
      <c r="O116" s="62">
        <v>8431000000</v>
      </c>
      <c r="P116" s="62">
        <v>3676000000</v>
      </c>
      <c r="Q116" s="62">
        <v>3395000000</v>
      </c>
      <c r="S116" s="153" t="s">
        <v>59</v>
      </c>
      <c r="T116" s="19"/>
      <c r="U116" s="19"/>
      <c r="V116" s="19"/>
      <c r="X116" s="63" t="s">
        <v>21</v>
      </c>
      <c r="Y116" s="63"/>
      <c r="Z116" s="98"/>
      <c r="AA116" s="65">
        <f>AVERAGE(G122:J122)/AVERAGE(G127:J127)</f>
        <v>2.4793816388467373</v>
      </c>
      <c r="AC116" s="74" t="s">
        <v>60</v>
      </c>
      <c r="AD116" s="75"/>
      <c r="AE116" s="195">
        <f>IF(OR(L107="",L109=""),"",L109/L107)</f>
        <v>0.27437206951247145</v>
      </c>
      <c r="AF116" s="195">
        <f>IF(OR(M107="",M109=""),"",M109/M107)</f>
        <v>0.28367469114525695</v>
      </c>
      <c r="AG116" s="195">
        <f>IF(OR(N107="",N109=""),"",N109/N107)</f>
        <v>0.28669852419060776</v>
      </c>
      <c r="AH116" s="195">
        <f>IF(OR(O107="",O109=""),"",O109/O107)</f>
        <v>0.29160265746264191</v>
      </c>
      <c r="AI116" s="195">
        <f>IF(OR(P107="",P109=""),"",P109/P107)</f>
        <v>0.30113262443282185</v>
      </c>
    </row>
    <row r="117" spans="2:37" ht="18.75" customHeight="1" x14ac:dyDescent="0.2">
      <c r="B117" s="113"/>
      <c r="C117" s="37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S117" s="47" t="s">
        <v>13</v>
      </c>
      <c r="T117" s="47"/>
      <c r="U117" s="48"/>
      <c r="V117" s="49">
        <f>IF(Q112&gt;0,V107/Q112,"")</f>
        <v>19.768422105263156</v>
      </c>
      <c r="X117" s="63" t="s">
        <v>22</v>
      </c>
      <c r="Y117" s="63"/>
      <c r="Z117" s="98"/>
      <c r="AA117" s="65">
        <f>AVERAGE(G125:J125)/AVERAGE(G127:J127)</f>
        <v>0.44246016691957513</v>
      </c>
      <c r="AC117" s="74" t="s">
        <v>47</v>
      </c>
      <c r="AD117" s="75"/>
      <c r="AE117" s="76">
        <f>IF(L110="","",L110)</f>
        <v>2952000000</v>
      </c>
      <c r="AF117" s="76">
        <f>IF(M110="","",M110)</f>
        <v>2335000000</v>
      </c>
      <c r="AG117" s="76">
        <f>IF(N110="","",N110)</f>
        <v>1523000000</v>
      </c>
      <c r="AH117" s="76">
        <f>IF(O110="","",O110)</f>
        <v>4150000000</v>
      </c>
      <c r="AI117" s="76">
        <f>IF(P110="","",P110)</f>
        <v>625000000</v>
      </c>
    </row>
    <row r="118" spans="2:37" ht="18.75" customHeight="1" x14ac:dyDescent="0.25">
      <c r="B118" s="114"/>
      <c r="C118" s="73"/>
      <c r="D118" s="120" t="s">
        <v>61</v>
      </c>
      <c r="E118" s="18"/>
      <c r="F118" s="196" t="str">
        <f>F106</f>
        <v>2016-10</v>
      </c>
      <c r="G118" s="196" t="str">
        <f>G106</f>
        <v>2017-01</v>
      </c>
      <c r="H118" s="196" t="str">
        <f>H106</f>
        <v>2017-04</v>
      </c>
      <c r="I118" s="196" t="str">
        <f>I106</f>
        <v>2017-07</v>
      </c>
      <c r="J118" s="196" t="str">
        <f>J106</f>
        <v>2017-10</v>
      </c>
      <c r="K118" s="197"/>
      <c r="L118" s="198">
        <f>L106</f>
        <v>2013</v>
      </c>
      <c r="M118" s="198">
        <f>M106</f>
        <v>2014</v>
      </c>
      <c r="N118" s="198">
        <f>N106</f>
        <v>2015</v>
      </c>
      <c r="O118" s="198">
        <f>O106</f>
        <v>2016</v>
      </c>
      <c r="P118" s="198">
        <f>P106</f>
        <v>2017</v>
      </c>
      <c r="Q118" s="185"/>
      <c r="S118" s="57" t="s">
        <v>15</v>
      </c>
      <c r="T118" s="57"/>
      <c r="U118" s="58"/>
      <c r="V118" s="59">
        <f>V107/((J122-J126)/J115)</f>
        <v>1.24750455475763</v>
      </c>
      <c r="W118" s="199"/>
      <c r="X118" s="123"/>
      <c r="AA118" s="123"/>
      <c r="AC118" s="74" t="s">
        <v>62</v>
      </c>
      <c r="AD118" s="75"/>
      <c r="AE118" s="195">
        <f>IF(OR(L107="",L110=""),"",L110/L107)</f>
        <v>5.1454567638702479E-2</v>
      </c>
      <c r="AF118" s="195">
        <f>IF(OR(M107="",M110=""),"",M110/M107)</f>
        <v>4.2359813507973076E-2</v>
      </c>
      <c r="AG118" s="195">
        <f>IF(OR(N107="",N110=""),"",N110/N107)</f>
        <v>2.922831865200453E-2</v>
      </c>
      <c r="AH118" s="195">
        <f>IF(OR(O107="",O110=""),"",O110/O107)</f>
        <v>8.2796321050216462E-2</v>
      </c>
      <c r="AI118" s="195">
        <f>IF(OR(P107="",P110=""),"",P110/P107)</f>
        <v>2.1648020505005021E-2</v>
      </c>
      <c r="AJ118" s="77"/>
      <c r="AK118" s="23"/>
    </row>
    <row r="119" spans="2:37" ht="18.75" customHeight="1" thickBot="1" x14ac:dyDescent="0.25">
      <c r="B119" s="110"/>
      <c r="C119" s="17"/>
      <c r="D119" s="60" t="s">
        <v>63</v>
      </c>
      <c r="E119" s="61"/>
      <c r="F119" s="62">
        <v>9858000000</v>
      </c>
      <c r="G119" s="62">
        <v>8101000000</v>
      </c>
      <c r="H119" s="62">
        <v>7757000000</v>
      </c>
      <c r="I119" s="62">
        <v>9579000000</v>
      </c>
      <c r="J119" s="62">
        <v>7673000000</v>
      </c>
      <c r="K119" s="27"/>
      <c r="L119" s="62">
        <v>2182000000</v>
      </c>
      <c r="M119" s="62">
        <v>2319000000</v>
      </c>
      <c r="N119" s="62">
        <v>9842000000</v>
      </c>
      <c r="O119" s="62">
        <v>12987000000</v>
      </c>
      <c r="P119" s="62">
        <v>9579000000</v>
      </c>
      <c r="Q119" s="62"/>
      <c r="S119" s="57" t="s">
        <v>14</v>
      </c>
      <c r="T119" s="57"/>
      <c r="U119" s="58"/>
      <c r="V119" s="59">
        <f>V107/(Q107/Q115)</f>
        <v>1.0304514261883075</v>
      </c>
      <c r="W119" s="200"/>
      <c r="X119" s="155" t="s">
        <v>36</v>
      </c>
      <c r="Y119" s="43"/>
      <c r="Z119" s="43"/>
      <c r="AA119" s="201"/>
      <c r="AC119" s="74" t="s">
        <v>31</v>
      </c>
      <c r="AD119" s="75"/>
      <c r="AE119" s="76">
        <f t="shared" ref="AE119:AI120" si="10">IF(L111="","",L111)</f>
        <v>2051000000</v>
      </c>
      <c r="AF119" s="76">
        <f t="shared" si="10"/>
        <v>1648000000</v>
      </c>
      <c r="AG119" s="76">
        <f t="shared" si="10"/>
        <v>2461000000</v>
      </c>
      <c r="AH119" s="76">
        <f t="shared" si="10"/>
        <v>3161000000</v>
      </c>
      <c r="AI119" s="76">
        <f t="shared" si="10"/>
        <v>344000000</v>
      </c>
      <c r="AK119" s="202"/>
    </row>
    <row r="120" spans="2:37" ht="18.75" customHeight="1" thickBot="1" x14ac:dyDescent="0.25">
      <c r="B120" s="112"/>
      <c r="C120" s="25"/>
      <c r="D120" s="94" t="s">
        <v>64</v>
      </c>
      <c r="E120" s="61"/>
      <c r="F120" s="38">
        <v>9858000000</v>
      </c>
      <c r="G120" s="38">
        <v>8101000000</v>
      </c>
      <c r="H120" s="38">
        <v>7757000000</v>
      </c>
      <c r="I120" s="38">
        <v>9579000000</v>
      </c>
      <c r="J120" s="38">
        <v>7673000000</v>
      </c>
      <c r="K120" s="80"/>
      <c r="L120" s="38">
        <v>2182000000</v>
      </c>
      <c r="M120" s="38">
        <v>2319000000</v>
      </c>
      <c r="N120" s="38">
        <v>9842000000</v>
      </c>
      <c r="O120" s="38">
        <v>12987000000</v>
      </c>
      <c r="P120" s="38">
        <v>9579000000</v>
      </c>
      <c r="Q120" s="38"/>
      <c r="S120" s="63" t="s">
        <v>17</v>
      </c>
      <c r="T120" s="63"/>
      <c r="U120" s="64"/>
      <c r="V120" s="65">
        <f>IF(AVERAGE(N130:P130)&gt;0,V107/(AVERAGE(N130:P130)/Q115),"")</f>
        <v>9.6378854521981481</v>
      </c>
      <c r="W120" s="200"/>
      <c r="X120" s="145" t="s">
        <v>29</v>
      </c>
      <c r="Y120" s="145"/>
      <c r="Z120" s="147"/>
      <c r="AA120" s="148">
        <f>Q107</f>
        <v>29643000000</v>
      </c>
      <c r="AC120" s="74" t="s">
        <v>32</v>
      </c>
      <c r="AD120" s="75"/>
      <c r="AE120" s="203" t="str">
        <f t="shared" si="10"/>
        <v/>
      </c>
      <c r="AF120" s="203">
        <f t="shared" si="10"/>
        <v>0.76</v>
      </c>
      <c r="AG120" s="203">
        <f t="shared" si="10"/>
        <v>1.36</v>
      </c>
      <c r="AH120" s="203">
        <f t="shared" si="10"/>
        <v>1.84</v>
      </c>
      <c r="AI120" s="203">
        <f t="shared" si="10"/>
        <v>0.21</v>
      </c>
      <c r="AK120" s="202"/>
    </row>
    <row r="121" spans="2:37" ht="18.75" customHeight="1" thickBot="1" x14ac:dyDescent="0.3">
      <c r="B121" s="114"/>
      <c r="C121" s="73"/>
      <c r="D121" s="94" t="s">
        <v>65</v>
      </c>
      <c r="E121" s="61"/>
      <c r="F121" s="38">
        <v>25525000000</v>
      </c>
      <c r="G121" s="38">
        <v>20273000000</v>
      </c>
      <c r="H121" s="38">
        <v>23143000000</v>
      </c>
      <c r="I121" s="38">
        <v>21444000000</v>
      </c>
      <c r="J121" s="38">
        <v>20499000000</v>
      </c>
      <c r="K121" s="80"/>
      <c r="L121" s="38">
        <v>24379000000</v>
      </c>
      <c r="M121" s="38">
        <v>22031000000</v>
      </c>
      <c r="N121" s="38">
        <v>31173000000</v>
      </c>
      <c r="O121" s="38">
        <v>28917000000</v>
      </c>
      <c r="P121" s="38">
        <v>21444000000</v>
      </c>
      <c r="Q121" s="38"/>
      <c r="S121" s="29" t="s">
        <v>16</v>
      </c>
      <c r="T121" s="29"/>
      <c r="U121" s="30"/>
      <c r="V121" s="65" t="str">
        <f>IF(AVERAGE(N132:P132)&gt;0,V108/AVERAGE(N132:P132),"")</f>
        <v/>
      </c>
      <c r="X121" s="68" t="s">
        <v>66</v>
      </c>
      <c r="Y121" s="68"/>
      <c r="Z121" s="69"/>
      <c r="AA121" s="70">
        <f>Q109</f>
        <v>8664000000</v>
      </c>
      <c r="AC121" s="74" t="s">
        <v>67</v>
      </c>
      <c r="AD121" s="75"/>
      <c r="AE121" s="76" t="str">
        <f>IF(L115="","",L115)</f>
        <v/>
      </c>
      <c r="AF121" s="76">
        <f>IF(M115="","",M115)</f>
        <v>1839000000</v>
      </c>
      <c r="AG121" s="76">
        <f>IF(N115="","",N115)</f>
        <v>1804000000</v>
      </c>
      <c r="AH121" s="76">
        <f>IF(O115="","",O115)</f>
        <v>1715000000</v>
      </c>
      <c r="AI121" s="76">
        <f>IF(P115="","",P115)</f>
        <v>1646000000</v>
      </c>
      <c r="AK121" s="202"/>
    </row>
    <row r="122" spans="2:37" ht="18.75" customHeight="1" thickBot="1" x14ac:dyDescent="0.25">
      <c r="B122" s="113"/>
      <c r="C122" s="37"/>
      <c r="D122" s="94" t="s">
        <v>68</v>
      </c>
      <c r="E122" s="61"/>
      <c r="F122" s="38">
        <v>76662000000</v>
      </c>
      <c r="G122" s="38">
        <v>67470000000</v>
      </c>
      <c r="H122" s="38">
        <v>70931000000</v>
      </c>
      <c r="I122" s="38">
        <v>61406000000</v>
      </c>
      <c r="J122" s="38">
        <v>61619000000</v>
      </c>
      <c r="K122" s="85"/>
      <c r="L122" s="38">
        <v>68775000000</v>
      </c>
      <c r="M122" s="38">
        <v>65071000000</v>
      </c>
      <c r="N122" s="38">
        <v>81270000000</v>
      </c>
      <c r="O122" s="38">
        <v>79679000000</v>
      </c>
      <c r="P122" s="38">
        <v>61406000000</v>
      </c>
      <c r="Q122" s="38"/>
      <c r="S122" s="57" t="s">
        <v>18</v>
      </c>
      <c r="T122" s="57"/>
      <c r="U122" s="58"/>
      <c r="V122" s="59">
        <f>(V108+(J123+J125)-J119)/J116</f>
        <v>32.024062283913047</v>
      </c>
      <c r="X122" s="68" t="s">
        <v>31</v>
      </c>
      <c r="Y122" s="68"/>
      <c r="Z122" s="69"/>
      <c r="AA122" s="70">
        <f>Q111</f>
        <v>1513000000</v>
      </c>
      <c r="AC122" s="74" t="s">
        <v>69</v>
      </c>
      <c r="AD122" s="75"/>
      <c r="AE122" s="204" t="str">
        <f>IF(OR(L127="",L115="",L122="",L126=""),"",(L122-L126)/L115)</f>
        <v/>
      </c>
      <c r="AF122" s="204">
        <f>IF(OR(M127="",M115="",M122="",M126=""),"",(M122-M126)/M115)</f>
        <v>19.997824904839586</v>
      </c>
      <c r="AG122" s="204">
        <f>IF(OR(N127="",N115="",N122="",N126=""),"",(N122-N126)/N115)</f>
        <v>18.589246119733925</v>
      </c>
      <c r="AH122" s="204">
        <f>IF(OR(O127="",O115="",O122="",O126=""),"",(O122-O126)/O115)</f>
        <v>18.337026239067054</v>
      </c>
      <c r="AI122" s="204">
        <f>IF(OR(P127="",P115="",P122="",P126=""),"",(P122-P126)/P115)</f>
        <v>14.256379100850546</v>
      </c>
      <c r="AK122" s="202"/>
    </row>
    <row r="123" spans="2:37" ht="18.75" customHeight="1" thickBot="1" x14ac:dyDescent="0.25">
      <c r="B123" s="112"/>
      <c r="C123" s="25"/>
      <c r="D123" s="60" t="s">
        <v>70</v>
      </c>
      <c r="E123" s="26"/>
      <c r="F123" s="62">
        <v>3520000000</v>
      </c>
      <c r="G123" s="62">
        <v>2010000000</v>
      </c>
      <c r="H123" s="62">
        <v>2069000000</v>
      </c>
      <c r="I123" s="62">
        <v>3850000000</v>
      </c>
      <c r="J123" s="62">
        <v>3915000000</v>
      </c>
      <c r="K123" s="27"/>
      <c r="L123" s="62">
        <v>1058000000</v>
      </c>
      <c r="M123" s="62">
        <v>894000000</v>
      </c>
      <c r="N123" s="62">
        <v>691000000</v>
      </c>
      <c r="O123" s="62">
        <v>3532000000</v>
      </c>
      <c r="P123" s="62">
        <v>3850000000</v>
      </c>
      <c r="Q123" s="62"/>
      <c r="S123" s="63" t="s">
        <v>19</v>
      </c>
      <c r="T123" s="63"/>
      <c r="U123" s="64"/>
      <c r="V123" s="65">
        <f>(V108+(J123+J125)-J119)/J107</f>
        <v>4.7990189766093305</v>
      </c>
      <c r="X123" s="29" t="s">
        <v>32</v>
      </c>
      <c r="Y123" s="29"/>
      <c r="Z123" s="30"/>
      <c r="AA123" s="205">
        <f>Q112</f>
        <v>0.95</v>
      </c>
      <c r="AK123" s="202"/>
    </row>
    <row r="124" spans="2:37" ht="18.75" customHeight="1" thickBot="1" x14ac:dyDescent="0.25">
      <c r="B124" s="115"/>
      <c r="C124" s="91"/>
      <c r="D124" s="94" t="s">
        <v>71</v>
      </c>
      <c r="E124" s="61"/>
      <c r="F124" s="38">
        <v>21686000000</v>
      </c>
      <c r="G124" s="38">
        <v>17578000000</v>
      </c>
      <c r="H124" s="38">
        <v>18279000000</v>
      </c>
      <c r="I124" s="38">
        <v>18924000000</v>
      </c>
      <c r="J124" s="38">
        <v>19343000000</v>
      </c>
      <c r="K124" s="80"/>
      <c r="L124" s="38">
        <v>20912000000</v>
      </c>
      <c r="M124" s="38">
        <v>19760000000</v>
      </c>
      <c r="N124" s="38">
        <v>22151000000</v>
      </c>
      <c r="O124" s="38">
        <v>22531000000</v>
      </c>
      <c r="P124" s="38">
        <v>18924000000</v>
      </c>
      <c r="Q124" s="38"/>
      <c r="AC124" s="89" t="s">
        <v>3</v>
      </c>
      <c r="AD124" s="90"/>
      <c r="AE124" s="161">
        <f>L106</f>
        <v>2013</v>
      </c>
      <c r="AF124" s="161">
        <f>M106</f>
        <v>2014</v>
      </c>
      <c r="AG124" s="161">
        <f>N106</f>
        <v>2015</v>
      </c>
      <c r="AH124" s="161">
        <f>O106</f>
        <v>2016</v>
      </c>
      <c r="AI124" s="161">
        <f>P106</f>
        <v>2017</v>
      </c>
    </row>
    <row r="125" spans="2:37" ht="18.75" customHeight="1" thickBot="1" x14ac:dyDescent="0.25">
      <c r="B125" s="113"/>
      <c r="C125" s="37"/>
      <c r="D125" s="60" t="s">
        <v>72</v>
      </c>
      <c r="E125" s="26"/>
      <c r="F125" s="62">
        <v>12270000000</v>
      </c>
      <c r="G125" s="62">
        <v>11904000000</v>
      </c>
      <c r="H125" s="62">
        <v>14527000000</v>
      </c>
      <c r="I125" s="62">
        <v>10182000000</v>
      </c>
      <c r="J125" s="62">
        <v>10040000000</v>
      </c>
      <c r="K125" s="71"/>
      <c r="L125" s="62">
        <v>617000000</v>
      </c>
      <c r="M125" s="62">
        <v>485000000</v>
      </c>
      <c r="N125" s="62">
        <v>15103000000</v>
      </c>
      <c r="O125" s="62">
        <v>12608000000</v>
      </c>
      <c r="P125" s="62">
        <v>10182000000</v>
      </c>
      <c r="Q125" s="62"/>
      <c r="S125" s="154" t="s">
        <v>3</v>
      </c>
      <c r="T125" s="72"/>
      <c r="U125" s="72"/>
      <c r="V125" s="42"/>
      <c r="X125" s="155" t="s">
        <v>61</v>
      </c>
      <c r="Y125" s="43"/>
      <c r="Z125" s="43"/>
      <c r="AA125" s="206"/>
      <c r="AC125" s="74" t="s">
        <v>73</v>
      </c>
      <c r="AD125" s="75"/>
      <c r="AE125" s="207">
        <f>IF(OR(L107="",L111="",L107=0,L111=0),"",L111/L107)</f>
        <v>3.5749769047079535E-2</v>
      </c>
      <c r="AF125" s="207">
        <f>IF(OR(M107="",M111="",M107=0,M111=0),"",M111/M107)</f>
        <v>2.9896776300273934E-2</v>
      </c>
      <c r="AG125" s="207">
        <f>IF(OR(N107="",N111="",N107=0,N111=0),"",N111/N107)</f>
        <v>4.7229738806686239E-2</v>
      </c>
      <c r="AH125" s="207">
        <f>IF(OR(O107="",O111="",O107=0,O111=0),"",O111/O107)</f>
        <v>6.3064860443309459E-2</v>
      </c>
      <c r="AI125" s="207">
        <f>IF(OR(P107="",P111="",P107=0,P111=0),"",P111/P107)</f>
        <v>1.1915070485954764E-2</v>
      </c>
    </row>
    <row r="126" spans="2:37" ht="18.75" customHeight="1" thickBot="1" x14ac:dyDescent="0.25">
      <c r="B126" s="116"/>
      <c r="C126" s="93"/>
      <c r="D126" s="94" t="s">
        <v>74</v>
      </c>
      <c r="E126" s="61"/>
      <c r="F126" s="38">
        <v>45161000000</v>
      </c>
      <c r="G126" s="38">
        <v>38459000000</v>
      </c>
      <c r="H126" s="38">
        <v>41919000000</v>
      </c>
      <c r="I126" s="38">
        <v>37940000000</v>
      </c>
      <c r="J126" s="38">
        <v>37668000000</v>
      </c>
      <c r="K126" s="80"/>
      <c r="L126" s="46">
        <v>30787000000</v>
      </c>
      <c r="M126" s="46">
        <v>28295000000</v>
      </c>
      <c r="N126" s="46">
        <v>47735000000</v>
      </c>
      <c r="O126" s="46">
        <v>48231000000</v>
      </c>
      <c r="P126" s="46">
        <v>37940000000</v>
      </c>
      <c r="Q126" s="38"/>
      <c r="S126" s="50" t="s">
        <v>12</v>
      </c>
      <c r="T126" s="50"/>
      <c r="U126" s="78"/>
      <c r="V126" s="79">
        <f>Q107</f>
        <v>29643000000</v>
      </c>
      <c r="X126" s="122" t="s">
        <v>75</v>
      </c>
      <c r="Y126" s="122"/>
      <c r="Z126" s="144"/>
      <c r="AA126" s="148">
        <f>J120</f>
        <v>7673000000</v>
      </c>
      <c r="AC126" s="74" t="s">
        <v>76</v>
      </c>
      <c r="AD126" s="75"/>
      <c r="AE126" s="207">
        <f>IF(OR(L111="",L125="",L111=0,L125=0),"",L111/L125)</f>
        <v>3.3241491085899515</v>
      </c>
      <c r="AF126" s="207">
        <f>IF(OR(M111="",M125="",M111=0,M125=0),"",M111/M125)</f>
        <v>3.3979381443298968</v>
      </c>
      <c r="AG126" s="207">
        <f>IF(OR(N111="",N125="",N111=0,N125=0),"",N111/N125)</f>
        <v>0.16294775872343242</v>
      </c>
      <c r="AH126" s="207">
        <f>IF(OR(O111="",O125="",O111=0,O125=0),"",O111/O125)</f>
        <v>0.25071383248730966</v>
      </c>
      <c r="AI126" s="207">
        <f>IF(OR(P111="",P125="",P111=0,P125=0),"",P111/P125)</f>
        <v>3.3785110980161071E-2</v>
      </c>
    </row>
    <row r="127" spans="2:37" ht="18.75" customHeight="1" thickBot="1" x14ac:dyDescent="0.25">
      <c r="B127" s="113"/>
      <c r="C127" s="37"/>
      <c r="D127" s="94" t="s">
        <v>77</v>
      </c>
      <c r="E127" s="61"/>
      <c r="F127" s="38">
        <v>31501000000</v>
      </c>
      <c r="G127" s="38">
        <v>29011000000</v>
      </c>
      <c r="H127" s="38">
        <v>29012000000</v>
      </c>
      <c r="I127" s="38">
        <v>23466000000</v>
      </c>
      <c r="J127" s="38">
        <v>23951000000</v>
      </c>
      <c r="K127" s="85"/>
      <c r="L127" s="46">
        <v>37988000000</v>
      </c>
      <c r="M127" s="46">
        <v>36776000000</v>
      </c>
      <c r="N127" s="46">
        <v>33535000000</v>
      </c>
      <c r="O127" s="46">
        <v>31448000000</v>
      </c>
      <c r="P127" s="46">
        <v>23466000000</v>
      </c>
      <c r="Q127" s="38"/>
      <c r="S127" s="68" t="s">
        <v>23</v>
      </c>
      <c r="T127" s="68"/>
      <c r="U127" s="69"/>
      <c r="V127" s="192">
        <f>(Q107-Q108)/Q107</f>
        <v>0.29227810950308675</v>
      </c>
      <c r="X127" s="145" t="s">
        <v>78</v>
      </c>
      <c r="Y127" s="146"/>
      <c r="Z127" s="147"/>
      <c r="AA127" s="148">
        <f>J121</f>
        <v>20499000000</v>
      </c>
      <c r="AC127" s="74" t="s">
        <v>79</v>
      </c>
      <c r="AD127" s="75"/>
      <c r="AE127" s="207">
        <f>IF(OR(L111="",L122="",L111=0,L122=0),"",L111/L122)</f>
        <v>2.9821882951653944E-2</v>
      </c>
      <c r="AF127" s="207">
        <f>IF(OR(M111="",M122="",M111=0,M122=0),"",M111/M122)</f>
        <v>2.532618217024481E-2</v>
      </c>
      <c r="AG127" s="207">
        <f>IF(OR(N111="",N122="",N111=0,N122=0),"",N111/N122)</f>
        <v>3.0281776793404699E-2</v>
      </c>
      <c r="AH127" s="207">
        <f>IF(OR(O111="",O122="",O111=0,O122=0),"",O111/O122)</f>
        <v>3.9671682626538987E-2</v>
      </c>
      <c r="AI127" s="207">
        <f>IF(OR(P111="",P122="",P111=0,P122=0),"",P111/P122)</f>
        <v>5.6020584307722374E-3</v>
      </c>
    </row>
    <row r="128" spans="2:37" ht="18.75" customHeight="1" x14ac:dyDescent="0.2">
      <c r="B128" s="113"/>
      <c r="C128" s="37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S128" s="68" t="s">
        <v>24</v>
      </c>
      <c r="T128" s="68"/>
      <c r="U128" s="69"/>
      <c r="V128" s="192">
        <f>Q111/Q107</f>
        <v>5.1040717876058427E-2</v>
      </c>
      <c r="X128" s="63" t="s">
        <v>80</v>
      </c>
      <c r="Y128" s="63"/>
      <c r="Z128" s="64"/>
      <c r="AA128" s="70">
        <f>J124</f>
        <v>19343000000</v>
      </c>
      <c r="AC128" s="74" t="s">
        <v>28</v>
      </c>
      <c r="AD128" s="75"/>
      <c r="AE128" s="92">
        <f>IF(OR(L107="",L122="",L107=0,L122=0),"",L107/L122)</f>
        <v>0.83418393311523087</v>
      </c>
      <c r="AF128" s="92">
        <f>IF(OR(M107="",M122="",M107=0,M122=0),"",M107/M122)</f>
        <v>0.84712083723932319</v>
      </c>
      <c r="AG128" s="92">
        <f>IF(OR(N107="",N122="",N107=0,N122=0),"",N107/N122)</f>
        <v>0.64115909929863413</v>
      </c>
      <c r="AH128" s="92">
        <f>IF(OR(O107="",O122="",O107=0,O122=0),"",O107/O122)</f>
        <v>0.62906160970895719</v>
      </c>
      <c r="AI128" s="92">
        <f>IF(OR(P107="",P122="",P107=0,P122=0),"",P107/P122)</f>
        <v>0.47016578184542229</v>
      </c>
    </row>
    <row r="129" spans="1:40" ht="18.75" customHeight="1" x14ac:dyDescent="0.2">
      <c r="B129" s="113"/>
      <c r="C129" s="37"/>
      <c r="D129" s="121" t="s">
        <v>81</v>
      </c>
      <c r="E129" s="18"/>
      <c r="F129" s="196" t="str">
        <f>F106</f>
        <v>2016-10</v>
      </c>
      <c r="G129" s="196" t="str">
        <f>G106</f>
        <v>2017-01</v>
      </c>
      <c r="H129" s="196" t="str">
        <f>H106</f>
        <v>2017-04</v>
      </c>
      <c r="I129" s="196" t="str">
        <f>I106</f>
        <v>2017-07</v>
      </c>
      <c r="J129" s="196" t="str">
        <f>J106</f>
        <v>2017-10</v>
      </c>
      <c r="K129" s="197"/>
      <c r="L129" s="208">
        <f>L106</f>
        <v>2013</v>
      </c>
      <c r="M129" s="208">
        <f>M106</f>
        <v>2014</v>
      </c>
      <c r="N129" s="208">
        <f>N106</f>
        <v>2015</v>
      </c>
      <c r="O129" s="208">
        <f>O106</f>
        <v>2016</v>
      </c>
      <c r="P129" s="208">
        <f>P106</f>
        <v>2017</v>
      </c>
      <c r="Q129" s="185" t="s">
        <v>42</v>
      </c>
      <c r="S129" s="68" t="s">
        <v>25</v>
      </c>
      <c r="T129" s="68"/>
      <c r="U129" s="69"/>
      <c r="V129" s="192">
        <f>Q110/Q107</f>
        <v>1.8520392672806398E-2</v>
      </c>
      <c r="X129" s="63" t="s">
        <v>82</v>
      </c>
      <c r="Y129" s="81"/>
      <c r="Z129" s="81"/>
      <c r="AA129" s="70">
        <f>J123+J125</f>
        <v>13955000000</v>
      </c>
      <c r="AJ129" s="95"/>
    </row>
    <row r="130" spans="1:40" ht="18.75" customHeight="1" thickBot="1" x14ac:dyDescent="0.3">
      <c r="B130" s="117"/>
      <c r="C130" s="96"/>
      <c r="D130" s="60" t="s">
        <v>83</v>
      </c>
      <c r="E130" s="26"/>
      <c r="F130" s="62">
        <v>-1464000000</v>
      </c>
      <c r="G130" s="62">
        <v>636000000</v>
      </c>
      <c r="H130" s="62">
        <v>891000000</v>
      </c>
      <c r="I130" s="62">
        <v>826000000</v>
      </c>
      <c r="J130" s="62">
        <v>142000000</v>
      </c>
      <c r="K130" s="27"/>
      <c r="L130" s="62">
        <v>8739000000</v>
      </c>
      <c r="M130" s="62">
        <v>6911000000</v>
      </c>
      <c r="N130" s="62">
        <v>3661000000</v>
      </c>
      <c r="O130" s="62">
        <v>4958000000</v>
      </c>
      <c r="P130" s="62">
        <v>889000000</v>
      </c>
      <c r="Q130" s="62">
        <v>2221000000</v>
      </c>
      <c r="X130" s="82"/>
      <c r="Y130" s="83"/>
      <c r="Z130" s="83"/>
      <c r="AA130" s="84"/>
      <c r="AC130" s="89" t="s">
        <v>2</v>
      </c>
      <c r="AD130" s="90"/>
      <c r="AE130" s="162">
        <f>L106</f>
        <v>2013</v>
      </c>
      <c r="AF130" s="162">
        <f>M106</f>
        <v>2014</v>
      </c>
      <c r="AG130" s="162">
        <f>N106</f>
        <v>2015</v>
      </c>
      <c r="AH130" s="162">
        <f>O106</f>
        <v>2016</v>
      </c>
      <c r="AI130" s="162">
        <f>P106</f>
        <v>2017</v>
      </c>
      <c r="AJ130" s="95"/>
    </row>
    <row r="131" spans="1:40" ht="18.75" customHeight="1" thickBot="1" x14ac:dyDescent="0.25">
      <c r="B131" s="113"/>
      <c r="C131" s="37"/>
      <c r="D131" s="60" t="s">
        <v>84</v>
      </c>
      <c r="E131" s="26"/>
      <c r="F131" s="62">
        <v>-923000000</v>
      </c>
      <c r="G131" s="62">
        <v>-758000000</v>
      </c>
      <c r="H131" s="62">
        <v>-724000000</v>
      </c>
      <c r="I131" s="62">
        <v>-732000000</v>
      </c>
      <c r="J131" s="62">
        <v>-669000000</v>
      </c>
      <c r="K131" s="27"/>
      <c r="L131" s="62">
        <v>-2497000000</v>
      </c>
      <c r="M131" s="62">
        <v>-3620000000</v>
      </c>
      <c r="N131" s="62">
        <v>-3344000000</v>
      </c>
      <c r="O131" s="62">
        <v>-3280000000</v>
      </c>
      <c r="P131" s="62">
        <v>-3137000000</v>
      </c>
      <c r="Q131" s="62">
        <v>-2883000000</v>
      </c>
      <c r="S131" s="153" t="s">
        <v>4</v>
      </c>
      <c r="T131" s="19"/>
      <c r="U131" s="19"/>
      <c r="V131" s="86"/>
      <c r="X131" s="155" t="s">
        <v>85</v>
      </c>
      <c r="Y131" s="43"/>
      <c r="Z131" s="43"/>
      <c r="AA131" s="196"/>
      <c r="AC131" s="74" t="s">
        <v>20</v>
      </c>
      <c r="AD131" s="75"/>
      <c r="AE131" s="92">
        <f t="shared" ref="AE131:AI132" si="11">IF(OR(L121="",L124="",L121=0,L124=0),"",L121/L124)</f>
        <v>1.1657899770466718</v>
      </c>
      <c r="AF131" s="92">
        <f t="shared" si="11"/>
        <v>1.1149291497975709</v>
      </c>
      <c r="AG131" s="92">
        <f t="shared" si="11"/>
        <v>1.4072953816983431</v>
      </c>
      <c r="AH131" s="92">
        <f t="shared" si="11"/>
        <v>1.2834317163019839</v>
      </c>
      <c r="AI131" s="92">
        <f t="shared" si="11"/>
        <v>1.1331642358909322</v>
      </c>
      <c r="AJ131" s="95"/>
    </row>
    <row r="132" spans="1:40" ht="18.75" customHeight="1" thickBot="1" x14ac:dyDescent="0.25">
      <c r="B132" s="113"/>
      <c r="C132" s="37"/>
      <c r="D132" s="60" t="s">
        <v>86</v>
      </c>
      <c r="E132" s="26"/>
      <c r="F132" s="62">
        <v>-2387000000</v>
      </c>
      <c r="G132" s="62">
        <v>-122000000</v>
      </c>
      <c r="H132" s="62">
        <v>167000000</v>
      </c>
      <c r="I132" s="62">
        <v>94000000</v>
      </c>
      <c r="J132" s="62">
        <v>-527000000</v>
      </c>
      <c r="K132" s="27"/>
      <c r="L132" s="62">
        <v>6242000000</v>
      </c>
      <c r="M132" s="62">
        <v>3291000000</v>
      </c>
      <c r="N132" s="62">
        <v>317000000</v>
      </c>
      <c r="O132" s="62">
        <v>1678000000</v>
      </c>
      <c r="P132" s="62">
        <v>-2248000000</v>
      </c>
      <c r="Q132" s="62">
        <v>-662000000</v>
      </c>
      <c r="S132" s="47" t="s">
        <v>26</v>
      </c>
      <c r="T132" s="47"/>
      <c r="U132" s="48"/>
      <c r="V132" s="189">
        <f>Q111/AVERAGE(G127:J127)</f>
        <v>5.7397572078907437E-2</v>
      </c>
      <c r="X132" s="66" t="s">
        <v>87</v>
      </c>
      <c r="Y132" s="66"/>
      <c r="Z132" s="67"/>
      <c r="AA132" s="87">
        <f>AVERAGE(N130:P130)</f>
        <v>3169333333.3333335</v>
      </c>
      <c r="AC132" s="74" t="s">
        <v>21</v>
      </c>
      <c r="AD132" s="75"/>
      <c r="AE132" s="92">
        <f t="shared" si="11"/>
        <v>111.46677471636953</v>
      </c>
      <c r="AF132" s="92">
        <f t="shared" si="11"/>
        <v>134.16701030927834</v>
      </c>
      <c r="AG132" s="92">
        <f t="shared" si="11"/>
        <v>5.38105012249222</v>
      </c>
      <c r="AH132" s="92">
        <f t="shared" si="11"/>
        <v>6.3197176395939083</v>
      </c>
      <c r="AI132" s="92">
        <f t="shared" si="11"/>
        <v>6.0308387350225887</v>
      </c>
      <c r="AJ132" s="95"/>
    </row>
    <row r="133" spans="1:40" ht="18.75" customHeight="1" x14ac:dyDescent="0.2">
      <c r="B133" s="110"/>
      <c r="C133" s="17"/>
      <c r="S133" s="29" t="s">
        <v>27</v>
      </c>
      <c r="T133" s="29"/>
      <c r="U133" s="30"/>
      <c r="V133" s="192">
        <f>Q111/AVERAGE(G122:J122)</f>
        <v>2.3149954480426584E-2</v>
      </c>
      <c r="X133" s="63" t="s">
        <v>88</v>
      </c>
      <c r="Y133" s="63"/>
      <c r="Z133" s="81"/>
      <c r="AA133" s="88">
        <f>ABS(AVERAGE(N131:P131))</f>
        <v>3253666666.6666665</v>
      </c>
      <c r="AC133" s="74" t="s">
        <v>22</v>
      </c>
      <c r="AD133" s="75"/>
      <c r="AE133" s="92">
        <f>IF(OR(L127="",L125="",L125=0,L127=0),"",L127/L125)</f>
        <v>61.568881685575363</v>
      </c>
      <c r="AF133" s="92">
        <f>IF(OR(M127="",M125="",M125=0,M127=0),"",M127/M125)</f>
        <v>75.826804123711341</v>
      </c>
      <c r="AG133" s="92">
        <f>IF(OR(N127="",N125="",N125=0,N127=0),"",N127/N125)</f>
        <v>2.2204197841488447</v>
      </c>
      <c r="AH133" s="92">
        <f>IF(OR(O127="",O125="",O125=0,O127=0),"",O127/O125)</f>
        <v>2.4942893401015227</v>
      </c>
      <c r="AI133" s="92">
        <f>IF(OR(P127="",P125="",P125=0,P127=0),"",P127/P125)</f>
        <v>2.3046552740129642</v>
      </c>
    </row>
    <row r="134" spans="1:40" ht="18.75" customHeight="1" x14ac:dyDescent="0.2">
      <c r="B134" s="110"/>
      <c r="C134" s="17"/>
      <c r="S134" s="29" t="s">
        <v>89</v>
      </c>
      <c r="T134" s="29"/>
      <c r="U134" s="30"/>
      <c r="V134" s="192">
        <f>Q110/(AVERAGE(G127:J127)+(AVERAGE(G122:J122)-AVERAGE(G124:J124)))</f>
        <v>7.5014859500857414E-3</v>
      </c>
      <c r="X134" s="63" t="s">
        <v>90</v>
      </c>
      <c r="Y134" s="63"/>
      <c r="Z134" s="64"/>
      <c r="AA134" s="32">
        <f>AVERAGE(N132:P132)</f>
        <v>-84333333.333333328</v>
      </c>
    </row>
    <row r="135" spans="1:40" ht="18.75" customHeight="1" x14ac:dyDescent="0.2">
      <c r="B135" s="113"/>
      <c r="C135" s="37"/>
      <c r="S135" s="29" t="s">
        <v>28</v>
      </c>
      <c r="T135" s="29"/>
      <c r="U135" s="30"/>
      <c r="V135" s="65">
        <f>Q107/AVERAGE(G122:J122)</f>
        <v>0.45355855959238944</v>
      </c>
      <c r="X135" s="123"/>
      <c r="AA135" s="123"/>
      <c r="AJ135" s="99"/>
    </row>
    <row r="136" spans="1:40" s="105" customFormat="1" ht="18.75" customHeight="1" thickBot="1" x14ac:dyDescent="0.35">
      <c r="A136" s="118"/>
      <c r="B136" s="119"/>
      <c r="C136" s="100"/>
      <c r="D136" s="169"/>
      <c r="E136" s="100"/>
      <c r="F136" s="101"/>
      <c r="G136" s="101"/>
      <c r="H136" s="101"/>
      <c r="I136" s="101"/>
      <c r="J136" s="101"/>
      <c r="K136" s="102"/>
      <c r="L136" s="103"/>
      <c r="M136" s="104"/>
      <c r="N136" s="104"/>
      <c r="O136" s="104"/>
      <c r="P136" s="102"/>
      <c r="Q136" s="102"/>
      <c r="R136" s="100"/>
      <c r="S136" s="156"/>
      <c r="X136" s="156"/>
      <c r="AA136" s="209"/>
      <c r="AC136" s="156"/>
    </row>
    <row r="137" spans="1:40" s="106" customFormat="1" ht="18.75" customHeight="1" thickBot="1" x14ac:dyDescent="0.25">
      <c r="D137" s="15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S137" s="157"/>
      <c r="X137" s="157"/>
      <c r="AA137" s="210"/>
      <c r="AC137" s="157"/>
    </row>
    <row r="138" spans="1:40" s="143" customFormat="1" ht="18.75" customHeight="1" thickBot="1" x14ac:dyDescent="0.3">
      <c r="A138" s="129">
        <v>5</v>
      </c>
      <c r="B138" s="130"/>
      <c r="C138" s="131"/>
      <c r="D138" s="132"/>
      <c r="E138" s="133"/>
      <c r="F138" s="134"/>
      <c r="G138" s="135"/>
      <c r="H138" s="135"/>
      <c r="I138" s="135"/>
      <c r="J138" s="135"/>
      <c r="K138" s="136"/>
      <c r="L138" s="137"/>
      <c r="M138" s="138"/>
      <c r="N138" s="138"/>
      <c r="O138" s="138"/>
      <c r="P138" s="138"/>
      <c r="Q138" s="138"/>
      <c r="R138" s="139"/>
      <c r="S138" s="140" t="s">
        <v>7</v>
      </c>
      <c r="T138" s="325" t="s">
        <v>94</v>
      </c>
      <c r="U138" s="326"/>
      <c r="V138" s="141" t="s">
        <v>35</v>
      </c>
      <c r="W138" s="138"/>
      <c r="X138" s="158"/>
      <c r="Y138" s="138"/>
      <c r="Z138" s="138"/>
      <c r="AA138" s="182"/>
      <c r="AB138" s="142"/>
      <c r="AC138" s="159"/>
      <c r="AD138" s="136"/>
      <c r="AE138" s="136"/>
      <c r="AF138" s="142"/>
      <c r="AG138" s="142"/>
      <c r="AH138" s="142"/>
      <c r="AI138" s="142"/>
      <c r="AJ138" s="142"/>
      <c r="AK138" s="142"/>
      <c r="AL138" s="142"/>
      <c r="AM138" s="136"/>
      <c r="AN138" s="136"/>
    </row>
    <row r="139" spans="1:40" ht="18.75" customHeight="1" x14ac:dyDescent="0.25">
      <c r="B139" s="109"/>
      <c r="C139" s="14"/>
      <c r="D139" s="15"/>
      <c r="E139" s="183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51"/>
      <c r="T139" s="16"/>
      <c r="U139" s="16"/>
      <c r="V139" s="16"/>
      <c r="W139" s="16"/>
      <c r="X139" s="151"/>
      <c r="Y139" s="16"/>
      <c r="Z139" s="16"/>
      <c r="AA139" s="184"/>
      <c r="AB139" s="16"/>
      <c r="AC139" s="151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 spans="1:40" ht="18.75" customHeight="1" x14ac:dyDescent="0.2">
      <c r="B140" s="110"/>
      <c r="C140" s="17"/>
      <c r="D140" s="120" t="s">
        <v>36</v>
      </c>
      <c r="E140" s="18"/>
      <c r="F140" s="185" t="s">
        <v>37</v>
      </c>
      <c r="G140" s="185" t="s">
        <v>38</v>
      </c>
      <c r="H140" s="185" t="s">
        <v>39</v>
      </c>
      <c r="I140" s="185" t="s">
        <v>40</v>
      </c>
      <c r="J140" s="185" t="s">
        <v>41</v>
      </c>
      <c r="K140" s="186"/>
      <c r="L140" s="185">
        <v>2013</v>
      </c>
      <c r="M140" s="185">
        <v>2014</v>
      </c>
      <c r="N140" s="185">
        <v>2015</v>
      </c>
      <c r="O140" s="185">
        <v>2016</v>
      </c>
      <c r="P140" s="185">
        <v>2017</v>
      </c>
      <c r="Q140" s="185" t="s">
        <v>42</v>
      </c>
      <c r="S140" s="153" t="s">
        <v>0</v>
      </c>
      <c r="T140" s="19"/>
      <c r="U140" s="19"/>
      <c r="V140" s="20"/>
      <c r="W140" s="21"/>
      <c r="X140" s="153" t="s">
        <v>5</v>
      </c>
      <c r="Y140" s="19"/>
      <c r="Z140" s="44"/>
      <c r="AA140" s="44" t="s">
        <v>43</v>
      </c>
      <c r="AB140" s="21"/>
      <c r="AC140" s="155" t="s">
        <v>44</v>
      </c>
      <c r="AD140" s="43"/>
      <c r="AE140" s="44"/>
      <c r="AF140" s="160">
        <f>M140</f>
        <v>2014</v>
      </c>
      <c r="AG140" s="160">
        <f>N140</f>
        <v>2015</v>
      </c>
      <c r="AH140" s="160">
        <f>O140</f>
        <v>2016</v>
      </c>
      <c r="AI140" s="160">
        <f>P140</f>
        <v>2017</v>
      </c>
      <c r="AJ140" s="22"/>
      <c r="AK140" s="23"/>
      <c r="AM140" s="24"/>
      <c r="AN140" s="175"/>
    </row>
    <row r="141" spans="1:40" ht="18.75" customHeight="1" thickBot="1" x14ac:dyDescent="0.25">
      <c r="A141" s="111"/>
      <c r="B141" s="112"/>
      <c r="C141" s="25"/>
      <c r="D141" s="60" t="s">
        <v>29</v>
      </c>
      <c r="E141" s="26"/>
      <c r="F141" s="62">
        <v>12684000000</v>
      </c>
      <c r="G141" s="62">
        <v>12385000000</v>
      </c>
      <c r="H141" s="62">
        <v>13060000000</v>
      </c>
      <c r="I141" s="62">
        <v>13927000000</v>
      </c>
      <c r="J141" s="62">
        <v>14517000000</v>
      </c>
      <c r="K141" s="27"/>
      <c r="L141" s="62">
        <v>112298000000</v>
      </c>
      <c r="M141" s="62">
        <v>111454000000</v>
      </c>
      <c r="N141" s="62">
        <v>103355000000</v>
      </c>
      <c r="O141" s="62">
        <v>48238000000</v>
      </c>
      <c r="P141" s="62">
        <v>52056000000</v>
      </c>
      <c r="Q141" s="62">
        <v>53889000000</v>
      </c>
      <c r="S141" s="122" t="s">
        <v>8</v>
      </c>
      <c r="T141" s="149"/>
      <c r="U141" s="149"/>
      <c r="V141" s="187">
        <v>23.280000999999999</v>
      </c>
      <c r="W141" s="188"/>
      <c r="X141" s="50" t="s">
        <v>29</v>
      </c>
      <c r="Y141" s="50"/>
      <c r="Z141" s="78"/>
      <c r="AA141" s="189">
        <f>IF(AA140="Year over Year",AI141,IF(AA140="3-Year Average",AVERAGE(AH141:AI141),IF(AA140="5-Year Average",AVERAGE(AF141:AI141),"")))</f>
        <v>-0.13357793879482019</v>
      </c>
      <c r="AB141" s="190"/>
      <c r="AC141" s="51" t="s">
        <v>45</v>
      </c>
      <c r="AD141" s="52"/>
      <c r="AE141" s="53"/>
      <c r="AF141" s="191">
        <f>IF(AND(M141&gt;0,L141&gt;0,L141&lt;&gt;""),M141/L141-1,IF(AND(L141&lt;0,M141&lt;0,L141&lt;&gt;""),(M141-L141)/ABS(L141),IF(AND(L141&gt;0,M141&lt;0,L141&lt;&gt;""),"L",IF(AND(L141&lt;0,M141&gt;0,L141&lt;&gt;""),"P",""))))</f>
        <v>-7.5157171098327868E-3</v>
      </c>
      <c r="AG141" s="191">
        <f>IF(AND(N141&gt;0,M141&gt;0,M141&lt;&gt;""),N141/M141-1,IF(AND(M141&lt;0,N141&lt;0,M141&lt;&gt;""),(N141-M141)/ABS(M141),IF(AND(M141&gt;0,N141&lt;0,M141&lt;&gt;""),"L",IF(AND(M141&lt;0,N141&gt;0,M141&lt;&gt;""),"P",""))))</f>
        <v>-7.2666750408240222E-2</v>
      </c>
      <c r="AH141" s="191">
        <f>IF(AND(O141&gt;0,N141&gt;0,N141&lt;&gt;""),O141/N141-1,IF(AND(N141&lt;0,O141&lt;0,N141&lt;&gt;""),(O141-N141)/ABS(N141),IF(AND(N141&gt;0,O141&lt;0,N141&lt;&gt;""),"L",IF(AND(N141&lt;0,O141&gt;0,N141&lt;&gt;""),"P",""))))</f>
        <v>-0.53327850611968453</v>
      </c>
      <c r="AI141" s="191">
        <f>IF(AND(P141&gt;0,O141&gt;0,O141&lt;&gt;""),P141/O141-1,IF(AND(O141&lt;0,P141&lt;0,O141&lt;&gt;""),(P141-O141)/ABS(O141),IF(AND(O141&gt;0,P141&lt;0,O141&lt;&gt;""),"L",IF(AND(O141&lt;0,P141&gt;0,O141&lt;&gt;""),"P",""))))</f>
        <v>7.9149218458476778E-2</v>
      </c>
    </row>
    <row r="142" spans="1:40" ht="18.75" customHeight="1" thickBot="1" x14ac:dyDescent="0.25">
      <c r="A142" s="111"/>
      <c r="B142" s="112"/>
      <c r="C142" s="25"/>
      <c r="D142" s="60" t="s">
        <v>46</v>
      </c>
      <c r="E142" s="26"/>
      <c r="F142" s="62">
        <v>10436000000</v>
      </c>
      <c r="G142" s="62">
        <v>10002000000</v>
      </c>
      <c r="H142" s="62">
        <v>10633000000</v>
      </c>
      <c r="I142" s="62">
        <v>11407000000</v>
      </c>
      <c r="J142" s="62">
        <v>11935000000</v>
      </c>
      <c r="K142" s="28"/>
      <c r="L142" s="62">
        <v>86380000000</v>
      </c>
      <c r="M142" s="62">
        <v>84839000000</v>
      </c>
      <c r="N142" s="62">
        <v>78596000000</v>
      </c>
      <c r="O142" s="62">
        <v>39240000000</v>
      </c>
      <c r="P142" s="62">
        <v>42478000000</v>
      </c>
      <c r="Q142" s="62">
        <v>43977000000</v>
      </c>
      <c r="S142" s="29" t="s">
        <v>9</v>
      </c>
      <c r="T142" s="30"/>
      <c r="U142" s="31"/>
      <c r="V142" s="32">
        <f>V141*Q149</f>
        <v>38982361674.5</v>
      </c>
      <c r="W142" s="188"/>
      <c r="X142" s="63" t="s">
        <v>47</v>
      </c>
      <c r="Y142" s="63"/>
      <c r="Z142" s="64"/>
      <c r="AA142" s="192">
        <f>IF(AA140="Year over Year",AI142,IF(AA140="3-Year Average",AVERAGE(AH142:AI142),IF(AA140="5-Year Average",AVERAGE(AF142:AI142),"")))</f>
        <v>-0.14768498645057154</v>
      </c>
      <c r="AB142" s="190"/>
      <c r="AC142" s="51" t="s">
        <v>30</v>
      </c>
      <c r="AD142" s="52"/>
      <c r="AE142" s="53"/>
      <c r="AF142" s="191">
        <f t="shared" ref="AF142:AI144" si="12">IF(AND(M144&gt;0,L144&gt;0,L144&lt;&gt;""),M144/L144-1,IF(AND(L144&lt;0,M144&lt;0,L144&lt;&gt;""),(M144-L144)/ABS(L144),IF(AND(L144&gt;0,M144&lt;0,L144&lt;&gt;""),"L",IF(AND(L144&lt;0,M144&gt;0,L144&lt;&gt;""),"P",""))))</f>
        <v>7.5725704669751259E-3</v>
      </c>
      <c r="AG142" s="191">
        <f t="shared" si="12"/>
        <v>-0.2385525400139179</v>
      </c>
      <c r="AH142" s="191">
        <f t="shared" si="12"/>
        <v>-0.3513068908791811</v>
      </c>
      <c r="AI142" s="191">
        <f t="shared" si="12"/>
        <v>-8.4530853761622948E-3</v>
      </c>
    </row>
    <row r="143" spans="1:40" ht="18.75" customHeight="1" thickBot="1" x14ac:dyDescent="0.25">
      <c r="B143" s="112"/>
      <c r="C143" s="25"/>
      <c r="D143" s="33" t="s">
        <v>48</v>
      </c>
      <c r="E143" s="34"/>
      <c r="F143" s="35">
        <v>2248000000</v>
      </c>
      <c r="G143" s="35">
        <v>2383000000</v>
      </c>
      <c r="H143" s="35">
        <v>2427000000</v>
      </c>
      <c r="I143" s="35">
        <v>2520000000</v>
      </c>
      <c r="J143" s="35">
        <v>2582000000</v>
      </c>
      <c r="K143" s="27"/>
      <c r="L143" s="35">
        <v>25918000000</v>
      </c>
      <c r="M143" s="35">
        <v>26615000000</v>
      </c>
      <c r="N143" s="35">
        <v>24759000000</v>
      </c>
      <c r="O143" s="35">
        <v>8998000000</v>
      </c>
      <c r="P143" s="35">
        <v>9578000000</v>
      </c>
      <c r="Q143" s="62">
        <v>9912000000</v>
      </c>
      <c r="S143" s="29" t="s">
        <v>10</v>
      </c>
      <c r="T143" s="30"/>
      <c r="U143" s="36"/>
      <c r="V143" s="32">
        <f>V142+(J157+J159)-J153</f>
        <v>41376361674.5</v>
      </c>
      <c r="W143" s="190"/>
      <c r="X143" s="63" t="s">
        <v>31</v>
      </c>
      <c r="Y143" s="63"/>
      <c r="Z143" s="81"/>
      <c r="AA143" s="192">
        <f>IF(AA140="Year over Year",AI143,IF(AA140="3-Year Average",AVERAGE(AH143:AI143),IF(AA140="5-Year Average",AVERAGE(AF143:AI143),"")))</f>
        <v>-0.13775277651507745</v>
      </c>
      <c r="AB143" s="190"/>
      <c r="AC143" s="51" t="s">
        <v>49</v>
      </c>
      <c r="AD143" s="52"/>
      <c r="AE143" s="53"/>
      <c r="AF143" s="191">
        <f t="shared" si="12"/>
        <v>-1.9557989438685697E-2</v>
      </c>
      <c r="AG143" s="191">
        <f t="shared" si="12"/>
        <v>-9.1561938958707345E-2</v>
      </c>
      <c r="AH143" s="191">
        <f t="shared" si="12"/>
        <v>-0.45191040843214758</v>
      </c>
      <c r="AI143" s="191">
        <f t="shared" si="12"/>
        <v>1.2019230769230838E-2</v>
      </c>
    </row>
    <row r="144" spans="1:40" ht="18.75" customHeight="1" thickBot="1" x14ac:dyDescent="0.25">
      <c r="B144" s="112"/>
      <c r="C144" s="25"/>
      <c r="D144" s="60" t="s">
        <v>50</v>
      </c>
      <c r="E144" s="61"/>
      <c r="F144" s="62">
        <v>856000000</v>
      </c>
      <c r="G144" s="62">
        <v>818000000</v>
      </c>
      <c r="H144" s="62">
        <v>1041000000</v>
      </c>
      <c r="I144" s="62">
        <v>565000000</v>
      </c>
      <c r="J144" s="62">
        <v>973000000</v>
      </c>
      <c r="K144" s="40"/>
      <c r="L144" s="62">
        <v>7131000000</v>
      </c>
      <c r="M144" s="62">
        <v>7185000000</v>
      </c>
      <c r="N144" s="62">
        <v>5471000000</v>
      </c>
      <c r="O144" s="62">
        <v>3549000000</v>
      </c>
      <c r="P144" s="62">
        <v>3519000000</v>
      </c>
      <c r="Q144" s="62">
        <v>3636000000</v>
      </c>
      <c r="S144" s="29" t="s">
        <v>11</v>
      </c>
      <c r="T144" s="30"/>
      <c r="U144" s="36"/>
      <c r="V144" s="32">
        <f>J156-J160</f>
        <v>-2742000000</v>
      </c>
      <c r="W144" s="188"/>
      <c r="X144" s="63" t="s">
        <v>32</v>
      </c>
      <c r="Y144" s="63"/>
      <c r="Z144" s="64"/>
      <c r="AA144" s="192">
        <f>IF(AA140="Year over Year",AI144,IF(AA140="3-Year Average",AVERAGE(AH144:AI144),IF(AA140="5-Year Average",AVERAGE(AF144:AI144),"")))</f>
        <v>-0.10836084347957906</v>
      </c>
      <c r="AB144" s="190"/>
      <c r="AC144" s="51" t="s">
        <v>51</v>
      </c>
      <c r="AD144" s="52"/>
      <c r="AE144" s="53"/>
      <c r="AF144" s="191">
        <f t="shared" si="12"/>
        <v>7.575757575757569E-3</v>
      </c>
      <c r="AG144" s="191">
        <f t="shared" si="12"/>
        <v>-5.6390977443609103E-2</v>
      </c>
      <c r="AH144" s="191">
        <f t="shared" si="12"/>
        <v>-0.42629482071713143</v>
      </c>
      <c r="AI144" s="191">
        <f t="shared" si="12"/>
        <v>4.1666666666666741E-2</v>
      </c>
    </row>
    <row r="145" spans="2:37" ht="18.75" customHeight="1" thickBot="1" x14ac:dyDescent="0.25">
      <c r="B145" s="112"/>
      <c r="C145" s="25"/>
      <c r="D145" s="60" t="s">
        <v>52</v>
      </c>
      <c r="E145" s="61"/>
      <c r="F145" s="62">
        <v>611000000</v>
      </c>
      <c r="G145" s="62">
        <v>559000000</v>
      </c>
      <c r="H145" s="62">
        <v>696000000</v>
      </c>
      <c r="I145" s="62">
        <v>660000000</v>
      </c>
      <c r="J145" s="62">
        <v>1938000000</v>
      </c>
      <c r="K145" s="27"/>
      <c r="L145" s="62">
        <v>5113000000</v>
      </c>
      <c r="M145" s="62">
        <v>5013000000</v>
      </c>
      <c r="N145" s="62">
        <v>4554000000</v>
      </c>
      <c r="O145" s="62">
        <v>2496000000</v>
      </c>
      <c r="P145" s="62">
        <v>2526000000</v>
      </c>
      <c r="Q145" s="62">
        <v>3853000000</v>
      </c>
      <c r="S145" s="29" t="s">
        <v>53</v>
      </c>
      <c r="T145" s="30"/>
      <c r="U145" s="31"/>
      <c r="V145" s="39" t="str">
        <f>IF(V142&gt;10000,"Large Cap",IF(AND(10000&gt;V142,2000&lt;V142),"Mid Cap",IF(AND(2000&gt;V142,V142&gt;50),"Small Cap",IF(V142&lt;50,"Micro Cap",NA))))</f>
        <v>Large Cap</v>
      </c>
      <c r="W145" s="188"/>
      <c r="AB145" s="41"/>
    </row>
    <row r="146" spans="2:37" ht="18.75" customHeight="1" thickBot="1" x14ac:dyDescent="0.25">
      <c r="B146" s="112"/>
      <c r="C146" s="25"/>
      <c r="D146" s="60" t="s">
        <v>54</v>
      </c>
      <c r="E146" s="61"/>
      <c r="F146" s="54">
        <v>0.36</v>
      </c>
      <c r="G146" s="54">
        <v>0.33</v>
      </c>
      <c r="H146" s="54">
        <v>0.41</v>
      </c>
      <c r="I146" s="54">
        <v>0.4</v>
      </c>
      <c r="J146" s="54">
        <v>1.17</v>
      </c>
      <c r="K146" s="55"/>
      <c r="L146" s="56">
        <v>2.64</v>
      </c>
      <c r="M146" s="56">
        <v>2.66</v>
      </c>
      <c r="N146" s="56">
        <v>2.5099999999999998</v>
      </c>
      <c r="O146" s="56">
        <v>1.44</v>
      </c>
      <c r="P146" s="56">
        <v>1.5</v>
      </c>
      <c r="Q146" s="54">
        <v>2.31</v>
      </c>
      <c r="S146" s="122" t="s">
        <v>55</v>
      </c>
      <c r="T146" s="124"/>
      <c r="U146" s="124"/>
      <c r="V146" s="125"/>
      <c r="W146" s="190"/>
      <c r="X146" s="155" t="s">
        <v>2</v>
      </c>
      <c r="Y146" s="43"/>
      <c r="Z146" s="97"/>
      <c r="AA146" s="193"/>
      <c r="AC146" s="154" t="s">
        <v>56</v>
      </c>
      <c r="AD146" s="72"/>
      <c r="AE146" s="161">
        <f>L140</f>
        <v>2013</v>
      </c>
      <c r="AF146" s="161">
        <f>M140</f>
        <v>2014</v>
      </c>
      <c r="AG146" s="161">
        <f>N140</f>
        <v>2015</v>
      </c>
      <c r="AH146" s="161">
        <f>O140</f>
        <v>2016</v>
      </c>
      <c r="AI146" s="161">
        <f>P140</f>
        <v>2017</v>
      </c>
    </row>
    <row r="147" spans="2:37" ht="18.75" hidden="1" customHeight="1" x14ac:dyDescent="0.2">
      <c r="B147" s="112"/>
      <c r="C147" s="25"/>
      <c r="D147" s="60"/>
      <c r="E147" s="61"/>
      <c r="F147" s="54">
        <v>1704000000</v>
      </c>
      <c r="G147" s="54">
        <v>1688000000</v>
      </c>
      <c r="H147" s="54">
        <v>1681000000</v>
      </c>
      <c r="I147" s="54">
        <v>1670000000</v>
      </c>
      <c r="J147" s="54">
        <v>1650000000</v>
      </c>
      <c r="K147" s="55"/>
      <c r="L147" s="56">
        <v>1934000000</v>
      </c>
      <c r="M147" s="56">
        <v>1882000000</v>
      </c>
      <c r="N147" s="56">
        <v>1814000000</v>
      </c>
      <c r="O147" s="56">
        <v>1730000000</v>
      </c>
      <c r="P147" s="56">
        <v>1688000000</v>
      </c>
      <c r="Q147" s="54">
        <v>1674500000</v>
      </c>
      <c r="S147" s="51"/>
      <c r="V147" s="170"/>
      <c r="W147" s="190"/>
      <c r="X147" s="171"/>
      <c r="Y147" s="172"/>
      <c r="Z147" s="173"/>
      <c r="AA147" s="194"/>
      <c r="AC147" s="174"/>
      <c r="AD147" s="175"/>
      <c r="AE147" s="176"/>
      <c r="AF147" s="176"/>
      <c r="AG147" s="176"/>
      <c r="AH147" s="176"/>
      <c r="AI147" s="176"/>
    </row>
    <row r="148" spans="2:37" ht="18.75" hidden="1" customHeight="1" x14ac:dyDescent="0.2">
      <c r="B148" s="112"/>
      <c r="C148" s="25"/>
      <c r="D148" s="60"/>
      <c r="E148" s="61"/>
      <c r="F148" s="54">
        <v>0.36</v>
      </c>
      <c r="G148" s="54">
        <v>0.33</v>
      </c>
      <c r="H148" s="54">
        <v>0.41</v>
      </c>
      <c r="I148" s="54">
        <v>0.4</v>
      </c>
      <c r="J148" s="54">
        <v>1.17</v>
      </c>
      <c r="K148" s="55"/>
      <c r="L148" s="56">
        <v>2.64</v>
      </c>
      <c r="M148" s="56">
        <v>2.66</v>
      </c>
      <c r="N148" s="56">
        <v>2.5099999999999998</v>
      </c>
      <c r="O148" s="56">
        <v>1.44</v>
      </c>
      <c r="P148" s="56">
        <v>1.5</v>
      </c>
      <c r="Q148" s="54">
        <v>2.31</v>
      </c>
      <c r="S148" s="51"/>
      <c r="V148" s="170"/>
      <c r="W148" s="190"/>
      <c r="X148" s="171"/>
      <c r="Y148" s="172"/>
      <c r="Z148" s="173"/>
      <c r="AA148" s="194"/>
      <c r="AC148" s="174"/>
      <c r="AD148" s="175"/>
      <c r="AE148" s="176"/>
      <c r="AF148" s="176"/>
      <c r="AG148" s="176"/>
      <c r="AH148" s="176"/>
      <c r="AI148" s="176"/>
    </row>
    <row r="149" spans="2:37" ht="18.75" customHeight="1" thickBot="1" x14ac:dyDescent="0.25">
      <c r="B149" s="112"/>
      <c r="C149" s="25"/>
      <c r="D149" s="33" t="s">
        <v>57</v>
      </c>
      <c r="E149" s="61"/>
      <c r="F149" s="62">
        <v>1704000000</v>
      </c>
      <c r="G149" s="62">
        <v>1688000000</v>
      </c>
      <c r="H149" s="62">
        <v>1681000000</v>
      </c>
      <c r="I149" s="62">
        <v>1670000000</v>
      </c>
      <c r="J149" s="62">
        <v>1650000000</v>
      </c>
      <c r="K149" s="28"/>
      <c r="L149" s="62">
        <v>1934000000</v>
      </c>
      <c r="M149" s="62">
        <v>1882000000</v>
      </c>
      <c r="N149" s="62">
        <v>1814000000</v>
      </c>
      <c r="O149" s="62">
        <v>1730000000</v>
      </c>
      <c r="P149" s="62">
        <v>1688000000</v>
      </c>
      <c r="Q149" s="62">
        <v>1674500000</v>
      </c>
      <c r="S149" s="123"/>
      <c r="X149" s="47" t="s">
        <v>20</v>
      </c>
      <c r="Y149" s="47"/>
      <c r="Z149" s="48"/>
      <c r="AA149" s="49">
        <f>AVERAGE(G155:J155)/AVERAGE(G158:J158)</f>
        <v>0.96361006653167491</v>
      </c>
      <c r="AC149" s="74" t="s">
        <v>29</v>
      </c>
      <c r="AD149" s="75"/>
      <c r="AE149" s="76">
        <f>IF(L141="","",L141)</f>
        <v>112298000000</v>
      </c>
      <c r="AF149" s="76">
        <f>IF(M141="","",M141)</f>
        <v>111454000000</v>
      </c>
      <c r="AG149" s="76">
        <f>IF(N141="","",N141)</f>
        <v>103355000000</v>
      </c>
      <c r="AH149" s="76">
        <f>IF(O141="","",O141)</f>
        <v>48238000000</v>
      </c>
      <c r="AI149" s="76">
        <f>IF(P141="","",P141)</f>
        <v>52056000000</v>
      </c>
    </row>
    <row r="150" spans="2:37" ht="18.75" customHeight="1" thickBot="1" x14ac:dyDescent="0.25">
      <c r="B150" s="112"/>
      <c r="C150" s="25"/>
      <c r="D150" s="33" t="s">
        <v>58</v>
      </c>
      <c r="E150" s="45"/>
      <c r="F150" s="35">
        <v>940000000</v>
      </c>
      <c r="G150" s="35">
        <v>907000000</v>
      </c>
      <c r="H150" s="35">
        <v>1131000000</v>
      </c>
      <c r="I150" s="35">
        <v>722000000</v>
      </c>
      <c r="J150" s="35">
        <v>1121000000</v>
      </c>
      <c r="K150" s="40"/>
      <c r="L150" s="62">
        <v>11742000000</v>
      </c>
      <c r="M150" s="62">
        <v>11519000000</v>
      </c>
      <c r="N150" s="62">
        <v>9532000000</v>
      </c>
      <c r="O150" s="62">
        <v>3881000000</v>
      </c>
      <c r="P150" s="62">
        <v>3939000000</v>
      </c>
      <c r="Q150" s="62">
        <v>4128000000</v>
      </c>
      <c r="S150" s="153" t="s">
        <v>59</v>
      </c>
      <c r="T150" s="19"/>
      <c r="U150" s="19"/>
      <c r="V150" s="19"/>
      <c r="X150" s="63" t="s">
        <v>21</v>
      </c>
      <c r="Y150" s="63"/>
      <c r="Z150" s="98"/>
      <c r="AA150" s="65">
        <f>AVERAGE(G156:J156)/AVERAGE(G161:J161)</f>
        <v>-8.9156743284408755</v>
      </c>
      <c r="AC150" s="74" t="s">
        <v>60</v>
      </c>
      <c r="AD150" s="75"/>
      <c r="AE150" s="195">
        <f>IF(OR(L141="",L143=""),"",L143/L141)</f>
        <v>0.2307966303941299</v>
      </c>
      <c r="AF150" s="195">
        <f>IF(OR(M141="",M143=""),"",M143/M141)</f>
        <v>0.23879806915857663</v>
      </c>
      <c r="AG150" s="195">
        <f>IF(OR(N141="",N143=""),"",N143/N141)</f>
        <v>0.23955299695225193</v>
      </c>
      <c r="AH150" s="195">
        <f>IF(OR(O141="",O143=""),"",O143/O141)</f>
        <v>0.18653343836809155</v>
      </c>
      <c r="AI150" s="195">
        <f>IF(OR(P141="",P143=""),"",P143/P141)</f>
        <v>0.18399416013523898</v>
      </c>
    </row>
    <row r="151" spans="2:37" ht="18.75" customHeight="1" x14ac:dyDescent="0.2">
      <c r="B151" s="113"/>
      <c r="C151" s="37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S151" s="47" t="s">
        <v>13</v>
      </c>
      <c r="T151" s="47"/>
      <c r="U151" s="48"/>
      <c r="V151" s="49">
        <f>IF(Q146&gt;0,V141/Q146,"")</f>
        <v>10.077922510822511</v>
      </c>
      <c r="X151" s="63" t="s">
        <v>22</v>
      </c>
      <c r="Y151" s="63"/>
      <c r="Z151" s="98"/>
      <c r="AA151" s="65">
        <f>AVERAGE(G159:J159)/AVERAGE(G161:J161)</f>
        <v>-1.837510384934921</v>
      </c>
      <c r="AC151" s="74" t="s">
        <v>47</v>
      </c>
      <c r="AD151" s="75"/>
      <c r="AE151" s="76">
        <f>IF(L144="","",L144)</f>
        <v>7131000000</v>
      </c>
      <c r="AF151" s="76">
        <f>IF(M144="","",M144)</f>
        <v>7185000000</v>
      </c>
      <c r="AG151" s="76">
        <f>IF(N144="","",N144)</f>
        <v>5471000000</v>
      </c>
      <c r="AH151" s="76">
        <f>IF(O144="","",O144)</f>
        <v>3549000000</v>
      </c>
      <c r="AI151" s="76">
        <f>IF(P144="","",P144)</f>
        <v>3519000000</v>
      </c>
    </row>
    <row r="152" spans="2:37" ht="18.75" customHeight="1" x14ac:dyDescent="0.25">
      <c r="B152" s="114"/>
      <c r="C152" s="73"/>
      <c r="D152" s="120" t="s">
        <v>61</v>
      </c>
      <c r="E152" s="18"/>
      <c r="F152" s="196" t="str">
        <f>F140</f>
        <v>2016-10</v>
      </c>
      <c r="G152" s="196" t="str">
        <f>G140</f>
        <v>2017-01</v>
      </c>
      <c r="H152" s="196" t="str">
        <f>H140</f>
        <v>2017-04</v>
      </c>
      <c r="I152" s="196" t="str">
        <f>I140</f>
        <v>2017-07</v>
      </c>
      <c r="J152" s="196" t="str">
        <f>J140</f>
        <v>2017-10</v>
      </c>
      <c r="K152" s="197"/>
      <c r="L152" s="198">
        <f>L140</f>
        <v>2013</v>
      </c>
      <c r="M152" s="198">
        <f>M140</f>
        <v>2014</v>
      </c>
      <c r="N152" s="198">
        <f>N140</f>
        <v>2015</v>
      </c>
      <c r="O152" s="198">
        <f>O140</f>
        <v>2016</v>
      </c>
      <c r="P152" s="198">
        <f>P140</f>
        <v>2017</v>
      </c>
      <c r="Q152" s="185"/>
      <c r="S152" s="57" t="s">
        <v>15</v>
      </c>
      <c r="T152" s="57"/>
      <c r="U152" s="58"/>
      <c r="V152" s="59">
        <f>V141/((J156-J160)/J149)</f>
        <v>-14.008753336980305</v>
      </c>
      <c r="W152" s="199"/>
      <c r="X152" s="123"/>
      <c r="AA152" s="123"/>
      <c r="AC152" s="74" t="s">
        <v>62</v>
      </c>
      <c r="AD152" s="75"/>
      <c r="AE152" s="195">
        <f>IF(OR(L141="",L144=""),"",L144/L141)</f>
        <v>6.3500685675613094E-2</v>
      </c>
      <c r="AF152" s="195">
        <f>IF(OR(M141="",M144=""),"",M144/M141)</f>
        <v>6.4466057745796473E-2</v>
      </c>
      <c r="AG152" s="195">
        <f>IF(OR(N141="",N144=""),"",N144/N141)</f>
        <v>5.293406221276184E-2</v>
      </c>
      <c r="AH152" s="195">
        <f>IF(OR(O141="",O144=""),"",O144/O141)</f>
        <v>7.3572702019155028E-2</v>
      </c>
      <c r="AI152" s="195">
        <f>IF(OR(P141="",P144=""),"",P144/P141)</f>
        <v>6.7600276625172886E-2</v>
      </c>
      <c r="AJ152" s="77"/>
      <c r="AK152" s="23"/>
    </row>
    <row r="153" spans="2:37" ht="18.75" customHeight="1" thickBot="1" x14ac:dyDescent="0.25">
      <c r="B153" s="110"/>
      <c r="C153" s="17"/>
      <c r="D153" s="60" t="s">
        <v>63</v>
      </c>
      <c r="E153" s="61"/>
      <c r="F153" s="62">
        <v>6331000000</v>
      </c>
      <c r="G153" s="62">
        <v>6223000000</v>
      </c>
      <c r="H153" s="62">
        <v>6967000000</v>
      </c>
      <c r="I153" s="62">
        <v>6997000000</v>
      </c>
      <c r="J153" s="62">
        <v>5475000000</v>
      </c>
      <c r="K153" s="27"/>
      <c r="L153" s="62">
        <v>12163000000</v>
      </c>
      <c r="M153" s="62">
        <v>15133000000</v>
      </c>
      <c r="N153" s="62">
        <v>17433000000</v>
      </c>
      <c r="O153" s="62">
        <v>6288000000</v>
      </c>
      <c r="P153" s="62">
        <v>6997000000</v>
      </c>
      <c r="Q153" s="62"/>
      <c r="S153" s="57" t="s">
        <v>14</v>
      </c>
      <c r="T153" s="57"/>
      <c r="U153" s="58"/>
      <c r="V153" s="59">
        <f>V141/(Q141/Q149)</f>
        <v>0.72338253956280496</v>
      </c>
      <c r="W153" s="200"/>
      <c r="X153" s="155" t="s">
        <v>36</v>
      </c>
      <c r="Y153" s="43"/>
      <c r="Z153" s="43"/>
      <c r="AA153" s="201"/>
      <c r="AC153" s="74" t="s">
        <v>31</v>
      </c>
      <c r="AD153" s="75"/>
      <c r="AE153" s="76">
        <f t="shared" ref="AE153:AI154" si="13">IF(L145="","",L145)</f>
        <v>5113000000</v>
      </c>
      <c r="AF153" s="76">
        <f t="shared" si="13"/>
        <v>5013000000</v>
      </c>
      <c r="AG153" s="76">
        <f t="shared" si="13"/>
        <v>4554000000</v>
      </c>
      <c r="AH153" s="76">
        <f t="shared" si="13"/>
        <v>2496000000</v>
      </c>
      <c r="AI153" s="76">
        <f t="shared" si="13"/>
        <v>2526000000</v>
      </c>
      <c r="AK153" s="202"/>
    </row>
    <row r="154" spans="2:37" ht="18.75" customHeight="1" thickBot="1" x14ac:dyDescent="0.25">
      <c r="B154" s="112"/>
      <c r="C154" s="25"/>
      <c r="D154" s="94" t="s">
        <v>64</v>
      </c>
      <c r="E154" s="61"/>
      <c r="F154" s="38">
        <v>6331000000</v>
      </c>
      <c r="G154" s="38">
        <v>6223000000</v>
      </c>
      <c r="H154" s="38">
        <v>7987000000</v>
      </c>
      <c r="I154" s="38">
        <v>8146000000</v>
      </c>
      <c r="J154" s="38">
        <v>6741000000</v>
      </c>
      <c r="K154" s="80"/>
      <c r="L154" s="38">
        <v>12163000000</v>
      </c>
      <c r="M154" s="38">
        <v>15133000000</v>
      </c>
      <c r="N154" s="38">
        <v>17433000000</v>
      </c>
      <c r="O154" s="38">
        <v>6288000000</v>
      </c>
      <c r="P154" s="38">
        <v>8146000000</v>
      </c>
      <c r="Q154" s="38"/>
      <c r="S154" s="63" t="s">
        <v>17</v>
      </c>
      <c r="T154" s="63"/>
      <c r="U154" s="64"/>
      <c r="V154" s="65">
        <f>IF(AVERAGE(N164:P164)&gt;0,V141/(AVERAGE(N164:P164)/Q149),"")</f>
        <v>8.7293487365454929</v>
      </c>
      <c r="W154" s="200"/>
      <c r="X154" s="145" t="s">
        <v>29</v>
      </c>
      <c r="Y154" s="145"/>
      <c r="Z154" s="147"/>
      <c r="AA154" s="148">
        <f>Q141</f>
        <v>53889000000</v>
      </c>
      <c r="AC154" s="74" t="s">
        <v>32</v>
      </c>
      <c r="AD154" s="75"/>
      <c r="AE154" s="203">
        <f t="shared" si="13"/>
        <v>2.64</v>
      </c>
      <c r="AF154" s="203">
        <f t="shared" si="13"/>
        <v>2.66</v>
      </c>
      <c r="AG154" s="203">
        <f t="shared" si="13"/>
        <v>2.5099999999999998</v>
      </c>
      <c r="AH154" s="203">
        <f t="shared" si="13"/>
        <v>1.44</v>
      </c>
      <c r="AI154" s="203">
        <f t="shared" si="13"/>
        <v>1.5</v>
      </c>
      <c r="AK154" s="202"/>
    </row>
    <row r="155" spans="2:37" ht="18.75" customHeight="1" thickBot="1" x14ac:dyDescent="0.3">
      <c r="B155" s="114"/>
      <c r="C155" s="73"/>
      <c r="D155" s="94" t="s">
        <v>65</v>
      </c>
      <c r="E155" s="61"/>
      <c r="F155" s="38">
        <v>17775000000</v>
      </c>
      <c r="G155" s="38">
        <v>18302000000</v>
      </c>
      <c r="H155" s="38">
        <v>21443000000</v>
      </c>
      <c r="I155" s="38">
        <v>22318000000</v>
      </c>
      <c r="J155" s="38">
        <v>21217000000</v>
      </c>
      <c r="K155" s="80"/>
      <c r="L155" s="38">
        <v>50364000000</v>
      </c>
      <c r="M155" s="38">
        <v>50145000000</v>
      </c>
      <c r="N155" s="38">
        <v>51787000000</v>
      </c>
      <c r="O155" s="38">
        <v>18468000000</v>
      </c>
      <c r="P155" s="38">
        <v>22318000000</v>
      </c>
      <c r="Q155" s="38"/>
      <c r="S155" s="29" t="s">
        <v>16</v>
      </c>
      <c r="T155" s="29"/>
      <c r="U155" s="30"/>
      <c r="V155" s="65">
        <f>IF(AVERAGE(N166:P166)&gt;0,V142/AVERAGE(N166:P166),"")</f>
        <v>13.053586898481973</v>
      </c>
      <c r="X155" s="68" t="s">
        <v>66</v>
      </c>
      <c r="Y155" s="68"/>
      <c r="Z155" s="69"/>
      <c r="AA155" s="70">
        <f>Q143</f>
        <v>9912000000</v>
      </c>
      <c r="AC155" s="74" t="s">
        <v>67</v>
      </c>
      <c r="AD155" s="75"/>
      <c r="AE155" s="76">
        <f>IF(L149="","",L149)</f>
        <v>1934000000</v>
      </c>
      <c r="AF155" s="76">
        <f>IF(M149="","",M149)</f>
        <v>1882000000</v>
      </c>
      <c r="AG155" s="76">
        <f>IF(N149="","",N149)</f>
        <v>1814000000</v>
      </c>
      <c r="AH155" s="76">
        <f>IF(O149="","",O149)</f>
        <v>1730000000</v>
      </c>
      <c r="AI155" s="76">
        <f>IF(P149="","",P149)</f>
        <v>1688000000</v>
      </c>
      <c r="AK155" s="202"/>
    </row>
    <row r="156" spans="2:37" ht="18.75" customHeight="1" thickBot="1" x14ac:dyDescent="0.25">
      <c r="B156" s="113"/>
      <c r="C156" s="37"/>
      <c r="D156" s="94" t="s">
        <v>68</v>
      </c>
      <c r="E156" s="61"/>
      <c r="F156" s="38">
        <v>28192000000</v>
      </c>
      <c r="G156" s="38">
        <v>28686000000</v>
      </c>
      <c r="H156" s="38">
        <v>31934000000</v>
      </c>
      <c r="I156" s="38">
        <v>32913000000</v>
      </c>
      <c r="J156" s="38">
        <v>35245000000</v>
      </c>
      <c r="K156" s="85"/>
      <c r="L156" s="38">
        <v>105676000000</v>
      </c>
      <c r="M156" s="38">
        <v>103206000000</v>
      </c>
      <c r="N156" s="38">
        <v>106882000000</v>
      </c>
      <c r="O156" s="38">
        <v>29010000000</v>
      </c>
      <c r="P156" s="38">
        <v>32913000000</v>
      </c>
      <c r="Q156" s="38"/>
      <c r="S156" s="57" t="s">
        <v>18</v>
      </c>
      <c r="T156" s="57"/>
      <c r="U156" s="58"/>
      <c r="V156" s="59">
        <f>(V142+(J157+J159)-J153)/J150</f>
        <v>36.910224508920606</v>
      </c>
      <c r="X156" s="68" t="s">
        <v>31</v>
      </c>
      <c r="Y156" s="68"/>
      <c r="Z156" s="69"/>
      <c r="AA156" s="70">
        <f>Q145</f>
        <v>3853000000</v>
      </c>
      <c r="AC156" s="74" t="s">
        <v>69</v>
      </c>
      <c r="AD156" s="75"/>
      <c r="AE156" s="204">
        <f>IF(OR(L161="",L149="",L156="",L160=""),"",(L156-L160)/L149)</f>
        <v>14.099793174767322</v>
      </c>
      <c r="AF156" s="204">
        <f>IF(OR(M161="",M149="",M156="",M160=""),"",(M156-M160)/M149)</f>
        <v>14.203506907545165</v>
      </c>
      <c r="AG156" s="204">
        <f>IF(OR(N161="",N149="",N156="",N160=""),"",(N156-N160)/N149)</f>
        <v>15.30760749724366</v>
      </c>
      <c r="AH156" s="204">
        <f>IF(OR(O161="",O149="",O156="",O160=""),"",(O156-O160)/O149)</f>
        <v>-2.2479768786127168</v>
      </c>
      <c r="AI156" s="204">
        <f>IF(OR(P161="",P149="",P156="",P160=""),"",(P156-P160)/P149)</f>
        <v>-2.0189573459715642</v>
      </c>
      <c r="AK156" s="202"/>
    </row>
    <row r="157" spans="2:37" ht="18.75" customHeight="1" thickBot="1" x14ac:dyDescent="0.25">
      <c r="B157" s="112"/>
      <c r="C157" s="25"/>
      <c r="D157" s="60" t="s">
        <v>70</v>
      </c>
      <c r="E157" s="26"/>
      <c r="F157" s="62">
        <v>100000000</v>
      </c>
      <c r="G157" s="62">
        <v>110000000</v>
      </c>
      <c r="H157" s="62">
        <v>1062000000</v>
      </c>
      <c r="I157" s="62">
        <v>1072000000</v>
      </c>
      <c r="J157" s="62">
        <v>1529000000</v>
      </c>
      <c r="K157" s="27"/>
      <c r="L157" s="62">
        <v>5979000000</v>
      </c>
      <c r="M157" s="62">
        <v>3486000000</v>
      </c>
      <c r="N157" s="62">
        <v>2885000000</v>
      </c>
      <c r="O157" s="62">
        <v>78000000</v>
      </c>
      <c r="P157" s="62">
        <v>1072000000</v>
      </c>
      <c r="Q157" s="62"/>
      <c r="S157" s="63" t="s">
        <v>19</v>
      </c>
      <c r="T157" s="63"/>
      <c r="U157" s="64"/>
      <c r="V157" s="65">
        <f>(V142+(J157+J159)-J153)/J141</f>
        <v>2.850200569986912</v>
      </c>
      <c r="X157" s="29" t="s">
        <v>32</v>
      </c>
      <c r="Y157" s="29"/>
      <c r="Z157" s="30"/>
      <c r="AA157" s="205">
        <f>Q146</f>
        <v>2.31</v>
      </c>
      <c r="AK157" s="202"/>
    </row>
    <row r="158" spans="2:37" ht="18.75" customHeight="1" thickBot="1" x14ac:dyDescent="0.25">
      <c r="B158" s="115"/>
      <c r="C158" s="91"/>
      <c r="D158" s="94" t="s">
        <v>71</v>
      </c>
      <c r="E158" s="61"/>
      <c r="F158" s="38">
        <v>18587000000</v>
      </c>
      <c r="G158" s="38">
        <v>18604000000</v>
      </c>
      <c r="H158" s="38">
        <v>22060000000</v>
      </c>
      <c r="I158" s="38">
        <v>22412000000</v>
      </c>
      <c r="J158" s="38">
        <v>23349000000</v>
      </c>
      <c r="K158" s="80"/>
      <c r="L158" s="38">
        <v>45521000000</v>
      </c>
      <c r="M158" s="38">
        <v>43735000000</v>
      </c>
      <c r="N158" s="38">
        <v>42191000000</v>
      </c>
      <c r="O158" s="38">
        <v>18808000000</v>
      </c>
      <c r="P158" s="38">
        <v>22412000000</v>
      </c>
      <c r="Q158" s="38"/>
      <c r="AC158" s="89" t="s">
        <v>3</v>
      </c>
      <c r="AD158" s="90"/>
      <c r="AE158" s="161">
        <f>L140</f>
        <v>2013</v>
      </c>
      <c r="AF158" s="161">
        <f>M140</f>
        <v>2014</v>
      </c>
      <c r="AG158" s="161">
        <f>N140</f>
        <v>2015</v>
      </c>
      <c r="AH158" s="161">
        <f>O140</f>
        <v>2016</v>
      </c>
      <c r="AI158" s="161">
        <f>P140</f>
        <v>2017</v>
      </c>
    </row>
    <row r="159" spans="2:37" ht="18.75" customHeight="1" thickBot="1" x14ac:dyDescent="0.25">
      <c r="B159" s="113"/>
      <c r="C159" s="37"/>
      <c r="D159" s="60" t="s">
        <v>72</v>
      </c>
      <c r="E159" s="26"/>
      <c r="F159" s="62">
        <v>6688000000</v>
      </c>
      <c r="G159" s="62">
        <v>6710000000</v>
      </c>
      <c r="H159" s="62">
        <v>6744000000</v>
      </c>
      <c r="I159" s="62">
        <v>6747000000</v>
      </c>
      <c r="J159" s="62">
        <v>6340000000</v>
      </c>
      <c r="K159" s="71"/>
      <c r="L159" s="62">
        <v>16608000000</v>
      </c>
      <c r="M159" s="62">
        <v>16039000000</v>
      </c>
      <c r="N159" s="62">
        <v>21780000000</v>
      </c>
      <c r="O159" s="62">
        <v>6758000000</v>
      </c>
      <c r="P159" s="62">
        <v>6747000000</v>
      </c>
      <c r="Q159" s="62"/>
      <c r="S159" s="154" t="s">
        <v>3</v>
      </c>
      <c r="T159" s="72"/>
      <c r="U159" s="72"/>
      <c r="V159" s="42"/>
      <c r="X159" s="155" t="s">
        <v>61</v>
      </c>
      <c r="Y159" s="43"/>
      <c r="Z159" s="43"/>
      <c r="AA159" s="206"/>
      <c r="AC159" s="74" t="s">
        <v>73</v>
      </c>
      <c r="AD159" s="75"/>
      <c r="AE159" s="207">
        <f>IF(OR(L141="",L145="",L141=0,L145=0),"",L145/L141)</f>
        <v>4.5530641685515329E-2</v>
      </c>
      <c r="AF159" s="207">
        <f>IF(OR(M141="",M145="",M141=0,M145=0),"",M145/M141)</f>
        <v>4.4978197283184092E-2</v>
      </c>
      <c r="AG159" s="207">
        <f>IF(OR(N141="",N145="",N141=0,N145=0),"",N145/N141)</f>
        <v>4.4061728992308064E-2</v>
      </c>
      <c r="AH159" s="207">
        <f>IF(OR(O141="",O145="",O141=0,O145=0),"",O145/O141)</f>
        <v>5.1743438782702433E-2</v>
      </c>
      <c r="AI159" s="207">
        <f>IF(OR(P141="",P145="",P141=0,P145=0),"",P145/P141)</f>
        <v>4.8524665744582758E-2</v>
      </c>
    </row>
    <row r="160" spans="2:37" ht="18.75" customHeight="1" thickBot="1" x14ac:dyDescent="0.25">
      <c r="B160" s="116"/>
      <c r="C160" s="93"/>
      <c r="D160" s="94" t="s">
        <v>74</v>
      </c>
      <c r="E160" s="61"/>
      <c r="F160" s="38">
        <v>32519000000</v>
      </c>
      <c r="G160" s="38">
        <v>32641000000</v>
      </c>
      <c r="H160" s="38">
        <v>36273000000</v>
      </c>
      <c r="I160" s="38">
        <v>36321000000</v>
      </c>
      <c r="J160" s="38">
        <v>37987000000</v>
      </c>
      <c r="K160" s="80"/>
      <c r="L160" s="46">
        <v>78407000000</v>
      </c>
      <c r="M160" s="46">
        <v>76475000000</v>
      </c>
      <c r="N160" s="46">
        <v>79114000000</v>
      </c>
      <c r="O160" s="46">
        <v>32899000000</v>
      </c>
      <c r="P160" s="46">
        <v>36321000000</v>
      </c>
      <c r="Q160" s="38"/>
      <c r="S160" s="50" t="s">
        <v>12</v>
      </c>
      <c r="T160" s="50"/>
      <c r="U160" s="78"/>
      <c r="V160" s="79">
        <f>Q141</f>
        <v>53889000000</v>
      </c>
      <c r="X160" s="122" t="s">
        <v>75</v>
      </c>
      <c r="Y160" s="122"/>
      <c r="Z160" s="144"/>
      <c r="AA160" s="148">
        <f>J154</f>
        <v>6741000000</v>
      </c>
      <c r="AC160" s="74" t="s">
        <v>76</v>
      </c>
      <c r="AD160" s="75"/>
      <c r="AE160" s="207">
        <f>IF(OR(L145="",L159="",L145=0,L159=0),"",L145/L159)</f>
        <v>0.30786368015414256</v>
      </c>
      <c r="AF160" s="207">
        <f>IF(OR(M145="",M159="",M145=0,M159=0),"",M145/M159)</f>
        <v>0.31255065777168151</v>
      </c>
      <c r="AG160" s="207">
        <f>IF(OR(N145="",N159="",N145=0,N159=0),"",N145/N159)</f>
        <v>0.20909090909090908</v>
      </c>
      <c r="AH160" s="207">
        <f>IF(OR(O145="",O159="",O145=0,O159=0),"",O145/O159)</f>
        <v>0.36934004143237642</v>
      </c>
      <c r="AI160" s="207">
        <f>IF(OR(P145="",P159="",P145=0,P159=0),"",P145/P159)</f>
        <v>0.37438861716318361</v>
      </c>
    </row>
    <row r="161" spans="1:40" ht="18.75" customHeight="1" thickBot="1" x14ac:dyDescent="0.25">
      <c r="B161" s="113"/>
      <c r="C161" s="37"/>
      <c r="D161" s="94" t="s">
        <v>77</v>
      </c>
      <c r="E161" s="61"/>
      <c r="F161" s="38">
        <v>-4327000000</v>
      </c>
      <c r="G161" s="38">
        <v>-3955000000</v>
      </c>
      <c r="H161" s="38">
        <v>-4339000000</v>
      </c>
      <c r="I161" s="38">
        <v>-3408000000</v>
      </c>
      <c r="J161" s="38">
        <v>-2742000000</v>
      </c>
      <c r="K161" s="85"/>
      <c r="L161" s="46">
        <v>27269000000</v>
      </c>
      <c r="M161" s="46">
        <v>26731000000</v>
      </c>
      <c r="N161" s="46">
        <v>27768000000</v>
      </c>
      <c r="O161" s="46">
        <v>-3889000000</v>
      </c>
      <c r="P161" s="46">
        <v>-3408000000</v>
      </c>
      <c r="Q161" s="38"/>
      <c r="S161" s="68" t="s">
        <v>23</v>
      </c>
      <c r="T161" s="68"/>
      <c r="U161" s="69"/>
      <c r="V161" s="192">
        <f>(Q141-Q142)/Q141</f>
        <v>0.18393364137393531</v>
      </c>
      <c r="X161" s="145" t="s">
        <v>78</v>
      </c>
      <c r="Y161" s="146"/>
      <c r="Z161" s="147"/>
      <c r="AA161" s="148">
        <f>J155</f>
        <v>21217000000</v>
      </c>
      <c r="AC161" s="74" t="s">
        <v>79</v>
      </c>
      <c r="AD161" s="75"/>
      <c r="AE161" s="207">
        <f>IF(OR(L145="",L156="",L145=0,L156=0),"",L145/L156)</f>
        <v>4.838373897573716E-2</v>
      </c>
      <c r="AF161" s="207">
        <f>IF(OR(M145="",M156="",M145=0,M156=0),"",M145/M156)</f>
        <v>4.8572757397825711E-2</v>
      </c>
      <c r="AG161" s="207">
        <f>IF(OR(N145="",N156="",N145=0,N156=0),"",N145/N156)</f>
        <v>4.2607735633689491E-2</v>
      </c>
      <c r="AH161" s="207">
        <f>IF(OR(O145="",O156="",O145=0,O156=0),"",O145/O156)</f>
        <v>8.6039296794208894E-2</v>
      </c>
      <c r="AI161" s="207">
        <f>IF(OR(P145="",P156="",P145=0,P156=0),"",P145/P156)</f>
        <v>7.6747789627198984E-2</v>
      </c>
    </row>
    <row r="162" spans="1:40" ht="18.75" customHeight="1" x14ac:dyDescent="0.2">
      <c r="B162" s="113"/>
      <c r="C162" s="37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S162" s="68" t="s">
        <v>24</v>
      </c>
      <c r="T162" s="68"/>
      <c r="U162" s="69"/>
      <c r="V162" s="192">
        <f>Q145/Q141</f>
        <v>7.1498821651914124E-2</v>
      </c>
      <c r="X162" s="63" t="s">
        <v>80</v>
      </c>
      <c r="Y162" s="63"/>
      <c r="Z162" s="64"/>
      <c r="AA162" s="70">
        <f>J158</f>
        <v>23349000000</v>
      </c>
      <c r="AC162" s="74" t="s">
        <v>28</v>
      </c>
      <c r="AD162" s="75"/>
      <c r="AE162" s="92">
        <f>IF(OR(L141="",L156="",L141=0,L156=0),"",L141/L156)</f>
        <v>1.0626632347931413</v>
      </c>
      <c r="AF162" s="92">
        <f>IF(OR(M141="",M156="",M141=0,M156=0),"",M141/M156)</f>
        <v>1.0799178342344438</v>
      </c>
      <c r="AG162" s="92">
        <f>IF(OR(N141="",N156="",N141=0,N156=0),"",N141/N156)</f>
        <v>0.96700099174790888</v>
      </c>
      <c r="AH162" s="92">
        <f>IF(OR(O141="",O156="",O141=0,O156=0),"",O141/O156)</f>
        <v>1.6628059289900035</v>
      </c>
      <c r="AI162" s="92">
        <f>IF(OR(P141="",P156="",P141=0,P156=0),"",P141/P156)</f>
        <v>1.5816242821985234</v>
      </c>
    </row>
    <row r="163" spans="1:40" ht="18.75" customHeight="1" x14ac:dyDescent="0.2">
      <c r="B163" s="113"/>
      <c r="C163" s="37"/>
      <c r="D163" s="121" t="s">
        <v>81</v>
      </c>
      <c r="E163" s="18"/>
      <c r="F163" s="196" t="str">
        <f>F140</f>
        <v>2016-10</v>
      </c>
      <c r="G163" s="196" t="str">
        <f>G140</f>
        <v>2017-01</v>
      </c>
      <c r="H163" s="196" t="str">
        <f>H140</f>
        <v>2017-04</v>
      </c>
      <c r="I163" s="196" t="str">
        <f>I140</f>
        <v>2017-07</v>
      </c>
      <c r="J163" s="196" t="str">
        <f>J140</f>
        <v>2017-10</v>
      </c>
      <c r="K163" s="197"/>
      <c r="L163" s="208">
        <f>L140</f>
        <v>2013</v>
      </c>
      <c r="M163" s="208">
        <f>M140</f>
        <v>2014</v>
      </c>
      <c r="N163" s="208">
        <f>N140</f>
        <v>2015</v>
      </c>
      <c r="O163" s="208">
        <f>O140</f>
        <v>2016</v>
      </c>
      <c r="P163" s="208">
        <f>P140</f>
        <v>2017</v>
      </c>
      <c r="Q163" s="185" t="s">
        <v>42</v>
      </c>
      <c r="S163" s="68" t="s">
        <v>25</v>
      </c>
      <c r="T163" s="68"/>
      <c r="U163" s="69"/>
      <c r="V163" s="192">
        <f>Q144/Q141</f>
        <v>6.7472025830874582E-2</v>
      </c>
      <c r="X163" s="63" t="s">
        <v>82</v>
      </c>
      <c r="Y163" s="81"/>
      <c r="Z163" s="81"/>
      <c r="AA163" s="70">
        <f>J157+J159</f>
        <v>7869000000</v>
      </c>
      <c r="AJ163" s="95"/>
    </row>
    <row r="164" spans="1:40" ht="18.75" customHeight="1" thickBot="1" x14ac:dyDescent="0.3">
      <c r="B164" s="117"/>
      <c r="C164" s="96"/>
      <c r="D164" s="60" t="s">
        <v>83</v>
      </c>
      <c r="E164" s="26"/>
      <c r="F164" s="62">
        <v>767000000</v>
      </c>
      <c r="G164" s="62">
        <v>455000000</v>
      </c>
      <c r="H164" s="62">
        <v>1775000000</v>
      </c>
      <c r="I164" s="62">
        <v>680000000</v>
      </c>
      <c r="J164" s="62">
        <v>996000000</v>
      </c>
      <c r="K164" s="27"/>
      <c r="L164" s="62">
        <v>11608000000</v>
      </c>
      <c r="M164" s="62">
        <v>12333000000</v>
      </c>
      <c r="N164" s="62">
        <v>6490000000</v>
      </c>
      <c r="O164" s="62">
        <v>3230000000</v>
      </c>
      <c r="P164" s="62">
        <v>3677000000</v>
      </c>
      <c r="Q164" s="62">
        <v>3906000000</v>
      </c>
      <c r="X164" s="82"/>
      <c r="Y164" s="83"/>
      <c r="Z164" s="83"/>
      <c r="AA164" s="84"/>
      <c r="AC164" s="89" t="s">
        <v>2</v>
      </c>
      <c r="AD164" s="90"/>
      <c r="AE164" s="162">
        <f>L140</f>
        <v>2013</v>
      </c>
      <c r="AF164" s="162">
        <f>M140</f>
        <v>2014</v>
      </c>
      <c r="AG164" s="162">
        <f>N140</f>
        <v>2015</v>
      </c>
      <c r="AH164" s="162">
        <f>O140</f>
        <v>2016</v>
      </c>
      <c r="AI164" s="162">
        <f>P140</f>
        <v>2017</v>
      </c>
      <c r="AJ164" s="95"/>
    </row>
    <row r="165" spans="1:40" ht="18.75" customHeight="1" thickBot="1" x14ac:dyDescent="0.25">
      <c r="B165" s="113"/>
      <c r="C165" s="37"/>
      <c r="D165" s="60" t="s">
        <v>84</v>
      </c>
      <c r="E165" s="26"/>
      <c r="F165" s="62">
        <v>-101000000</v>
      </c>
      <c r="G165" s="62">
        <v>-75000000</v>
      </c>
      <c r="H165" s="62">
        <v>-61000000</v>
      </c>
      <c r="I165" s="62">
        <v>-165000000</v>
      </c>
      <c r="J165" s="62">
        <v>-129000000</v>
      </c>
      <c r="K165" s="27"/>
      <c r="L165" s="62">
        <v>-3199000000</v>
      </c>
      <c r="M165" s="62">
        <v>-3853000000</v>
      </c>
      <c r="N165" s="62">
        <v>-3603000000</v>
      </c>
      <c r="O165" s="62">
        <v>-433000000</v>
      </c>
      <c r="P165" s="62">
        <v>-402000000</v>
      </c>
      <c r="Q165" s="62">
        <v>-430000000</v>
      </c>
      <c r="S165" s="153" t="s">
        <v>4</v>
      </c>
      <c r="T165" s="19"/>
      <c r="U165" s="19"/>
      <c r="V165" s="86"/>
      <c r="X165" s="155" t="s">
        <v>85</v>
      </c>
      <c r="Y165" s="43"/>
      <c r="Z165" s="43"/>
      <c r="AA165" s="196"/>
      <c r="AC165" s="74" t="s">
        <v>20</v>
      </c>
      <c r="AD165" s="75"/>
      <c r="AE165" s="92">
        <f t="shared" ref="AE165:AI166" si="14">IF(OR(L155="",L158="",L155=0,L158=0),"",L155/L158)</f>
        <v>1.1063904571516443</v>
      </c>
      <c r="AF165" s="92">
        <f t="shared" si="14"/>
        <v>1.1465645364124843</v>
      </c>
      <c r="AG165" s="92">
        <f t="shared" si="14"/>
        <v>1.2274418714891802</v>
      </c>
      <c r="AH165" s="92">
        <f t="shared" si="14"/>
        <v>0.9819225861335602</v>
      </c>
      <c r="AI165" s="92">
        <f t="shared" si="14"/>
        <v>0.99580581831161874</v>
      </c>
      <c r="AJ165" s="95"/>
    </row>
    <row r="166" spans="1:40" ht="18.75" customHeight="1" thickBot="1" x14ac:dyDescent="0.25">
      <c r="B166" s="113"/>
      <c r="C166" s="37"/>
      <c r="D166" s="60" t="s">
        <v>86</v>
      </c>
      <c r="E166" s="26"/>
      <c r="F166" s="62">
        <v>666000000</v>
      </c>
      <c r="G166" s="62">
        <v>380000000</v>
      </c>
      <c r="H166" s="62">
        <v>1714000000</v>
      </c>
      <c r="I166" s="62">
        <v>515000000</v>
      </c>
      <c r="J166" s="62">
        <v>867000000</v>
      </c>
      <c r="K166" s="27"/>
      <c r="L166" s="62">
        <v>8409000000</v>
      </c>
      <c r="M166" s="62">
        <v>8480000000</v>
      </c>
      <c r="N166" s="62">
        <v>2887000000</v>
      </c>
      <c r="O166" s="62">
        <v>2797000000</v>
      </c>
      <c r="P166" s="62">
        <v>3275000000</v>
      </c>
      <c r="Q166" s="62">
        <v>3476000000</v>
      </c>
      <c r="S166" s="47" t="s">
        <v>26</v>
      </c>
      <c r="T166" s="47"/>
      <c r="U166" s="48"/>
      <c r="V166" s="189">
        <f>Q145/AVERAGE(G161:J161)</f>
        <v>-1.0670174466906674</v>
      </c>
      <c r="X166" s="66" t="s">
        <v>87</v>
      </c>
      <c r="Y166" s="66"/>
      <c r="Z166" s="67"/>
      <c r="AA166" s="87">
        <f>AVERAGE(N164:P164)</f>
        <v>4465666666.666667</v>
      </c>
      <c r="AC166" s="74" t="s">
        <v>21</v>
      </c>
      <c r="AD166" s="75"/>
      <c r="AE166" s="92">
        <f t="shared" si="14"/>
        <v>6.362957610789981</v>
      </c>
      <c r="AF166" s="92">
        <f t="shared" si="14"/>
        <v>6.4346904420475095</v>
      </c>
      <c r="AG166" s="92">
        <f t="shared" si="14"/>
        <v>4.9073461891643708</v>
      </c>
      <c r="AH166" s="92">
        <f t="shared" si="14"/>
        <v>4.2926901450133172</v>
      </c>
      <c r="AI166" s="92">
        <f t="shared" si="14"/>
        <v>4.8781680746998664</v>
      </c>
      <c r="AJ166" s="95"/>
    </row>
    <row r="167" spans="1:40" ht="18.75" customHeight="1" x14ac:dyDescent="0.2">
      <c r="B167" s="110"/>
      <c r="C167" s="17"/>
      <c r="S167" s="29" t="s">
        <v>27</v>
      </c>
      <c r="T167" s="29"/>
      <c r="U167" s="30"/>
      <c r="V167" s="192">
        <f>Q145/AVERAGE(G156:J156)</f>
        <v>0.11967882712885741</v>
      </c>
      <c r="X167" s="63" t="s">
        <v>88</v>
      </c>
      <c r="Y167" s="63"/>
      <c r="Z167" s="81"/>
      <c r="AA167" s="88">
        <f>ABS(AVERAGE(N165:P165))</f>
        <v>1479333333.3333333</v>
      </c>
      <c r="AC167" s="74" t="s">
        <v>22</v>
      </c>
      <c r="AD167" s="75"/>
      <c r="AE167" s="92">
        <f>IF(OR(L161="",L159="",L159=0,L161=0),"",L161/L159)</f>
        <v>1.6419195568400771</v>
      </c>
      <c r="AF167" s="92">
        <f>IF(OR(M161="",M159="",M159=0,M161=0),"",M161/M159)</f>
        <v>1.6666251013155433</v>
      </c>
      <c r="AG167" s="92">
        <f>IF(OR(N161="",N159="",N159=0,N161=0),"",N161/N159)</f>
        <v>1.2749311294765839</v>
      </c>
      <c r="AH167" s="92">
        <f>IF(OR(O161="",O159="",O159=0,O161=0),"",O161/O159)</f>
        <v>-0.57546611423498073</v>
      </c>
      <c r="AI167" s="92">
        <f>IF(OR(P161="",P159="",P159=0,P161=0),"",P161/P159)</f>
        <v>-0.50511338372610048</v>
      </c>
    </row>
    <row r="168" spans="1:40" ht="18.75" customHeight="1" x14ac:dyDescent="0.2">
      <c r="B168" s="110"/>
      <c r="C168" s="17"/>
      <c r="S168" s="29" t="s">
        <v>89</v>
      </c>
      <c r="T168" s="29"/>
      <c r="U168" s="30"/>
      <c r="V168" s="192">
        <f>Q144/(AVERAGE(G161:J161)+(AVERAGE(G156:J156)-AVERAGE(G158:J158)))</f>
        <v>0.52112221863914865</v>
      </c>
      <c r="X168" s="63" t="s">
        <v>90</v>
      </c>
      <c r="Y168" s="63"/>
      <c r="Z168" s="64"/>
      <c r="AA168" s="32">
        <f>AVERAGE(N166:P166)</f>
        <v>2986333333.3333335</v>
      </c>
    </row>
    <row r="169" spans="1:40" ht="18.75" customHeight="1" x14ac:dyDescent="0.2">
      <c r="B169" s="113"/>
      <c r="C169" s="37"/>
      <c r="S169" s="29" t="s">
        <v>28</v>
      </c>
      <c r="T169" s="29"/>
      <c r="U169" s="30"/>
      <c r="V169" s="65">
        <f>Q141/AVERAGE(G156:J156)</f>
        <v>1.6738573358803521</v>
      </c>
      <c r="X169" s="123"/>
      <c r="AA169" s="123"/>
      <c r="AJ169" s="99"/>
    </row>
    <row r="170" spans="1:40" s="105" customFormat="1" ht="18.75" customHeight="1" thickBot="1" x14ac:dyDescent="0.35">
      <c r="A170" s="118"/>
      <c r="B170" s="119"/>
      <c r="C170" s="100"/>
      <c r="D170" s="169"/>
      <c r="E170" s="100"/>
      <c r="F170" s="101"/>
      <c r="G170" s="101"/>
      <c r="H170" s="101"/>
      <c r="I170" s="101"/>
      <c r="J170" s="101"/>
      <c r="K170" s="102"/>
      <c r="L170" s="103"/>
      <c r="M170" s="104"/>
      <c r="N170" s="104"/>
      <c r="O170" s="104"/>
      <c r="P170" s="102"/>
      <c r="Q170" s="102"/>
      <c r="R170" s="100"/>
      <c r="S170" s="156"/>
      <c r="X170" s="156"/>
      <c r="AA170" s="209"/>
      <c r="AC170" s="156"/>
    </row>
    <row r="171" spans="1:40" s="106" customFormat="1" ht="18.75" customHeight="1" thickBot="1" x14ac:dyDescent="0.25">
      <c r="D171" s="15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S171" s="157"/>
      <c r="X171" s="157"/>
      <c r="AA171" s="210"/>
      <c r="AC171" s="157"/>
    </row>
    <row r="172" spans="1:40" s="143" customFormat="1" ht="18.75" customHeight="1" thickBot="1" x14ac:dyDescent="0.3">
      <c r="A172" s="129">
        <v>6</v>
      </c>
      <c r="B172" s="130"/>
      <c r="C172" s="131"/>
      <c r="D172" s="132"/>
      <c r="E172" s="133"/>
      <c r="F172" s="134"/>
      <c r="G172" s="135"/>
      <c r="H172" s="135"/>
      <c r="I172" s="135"/>
      <c r="J172" s="135"/>
      <c r="K172" s="136"/>
      <c r="L172" s="137"/>
      <c r="M172" s="138"/>
      <c r="N172" s="138"/>
      <c r="O172" s="138"/>
      <c r="P172" s="138"/>
      <c r="Q172" s="138"/>
      <c r="R172" s="139"/>
      <c r="S172" s="140" t="s">
        <v>7</v>
      </c>
      <c r="T172" s="325" t="s">
        <v>95</v>
      </c>
      <c r="U172" s="326"/>
      <c r="V172" s="141" t="s">
        <v>35</v>
      </c>
      <c r="W172" s="138"/>
      <c r="X172" s="158"/>
      <c r="Y172" s="138"/>
      <c r="Z172" s="138"/>
      <c r="AA172" s="182"/>
      <c r="AB172" s="142"/>
      <c r="AC172" s="159"/>
      <c r="AD172" s="136"/>
      <c r="AE172" s="136"/>
      <c r="AF172" s="142"/>
      <c r="AG172" s="142"/>
      <c r="AH172" s="142"/>
      <c r="AI172" s="142"/>
      <c r="AJ172" s="142"/>
      <c r="AK172" s="142"/>
      <c r="AL172" s="142"/>
      <c r="AM172" s="136"/>
      <c r="AN172" s="136"/>
    </row>
    <row r="173" spans="1:40" ht="18.75" customHeight="1" x14ac:dyDescent="0.25">
      <c r="B173" s="109"/>
      <c r="C173" s="14"/>
      <c r="D173" s="15"/>
      <c r="E173" s="183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51"/>
      <c r="T173" s="16"/>
      <c r="U173" s="16"/>
      <c r="V173" s="16"/>
      <c r="W173" s="16"/>
      <c r="X173" s="151"/>
      <c r="Y173" s="16"/>
      <c r="Z173" s="16"/>
      <c r="AA173" s="184"/>
      <c r="AB173" s="16"/>
      <c r="AC173" s="151"/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 spans="1:40" ht="18.75" customHeight="1" x14ac:dyDescent="0.2">
      <c r="B174" s="110"/>
      <c r="C174" s="17"/>
      <c r="D174" s="120" t="s">
        <v>36</v>
      </c>
      <c r="E174" s="18"/>
      <c r="F174" s="185" t="s">
        <v>37</v>
      </c>
      <c r="G174" s="185" t="s">
        <v>38</v>
      </c>
      <c r="H174" s="185" t="s">
        <v>39</v>
      </c>
      <c r="I174" s="185" t="s">
        <v>40</v>
      </c>
      <c r="J174" s="185" t="s">
        <v>41</v>
      </c>
      <c r="K174" s="186"/>
      <c r="L174" s="185">
        <v>2013</v>
      </c>
      <c r="M174" s="185">
        <v>2014</v>
      </c>
      <c r="N174" s="185">
        <v>2015</v>
      </c>
      <c r="O174" s="185">
        <v>2016</v>
      </c>
      <c r="P174" s="185">
        <v>2017</v>
      </c>
      <c r="Q174" s="185" t="s">
        <v>42</v>
      </c>
      <c r="S174" s="153" t="s">
        <v>0</v>
      </c>
      <c r="T174" s="19"/>
      <c r="U174" s="19"/>
      <c r="V174" s="20"/>
      <c r="W174" s="21"/>
      <c r="X174" s="153" t="s">
        <v>5</v>
      </c>
      <c r="Y174" s="19"/>
      <c r="Z174" s="44"/>
      <c r="AA174" s="44" t="s">
        <v>43</v>
      </c>
      <c r="AB174" s="21"/>
      <c r="AC174" s="155" t="s">
        <v>44</v>
      </c>
      <c r="AD174" s="43"/>
      <c r="AE174" s="44"/>
      <c r="AF174" s="160">
        <f>M174</f>
        <v>2014</v>
      </c>
      <c r="AG174" s="160">
        <f>N174</f>
        <v>2015</v>
      </c>
      <c r="AH174" s="160">
        <f>O174</f>
        <v>2016</v>
      </c>
      <c r="AI174" s="160">
        <f>P174</f>
        <v>2017</v>
      </c>
      <c r="AJ174" s="22"/>
      <c r="AK174" s="23"/>
      <c r="AM174" s="24"/>
      <c r="AN174" s="175"/>
    </row>
    <row r="175" spans="1:40" ht="18.75" customHeight="1" thickBot="1" x14ac:dyDescent="0.25">
      <c r="A175" s="111"/>
      <c r="B175" s="112"/>
      <c r="C175" s="25"/>
      <c r="D175" s="60" t="s">
        <v>29</v>
      </c>
      <c r="E175" s="26"/>
      <c r="F175" s="62">
        <v>1802000000</v>
      </c>
      <c r="G175" s="62">
        <v>1478000000</v>
      </c>
      <c r="H175" s="62">
        <v>1593000000</v>
      </c>
      <c r="I175" s="62">
        <v>1663000000</v>
      </c>
      <c r="J175" s="62">
        <v>1782000000</v>
      </c>
      <c r="K175" s="27"/>
      <c r="L175" s="62">
        <v>6123000000</v>
      </c>
      <c r="M175" s="62">
        <v>6591000000</v>
      </c>
      <c r="N175" s="62">
        <v>6373000000</v>
      </c>
      <c r="O175" s="62">
        <v>6543000000</v>
      </c>
      <c r="P175" s="62">
        <v>6516000000</v>
      </c>
      <c r="Q175" s="62">
        <v>6516000000</v>
      </c>
      <c r="S175" s="122" t="s">
        <v>8</v>
      </c>
      <c r="T175" s="149"/>
      <c r="U175" s="149"/>
      <c r="V175" s="187">
        <v>32.979999999999997</v>
      </c>
      <c r="W175" s="188"/>
      <c r="X175" s="50" t="s">
        <v>29</v>
      </c>
      <c r="Y175" s="50"/>
      <c r="Z175" s="78"/>
      <c r="AA175" s="189">
        <f>IF(AA174="Year over Year",AI175,IF(AA174="3-Year Average",AVERAGE(AH175:AI175),IF(AA174="5-Year Average",AVERAGE(AF175:AI175),"")))</f>
        <v>1.6476550753133867E-2</v>
      </c>
      <c r="AB175" s="190"/>
      <c r="AC175" s="51" t="s">
        <v>45</v>
      </c>
      <c r="AD175" s="52"/>
      <c r="AE175" s="53"/>
      <c r="AF175" s="191">
        <f>IF(AND(M175&gt;0,L175&gt;0,L175&lt;&gt;""),M175/L175-1,IF(AND(L175&lt;0,M175&lt;0,L175&lt;&gt;""),(M175-L175)/ABS(L175),IF(AND(L175&gt;0,M175&lt;0,L175&lt;&gt;""),"L",IF(AND(L175&lt;0,M175&gt;0,L175&lt;&gt;""),"P",""))))</f>
        <v>7.6433121019108263E-2</v>
      </c>
      <c r="AG175" s="191">
        <f>IF(AND(N175&gt;0,M175&gt;0,M175&lt;&gt;""),N175/M175-1,IF(AND(M175&lt;0,N175&lt;0,M175&lt;&gt;""),(N175-M175)/ABS(M175),IF(AND(M175&gt;0,N175&lt;0,M175&lt;&gt;""),"L",IF(AND(M175&lt;0,N175&gt;0,M175&lt;&gt;""),"P",""))))</f>
        <v>-3.3075405856470952E-2</v>
      </c>
      <c r="AH175" s="191">
        <f>IF(AND(O175&gt;0,N175&gt;0,N175&lt;&gt;""),O175/N175-1,IF(AND(N175&lt;0,O175&lt;0,N175&lt;&gt;""),(O175-N175)/ABS(N175),IF(AND(N175&gt;0,O175&lt;0,N175&lt;&gt;""),"L",IF(AND(N175&lt;0,O175&gt;0,N175&lt;&gt;""),"P",""))))</f>
        <v>2.6675035305193884E-2</v>
      </c>
      <c r="AI175" s="191">
        <f>IF(AND(P175&gt;0,O175&gt;0,O175&lt;&gt;""),P175/O175-1,IF(AND(O175&lt;0,P175&lt;0,O175&lt;&gt;""),(P175-O175)/ABS(O175),IF(AND(O175&gt;0,P175&lt;0,O175&lt;&gt;""),"L",IF(AND(O175&lt;0,P175&gt;0,O175&lt;&gt;""),"P",""))))</f>
        <v>-4.126547455295726E-3</v>
      </c>
    </row>
    <row r="176" spans="1:40" ht="18.75" customHeight="1" thickBot="1" x14ac:dyDescent="0.25">
      <c r="A176" s="111"/>
      <c r="B176" s="112"/>
      <c r="C176" s="25"/>
      <c r="D176" s="60" t="s">
        <v>46</v>
      </c>
      <c r="E176" s="26"/>
      <c r="F176" s="62">
        <v>1323000000</v>
      </c>
      <c r="G176" s="62">
        <v>1065000000</v>
      </c>
      <c r="H176" s="62">
        <v>1130000000</v>
      </c>
      <c r="I176" s="62">
        <v>1190000000</v>
      </c>
      <c r="J176" s="62">
        <v>1267000000</v>
      </c>
      <c r="K176" s="28"/>
      <c r="L176" s="62">
        <v>4383000000</v>
      </c>
      <c r="M176" s="62">
        <v>4859000000</v>
      </c>
      <c r="N176" s="62">
        <v>4904000000</v>
      </c>
      <c r="O176" s="62">
        <v>4761000000</v>
      </c>
      <c r="P176" s="62">
        <v>4652000000</v>
      </c>
      <c r="Q176" s="62">
        <v>4652000000</v>
      </c>
      <c r="S176" s="29" t="s">
        <v>9</v>
      </c>
      <c r="T176" s="30"/>
      <c r="U176" s="31"/>
      <c r="V176" s="32">
        <f>V175*Q183</f>
        <v>4020261999.9999995</v>
      </c>
      <c r="W176" s="188"/>
      <c r="X176" s="63" t="s">
        <v>47</v>
      </c>
      <c r="Y176" s="63"/>
      <c r="Z176" s="64"/>
      <c r="AA176" s="192">
        <f>IF(AA174="Year over Year",AI176,IF(AA174="3-Year Average",AVERAGE(AH176:AI176),IF(AA174="5-Year Average",AVERAGE(AF176:AI176),"")))</f>
        <v>0.61951272674728186</v>
      </c>
      <c r="AB176" s="190"/>
      <c r="AC176" s="51" t="s">
        <v>30</v>
      </c>
      <c r="AD176" s="52"/>
      <c r="AE176" s="53"/>
      <c r="AF176" s="191">
        <f t="shared" ref="AF176:AI178" si="15">IF(AND(M178&gt;0,L178&gt;0,L178&lt;&gt;""),M178/L178-1,IF(AND(L178&lt;0,M178&lt;0,L178&lt;&gt;""),(M178-L178)/ABS(L178),IF(AND(L178&gt;0,M178&lt;0,L178&lt;&gt;""),"L",IF(AND(L178&lt;0,M178&gt;0,L178&lt;&gt;""),"P",""))))</f>
        <v>-0.46996996996996998</v>
      </c>
      <c r="AG176" s="191">
        <f t="shared" si="15"/>
        <v>-0.61756373937677056</v>
      </c>
      <c r="AH176" s="191">
        <f t="shared" si="15"/>
        <v>3.4370370370370367</v>
      </c>
      <c r="AI176" s="191">
        <f t="shared" si="15"/>
        <v>0.12854757929883132</v>
      </c>
    </row>
    <row r="177" spans="2:37" ht="18.75" customHeight="1" thickBot="1" x14ac:dyDescent="0.25">
      <c r="B177" s="112"/>
      <c r="C177" s="25"/>
      <c r="D177" s="33" t="s">
        <v>48</v>
      </c>
      <c r="E177" s="34"/>
      <c r="F177" s="35">
        <v>479000000</v>
      </c>
      <c r="G177" s="35">
        <v>413000000</v>
      </c>
      <c r="H177" s="35">
        <v>463000000</v>
      </c>
      <c r="I177" s="35">
        <v>473000000</v>
      </c>
      <c r="J177" s="35">
        <v>515000000</v>
      </c>
      <c r="K177" s="27"/>
      <c r="L177" s="35">
        <v>1740000000</v>
      </c>
      <c r="M177" s="35">
        <v>1732000000</v>
      </c>
      <c r="N177" s="35">
        <v>1469000000</v>
      </c>
      <c r="O177" s="35">
        <v>1782000000</v>
      </c>
      <c r="P177" s="35">
        <v>1864000000</v>
      </c>
      <c r="Q177" s="62">
        <v>1864000000</v>
      </c>
      <c r="S177" s="29" t="s">
        <v>10</v>
      </c>
      <c r="T177" s="30"/>
      <c r="U177" s="36"/>
      <c r="V177" s="32">
        <f>V176+(J191+J193)-J187</f>
        <v>6474262000</v>
      </c>
      <c r="W177" s="190"/>
      <c r="X177" s="63" t="s">
        <v>31</v>
      </c>
      <c r="Y177" s="63"/>
      <c r="Z177" s="81"/>
      <c r="AA177" s="192">
        <f>IF(AA174="Year over Year",AI177,IF(AA174="3-Year Average",AVERAGE(AH177:AI177),IF(AA174="5-Year Average",AVERAGE(AF177:AI177),"")))</f>
        <v>-0.35479474960287599</v>
      </c>
      <c r="AB177" s="190"/>
      <c r="AC177" s="51" t="s">
        <v>49</v>
      </c>
      <c r="AD177" s="52"/>
      <c r="AE177" s="53"/>
      <c r="AF177" s="191">
        <f t="shared" si="15"/>
        <v>-0.56884875846501126</v>
      </c>
      <c r="AG177" s="191" t="str">
        <f t="shared" si="15"/>
        <v>L</v>
      </c>
      <c r="AH177" s="191" t="str">
        <f t="shared" si="15"/>
        <v>P</v>
      </c>
      <c r="AI177" s="191">
        <f t="shared" si="15"/>
        <v>-0.14074074074074072</v>
      </c>
    </row>
    <row r="178" spans="2:37" ht="18.75" customHeight="1" thickBot="1" x14ac:dyDescent="0.25">
      <c r="B178" s="112"/>
      <c r="C178" s="25"/>
      <c r="D178" s="60" t="s">
        <v>50</v>
      </c>
      <c r="E178" s="61"/>
      <c r="F178" s="62">
        <v>146000000</v>
      </c>
      <c r="G178" s="62">
        <v>117000000</v>
      </c>
      <c r="H178" s="62">
        <v>178000000</v>
      </c>
      <c r="I178" s="62">
        <v>200000000</v>
      </c>
      <c r="J178" s="62">
        <v>181000000</v>
      </c>
      <c r="K178" s="40"/>
      <c r="L178" s="62">
        <v>666000000</v>
      </c>
      <c r="M178" s="62">
        <v>353000000</v>
      </c>
      <c r="N178" s="62">
        <v>135000000</v>
      </c>
      <c r="O178" s="62">
        <v>599000000</v>
      </c>
      <c r="P178" s="62">
        <v>676000000</v>
      </c>
      <c r="Q178" s="62">
        <v>676000000</v>
      </c>
      <c r="S178" s="29" t="s">
        <v>11</v>
      </c>
      <c r="T178" s="30"/>
      <c r="U178" s="36"/>
      <c r="V178" s="32">
        <f>J190-J194</f>
        <v>719000000</v>
      </c>
      <c r="W178" s="188"/>
      <c r="X178" s="63" t="s">
        <v>32</v>
      </c>
      <c r="Y178" s="63"/>
      <c r="Z178" s="64"/>
      <c r="AA178" s="192">
        <f>IF(AA174="Year over Year",AI178,IF(AA174="3-Year Average",AVERAGE(AH178:AI178),IF(AA174="5-Year Average",AVERAGE(AF178:AI178),"")))</f>
        <v>-0.50038161465400277</v>
      </c>
      <c r="AB178" s="190"/>
      <c r="AC178" s="51" t="s">
        <v>51</v>
      </c>
      <c r="AD178" s="52"/>
      <c r="AE178" s="53"/>
      <c r="AF178" s="191">
        <f t="shared" si="15"/>
        <v>-0.57462686567164178</v>
      </c>
      <c r="AG178" s="191" t="str">
        <f t="shared" si="15"/>
        <v>L</v>
      </c>
      <c r="AH178" s="191" t="str">
        <f t="shared" si="15"/>
        <v>P</v>
      </c>
      <c r="AI178" s="191">
        <f t="shared" si="15"/>
        <v>-0.42613636363636365</v>
      </c>
    </row>
    <row r="179" spans="2:37" ht="18.75" customHeight="1" thickBot="1" x14ac:dyDescent="0.25">
      <c r="B179" s="112"/>
      <c r="C179" s="25"/>
      <c r="D179" s="60" t="s">
        <v>52</v>
      </c>
      <c r="E179" s="61"/>
      <c r="F179" s="62">
        <v>57000000</v>
      </c>
      <c r="G179" s="62">
        <v>57000000</v>
      </c>
      <c r="H179" s="62">
        <v>102000000</v>
      </c>
      <c r="I179" s="62">
        <v>118000000</v>
      </c>
      <c r="J179" s="62">
        <v>-45000000</v>
      </c>
      <c r="K179" s="27"/>
      <c r="L179" s="62">
        <v>443000000</v>
      </c>
      <c r="M179" s="62">
        <v>191000000</v>
      </c>
      <c r="N179" s="62">
        <v>-178000000</v>
      </c>
      <c r="O179" s="62">
        <v>270000000</v>
      </c>
      <c r="P179" s="62">
        <v>232000000</v>
      </c>
      <c r="Q179" s="62">
        <v>232000000</v>
      </c>
      <c r="S179" s="29" t="s">
        <v>53</v>
      </c>
      <c r="T179" s="30"/>
      <c r="U179" s="31"/>
      <c r="V179" s="39" t="str">
        <f>IF(V176&gt;10000,"Large Cap",IF(AND(10000&gt;V176,2000&lt;V176),"Mid Cap",IF(AND(2000&gt;V176,V176&gt;50),"Small Cap",IF(V176&lt;50,"Micro Cap",NA))))</f>
        <v>Large Cap</v>
      </c>
      <c r="W179" s="188"/>
      <c r="AB179" s="41"/>
    </row>
    <row r="180" spans="2:37" ht="18.75" customHeight="1" thickBot="1" x14ac:dyDescent="0.25">
      <c r="B180" s="112"/>
      <c r="C180" s="25"/>
      <c r="D180" s="60" t="s">
        <v>54</v>
      </c>
      <c r="E180" s="61"/>
      <c r="F180" s="54">
        <v>0.36</v>
      </c>
      <c r="G180" s="54">
        <v>-0.14000000000000001</v>
      </c>
      <c r="H180" s="54">
        <v>0.74</v>
      </c>
      <c r="I180" s="54">
        <v>0.87</v>
      </c>
      <c r="J180" s="54">
        <v>-0.46</v>
      </c>
      <c r="K180" s="55"/>
      <c r="L180" s="56">
        <v>2.68</v>
      </c>
      <c r="M180" s="56">
        <v>1.1399999999999999</v>
      </c>
      <c r="N180" s="56">
        <v>-1.0900000000000001</v>
      </c>
      <c r="O180" s="56">
        <v>1.76</v>
      </c>
      <c r="P180" s="56">
        <v>1.01</v>
      </c>
      <c r="Q180" s="54">
        <v>1.01</v>
      </c>
      <c r="S180" s="122" t="s">
        <v>55</v>
      </c>
      <c r="T180" s="124"/>
      <c r="U180" s="124"/>
      <c r="V180" s="125"/>
      <c r="W180" s="190"/>
      <c r="X180" s="155" t="s">
        <v>2</v>
      </c>
      <c r="Y180" s="43"/>
      <c r="Z180" s="97"/>
      <c r="AA180" s="193"/>
      <c r="AC180" s="154" t="s">
        <v>56</v>
      </c>
      <c r="AD180" s="72"/>
      <c r="AE180" s="161">
        <f>L174</f>
        <v>2013</v>
      </c>
      <c r="AF180" s="161">
        <f>M174</f>
        <v>2014</v>
      </c>
      <c r="AG180" s="161">
        <f>N174</f>
        <v>2015</v>
      </c>
      <c r="AH180" s="161">
        <f>O174</f>
        <v>2016</v>
      </c>
      <c r="AI180" s="161">
        <f>P174</f>
        <v>2017</v>
      </c>
    </row>
    <row r="181" spans="2:37" ht="18.75" hidden="1" customHeight="1" x14ac:dyDescent="0.2">
      <c r="B181" s="112"/>
      <c r="C181" s="25"/>
      <c r="D181" s="60"/>
      <c r="E181" s="61"/>
      <c r="F181" s="54">
        <v>124400000</v>
      </c>
      <c r="G181" s="54">
        <v>122800000</v>
      </c>
      <c r="H181" s="54">
        <v>121400000</v>
      </c>
      <c r="I181" s="54">
        <v>121500000</v>
      </c>
      <c r="J181" s="54">
        <v>121900000</v>
      </c>
      <c r="K181" s="55"/>
      <c r="L181" s="56">
        <v>165400000</v>
      </c>
      <c r="M181" s="56">
        <v>167900000</v>
      </c>
      <c r="N181" s="56">
        <v>167600000</v>
      </c>
      <c r="O181" s="56">
        <v>125600000</v>
      </c>
      <c r="P181" s="56">
        <v>121900000</v>
      </c>
      <c r="Q181" s="54">
        <v>121900000</v>
      </c>
      <c r="S181" s="51"/>
      <c r="V181" s="170"/>
      <c r="W181" s="190"/>
      <c r="X181" s="171"/>
      <c r="Y181" s="172"/>
      <c r="Z181" s="173"/>
      <c r="AA181" s="194"/>
      <c r="AC181" s="174"/>
      <c r="AD181" s="175"/>
      <c r="AE181" s="176"/>
      <c r="AF181" s="176"/>
      <c r="AG181" s="176"/>
      <c r="AH181" s="176"/>
      <c r="AI181" s="176"/>
    </row>
    <row r="182" spans="2:37" ht="18.75" hidden="1" customHeight="1" x14ac:dyDescent="0.2">
      <c r="B182" s="112"/>
      <c r="C182" s="25"/>
      <c r="D182" s="60"/>
      <c r="E182" s="61"/>
      <c r="F182" s="54">
        <v>0.36</v>
      </c>
      <c r="G182" s="54">
        <v>-0.14000000000000001</v>
      </c>
      <c r="H182" s="54">
        <v>0.74</v>
      </c>
      <c r="I182" s="54">
        <v>0.87</v>
      </c>
      <c r="J182" s="54">
        <v>-0.46</v>
      </c>
      <c r="K182" s="55"/>
      <c r="L182" s="56">
        <v>2.68</v>
      </c>
      <c r="M182" s="56">
        <v>1.1399999999999999</v>
      </c>
      <c r="N182" s="56">
        <v>-1.0900000000000001</v>
      </c>
      <c r="O182" s="56">
        <v>1.76</v>
      </c>
      <c r="P182" s="56">
        <v>1.01</v>
      </c>
      <c r="Q182" s="54">
        <v>1.01</v>
      </c>
      <c r="S182" s="51"/>
      <c r="V182" s="170"/>
      <c r="W182" s="190"/>
      <c r="X182" s="171"/>
      <c r="Y182" s="172"/>
      <c r="Z182" s="173"/>
      <c r="AA182" s="194"/>
      <c r="AC182" s="174"/>
      <c r="AD182" s="175"/>
      <c r="AE182" s="176"/>
      <c r="AF182" s="176"/>
      <c r="AG182" s="176"/>
      <c r="AH182" s="176"/>
      <c r="AI182" s="176"/>
    </row>
    <row r="183" spans="2:37" ht="18.75" customHeight="1" thickBot="1" x14ac:dyDescent="0.25">
      <c r="B183" s="112"/>
      <c r="C183" s="25"/>
      <c r="D183" s="33" t="s">
        <v>57</v>
      </c>
      <c r="E183" s="61"/>
      <c r="F183" s="62">
        <v>124400000</v>
      </c>
      <c r="G183" s="62">
        <v>122800000</v>
      </c>
      <c r="H183" s="62">
        <v>121400000</v>
      </c>
      <c r="I183" s="62">
        <v>121500000</v>
      </c>
      <c r="J183" s="62">
        <v>121900000</v>
      </c>
      <c r="K183" s="28"/>
      <c r="L183" s="62">
        <v>165400000</v>
      </c>
      <c r="M183" s="62">
        <v>167900000</v>
      </c>
      <c r="N183" s="62">
        <v>167600000</v>
      </c>
      <c r="O183" s="62">
        <v>125600000</v>
      </c>
      <c r="P183" s="62">
        <v>121900000</v>
      </c>
      <c r="Q183" s="62">
        <v>121900000</v>
      </c>
      <c r="S183" s="123"/>
      <c r="X183" s="47" t="s">
        <v>20</v>
      </c>
      <c r="Y183" s="47"/>
      <c r="Z183" s="48"/>
      <c r="AA183" s="49">
        <f>AVERAGE(G189:J189)/AVERAGE(G192:J192)</f>
        <v>1.3800414280492264</v>
      </c>
      <c r="AC183" s="74" t="s">
        <v>29</v>
      </c>
      <c r="AD183" s="75"/>
      <c r="AE183" s="76">
        <f>IF(L175="","",L175)</f>
        <v>6123000000</v>
      </c>
      <c r="AF183" s="76">
        <f>IF(M175="","",M175)</f>
        <v>6591000000</v>
      </c>
      <c r="AG183" s="76">
        <f>IF(N175="","",N175)</f>
        <v>6373000000</v>
      </c>
      <c r="AH183" s="76">
        <f>IF(O175="","",O175)</f>
        <v>6543000000</v>
      </c>
      <c r="AI183" s="76">
        <f>IF(P175="","",P175)</f>
        <v>6516000000</v>
      </c>
    </row>
    <row r="184" spans="2:37" ht="18.75" customHeight="1" thickBot="1" x14ac:dyDescent="0.25">
      <c r="B184" s="112"/>
      <c r="C184" s="25"/>
      <c r="D184" s="33" t="s">
        <v>58</v>
      </c>
      <c r="E184" s="45"/>
      <c r="F184" s="35">
        <v>214000000</v>
      </c>
      <c r="G184" s="35">
        <v>195000000</v>
      </c>
      <c r="H184" s="35">
        <v>258000000</v>
      </c>
      <c r="I184" s="35">
        <v>283000000</v>
      </c>
      <c r="J184" s="35">
        <v>263000000</v>
      </c>
      <c r="K184" s="40"/>
      <c r="L184" s="62">
        <v>865000000</v>
      </c>
      <c r="M184" s="62">
        <v>602000000</v>
      </c>
      <c r="N184" s="62">
        <v>386000000</v>
      </c>
      <c r="O184" s="62">
        <v>893000000</v>
      </c>
      <c r="P184" s="62">
        <v>999000000</v>
      </c>
      <c r="Q184" s="62">
        <v>999000000</v>
      </c>
      <c r="S184" s="153" t="s">
        <v>59</v>
      </c>
      <c r="T184" s="19"/>
      <c r="U184" s="19"/>
      <c r="V184" s="19"/>
      <c r="X184" s="63" t="s">
        <v>21</v>
      </c>
      <c r="Y184" s="63"/>
      <c r="Z184" s="98"/>
      <c r="AA184" s="65">
        <f>AVERAGE(G190:J190)/AVERAGE(G195:J195)</f>
        <v>11.64825253664036</v>
      </c>
      <c r="AC184" s="74" t="s">
        <v>60</v>
      </c>
      <c r="AD184" s="75"/>
      <c r="AE184" s="195">
        <f>IF(OR(L175="",L177=""),"",L177/L175)</f>
        <v>0.28417442430181283</v>
      </c>
      <c r="AF184" s="195">
        <f>IF(OR(M175="",M177=""),"",M177/M175)</f>
        <v>0.26278258230920953</v>
      </c>
      <c r="AG184" s="195">
        <f>IF(OR(N175="",N177=""),"",N177/N175)</f>
        <v>0.23050368743135102</v>
      </c>
      <c r="AH184" s="195">
        <f>IF(OR(O175="",O177=""),"",O177/O175)</f>
        <v>0.27235213204951858</v>
      </c>
      <c r="AI184" s="195">
        <f>IF(OR(P175="",P177=""),"",P177/P175)</f>
        <v>0.28606507059545733</v>
      </c>
    </row>
    <row r="185" spans="2:37" ht="18.75" customHeight="1" x14ac:dyDescent="0.2">
      <c r="B185" s="113"/>
      <c r="C185" s="37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S185" s="47" t="s">
        <v>13</v>
      </c>
      <c r="T185" s="47"/>
      <c r="U185" s="48"/>
      <c r="V185" s="49">
        <f>IF(Q180&gt;0,V175/Q180,"")</f>
        <v>32.653465346534652</v>
      </c>
      <c r="X185" s="63" t="s">
        <v>22</v>
      </c>
      <c r="Y185" s="63"/>
      <c r="Z185" s="98"/>
      <c r="AA185" s="65">
        <f>AVERAGE(G193:J193)/AVERAGE(G195:J195)</f>
        <v>4.5148440435926345</v>
      </c>
      <c r="AC185" s="74" t="s">
        <v>47</v>
      </c>
      <c r="AD185" s="75"/>
      <c r="AE185" s="76">
        <f>IF(L178="","",L178)</f>
        <v>666000000</v>
      </c>
      <c r="AF185" s="76">
        <f>IF(M178="","",M178)</f>
        <v>353000000</v>
      </c>
      <c r="AG185" s="76">
        <f>IF(N178="","",N178)</f>
        <v>135000000</v>
      </c>
      <c r="AH185" s="76">
        <f>IF(O178="","",O178)</f>
        <v>599000000</v>
      </c>
      <c r="AI185" s="76">
        <f>IF(P178="","",P178)</f>
        <v>676000000</v>
      </c>
    </row>
    <row r="186" spans="2:37" ht="18.75" customHeight="1" x14ac:dyDescent="0.25">
      <c r="B186" s="114"/>
      <c r="C186" s="73"/>
      <c r="D186" s="120" t="s">
        <v>61</v>
      </c>
      <c r="E186" s="18"/>
      <c r="F186" s="196" t="str">
        <f>F174</f>
        <v>2016-10</v>
      </c>
      <c r="G186" s="196" t="str">
        <f>G174</f>
        <v>2017-01</v>
      </c>
      <c r="H186" s="196" t="str">
        <f>H174</f>
        <v>2017-04</v>
      </c>
      <c r="I186" s="196" t="str">
        <f>I174</f>
        <v>2017-07</v>
      </c>
      <c r="J186" s="196" t="str">
        <f>J174</f>
        <v>2017-10</v>
      </c>
      <c r="K186" s="197"/>
      <c r="L186" s="198">
        <f>L174</f>
        <v>2013</v>
      </c>
      <c r="M186" s="198">
        <f>M174</f>
        <v>2014</v>
      </c>
      <c r="N186" s="198">
        <f>N174</f>
        <v>2015</v>
      </c>
      <c r="O186" s="198">
        <f>O174</f>
        <v>2016</v>
      </c>
      <c r="P186" s="198">
        <f>P174</f>
        <v>2017</v>
      </c>
      <c r="Q186" s="185"/>
      <c r="S186" s="57" t="s">
        <v>15</v>
      </c>
      <c r="T186" s="57"/>
      <c r="U186" s="58"/>
      <c r="V186" s="59">
        <f>V175/((J190-J194)/J183)</f>
        <v>5.5914631432545194</v>
      </c>
      <c r="W186" s="199"/>
      <c r="X186" s="123"/>
      <c r="AA186" s="123"/>
      <c r="AC186" s="74" t="s">
        <v>62</v>
      </c>
      <c r="AD186" s="75"/>
      <c r="AE186" s="195">
        <f>IF(OR(L175="",L178=""),"",L178/L175)</f>
        <v>0.1087702106810387</v>
      </c>
      <c r="AF186" s="195">
        <f>IF(OR(M175="",M178=""),"",M178/M175)</f>
        <v>5.3557881960248827E-2</v>
      </c>
      <c r="AG186" s="195">
        <f>IF(OR(N175="",N178=""),"",N178/N175)</f>
        <v>2.1183116271771538E-2</v>
      </c>
      <c r="AH186" s="195">
        <f>IF(OR(O175="",O178=""),"",O178/O175)</f>
        <v>9.1548219471190587E-2</v>
      </c>
      <c r="AI186" s="195">
        <f>IF(OR(P175="",P178=""),"",P178/P175)</f>
        <v>0.10374462860650706</v>
      </c>
      <c r="AJ186" s="77"/>
      <c r="AK186" s="23"/>
    </row>
    <row r="187" spans="2:37" ht="18.75" customHeight="1" thickBot="1" x14ac:dyDescent="0.25">
      <c r="B187" s="110"/>
      <c r="C187" s="17"/>
      <c r="D187" s="60" t="s">
        <v>63</v>
      </c>
      <c r="E187" s="61"/>
      <c r="F187" s="62">
        <v>498000000</v>
      </c>
      <c r="G187" s="62">
        <v>401000000</v>
      </c>
      <c r="H187" s="62">
        <v>377000000</v>
      </c>
      <c r="I187" s="62">
        <v>405000000</v>
      </c>
      <c r="J187" s="62">
        <v>537000000</v>
      </c>
      <c r="K187" s="27"/>
      <c r="L187" s="62">
        <v>528000000</v>
      </c>
      <c r="M187" s="62">
        <v>511000000</v>
      </c>
      <c r="N187" s="62">
        <v>328000000</v>
      </c>
      <c r="O187" s="62">
        <v>498000000</v>
      </c>
      <c r="P187" s="62">
        <v>537000000</v>
      </c>
      <c r="Q187" s="62"/>
      <c r="S187" s="57" t="s">
        <v>14</v>
      </c>
      <c r="T187" s="57"/>
      <c r="U187" s="58"/>
      <c r="V187" s="59">
        <f>V175/(Q175/Q183)</f>
        <v>0.61698311847759357</v>
      </c>
      <c r="W187" s="200"/>
      <c r="X187" s="155" t="s">
        <v>36</v>
      </c>
      <c r="Y187" s="43"/>
      <c r="Z187" s="43"/>
      <c r="AA187" s="201"/>
      <c r="AC187" s="74" t="s">
        <v>31</v>
      </c>
      <c r="AD187" s="75"/>
      <c r="AE187" s="76">
        <f t="shared" ref="AE187:AI188" si="16">IF(L179="","",L179)</f>
        <v>443000000</v>
      </c>
      <c r="AF187" s="76">
        <f t="shared" si="16"/>
        <v>191000000</v>
      </c>
      <c r="AG187" s="76">
        <f t="shared" si="16"/>
        <v>-178000000</v>
      </c>
      <c r="AH187" s="76">
        <f t="shared" si="16"/>
        <v>270000000</v>
      </c>
      <c r="AI187" s="76">
        <f t="shared" si="16"/>
        <v>232000000</v>
      </c>
      <c r="AK187" s="202"/>
    </row>
    <row r="188" spans="2:37" ht="18.75" customHeight="1" thickBot="1" x14ac:dyDescent="0.25">
      <c r="B188" s="112"/>
      <c r="C188" s="25"/>
      <c r="D188" s="94" t="s">
        <v>64</v>
      </c>
      <c r="E188" s="61"/>
      <c r="F188" s="38">
        <v>498000000</v>
      </c>
      <c r="G188" s="38">
        <v>401000000</v>
      </c>
      <c r="H188" s="38">
        <v>377000000</v>
      </c>
      <c r="I188" s="38">
        <v>405000000</v>
      </c>
      <c r="J188" s="38">
        <v>537000000</v>
      </c>
      <c r="K188" s="80"/>
      <c r="L188" s="38">
        <v>528000000</v>
      </c>
      <c r="M188" s="38">
        <v>511000000</v>
      </c>
      <c r="N188" s="38">
        <v>328000000</v>
      </c>
      <c r="O188" s="38">
        <v>498000000</v>
      </c>
      <c r="P188" s="38">
        <v>537000000</v>
      </c>
      <c r="Q188" s="38"/>
      <c r="S188" s="63" t="s">
        <v>17</v>
      </c>
      <c r="T188" s="63"/>
      <c r="U188" s="64"/>
      <c r="V188" s="65">
        <f>IF(AVERAGE(N198:P198)&gt;0,V175/(AVERAGE(N198:P198)/Q183),"")</f>
        <v>5.176303004291845</v>
      </c>
      <c r="W188" s="200"/>
      <c r="X188" s="145" t="s">
        <v>29</v>
      </c>
      <c r="Y188" s="145"/>
      <c r="Z188" s="147"/>
      <c r="AA188" s="148">
        <f>Q175</f>
        <v>6516000000</v>
      </c>
      <c r="AC188" s="74" t="s">
        <v>32</v>
      </c>
      <c r="AD188" s="75"/>
      <c r="AE188" s="203">
        <f t="shared" si="16"/>
        <v>2.68</v>
      </c>
      <c r="AF188" s="203">
        <f t="shared" si="16"/>
        <v>1.1399999999999999</v>
      </c>
      <c r="AG188" s="203">
        <f t="shared" si="16"/>
        <v>-1.0900000000000001</v>
      </c>
      <c r="AH188" s="203">
        <f t="shared" si="16"/>
        <v>1.76</v>
      </c>
      <c r="AI188" s="203">
        <f t="shared" si="16"/>
        <v>1.01</v>
      </c>
      <c r="AK188" s="202"/>
    </row>
    <row r="189" spans="2:37" ht="18.75" customHeight="1" thickBot="1" x14ac:dyDescent="0.3">
      <c r="B189" s="114"/>
      <c r="C189" s="73"/>
      <c r="D189" s="94" t="s">
        <v>65</v>
      </c>
      <c r="E189" s="61"/>
      <c r="F189" s="38">
        <v>2757000000</v>
      </c>
      <c r="G189" s="38">
        <v>2780000000</v>
      </c>
      <c r="H189" s="38">
        <v>2816000000</v>
      </c>
      <c r="I189" s="38">
        <v>2900000000</v>
      </c>
      <c r="J189" s="38">
        <v>2830000000</v>
      </c>
      <c r="K189" s="80"/>
      <c r="L189" s="38">
        <v>4339000000</v>
      </c>
      <c r="M189" s="38">
        <v>3088000000</v>
      </c>
      <c r="N189" s="38">
        <v>2549000000</v>
      </c>
      <c r="O189" s="38">
        <v>2757000000</v>
      </c>
      <c r="P189" s="38">
        <v>2830000000</v>
      </c>
      <c r="Q189" s="38"/>
      <c r="S189" s="29" t="s">
        <v>16</v>
      </c>
      <c r="T189" s="29"/>
      <c r="U189" s="30"/>
      <c r="V189" s="65">
        <f>IF(AVERAGE(N200:P200)&gt;0,V176/AVERAGE(N200:P200),"")</f>
        <v>7.6334088607594923</v>
      </c>
      <c r="X189" s="68" t="s">
        <v>66</v>
      </c>
      <c r="Y189" s="68"/>
      <c r="Z189" s="69"/>
      <c r="AA189" s="70">
        <f>Q177</f>
        <v>1864000000</v>
      </c>
      <c r="AC189" s="74" t="s">
        <v>67</v>
      </c>
      <c r="AD189" s="75"/>
      <c r="AE189" s="76">
        <f>IF(L183="","",L183)</f>
        <v>165400000</v>
      </c>
      <c r="AF189" s="76">
        <f>IF(M183="","",M183)</f>
        <v>167900000</v>
      </c>
      <c r="AG189" s="76">
        <f>IF(N183="","",N183)</f>
        <v>167600000</v>
      </c>
      <c r="AH189" s="76">
        <f>IF(O183="","",O183)</f>
        <v>125600000</v>
      </c>
      <c r="AI189" s="76">
        <f>IF(P183="","",P183)</f>
        <v>121900000</v>
      </c>
      <c r="AK189" s="202"/>
    </row>
    <row r="190" spans="2:37" ht="18.75" customHeight="1" thickBot="1" x14ac:dyDescent="0.25">
      <c r="B190" s="113"/>
      <c r="C190" s="37"/>
      <c r="D190" s="94" t="s">
        <v>68</v>
      </c>
      <c r="E190" s="61"/>
      <c r="F190" s="38">
        <v>7673000000</v>
      </c>
      <c r="G190" s="38">
        <v>7725000000</v>
      </c>
      <c r="H190" s="38">
        <v>7767000000</v>
      </c>
      <c r="I190" s="38">
        <v>7850000000</v>
      </c>
      <c r="J190" s="38">
        <v>7654000000</v>
      </c>
      <c r="K190" s="85"/>
      <c r="L190" s="38">
        <v>8108000000</v>
      </c>
      <c r="M190" s="38">
        <v>8607000000</v>
      </c>
      <c r="N190" s="38">
        <v>7635000000</v>
      </c>
      <c r="O190" s="38">
        <v>7673000000</v>
      </c>
      <c r="P190" s="38">
        <v>7654000000</v>
      </c>
      <c r="Q190" s="38"/>
      <c r="S190" s="57" t="s">
        <v>18</v>
      </c>
      <c r="T190" s="57"/>
      <c r="U190" s="58"/>
      <c r="V190" s="59">
        <f>(V176+(J191+J193)-J187)/J184</f>
        <v>24.61696577946768</v>
      </c>
      <c r="X190" s="68" t="s">
        <v>31</v>
      </c>
      <c r="Y190" s="68"/>
      <c r="Z190" s="69"/>
      <c r="AA190" s="70">
        <f>Q179</f>
        <v>232000000</v>
      </c>
      <c r="AC190" s="74" t="s">
        <v>69</v>
      </c>
      <c r="AD190" s="75"/>
      <c r="AE190" s="204">
        <f>IF(OR(L195="",L183="",L190="",L194=""),"",(L190-L194)/L183)</f>
        <v>10.69528415961306</v>
      </c>
      <c r="AF190" s="204">
        <f>IF(OR(M195="",M183="",M190="",M194=""),"",(M190-M194)/M183)</f>
        <v>11.14353782013103</v>
      </c>
      <c r="AG190" s="204">
        <f>IF(OR(N195="",N183="",N190="",N194=""),"",(N190-N194)/N183)</f>
        <v>4.2959427207637235</v>
      </c>
      <c r="AH190" s="204">
        <f>IF(OR(O195="",O183="",O190="",O194=""),"",(O190-O194)/O183)</f>
        <v>5.5334394904458595</v>
      </c>
      <c r="AI190" s="204">
        <f>IF(OR(P195="",P183="",P190="",P194=""),"",(P190-P194)/P183)</f>
        <v>5.8982772764561116</v>
      </c>
      <c r="AK190" s="202"/>
    </row>
    <row r="191" spans="2:37" ht="18.75" customHeight="1" thickBot="1" x14ac:dyDescent="0.25">
      <c r="B191" s="112"/>
      <c r="C191" s="25"/>
      <c r="D191" s="60" t="s">
        <v>70</v>
      </c>
      <c r="E191" s="26"/>
      <c r="F191" s="62">
        <v>50000000</v>
      </c>
      <c r="G191" s="62">
        <v>252000000</v>
      </c>
      <c r="H191" s="62">
        <v>267000000</v>
      </c>
      <c r="I191" s="62">
        <v>269000000</v>
      </c>
      <c r="J191" s="62">
        <v>52000000</v>
      </c>
      <c r="K191" s="27"/>
      <c r="L191" s="62">
        <v>34000000</v>
      </c>
      <c r="M191" s="62">
        <v>187000000</v>
      </c>
      <c r="N191" s="62">
        <v>13000000</v>
      </c>
      <c r="O191" s="62">
        <v>50000000</v>
      </c>
      <c r="P191" s="62">
        <v>52000000</v>
      </c>
      <c r="Q191" s="62"/>
      <c r="S191" s="63" t="s">
        <v>19</v>
      </c>
      <c r="T191" s="63"/>
      <c r="U191" s="64"/>
      <c r="V191" s="65">
        <f>(V176+(J191+J193)-J187)/J175</f>
        <v>3.6331436588103254</v>
      </c>
      <c r="X191" s="29" t="s">
        <v>32</v>
      </c>
      <c r="Y191" s="29"/>
      <c r="Z191" s="30"/>
      <c r="AA191" s="205">
        <f>Q180</f>
        <v>1.01</v>
      </c>
      <c r="AK191" s="202"/>
    </row>
    <row r="192" spans="2:37" ht="18.75" customHeight="1" thickBot="1" x14ac:dyDescent="0.25">
      <c r="B192" s="115"/>
      <c r="C192" s="91"/>
      <c r="D192" s="94" t="s">
        <v>71</v>
      </c>
      <c r="E192" s="61"/>
      <c r="F192" s="38">
        <v>1965000000</v>
      </c>
      <c r="G192" s="38">
        <v>2159000000</v>
      </c>
      <c r="H192" s="38">
        <v>2113000000</v>
      </c>
      <c r="I192" s="38">
        <v>2046000000</v>
      </c>
      <c r="J192" s="38">
        <v>1889000000</v>
      </c>
      <c r="K192" s="80"/>
      <c r="L192" s="38">
        <v>1881000000</v>
      </c>
      <c r="M192" s="38">
        <v>2070000000</v>
      </c>
      <c r="N192" s="38">
        <v>1781000000</v>
      </c>
      <c r="O192" s="38">
        <v>1965000000</v>
      </c>
      <c r="P192" s="38">
        <v>1889000000</v>
      </c>
      <c r="Q192" s="38"/>
      <c r="AC192" s="89" t="s">
        <v>3</v>
      </c>
      <c r="AD192" s="90"/>
      <c r="AE192" s="161">
        <f>L174</f>
        <v>2013</v>
      </c>
      <c r="AF192" s="161">
        <f>M174</f>
        <v>2014</v>
      </c>
      <c r="AG192" s="161">
        <f>N174</f>
        <v>2015</v>
      </c>
      <c r="AH192" s="161">
        <f>O174</f>
        <v>2016</v>
      </c>
      <c r="AI192" s="161">
        <f>P174</f>
        <v>2017</v>
      </c>
    </row>
    <row r="193" spans="1:40" ht="18.75" customHeight="1" thickBot="1" x14ac:dyDescent="0.25">
      <c r="B193" s="113"/>
      <c r="C193" s="37"/>
      <c r="D193" s="60" t="s">
        <v>72</v>
      </c>
      <c r="E193" s="26"/>
      <c r="F193" s="62">
        <v>3001000000</v>
      </c>
      <c r="G193" s="62">
        <v>3076000000</v>
      </c>
      <c r="H193" s="62">
        <v>3015000000</v>
      </c>
      <c r="I193" s="62">
        <v>2984000000</v>
      </c>
      <c r="J193" s="62">
        <v>2939000000</v>
      </c>
      <c r="K193" s="71"/>
      <c r="L193" s="62">
        <v>3320000000</v>
      </c>
      <c r="M193" s="62">
        <v>3472000000</v>
      </c>
      <c r="N193" s="62">
        <v>3239000000</v>
      </c>
      <c r="O193" s="62">
        <v>3001000000</v>
      </c>
      <c r="P193" s="62">
        <v>2939000000</v>
      </c>
      <c r="Q193" s="62"/>
      <c r="S193" s="154" t="s">
        <v>3</v>
      </c>
      <c r="T193" s="72"/>
      <c r="U193" s="72"/>
      <c r="V193" s="42"/>
      <c r="X193" s="155" t="s">
        <v>61</v>
      </c>
      <c r="Y193" s="43"/>
      <c r="Z193" s="43"/>
      <c r="AA193" s="206"/>
      <c r="AC193" s="74" t="s">
        <v>73</v>
      </c>
      <c r="AD193" s="75"/>
      <c r="AE193" s="207">
        <f>IF(OR(L175="",L179="",L175=0,L179=0),"",L179/L175)</f>
        <v>7.2350155152702919E-2</v>
      </c>
      <c r="AF193" s="207">
        <f>IF(OR(M175="",M179="",M175=0,M179=0),"",M179/M175)</f>
        <v>2.8978910635715369E-2</v>
      </c>
      <c r="AG193" s="207">
        <f>IF(OR(N175="",N179="",N175=0,N179=0),"",N179/N175)</f>
        <v>-2.7930331084261729E-2</v>
      </c>
      <c r="AH193" s="207">
        <f>IF(OR(O175="",O179="",O175=0,O179=0),"",O179/O175)</f>
        <v>4.1265474552957357E-2</v>
      </c>
      <c r="AI193" s="207">
        <f>IF(OR(P175="",P179="",P175=0,P179=0),"",P179/P175)</f>
        <v>3.5604665438919582E-2</v>
      </c>
    </row>
    <row r="194" spans="1:40" ht="18.75" customHeight="1" thickBot="1" x14ac:dyDescent="0.25">
      <c r="B194" s="116"/>
      <c r="C194" s="93"/>
      <c r="D194" s="94" t="s">
        <v>74</v>
      </c>
      <c r="E194" s="61"/>
      <c r="F194" s="38">
        <v>6978000000</v>
      </c>
      <c r="G194" s="38">
        <v>7195000000</v>
      </c>
      <c r="H194" s="38">
        <v>7125000000</v>
      </c>
      <c r="I194" s="38">
        <v>7080000000</v>
      </c>
      <c r="J194" s="38">
        <v>6935000000</v>
      </c>
      <c r="K194" s="80"/>
      <c r="L194" s="46">
        <v>6339000000</v>
      </c>
      <c r="M194" s="46">
        <v>6736000000</v>
      </c>
      <c r="N194" s="46">
        <v>6915000000</v>
      </c>
      <c r="O194" s="46">
        <v>6978000000</v>
      </c>
      <c r="P194" s="46">
        <v>6935000000</v>
      </c>
      <c r="Q194" s="38"/>
      <c r="S194" s="50" t="s">
        <v>12</v>
      </c>
      <c r="T194" s="50"/>
      <c r="U194" s="78"/>
      <c r="V194" s="79">
        <f>Q175</f>
        <v>6516000000</v>
      </c>
      <c r="X194" s="122" t="s">
        <v>75</v>
      </c>
      <c r="Y194" s="122"/>
      <c r="Z194" s="144"/>
      <c r="AA194" s="148">
        <f>J188</f>
        <v>537000000</v>
      </c>
      <c r="AC194" s="74" t="s">
        <v>76</v>
      </c>
      <c r="AD194" s="75"/>
      <c r="AE194" s="207">
        <f>IF(OR(L179="",L193="",L179=0,L193=0),"",L179/L193)</f>
        <v>0.13343373493975905</v>
      </c>
      <c r="AF194" s="207">
        <f>IF(OR(M179="",M193="",M179=0,M193=0),"",M179/M193)</f>
        <v>5.5011520737327187E-2</v>
      </c>
      <c r="AG194" s="207">
        <f>IF(OR(N179="",N193="",N179=0,N193=0),"",N179/N193)</f>
        <v>-5.4955233096634762E-2</v>
      </c>
      <c r="AH194" s="207">
        <f>IF(OR(O179="",O193="",O179=0,O193=0),"",O179/O193)</f>
        <v>8.997000999666778E-2</v>
      </c>
      <c r="AI194" s="207">
        <f>IF(OR(P179="",P193="",P179=0,P193=0),"",P179/P193)</f>
        <v>7.8938414426675735E-2</v>
      </c>
    </row>
    <row r="195" spans="1:40" ht="18.75" customHeight="1" thickBot="1" x14ac:dyDescent="0.25">
      <c r="B195" s="113"/>
      <c r="C195" s="37"/>
      <c r="D195" s="94" t="s">
        <v>77</v>
      </c>
      <c r="E195" s="61"/>
      <c r="F195" s="38">
        <v>695000000</v>
      </c>
      <c r="G195" s="38">
        <v>530000000</v>
      </c>
      <c r="H195" s="38">
        <v>642000000</v>
      </c>
      <c r="I195" s="38">
        <v>770000000</v>
      </c>
      <c r="J195" s="38">
        <v>719000000</v>
      </c>
      <c r="K195" s="85"/>
      <c r="L195" s="46">
        <v>1769000000</v>
      </c>
      <c r="M195" s="46">
        <v>1871000000</v>
      </c>
      <c r="N195" s="46">
        <v>720000000</v>
      </c>
      <c r="O195" s="46">
        <v>695000000</v>
      </c>
      <c r="P195" s="46">
        <v>719000000</v>
      </c>
      <c r="Q195" s="38"/>
      <c r="S195" s="68" t="s">
        <v>23</v>
      </c>
      <c r="T195" s="68"/>
      <c r="U195" s="69"/>
      <c r="V195" s="192">
        <f>(Q175-Q176)/Q175</f>
        <v>0.28606507059545733</v>
      </c>
      <c r="X195" s="145" t="s">
        <v>78</v>
      </c>
      <c r="Y195" s="146"/>
      <c r="Z195" s="147"/>
      <c r="AA195" s="148">
        <f>J189</f>
        <v>2830000000</v>
      </c>
      <c r="AC195" s="74" t="s">
        <v>79</v>
      </c>
      <c r="AD195" s="75"/>
      <c r="AE195" s="207">
        <f>IF(OR(L179="",L190="",L179=0,L190=0),"",L179/L190)</f>
        <v>5.4637395165268873E-2</v>
      </c>
      <c r="AF195" s="207">
        <f>IF(OR(M179="",M190="",M179=0,M190=0),"",M179/M190)</f>
        <v>2.2191239688625537E-2</v>
      </c>
      <c r="AG195" s="207">
        <f>IF(OR(N179="",N190="",N179=0,N190=0),"",N179/N190)</f>
        <v>-2.3313686967910936E-2</v>
      </c>
      <c r="AH195" s="207">
        <f>IF(OR(O179="",O190="",O179=0,O190=0),"",O179/O190)</f>
        <v>3.5188322689951777E-2</v>
      </c>
      <c r="AI195" s="207">
        <f>IF(OR(P179="",P190="",P179=0,P190=0),"",P179/P190)</f>
        <v>3.0310948523647765E-2</v>
      </c>
    </row>
    <row r="196" spans="1:40" ht="18.75" customHeight="1" x14ac:dyDescent="0.2">
      <c r="B196" s="113"/>
      <c r="C196" s="37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S196" s="68" t="s">
        <v>24</v>
      </c>
      <c r="T196" s="68"/>
      <c r="U196" s="69"/>
      <c r="V196" s="192">
        <f>Q179/Q175</f>
        <v>3.5604665438919582E-2</v>
      </c>
      <c r="X196" s="63" t="s">
        <v>80</v>
      </c>
      <c r="Y196" s="63"/>
      <c r="Z196" s="64"/>
      <c r="AA196" s="70">
        <f>J192</f>
        <v>1889000000</v>
      </c>
      <c r="AC196" s="74" t="s">
        <v>28</v>
      </c>
      <c r="AD196" s="75"/>
      <c r="AE196" s="92">
        <f>IF(OR(L175="",L190="",L175=0,L190=0),"",L175/L190)</f>
        <v>0.75518006906758761</v>
      </c>
      <c r="AF196" s="92">
        <f>IF(OR(M175="",M190="",M175=0,M190=0),"",M175/M190)</f>
        <v>0.76577204600906235</v>
      </c>
      <c r="AG196" s="92">
        <f>IF(OR(N175="",N190="",N175=0,N190=0),"",N175/N190)</f>
        <v>0.83470857891290107</v>
      </c>
      <c r="AH196" s="92">
        <f>IF(OR(O175="",O190="",O175=0,O190=0),"",O175/O190)</f>
        <v>0.85273035318649815</v>
      </c>
      <c r="AI196" s="92">
        <f>IF(OR(P175="",P190="",P175=0,P190=0),"",P175/P190)</f>
        <v>0.8513195714659002</v>
      </c>
    </row>
    <row r="197" spans="1:40" ht="18.75" customHeight="1" x14ac:dyDescent="0.2">
      <c r="B197" s="113"/>
      <c r="C197" s="37"/>
      <c r="D197" s="121" t="s">
        <v>81</v>
      </c>
      <c r="E197" s="18"/>
      <c r="F197" s="196" t="str">
        <f>F174</f>
        <v>2016-10</v>
      </c>
      <c r="G197" s="196" t="str">
        <f>G174</f>
        <v>2017-01</v>
      </c>
      <c r="H197" s="196" t="str">
        <f>H174</f>
        <v>2017-04</v>
      </c>
      <c r="I197" s="196" t="str">
        <f>I174</f>
        <v>2017-07</v>
      </c>
      <c r="J197" s="196" t="str">
        <f>J174</f>
        <v>2017-10</v>
      </c>
      <c r="K197" s="197"/>
      <c r="L197" s="208">
        <f>L174</f>
        <v>2013</v>
      </c>
      <c r="M197" s="208">
        <f>M174</f>
        <v>2014</v>
      </c>
      <c r="N197" s="208">
        <f>N174</f>
        <v>2015</v>
      </c>
      <c r="O197" s="208">
        <f>O174</f>
        <v>2016</v>
      </c>
      <c r="P197" s="208">
        <f>P174</f>
        <v>2017</v>
      </c>
      <c r="Q197" s="185" t="s">
        <v>42</v>
      </c>
      <c r="S197" s="68" t="s">
        <v>25</v>
      </c>
      <c r="T197" s="68"/>
      <c r="U197" s="69"/>
      <c r="V197" s="192">
        <f>Q178/Q175</f>
        <v>0.10374462860650706</v>
      </c>
      <c r="X197" s="63" t="s">
        <v>82</v>
      </c>
      <c r="Y197" s="81"/>
      <c r="Z197" s="81"/>
      <c r="AA197" s="70">
        <f>J191+J193</f>
        <v>2991000000</v>
      </c>
      <c r="AJ197" s="95"/>
    </row>
    <row r="198" spans="1:40" ht="18.75" customHeight="1" thickBot="1" x14ac:dyDescent="0.3">
      <c r="B198" s="117"/>
      <c r="C198" s="96"/>
      <c r="D198" s="60" t="s">
        <v>83</v>
      </c>
      <c r="E198" s="26"/>
      <c r="F198" s="62">
        <v>555000000</v>
      </c>
      <c r="G198" s="62">
        <v>43000000</v>
      </c>
      <c r="H198" s="62">
        <v>95000000</v>
      </c>
      <c r="I198" s="62">
        <v>133000000</v>
      </c>
      <c r="J198" s="62">
        <v>484000000</v>
      </c>
      <c r="K198" s="27"/>
      <c r="L198" s="62">
        <v>281000000</v>
      </c>
      <c r="M198" s="62">
        <v>524000000</v>
      </c>
      <c r="N198" s="62">
        <v>681000000</v>
      </c>
      <c r="O198" s="62">
        <v>894000000</v>
      </c>
      <c r="P198" s="62">
        <v>755000000</v>
      </c>
      <c r="Q198" s="62">
        <v>755000000</v>
      </c>
      <c r="X198" s="82"/>
      <c r="Y198" s="83"/>
      <c r="Z198" s="83"/>
      <c r="AA198" s="84"/>
      <c r="AC198" s="89" t="s">
        <v>2</v>
      </c>
      <c r="AD198" s="90"/>
      <c r="AE198" s="162">
        <f>L174</f>
        <v>2013</v>
      </c>
      <c r="AF198" s="162">
        <f>M174</f>
        <v>2014</v>
      </c>
      <c r="AG198" s="162">
        <f>N174</f>
        <v>2015</v>
      </c>
      <c r="AH198" s="162">
        <f>O174</f>
        <v>2016</v>
      </c>
      <c r="AI198" s="162">
        <f>P174</f>
        <v>2017</v>
      </c>
      <c r="AJ198" s="95"/>
    </row>
    <row r="199" spans="1:40" ht="18.75" customHeight="1" thickBot="1" x14ac:dyDescent="0.25">
      <c r="B199" s="113"/>
      <c r="C199" s="37"/>
      <c r="D199" s="60" t="s">
        <v>84</v>
      </c>
      <c r="E199" s="26"/>
      <c r="F199" s="62">
        <v>-67000000</v>
      </c>
      <c r="G199" s="62">
        <v>-52000000</v>
      </c>
      <c r="H199" s="62">
        <v>-75000000</v>
      </c>
      <c r="I199" s="62">
        <v>-79000000</v>
      </c>
      <c r="J199" s="62">
        <v>-88000000</v>
      </c>
      <c r="K199" s="27"/>
      <c r="L199" s="62">
        <v>-226000000</v>
      </c>
      <c r="M199" s="62">
        <v>-258000000</v>
      </c>
      <c r="N199" s="62">
        <v>-229000000</v>
      </c>
      <c r="O199" s="62">
        <v>-227000000</v>
      </c>
      <c r="P199" s="62">
        <v>-294000000</v>
      </c>
      <c r="Q199" s="62">
        <v>-294000000</v>
      </c>
      <c r="S199" s="153" t="s">
        <v>4</v>
      </c>
      <c r="T199" s="19"/>
      <c r="U199" s="19"/>
      <c r="V199" s="86"/>
      <c r="X199" s="155" t="s">
        <v>85</v>
      </c>
      <c r="Y199" s="43"/>
      <c r="Z199" s="43"/>
      <c r="AA199" s="196"/>
      <c r="AC199" s="74" t="s">
        <v>20</v>
      </c>
      <c r="AD199" s="75"/>
      <c r="AE199" s="92">
        <f t="shared" ref="AE199:AI200" si="17">IF(OR(L189="",L192="",L189=0,L192=0),"",L189/L192)</f>
        <v>2.3067517278043592</v>
      </c>
      <c r="AF199" s="92">
        <f t="shared" si="17"/>
        <v>1.4917874396135267</v>
      </c>
      <c r="AG199" s="92">
        <f t="shared" si="17"/>
        <v>1.4312184166198765</v>
      </c>
      <c r="AH199" s="92">
        <f t="shared" si="17"/>
        <v>1.4030534351145039</v>
      </c>
      <c r="AI199" s="92">
        <f t="shared" si="17"/>
        <v>1.498147167813658</v>
      </c>
      <c r="AJ199" s="95"/>
    </row>
    <row r="200" spans="1:40" ht="18.75" customHeight="1" thickBot="1" x14ac:dyDescent="0.25">
      <c r="B200" s="113"/>
      <c r="C200" s="37"/>
      <c r="D200" s="60" t="s">
        <v>86</v>
      </c>
      <c r="E200" s="26"/>
      <c r="F200" s="62">
        <v>488000000</v>
      </c>
      <c r="G200" s="62">
        <v>-9000000</v>
      </c>
      <c r="H200" s="62">
        <v>20000000</v>
      </c>
      <c r="I200" s="62">
        <v>54000000</v>
      </c>
      <c r="J200" s="62">
        <v>396000000</v>
      </c>
      <c r="K200" s="27"/>
      <c r="L200" s="62">
        <v>55000000</v>
      </c>
      <c r="M200" s="62">
        <v>266000000</v>
      </c>
      <c r="N200" s="62">
        <v>452000000</v>
      </c>
      <c r="O200" s="62">
        <v>667000000</v>
      </c>
      <c r="P200" s="62">
        <v>461000000</v>
      </c>
      <c r="Q200" s="62">
        <v>461000000</v>
      </c>
      <c r="S200" s="47" t="s">
        <v>26</v>
      </c>
      <c r="T200" s="47"/>
      <c r="U200" s="48"/>
      <c r="V200" s="189">
        <f>Q179/AVERAGE(G195:J195)</f>
        <v>0.34874107478391581</v>
      </c>
      <c r="X200" s="66" t="s">
        <v>87</v>
      </c>
      <c r="Y200" s="66"/>
      <c r="Z200" s="67"/>
      <c r="AA200" s="87">
        <f>AVERAGE(N198:P198)</f>
        <v>776666666.66666663</v>
      </c>
      <c r="AC200" s="74" t="s">
        <v>21</v>
      </c>
      <c r="AD200" s="75"/>
      <c r="AE200" s="92">
        <f t="shared" si="17"/>
        <v>2.4421686746987952</v>
      </c>
      <c r="AF200" s="92">
        <f t="shared" si="17"/>
        <v>2.4789746543778803</v>
      </c>
      <c r="AG200" s="92">
        <f t="shared" si="17"/>
        <v>2.357209015128126</v>
      </c>
      <c r="AH200" s="92">
        <f t="shared" si="17"/>
        <v>2.5568143952015996</v>
      </c>
      <c r="AI200" s="92">
        <f t="shared" si="17"/>
        <v>2.6042871725076555</v>
      </c>
      <c r="AJ200" s="95"/>
    </row>
    <row r="201" spans="1:40" ht="18.75" customHeight="1" x14ac:dyDescent="0.2">
      <c r="B201" s="110"/>
      <c r="C201" s="17"/>
      <c r="S201" s="29" t="s">
        <v>27</v>
      </c>
      <c r="T201" s="29"/>
      <c r="U201" s="30"/>
      <c r="V201" s="192">
        <f>Q179/AVERAGE(G190:J190)</f>
        <v>2.9939347012517745E-2</v>
      </c>
      <c r="X201" s="63" t="s">
        <v>88</v>
      </c>
      <c r="Y201" s="63"/>
      <c r="Z201" s="81"/>
      <c r="AA201" s="88">
        <f>ABS(AVERAGE(N199:P199))</f>
        <v>250000000</v>
      </c>
      <c r="AC201" s="74" t="s">
        <v>22</v>
      </c>
      <c r="AD201" s="75"/>
      <c r="AE201" s="92">
        <f>IF(OR(L195="",L193="",L193=0,L195=0),"",L195/L193)</f>
        <v>0.53283132530120481</v>
      </c>
      <c r="AF201" s="92">
        <f>IF(OR(M195="",M193="",M193=0,M195=0),"",M195/M193)</f>
        <v>0.53888248847926268</v>
      </c>
      <c r="AG201" s="92">
        <f>IF(OR(N195="",N193="",N193=0,N195=0),"",N195/N193)</f>
        <v>0.22229083050324175</v>
      </c>
      <c r="AH201" s="92">
        <f>IF(OR(O195="",O193="",O193=0,O195=0),"",O195/O193)</f>
        <v>0.2315894701766078</v>
      </c>
      <c r="AI201" s="92">
        <f>IF(OR(P195="",P193="",P193=0,P195=0),"",P195/P193)</f>
        <v>0.24464103436543042</v>
      </c>
    </row>
    <row r="202" spans="1:40" ht="18.75" customHeight="1" x14ac:dyDescent="0.2">
      <c r="B202" s="110"/>
      <c r="C202" s="17"/>
      <c r="S202" s="29" t="s">
        <v>89</v>
      </c>
      <c r="T202" s="29"/>
      <c r="U202" s="30"/>
      <c r="V202" s="192">
        <f>Q178/(AVERAGE(G195:J195)+(AVERAGE(G190:J190)-AVERAGE(G192:J192)))</f>
        <v>0.1062475442043222</v>
      </c>
      <c r="X202" s="63" t="s">
        <v>90</v>
      </c>
      <c r="Y202" s="63"/>
      <c r="Z202" s="64"/>
      <c r="AA202" s="32">
        <f>AVERAGE(N200:P200)</f>
        <v>526666666.66666669</v>
      </c>
    </row>
    <row r="203" spans="1:40" ht="18.75" customHeight="1" x14ac:dyDescent="0.2">
      <c r="B203" s="113"/>
      <c r="C203" s="37"/>
      <c r="S203" s="29" t="s">
        <v>28</v>
      </c>
      <c r="T203" s="29"/>
      <c r="U203" s="30"/>
      <c r="V203" s="65">
        <f>Q175/AVERAGE(G190:J190)</f>
        <v>0.8408826945412311</v>
      </c>
      <c r="X203" s="123"/>
      <c r="AA203" s="123"/>
      <c r="AJ203" s="99"/>
    </row>
    <row r="204" spans="1:40" s="105" customFormat="1" ht="18.75" customHeight="1" thickBot="1" x14ac:dyDescent="0.35">
      <c r="A204" s="118"/>
      <c r="B204" s="119"/>
      <c r="C204" s="100"/>
      <c r="D204" s="169"/>
      <c r="E204" s="100"/>
      <c r="F204" s="101"/>
      <c r="G204" s="101"/>
      <c r="H204" s="101"/>
      <c r="I204" s="101"/>
      <c r="J204" s="101"/>
      <c r="K204" s="102"/>
      <c r="L204" s="103"/>
      <c r="M204" s="104"/>
      <c r="N204" s="104"/>
      <c r="O204" s="104"/>
      <c r="P204" s="102"/>
      <c r="Q204" s="102"/>
      <c r="R204" s="100"/>
      <c r="S204" s="156"/>
      <c r="X204" s="156"/>
      <c r="AA204" s="209"/>
      <c r="AC204" s="156"/>
    </row>
    <row r="205" spans="1:40" s="106" customFormat="1" ht="18.75" customHeight="1" thickBot="1" x14ac:dyDescent="0.25">
      <c r="D205" s="15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S205" s="157"/>
      <c r="X205" s="157"/>
      <c r="AA205" s="210"/>
      <c r="AC205" s="157"/>
    </row>
    <row r="206" spans="1:40" s="143" customFormat="1" ht="18.75" customHeight="1" thickBot="1" x14ac:dyDescent="0.3">
      <c r="A206" s="129">
        <v>7</v>
      </c>
      <c r="B206" s="130"/>
      <c r="C206" s="131"/>
      <c r="D206" s="132"/>
      <c r="E206" s="133"/>
      <c r="F206" s="134"/>
      <c r="G206" s="135"/>
      <c r="H206" s="135"/>
      <c r="I206" s="135"/>
      <c r="J206" s="135"/>
      <c r="K206" s="136"/>
      <c r="L206" s="137"/>
      <c r="M206" s="138"/>
      <c r="N206" s="138"/>
      <c r="O206" s="138"/>
      <c r="P206" s="138"/>
      <c r="Q206" s="138"/>
      <c r="R206" s="139"/>
      <c r="S206" s="140" t="s">
        <v>7</v>
      </c>
      <c r="T206" s="325" t="s">
        <v>96</v>
      </c>
      <c r="U206" s="326"/>
      <c r="V206" s="141" t="s">
        <v>35</v>
      </c>
      <c r="W206" s="138"/>
      <c r="X206" s="158"/>
      <c r="Y206" s="138"/>
      <c r="Z206" s="138"/>
      <c r="AA206" s="182"/>
      <c r="AB206" s="142"/>
      <c r="AC206" s="159"/>
      <c r="AD206" s="136"/>
      <c r="AE206" s="136"/>
      <c r="AF206" s="142"/>
      <c r="AG206" s="142"/>
      <c r="AH206" s="142"/>
      <c r="AI206" s="142"/>
      <c r="AJ206" s="142"/>
      <c r="AK206" s="142"/>
      <c r="AL206" s="142"/>
      <c r="AM206" s="136"/>
      <c r="AN206" s="136"/>
    </row>
    <row r="207" spans="1:40" ht="18.75" customHeight="1" x14ac:dyDescent="0.25">
      <c r="B207" s="109"/>
      <c r="C207" s="14"/>
      <c r="D207" s="15"/>
      <c r="E207" s="183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51"/>
      <c r="T207" s="16"/>
      <c r="U207" s="16"/>
      <c r="V207" s="16"/>
      <c r="W207" s="16"/>
      <c r="X207" s="151"/>
      <c r="Y207" s="16"/>
      <c r="Z207" s="16"/>
      <c r="AA207" s="184"/>
      <c r="AB207" s="16"/>
      <c r="AC207" s="151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 spans="1:40" ht="18.75" customHeight="1" x14ac:dyDescent="0.2">
      <c r="B208" s="110"/>
      <c r="C208" s="17"/>
      <c r="D208" s="120" t="s">
        <v>36</v>
      </c>
      <c r="E208" s="18"/>
      <c r="F208" s="185" t="s">
        <v>37</v>
      </c>
      <c r="G208" s="185" t="s">
        <v>38</v>
      </c>
      <c r="H208" s="185" t="s">
        <v>39</v>
      </c>
      <c r="I208" s="185" t="s">
        <v>40</v>
      </c>
      <c r="J208" s="185" t="s">
        <v>41</v>
      </c>
      <c r="K208" s="186"/>
      <c r="L208" s="185">
        <v>2013</v>
      </c>
      <c r="M208" s="185">
        <v>2014</v>
      </c>
      <c r="N208" s="185">
        <v>2015</v>
      </c>
      <c r="O208" s="185">
        <v>2016</v>
      </c>
      <c r="P208" s="185">
        <v>2017</v>
      </c>
      <c r="Q208" s="185" t="s">
        <v>42</v>
      </c>
      <c r="S208" s="153" t="s">
        <v>0</v>
      </c>
      <c r="T208" s="19"/>
      <c r="U208" s="19"/>
      <c r="V208" s="20"/>
      <c r="W208" s="21"/>
      <c r="X208" s="153" t="s">
        <v>5</v>
      </c>
      <c r="Y208" s="19"/>
      <c r="Z208" s="44"/>
      <c r="AA208" s="44" t="s">
        <v>43</v>
      </c>
      <c r="AB208" s="21"/>
      <c r="AC208" s="155" t="s">
        <v>44</v>
      </c>
      <c r="AD208" s="43"/>
      <c r="AE208" s="44"/>
      <c r="AF208" s="160">
        <f>M208</f>
        <v>2014</v>
      </c>
      <c r="AG208" s="160">
        <f>N208</f>
        <v>2015</v>
      </c>
      <c r="AH208" s="160">
        <f>O208</f>
        <v>2016</v>
      </c>
      <c r="AI208" s="160">
        <f>P208</f>
        <v>2017</v>
      </c>
      <c r="AJ208" s="22"/>
      <c r="AK208" s="23"/>
      <c r="AM208" s="24"/>
      <c r="AN208" s="175"/>
    </row>
    <row r="209" spans="1:37" ht="18.75" customHeight="1" thickBot="1" x14ac:dyDescent="0.25">
      <c r="A209" s="111"/>
      <c r="B209" s="112"/>
      <c r="C209" s="25"/>
      <c r="D209" s="60" t="s">
        <v>29</v>
      </c>
      <c r="E209" s="26"/>
      <c r="F209" s="62"/>
      <c r="G209" s="62"/>
      <c r="H209" s="62"/>
      <c r="I209" s="62"/>
      <c r="J209" s="62">
        <v>6494638</v>
      </c>
      <c r="K209" s="27"/>
      <c r="L209" s="62"/>
      <c r="M209" s="62"/>
      <c r="N209" s="62"/>
      <c r="O209" s="62">
        <v>14229776</v>
      </c>
      <c r="P209" s="62">
        <v>18879321</v>
      </c>
      <c r="Q209" s="62">
        <v>26980014</v>
      </c>
      <c r="S209" s="122" t="s">
        <v>8</v>
      </c>
      <c r="T209" s="149"/>
      <c r="U209" s="149"/>
      <c r="V209" s="187">
        <v>5.0650000000000004</v>
      </c>
      <c r="W209" s="188"/>
      <c r="X209" s="50" t="s">
        <v>29</v>
      </c>
      <c r="Y209" s="50"/>
      <c r="Z209" s="78"/>
      <c r="AA209" s="189">
        <f>IF(AA208="Year over Year",AI209,IF(AA208="3-Year Average",AVERAGE(AH209:AI209),IF(AA208="5-Year Average",AVERAGE(AF209:AI209),"")))</f>
        <v>0.32674758899929279</v>
      </c>
      <c r="AB209" s="190"/>
      <c r="AC209" s="51" t="s">
        <v>45</v>
      </c>
      <c r="AD209" s="52"/>
      <c r="AE209" s="53"/>
      <c r="AF209" s="191" t="str">
        <f>IF(AND(M209&gt;0,L209&gt;0,L209&lt;&gt;""),M209/L209-1,IF(AND(L209&lt;0,M209&lt;0,L209&lt;&gt;""),(M209-L209)/ABS(L209),IF(AND(L209&gt;0,M209&lt;0,L209&lt;&gt;""),"L",IF(AND(L209&lt;0,M209&gt;0,L209&lt;&gt;""),"P",""))))</f>
        <v/>
      </c>
      <c r="AG209" s="191" t="str">
        <f>IF(AND(N209&gt;0,M209&gt;0,M209&lt;&gt;""),N209/M209-1,IF(AND(M209&lt;0,N209&lt;0,M209&lt;&gt;""),(N209-M209)/ABS(M209),IF(AND(M209&gt;0,N209&lt;0,M209&lt;&gt;""),"L",IF(AND(M209&lt;0,N209&gt;0,M209&lt;&gt;""),"P",""))))</f>
        <v/>
      </c>
      <c r="AH209" s="191" t="str">
        <f>IF(AND(O209&gt;0,N209&gt;0,N209&lt;&gt;""),O209/N209-1,IF(AND(N209&lt;0,O209&lt;0,N209&lt;&gt;""),(O209-N209)/ABS(N209),IF(AND(N209&gt;0,O209&lt;0,N209&lt;&gt;""),"L",IF(AND(N209&lt;0,O209&gt;0,N209&lt;&gt;""),"P",""))))</f>
        <v/>
      </c>
      <c r="AI209" s="191">
        <f>IF(AND(P209&gt;0,O209&gt;0,O209&lt;&gt;""),P209/O209-1,IF(AND(O209&lt;0,P209&lt;0,O209&lt;&gt;""),(P209-O209)/ABS(O209),IF(AND(O209&gt;0,P209&lt;0,O209&lt;&gt;""),"L",IF(AND(O209&lt;0,P209&gt;0,O209&lt;&gt;""),"P",""))))</f>
        <v>0.32674758899929279</v>
      </c>
    </row>
    <row r="210" spans="1:37" ht="18.75" customHeight="1" thickBot="1" x14ac:dyDescent="0.25">
      <c r="A210" s="111"/>
      <c r="B210" s="112"/>
      <c r="C210" s="25"/>
      <c r="D210" s="60" t="s">
        <v>46</v>
      </c>
      <c r="E210" s="26"/>
      <c r="F210" s="62"/>
      <c r="G210" s="62"/>
      <c r="H210" s="62"/>
      <c r="I210" s="62"/>
      <c r="J210" s="62">
        <v>4587141</v>
      </c>
      <c r="K210" s="28"/>
      <c r="L210" s="62"/>
      <c r="M210" s="62"/>
      <c r="N210" s="62"/>
      <c r="O210" s="62">
        <v>10246122</v>
      </c>
      <c r="P210" s="62">
        <v>13365615</v>
      </c>
      <c r="Q210" s="62">
        <v>18357318</v>
      </c>
      <c r="S210" s="29" t="s">
        <v>9</v>
      </c>
      <c r="T210" s="30"/>
      <c r="U210" s="31"/>
      <c r="V210" s="32">
        <f>V209*Q217</f>
        <v>39606035.945</v>
      </c>
      <c r="W210" s="188"/>
      <c r="X210" s="63" t="s">
        <v>47</v>
      </c>
      <c r="Y210" s="63"/>
      <c r="Z210" s="64"/>
      <c r="AA210" s="192" t="e">
        <f>IF(AA208="Year over Year",AI210,IF(AA208="3-Year Average",AVERAGE(AH210:AI210),IF(AA208="5-Year Average",AVERAGE(AF210:AI210),"")))</f>
        <v>#DIV/0!</v>
      </c>
      <c r="AB210" s="190"/>
      <c r="AC210" s="51" t="s">
        <v>30</v>
      </c>
      <c r="AD210" s="52"/>
      <c r="AE210" s="53"/>
      <c r="AF210" s="191" t="str">
        <f t="shared" ref="AF210:AI212" si="18">IF(AND(M212&gt;0,L212&gt;0,L212&lt;&gt;""),M212/L212-1,IF(AND(L212&lt;0,M212&lt;0,L212&lt;&gt;""),(M212-L212)/ABS(L212),IF(AND(L212&gt;0,M212&lt;0,L212&lt;&gt;""),"L",IF(AND(L212&lt;0,M212&gt;0,L212&lt;&gt;""),"P",""))))</f>
        <v/>
      </c>
      <c r="AG210" s="191" t="str">
        <f t="shared" si="18"/>
        <v/>
      </c>
      <c r="AH210" s="191" t="str">
        <f t="shared" si="18"/>
        <v/>
      </c>
      <c r="AI210" s="191" t="str">
        <f t="shared" si="18"/>
        <v>L</v>
      </c>
    </row>
    <row r="211" spans="1:37" ht="18.75" customHeight="1" thickBot="1" x14ac:dyDescent="0.25">
      <c r="B211" s="112"/>
      <c r="C211" s="25"/>
      <c r="D211" s="33" t="s">
        <v>48</v>
      </c>
      <c r="E211" s="34"/>
      <c r="F211" s="35">
        <v>0</v>
      </c>
      <c r="G211" s="35">
        <v>0</v>
      </c>
      <c r="H211" s="35">
        <v>0</v>
      </c>
      <c r="I211" s="35">
        <v>0</v>
      </c>
      <c r="J211" s="35">
        <v>1907497</v>
      </c>
      <c r="K211" s="27"/>
      <c r="L211" s="35">
        <v>0</v>
      </c>
      <c r="M211" s="35">
        <v>0</v>
      </c>
      <c r="N211" s="35">
        <v>0</v>
      </c>
      <c r="O211" s="35">
        <v>3983654</v>
      </c>
      <c r="P211" s="35">
        <v>5513706</v>
      </c>
      <c r="Q211" s="62">
        <v>8622696</v>
      </c>
      <c r="S211" s="29" t="s">
        <v>10</v>
      </c>
      <c r="T211" s="30"/>
      <c r="U211" s="36"/>
      <c r="V211" s="32">
        <f>V210+(J225+J227)-J221</f>
        <v>42892597.945</v>
      </c>
      <c r="W211" s="190"/>
      <c r="X211" s="63" t="s">
        <v>31</v>
      </c>
      <c r="Y211" s="63"/>
      <c r="Z211" s="81"/>
      <c r="AA211" s="192" t="e">
        <f>IF(AA208="Year over Year",AI211,IF(AA208="3-Year Average",AVERAGE(AH211:AI211),IF(AA208="5-Year Average",AVERAGE(AF211:AI211),"")))</f>
        <v>#DIV/0!</v>
      </c>
      <c r="AB211" s="190"/>
      <c r="AC211" s="51" t="s">
        <v>49</v>
      </c>
      <c r="AD211" s="52"/>
      <c r="AE211" s="53"/>
      <c r="AF211" s="191" t="str">
        <f t="shared" si="18"/>
        <v/>
      </c>
      <c r="AG211" s="191" t="str">
        <f t="shared" si="18"/>
        <v/>
      </c>
      <c r="AH211" s="191" t="str">
        <f t="shared" si="18"/>
        <v/>
      </c>
      <c r="AI211" s="191" t="str">
        <f t="shared" si="18"/>
        <v>L</v>
      </c>
    </row>
    <row r="212" spans="1:37" ht="18.75" customHeight="1" thickBot="1" x14ac:dyDescent="0.25">
      <c r="B212" s="112"/>
      <c r="C212" s="25"/>
      <c r="D212" s="60" t="s">
        <v>50</v>
      </c>
      <c r="E212" s="61"/>
      <c r="F212" s="62">
        <v>0</v>
      </c>
      <c r="G212" s="62">
        <v>0</v>
      </c>
      <c r="H212" s="62">
        <v>0</v>
      </c>
      <c r="I212" s="62">
        <v>0</v>
      </c>
      <c r="J212" s="62">
        <v>-272247</v>
      </c>
      <c r="K212" s="40"/>
      <c r="L212" s="62">
        <v>0</v>
      </c>
      <c r="M212" s="62">
        <v>0</v>
      </c>
      <c r="N212" s="62">
        <v>0</v>
      </c>
      <c r="O212" s="62">
        <v>195114</v>
      </c>
      <c r="P212" s="62">
        <v>-219861</v>
      </c>
      <c r="Q212" s="62">
        <v>8957</v>
      </c>
      <c r="S212" s="29" t="s">
        <v>11</v>
      </c>
      <c r="T212" s="30"/>
      <c r="U212" s="36"/>
      <c r="V212" s="32">
        <f>J224-J228</f>
        <v>6241885</v>
      </c>
      <c r="W212" s="188"/>
      <c r="X212" s="63" t="s">
        <v>32</v>
      </c>
      <c r="Y212" s="63"/>
      <c r="Z212" s="64"/>
      <c r="AA212" s="192" t="e">
        <f>IF(AA208="Year over Year",AI212,IF(AA208="3-Year Average",AVERAGE(AH212:AI212),IF(AA208="5-Year Average",AVERAGE(AF212:AI212),"")))</f>
        <v>#DIV/0!</v>
      </c>
      <c r="AB212" s="190"/>
      <c r="AC212" s="51" t="s">
        <v>51</v>
      </c>
      <c r="AD212" s="52"/>
      <c r="AE212" s="53"/>
      <c r="AF212" s="191" t="str">
        <f t="shared" si="18"/>
        <v/>
      </c>
      <c r="AG212" s="191" t="str">
        <f t="shared" si="18"/>
        <v/>
      </c>
      <c r="AH212" s="191" t="str">
        <f t="shared" si="18"/>
        <v/>
      </c>
      <c r="AI212" s="191" t="str">
        <f t="shared" si="18"/>
        <v/>
      </c>
    </row>
    <row r="213" spans="1:37" ht="18.75" customHeight="1" thickBot="1" x14ac:dyDescent="0.25">
      <c r="B213" s="112"/>
      <c r="C213" s="25"/>
      <c r="D213" s="60" t="s">
        <v>52</v>
      </c>
      <c r="E213" s="61"/>
      <c r="F213" s="62"/>
      <c r="G213" s="62"/>
      <c r="H213" s="62"/>
      <c r="I213" s="62"/>
      <c r="J213" s="62">
        <v>-165247</v>
      </c>
      <c r="K213" s="27"/>
      <c r="L213" s="62"/>
      <c r="M213" s="62"/>
      <c r="N213" s="62"/>
      <c r="O213" s="62">
        <v>16650</v>
      </c>
      <c r="P213" s="62">
        <v>-184437</v>
      </c>
      <c r="Q213" s="62">
        <v>52049</v>
      </c>
      <c r="S213" s="29" t="s">
        <v>53</v>
      </c>
      <c r="T213" s="30"/>
      <c r="U213" s="31"/>
      <c r="V213" s="39" t="str">
        <f>IF(V210&gt;10000,"Large Cap",IF(AND(10000&gt;V210,2000&lt;V210),"Mid Cap",IF(AND(2000&gt;V210,V210&gt;50),"Small Cap",IF(V210&lt;50,"Micro Cap",NA))))</f>
        <v>Large Cap</v>
      </c>
      <c r="W213" s="188"/>
      <c r="AB213" s="41"/>
    </row>
    <row r="214" spans="1:37" ht="18.75" customHeight="1" thickBot="1" x14ac:dyDescent="0.25">
      <c r="B214" s="112"/>
      <c r="C214" s="25"/>
      <c r="D214" s="60" t="s">
        <v>54</v>
      </c>
      <c r="E214" s="61"/>
      <c r="F214" s="54"/>
      <c r="G214" s="54"/>
      <c r="H214" s="54"/>
      <c r="I214" s="54"/>
      <c r="J214" s="54"/>
      <c r="K214" s="55"/>
      <c r="L214" s="56"/>
      <c r="M214" s="56"/>
      <c r="N214" s="56"/>
      <c r="O214" s="56"/>
      <c r="P214" s="56">
        <v>-0.02</v>
      </c>
      <c r="Q214" s="54">
        <v>-0.02</v>
      </c>
      <c r="S214" s="122" t="s">
        <v>55</v>
      </c>
      <c r="T214" s="124"/>
      <c r="U214" s="124"/>
      <c r="V214" s="125"/>
      <c r="W214" s="190"/>
      <c r="X214" s="155" t="s">
        <v>2</v>
      </c>
      <c r="Y214" s="43"/>
      <c r="Z214" s="97"/>
      <c r="AA214" s="193"/>
      <c r="AC214" s="154" t="s">
        <v>56</v>
      </c>
      <c r="AD214" s="72"/>
      <c r="AE214" s="161">
        <f>L208</f>
        <v>2013</v>
      </c>
      <c r="AF214" s="161">
        <f>M208</f>
        <v>2014</v>
      </c>
      <c r="AG214" s="161">
        <f>N208</f>
        <v>2015</v>
      </c>
      <c r="AH214" s="161">
        <f>O208</f>
        <v>2016</v>
      </c>
      <c r="AI214" s="161">
        <f>P208</f>
        <v>2017</v>
      </c>
    </row>
    <row r="215" spans="1:37" ht="18.75" hidden="1" customHeight="1" x14ac:dyDescent="0.2">
      <c r="B215" s="112"/>
      <c r="C215" s="25"/>
      <c r="D215" s="60"/>
      <c r="E215" s="61"/>
      <c r="F215" s="54"/>
      <c r="G215" s="54"/>
      <c r="H215" s="54"/>
      <c r="I215" s="54"/>
      <c r="J215" s="54"/>
      <c r="K215" s="55"/>
      <c r="L215" s="56"/>
      <c r="M215" s="56"/>
      <c r="N215" s="56"/>
      <c r="O215" s="56"/>
      <c r="P215" s="56">
        <v>7819553</v>
      </c>
      <c r="Q215" s="54">
        <v>7819553</v>
      </c>
      <c r="S215" s="51"/>
      <c r="V215" s="170"/>
      <c r="W215" s="190"/>
      <c r="X215" s="171"/>
      <c r="Y215" s="172"/>
      <c r="Z215" s="173"/>
      <c r="AA215" s="194"/>
      <c r="AC215" s="174"/>
      <c r="AD215" s="175"/>
      <c r="AE215" s="176"/>
      <c r="AF215" s="176"/>
      <c r="AG215" s="176"/>
      <c r="AH215" s="176"/>
      <c r="AI215" s="176"/>
    </row>
    <row r="216" spans="1:37" ht="18.75" hidden="1" customHeight="1" x14ac:dyDescent="0.2">
      <c r="B216" s="112"/>
      <c r="C216" s="25"/>
      <c r="D216" s="60"/>
      <c r="E216" s="61"/>
      <c r="F216" s="54"/>
      <c r="G216" s="54"/>
      <c r="H216" s="54"/>
      <c r="I216" s="54"/>
      <c r="J216" s="54"/>
      <c r="K216" s="55"/>
      <c r="L216" s="56"/>
      <c r="M216" s="56"/>
      <c r="N216" s="56"/>
      <c r="O216" s="56"/>
      <c r="P216" s="56">
        <v>-0.02</v>
      </c>
      <c r="Q216" s="54">
        <v>-0.02</v>
      </c>
      <c r="S216" s="51"/>
      <c r="V216" s="170"/>
      <c r="W216" s="190"/>
      <c r="X216" s="171"/>
      <c r="Y216" s="172"/>
      <c r="Z216" s="173"/>
      <c r="AA216" s="194"/>
      <c r="AC216" s="174"/>
      <c r="AD216" s="175"/>
      <c r="AE216" s="176"/>
      <c r="AF216" s="176"/>
      <c r="AG216" s="176"/>
      <c r="AH216" s="176"/>
      <c r="AI216" s="176"/>
    </row>
    <row r="217" spans="1:37" ht="18.75" customHeight="1" thickBot="1" x14ac:dyDescent="0.25">
      <c r="B217" s="112"/>
      <c r="C217" s="25"/>
      <c r="D217" s="33" t="s">
        <v>57</v>
      </c>
      <c r="E217" s="61"/>
      <c r="F217" s="62"/>
      <c r="G217" s="62"/>
      <c r="H217" s="62"/>
      <c r="I217" s="62"/>
      <c r="J217" s="62"/>
      <c r="K217" s="28"/>
      <c r="L217" s="62"/>
      <c r="M217" s="62"/>
      <c r="N217" s="62"/>
      <c r="O217" s="62"/>
      <c r="P217" s="62">
        <v>7819553</v>
      </c>
      <c r="Q217" s="62">
        <v>7819553</v>
      </c>
      <c r="S217" s="123"/>
      <c r="X217" s="47" t="s">
        <v>20</v>
      </c>
      <c r="Y217" s="47"/>
      <c r="Z217" s="48"/>
      <c r="AA217" s="49">
        <f>AVERAGE(G223:J223)/AVERAGE(G226:J226)</f>
        <v>1.1417412037283861</v>
      </c>
      <c r="AC217" s="74" t="s">
        <v>29</v>
      </c>
      <c r="AD217" s="75"/>
      <c r="AE217" s="76" t="str">
        <f>IF(L209="","",L209)</f>
        <v/>
      </c>
      <c r="AF217" s="76" t="str">
        <f>IF(M209="","",M209)</f>
        <v/>
      </c>
      <c r="AG217" s="76" t="str">
        <f>IF(N209="","",N209)</f>
        <v/>
      </c>
      <c r="AH217" s="76">
        <f>IF(O209="","",O209)</f>
        <v>14229776</v>
      </c>
      <c r="AI217" s="76">
        <f>IF(P209="","",P209)</f>
        <v>18879321</v>
      </c>
    </row>
    <row r="218" spans="1:37" ht="18.75" customHeight="1" thickBot="1" x14ac:dyDescent="0.25">
      <c r="B218" s="112"/>
      <c r="C218" s="25"/>
      <c r="D218" s="33" t="s">
        <v>58</v>
      </c>
      <c r="E218" s="45"/>
      <c r="F218" s="35"/>
      <c r="G218" s="35"/>
      <c r="H218" s="35"/>
      <c r="I218" s="35"/>
      <c r="J218" s="35">
        <v>-95954</v>
      </c>
      <c r="K218" s="40"/>
      <c r="L218" s="62"/>
      <c r="M218" s="62"/>
      <c r="N218" s="62"/>
      <c r="O218" s="62">
        <v>345694</v>
      </c>
      <c r="P218" s="62">
        <v>222539</v>
      </c>
      <c r="Q218" s="62">
        <v>794703</v>
      </c>
      <c r="S218" s="153" t="s">
        <v>59</v>
      </c>
      <c r="T218" s="19"/>
      <c r="U218" s="19"/>
      <c r="V218" s="19"/>
      <c r="X218" s="63" t="s">
        <v>21</v>
      </c>
      <c r="Y218" s="63"/>
      <c r="Z218" s="98"/>
      <c r="AA218" s="65">
        <f>AVERAGE(G224:J224)/AVERAGE(G229:J229)</f>
        <v>1.2286032150534336</v>
      </c>
      <c r="AC218" s="74" t="s">
        <v>60</v>
      </c>
      <c r="AD218" s="75"/>
      <c r="AE218" s="195" t="str">
        <f>IF(OR(L209="",L211=""),"",L211/L209)</f>
        <v/>
      </c>
      <c r="AF218" s="195" t="str">
        <f>IF(OR(M209="",M211=""),"",M211/M209)</f>
        <v/>
      </c>
      <c r="AG218" s="195" t="str">
        <f>IF(OR(N209="",N211=""),"",N211/N209)</f>
        <v/>
      </c>
      <c r="AH218" s="195">
        <f>IF(OR(O209="",O211=""),"",O211/O209)</f>
        <v>0.27995198237835928</v>
      </c>
      <c r="AI218" s="195">
        <f>IF(OR(P209="",P211=""),"",P211/P209)</f>
        <v>0.29205001599368963</v>
      </c>
    </row>
    <row r="219" spans="1:37" ht="18.75" customHeight="1" x14ac:dyDescent="0.2">
      <c r="B219" s="113"/>
      <c r="C219" s="37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S219" s="47" t="s">
        <v>13</v>
      </c>
      <c r="T219" s="47"/>
      <c r="U219" s="48"/>
      <c r="V219" s="49" t="str">
        <f>IF(Q214&gt;0,V209/Q214,"")</f>
        <v/>
      </c>
      <c r="X219" s="63" t="s">
        <v>22</v>
      </c>
      <c r="Y219" s="63"/>
      <c r="Z219" s="98"/>
      <c r="AA219" s="65">
        <f>AVERAGE(G227:J227)/AVERAGE(G229:J229)</f>
        <v>0.13852940859497473</v>
      </c>
      <c r="AC219" s="74" t="s">
        <v>47</v>
      </c>
      <c r="AD219" s="75"/>
      <c r="AE219" s="76">
        <f>IF(L212="","",L212)</f>
        <v>0</v>
      </c>
      <c r="AF219" s="76">
        <f>IF(M212="","",M212)</f>
        <v>0</v>
      </c>
      <c r="AG219" s="76">
        <f>IF(N212="","",N212)</f>
        <v>0</v>
      </c>
      <c r="AH219" s="76">
        <f>IF(O212="","",O212)</f>
        <v>195114</v>
      </c>
      <c r="AI219" s="76">
        <f>IF(P212="","",P212)</f>
        <v>-219861</v>
      </c>
    </row>
    <row r="220" spans="1:37" ht="18.75" customHeight="1" x14ac:dyDescent="0.25">
      <c r="B220" s="114"/>
      <c r="C220" s="73"/>
      <c r="D220" s="120" t="s">
        <v>61</v>
      </c>
      <c r="E220" s="18"/>
      <c r="F220" s="196" t="str">
        <f>F208</f>
        <v>2016-10</v>
      </c>
      <c r="G220" s="196" t="str">
        <f>G208</f>
        <v>2017-01</v>
      </c>
      <c r="H220" s="196" t="str">
        <f>H208</f>
        <v>2017-04</v>
      </c>
      <c r="I220" s="196" t="str">
        <f>I208</f>
        <v>2017-07</v>
      </c>
      <c r="J220" s="196" t="str">
        <f>J208</f>
        <v>2017-10</v>
      </c>
      <c r="K220" s="197"/>
      <c r="L220" s="198">
        <f>L208</f>
        <v>2013</v>
      </c>
      <c r="M220" s="198">
        <f>M208</f>
        <v>2014</v>
      </c>
      <c r="N220" s="198">
        <f>N208</f>
        <v>2015</v>
      </c>
      <c r="O220" s="198">
        <f>O208</f>
        <v>2016</v>
      </c>
      <c r="P220" s="198">
        <f>P208</f>
        <v>2017</v>
      </c>
      <c r="Q220" s="185"/>
      <c r="S220" s="57" t="s">
        <v>15</v>
      </c>
      <c r="T220" s="57"/>
      <c r="U220" s="58"/>
      <c r="V220" s="59" t="e">
        <f>V209/((J224-J228)/J217)</f>
        <v>#DIV/0!</v>
      </c>
      <c r="W220" s="199"/>
      <c r="X220" s="123"/>
      <c r="AA220" s="123"/>
      <c r="AC220" s="74" t="s">
        <v>62</v>
      </c>
      <c r="AD220" s="75"/>
      <c r="AE220" s="195" t="str">
        <f>IF(OR(L209="",L212=""),"",L212/L209)</f>
        <v/>
      </c>
      <c r="AF220" s="195" t="str">
        <f>IF(OR(M209="",M212=""),"",M212/M209)</f>
        <v/>
      </c>
      <c r="AG220" s="195" t="str">
        <f>IF(OR(N209="",N212=""),"",N212/N209)</f>
        <v/>
      </c>
      <c r="AH220" s="195">
        <f>IF(OR(O209="",O212=""),"",O212/O209)</f>
        <v>1.3711670513998252E-2</v>
      </c>
      <c r="AI220" s="195">
        <f>IF(OR(P209="",P212=""),"",P212/P209)</f>
        <v>-1.1645598906867467E-2</v>
      </c>
      <c r="AJ220" s="77"/>
      <c r="AK220" s="23"/>
    </row>
    <row r="221" spans="1:37" ht="18.75" customHeight="1" thickBot="1" x14ac:dyDescent="0.25">
      <c r="B221" s="110"/>
      <c r="C221" s="17"/>
      <c r="D221" s="60" t="s">
        <v>63</v>
      </c>
      <c r="E221" s="61"/>
      <c r="F221" s="62"/>
      <c r="G221" s="62">
        <v>14197</v>
      </c>
      <c r="H221" s="62"/>
      <c r="I221" s="62"/>
      <c r="J221" s="62">
        <v>488584</v>
      </c>
      <c r="K221" s="27"/>
      <c r="L221" s="62"/>
      <c r="M221" s="62"/>
      <c r="N221" s="62"/>
      <c r="O221" s="62">
        <v>25074</v>
      </c>
      <c r="P221" s="62">
        <v>14197</v>
      </c>
      <c r="Q221" s="62"/>
      <c r="S221" s="57" t="s">
        <v>14</v>
      </c>
      <c r="T221" s="57"/>
      <c r="U221" s="58"/>
      <c r="V221" s="59">
        <f>V209/(Q209/Q217)</f>
        <v>1.4679768492707232</v>
      </c>
      <c r="W221" s="200"/>
      <c r="X221" s="155" t="s">
        <v>36</v>
      </c>
      <c r="Y221" s="43"/>
      <c r="Z221" s="43"/>
      <c r="AA221" s="201"/>
      <c r="AC221" s="74" t="s">
        <v>31</v>
      </c>
      <c r="AD221" s="75"/>
      <c r="AE221" s="76" t="str">
        <f t="shared" ref="AE221:AI222" si="19">IF(L213="","",L213)</f>
        <v/>
      </c>
      <c r="AF221" s="76" t="str">
        <f t="shared" si="19"/>
        <v/>
      </c>
      <c r="AG221" s="76" t="str">
        <f t="shared" si="19"/>
        <v/>
      </c>
      <c r="AH221" s="76">
        <f t="shared" si="19"/>
        <v>16650</v>
      </c>
      <c r="AI221" s="76">
        <f t="shared" si="19"/>
        <v>-184437</v>
      </c>
      <c r="AK221" s="202"/>
    </row>
    <row r="222" spans="1:37" ht="18.75" customHeight="1" thickBot="1" x14ac:dyDescent="0.25">
      <c r="B222" s="112"/>
      <c r="C222" s="25"/>
      <c r="D222" s="94" t="s">
        <v>64</v>
      </c>
      <c r="E222" s="61"/>
      <c r="F222" s="38">
        <v>0</v>
      </c>
      <c r="G222" s="38">
        <v>14197</v>
      </c>
      <c r="H222" s="38">
        <v>0</v>
      </c>
      <c r="I222" s="38">
        <v>0</v>
      </c>
      <c r="J222" s="38">
        <v>488584</v>
      </c>
      <c r="K222" s="80"/>
      <c r="L222" s="38">
        <v>0</v>
      </c>
      <c r="M222" s="38">
        <v>0</v>
      </c>
      <c r="N222" s="38">
        <v>0</v>
      </c>
      <c r="O222" s="38">
        <v>25074</v>
      </c>
      <c r="P222" s="38">
        <v>14197</v>
      </c>
      <c r="Q222" s="38"/>
      <c r="S222" s="63" t="s">
        <v>17</v>
      </c>
      <c r="T222" s="63"/>
      <c r="U222" s="64"/>
      <c r="V222" s="65">
        <f>IF(AVERAGE(N232:P232)&gt;0,V209/(AVERAGE(N232:P232)/Q217),"")</f>
        <v>459.76546184296063</v>
      </c>
      <c r="W222" s="200"/>
      <c r="X222" s="145" t="s">
        <v>29</v>
      </c>
      <c r="Y222" s="145"/>
      <c r="Z222" s="147"/>
      <c r="AA222" s="148">
        <f>Q209</f>
        <v>26980014</v>
      </c>
      <c r="AC222" s="74" t="s">
        <v>32</v>
      </c>
      <c r="AD222" s="75"/>
      <c r="AE222" s="203" t="str">
        <f t="shared" si="19"/>
        <v/>
      </c>
      <c r="AF222" s="203" t="str">
        <f t="shared" si="19"/>
        <v/>
      </c>
      <c r="AG222" s="203" t="str">
        <f t="shared" si="19"/>
        <v/>
      </c>
      <c r="AH222" s="203" t="str">
        <f t="shared" si="19"/>
        <v/>
      </c>
      <c r="AI222" s="203">
        <f t="shared" si="19"/>
        <v>-0.02</v>
      </c>
      <c r="AK222" s="202"/>
    </row>
    <row r="223" spans="1:37" ht="18.75" customHeight="1" thickBot="1" x14ac:dyDescent="0.3">
      <c r="B223" s="114"/>
      <c r="C223" s="73"/>
      <c r="D223" s="94" t="s">
        <v>65</v>
      </c>
      <c r="E223" s="61"/>
      <c r="F223" s="38"/>
      <c r="G223" s="38">
        <v>8306067</v>
      </c>
      <c r="H223" s="38"/>
      <c r="I223" s="38"/>
      <c r="J223" s="38">
        <v>9233157</v>
      </c>
      <c r="K223" s="80"/>
      <c r="L223" s="38"/>
      <c r="M223" s="38"/>
      <c r="N223" s="38"/>
      <c r="O223" s="38">
        <v>5928794</v>
      </c>
      <c r="P223" s="38">
        <v>8306067</v>
      </c>
      <c r="Q223" s="38"/>
      <c r="S223" s="29" t="s">
        <v>16</v>
      </c>
      <c r="T223" s="29"/>
      <c r="U223" s="30"/>
      <c r="V223" s="65" t="str">
        <f>IF(AVERAGE(N234:P234)&gt;0,V210/AVERAGE(N234:P234),"")</f>
        <v/>
      </c>
      <c r="X223" s="68" t="s">
        <v>66</v>
      </c>
      <c r="Y223" s="68"/>
      <c r="Z223" s="69"/>
      <c r="AA223" s="70">
        <f>Q211</f>
        <v>8622696</v>
      </c>
      <c r="AC223" s="74" t="s">
        <v>67</v>
      </c>
      <c r="AD223" s="75"/>
      <c r="AE223" s="76" t="str">
        <f>IF(L217="","",L217)</f>
        <v/>
      </c>
      <c r="AF223" s="76" t="str">
        <f>IF(M217="","",M217)</f>
        <v/>
      </c>
      <c r="AG223" s="76" t="str">
        <f>IF(N217="","",N217)</f>
        <v/>
      </c>
      <c r="AH223" s="76" t="str">
        <f>IF(O217="","",O217)</f>
        <v/>
      </c>
      <c r="AI223" s="76">
        <f>IF(P217="","",P217)</f>
        <v>7819553</v>
      </c>
      <c r="AK223" s="202"/>
    </row>
    <row r="224" spans="1:37" ht="18.75" customHeight="1" thickBot="1" x14ac:dyDescent="0.25">
      <c r="B224" s="113"/>
      <c r="C224" s="37"/>
      <c r="D224" s="94" t="s">
        <v>68</v>
      </c>
      <c r="E224" s="61"/>
      <c r="F224" s="38">
        <v>0</v>
      </c>
      <c r="G224" s="38">
        <v>14284171</v>
      </c>
      <c r="H224" s="38">
        <v>0</v>
      </c>
      <c r="I224" s="38">
        <v>0</v>
      </c>
      <c r="J224" s="38">
        <v>15356201</v>
      </c>
      <c r="K224" s="85"/>
      <c r="L224" s="38">
        <v>0</v>
      </c>
      <c r="M224" s="38">
        <v>0</v>
      </c>
      <c r="N224" s="38">
        <v>0</v>
      </c>
      <c r="O224" s="38">
        <v>9279248</v>
      </c>
      <c r="P224" s="38">
        <v>14284171</v>
      </c>
      <c r="Q224" s="38"/>
      <c r="S224" s="57" t="s">
        <v>18</v>
      </c>
      <c r="T224" s="57"/>
      <c r="U224" s="58"/>
      <c r="V224" s="59">
        <f>(V210+(J225+J227)-J221)/J218</f>
        <v>-447.01208855284824</v>
      </c>
      <c r="X224" s="68" t="s">
        <v>31</v>
      </c>
      <c r="Y224" s="68"/>
      <c r="Z224" s="69"/>
      <c r="AA224" s="70">
        <f>Q213</f>
        <v>52049</v>
      </c>
      <c r="AC224" s="74" t="s">
        <v>69</v>
      </c>
      <c r="AD224" s="75"/>
      <c r="AE224" s="204" t="str">
        <f>IF(OR(L229="",L217="",L224="",L228=""),"",(L224-L228)/L217)</f>
        <v/>
      </c>
      <c r="AF224" s="204" t="str">
        <f>IF(OR(M229="",M217="",M224="",M228=""),"",(M224-M228)/M217)</f>
        <v/>
      </c>
      <c r="AG224" s="204" t="str">
        <f>IF(OR(N229="",N217="",N224="",N228=""),"",(N224-N228)/N217)</f>
        <v/>
      </c>
      <c r="AH224" s="204" t="str">
        <f>IF(OR(O229="",O217="",O224="",O228=""),"",(O224-O228)/O217)</f>
        <v/>
      </c>
      <c r="AI224" s="204">
        <f>IF(OR(P229="",P217="",P224="",P228=""),"",(P224-P228)/P217)</f>
        <v>0.74438334262840855</v>
      </c>
      <c r="AK224" s="202"/>
    </row>
    <row r="225" spans="1:40" ht="18.75" customHeight="1" thickBot="1" x14ac:dyDescent="0.25">
      <c r="B225" s="112"/>
      <c r="C225" s="25"/>
      <c r="D225" s="60" t="s">
        <v>70</v>
      </c>
      <c r="E225" s="26"/>
      <c r="F225" s="62"/>
      <c r="G225" s="62">
        <v>3187363</v>
      </c>
      <c r="H225" s="62"/>
      <c r="I225" s="62"/>
      <c r="J225" s="62">
        <v>3228503</v>
      </c>
      <c r="K225" s="27"/>
      <c r="L225" s="62"/>
      <c r="M225" s="62"/>
      <c r="N225" s="62"/>
      <c r="O225" s="62">
        <v>2497681</v>
      </c>
      <c r="P225" s="62">
        <v>3187363</v>
      </c>
      <c r="Q225" s="62"/>
      <c r="S225" s="63" t="s">
        <v>19</v>
      </c>
      <c r="T225" s="63"/>
      <c r="U225" s="64"/>
      <c r="V225" s="65">
        <f>(V210+(J225+J227)-J221)/J209</f>
        <v>6.6043092694311829</v>
      </c>
      <c r="X225" s="29" t="s">
        <v>32</v>
      </c>
      <c r="Y225" s="29"/>
      <c r="Z225" s="30"/>
      <c r="AA225" s="205">
        <f>Q214</f>
        <v>-0.02</v>
      </c>
      <c r="AK225" s="202"/>
    </row>
    <row r="226" spans="1:40" ht="18.75" customHeight="1" thickBot="1" x14ac:dyDescent="0.25">
      <c r="B226" s="115"/>
      <c r="C226" s="91"/>
      <c r="D226" s="94" t="s">
        <v>71</v>
      </c>
      <c r="E226" s="61"/>
      <c r="F226" s="38"/>
      <c r="G226" s="38">
        <v>7339040</v>
      </c>
      <c r="H226" s="38"/>
      <c r="I226" s="38"/>
      <c r="J226" s="38">
        <v>8022781</v>
      </c>
      <c r="K226" s="80"/>
      <c r="L226" s="38"/>
      <c r="M226" s="38"/>
      <c r="N226" s="38"/>
      <c r="O226" s="38">
        <v>4578688</v>
      </c>
      <c r="P226" s="38">
        <v>7339040</v>
      </c>
      <c r="Q226" s="38"/>
      <c r="AC226" s="89" t="s">
        <v>3</v>
      </c>
      <c r="AD226" s="90"/>
      <c r="AE226" s="161">
        <f>L208</f>
        <v>2013</v>
      </c>
      <c r="AF226" s="161">
        <f>M208</f>
        <v>2014</v>
      </c>
      <c r="AG226" s="161">
        <f>N208</f>
        <v>2015</v>
      </c>
      <c r="AH226" s="161">
        <f>O208</f>
        <v>2016</v>
      </c>
      <c r="AI226" s="161">
        <f>P208</f>
        <v>2017</v>
      </c>
    </row>
    <row r="227" spans="1:40" ht="18.75" customHeight="1" thickBot="1" x14ac:dyDescent="0.25">
      <c r="B227" s="113"/>
      <c r="C227" s="37"/>
      <c r="D227" s="60" t="s">
        <v>72</v>
      </c>
      <c r="E227" s="26"/>
      <c r="F227" s="62"/>
      <c r="G227" s="62">
        <v>1124386</v>
      </c>
      <c r="H227" s="62"/>
      <c r="I227" s="62"/>
      <c r="J227" s="62">
        <v>546643</v>
      </c>
      <c r="K227" s="71"/>
      <c r="L227" s="62"/>
      <c r="M227" s="62"/>
      <c r="N227" s="62"/>
      <c r="O227" s="62">
        <v>606800</v>
      </c>
      <c r="P227" s="62">
        <v>1124386</v>
      </c>
      <c r="Q227" s="62"/>
      <c r="S227" s="154" t="s">
        <v>3</v>
      </c>
      <c r="T227" s="72"/>
      <c r="U227" s="72"/>
      <c r="V227" s="42"/>
      <c r="X227" s="155" t="s">
        <v>61</v>
      </c>
      <c r="Y227" s="43"/>
      <c r="Z227" s="43"/>
      <c r="AA227" s="206"/>
      <c r="AC227" s="74" t="s">
        <v>73</v>
      </c>
      <c r="AD227" s="75"/>
      <c r="AE227" s="207" t="str">
        <f>IF(OR(L209="",L213="",L209=0,L213=0),"",L213/L209)</f>
        <v/>
      </c>
      <c r="AF227" s="207" t="str">
        <f>IF(OR(M209="",M213="",M209=0,M213=0),"",M213/M209)</f>
        <v/>
      </c>
      <c r="AG227" s="207" t="str">
        <f>IF(OR(N209="",N213="",N209=0,N213=0),"",N213/N209)</f>
        <v/>
      </c>
      <c r="AH227" s="207">
        <f>IF(OR(O209="",O213="",O209=0,O213=0),"",O213/O209)</f>
        <v>1.1700816653754775E-3</v>
      </c>
      <c r="AI227" s="207">
        <f>IF(OR(P209="",P213="",P209=0,P213=0),"",P213/P209)</f>
        <v>-9.7692602398147688E-3</v>
      </c>
    </row>
    <row r="228" spans="1:40" ht="18.75" customHeight="1" thickBot="1" x14ac:dyDescent="0.25">
      <c r="B228" s="116"/>
      <c r="C228" s="93"/>
      <c r="D228" s="94" t="s">
        <v>74</v>
      </c>
      <c r="E228" s="61"/>
      <c r="F228" s="38">
        <v>0</v>
      </c>
      <c r="G228" s="38">
        <v>8463426</v>
      </c>
      <c r="H228" s="38">
        <v>0</v>
      </c>
      <c r="I228" s="38">
        <v>0</v>
      </c>
      <c r="J228" s="38">
        <v>9114316</v>
      </c>
      <c r="K228" s="80"/>
      <c r="L228" s="46">
        <v>0</v>
      </c>
      <c r="M228" s="46">
        <v>0</v>
      </c>
      <c r="N228" s="46">
        <v>0</v>
      </c>
      <c r="O228" s="46">
        <v>5185488</v>
      </c>
      <c r="P228" s="46">
        <v>8463426</v>
      </c>
      <c r="Q228" s="38"/>
      <c r="S228" s="50" t="s">
        <v>12</v>
      </c>
      <c r="T228" s="50"/>
      <c r="U228" s="78"/>
      <c r="V228" s="79">
        <f>Q209</f>
        <v>26980014</v>
      </c>
      <c r="X228" s="122" t="s">
        <v>75</v>
      </c>
      <c r="Y228" s="122"/>
      <c r="Z228" s="144"/>
      <c r="AA228" s="148">
        <f>J222</f>
        <v>488584</v>
      </c>
      <c r="AC228" s="74" t="s">
        <v>76</v>
      </c>
      <c r="AD228" s="75"/>
      <c r="AE228" s="207" t="str">
        <f>IF(OR(L213="",L227="",L213=0,L227=0),"",L213/L227)</f>
        <v/>
      </c>
      <c r="AF228" s="207" t="str">
        <f>IF(OR(M213="",M227="",M213=0,M227=0),"",M213/M227)</f>
        <v/>
      </c>
      <c r="AG228" s="207" t="str">
        <f>IF(OR(N213="",N227="",N213=0,N227=0),"",N213/N227)</f>
        <v/>
      </c>
      <c r="AH228" s="207">
        <f>IF(OR(O213="",O227="",O213=0,O227=0),"",O213/O227)</f>
        <v>2.7439024390243903E-2</v>
      </c>
      <c r="AI228" s="207">
        <f>IF(OR(P213="",P227="",P213=0,P227=0),"",P213/P227)</f>
        <v>-0.16403352585322123</v>
      </c>
    </row>
    <row r="229" spans="1:40" ht="18.75" customHeight="1" thickBot="1" x14ac:dyDescent="0.25">
      <c r="B229" s="113"/>
      <c r="C229" s="37"/>
      <c r="D229" s="94" t="s">
        <v>77</v>
      </c>
      <c r="E229" s="61"/>
      <c r="F229" s="38"/>
      <c r="G229" s="38">
        <v>5820745</v>
      </c>
      <c r="H229" s="38"/>
      <c r="I229" s="38"/>
      <c r="J229" s="38">
        <v>6241885</v>
      </c>
      <c r="K229" s="85"/>
      <c r="L229" s="46"/>
      <c r="M229" s="46"/>
      <c r="N229" s="46"/>
      <c r="O229" s="46">
        <v>4093760</v>
      </c>
      <c r="P229" s="46">
        <v>5820745</v>
      </c>
      <c r="Q229" s="38"/>
      <c r="S229" s="68" t="s">
        <v>23</v>
      </c>
      <c r="T229" s="68"/>
      <c r="U229" s="69"/>
      <c r="V229" s="192">
        <f>(Q209-Q210)/Q209</f>
        <v>0.31959568293774793</v>
      </c>
      <c r="X229" s="145" t="s">
        <v>78</v>
      </c>
      <c r="Y229" s="146"/>
      <c r="Z229" s="147"/>
      <c r="AA229" s="148">
        <f>J223</f>
        <v>9233157</v>
      </c>
      <c r="AC229" s="74" t="s">
        <v>79</v>
      </c>
      <c r="AD229" s="75"/>
      <c r="AE229" s="207" t="str">
        <f>IF(OR(L213="",L224="",L213=0,L224=0),"",L213/L224)</f>
        <v/>
      </c>
      <c r="AF229" s="207" t="str">
        <f>IF(OR(M213="",M224="",M213=0,M224=0),"",M213/M224)</f>
        <v/>
      </c>
      <c r="AG229" s="207" t="str">
        <f>IF(OR(N213="",N224="",N213=0,N224=0),"",N213/N224)</f>
        <v/>
      </c>
      <c r="AH229" s="207">
        <f>IF(OR(O213="",O224="",O213=0,O224=0),"",O213/O224)</f>
        <v>1.7943264367974647E-3</v>
      </c>
      <c r="AI229" s="207">
        <f>IF(OR(P213="",P224="",P213=0,P224=0),"",P213/P224)</f>
        <v>-1.2911984881726773E-2</v>
      </c>
    </row>
    <row r="230" spans="1:40" ht="18.75" customHeight="1" x14ac:dyDescent="0.2">
      <c r="B230" s="113"/>
      <c r="C230" s="37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S230" s="68" t="s">
        <v>24</v>
      </c>
      <c r="T230" s="68"/>
      <c r="U230" s="69"/>
      <c r="V230" s="192">
        <f>Q213/Q209</f>
        <v>1.9291687543231074E-3</v>
      </c>
      <c r="X230" s="63" t="s">
        <v>80</v>
      </c>
      <c r="Y230" s="63"/>
      <c r="Z230" s="64"/>
      <c r="AA230" s="70">
        <f>J226</f>
        <v>8022781</v>
      </c>
      <c r="AC230" s="74" t="s">
        <v>28</v>
      </c>
      <c r="AD230" s="75"/>
      <c r="AE230" s="92" t="str">
        <f>IF(OR(L209="",L224="",L209=0,L224=0),"",L209/L224)</f>
        <v/>
      </c>
      <c r="AF230" s="92" t="str">
        <f>IF(OR(M209="",M224="",M209=0,M224=0),"",M209/M224)</f>
        <v/>
      </c>
      <c r="AG230" s="92" t="str">
        <f>IF(OR(N209="",N224="",N209=0,N224=0),"",N209/N224)</f>
        <v/>
      </c>
      <c r="AH230" s="92">
        <f>IF(OR(O209="",O224="",O209=0,O224=0),"",O209/O224)</f>
        <v>1.5335053012916564</v>
      </c>
      <c r="AI230" s="92">
        <f>IF(OR(P209="",P224="",P209=0,P224=0),"",P209/P224)</f>
        <v>1.3216952527381534</v>
      </c>
    </row>
    <row r="231" spans="1:40" ht="18.75" customHeight="1" x14ac:dyDescent="0.2">
      <c r="B231" s="113"/>
      <c r="C231" s="37"/>
      <c r="D231" s="121" t="s">
        <v>81</v>
      </c>
      <c r="E231" s="18"/>
      <c r="F231" s="196" t="str">
        <f>F208</f>
        <v>2016-10</v>
      </c>
      <c r="G231" s="196" t="str">
        <f>G208</f>
        <v>2017-01</v>
      </c>
      <c r="H231" s="196" t="str">
        <f>H208</f>
        <v>2017-04</v>
      </c>
      <c r="I231" s="196" t="str">
        <f>I208</f>
        <v>2017-07</v>
      </c>
      <c r="J231" s="196" t="str">
        <f>J208</f>
        <v>2017-10</v>
      </c>
      <c r="K231" s="197"/>
      <c r="L231" s="208">
        <f>L208</f>
        <v>2013</v>
      </c>
      <c r="M231" s="208">
        <f>M208</f>
        <v>2014</v>
      </c>
      <c r="N231" s="208">
        <f>N208</f>
        <v>2015</v>
      </c>
      <c r="O231" s="208">
        <f>O208</f>
        <v>2016</v>
      </c>
      <c r="P231" s="208">
        <f>P208</f>
        <v>2017</v>
      </c>
      <c r="Q231" s="185" t="s">
        <v>42</v>
      </c>
      <c r="S231" s="68" t="s">
        <v>25</v>
      </c>
      <c r="T231" s="68"/>
      <c r="U231" s="69"/>
      <c r="V231" s="192">
        <f>Q212/Q209</f>
        <v>3.3198648451405549E-4</v>
      </c>
      <c r="X231" s="63" t="s">
        <v>82</v>
      </c>
      <c r="Y231" s="81"/>
      <c r="Z231" s="81"/>
      <c r="AA231" s="70">
        <f>J225+J227</f>
        <v>3775146</v>
      </c>
      <c r="AJ231" s="95"/>
    </row>
    <row r="232" spans="1:40" ht="18.75" customHeight="1" thickBot="1" x14ac:dyDescent="0.3">
      <c r="B232" s="117"/>
      <c r="C232" s="96"/>
      <c r="D232" s="60" t="s">
        <v>83</v>
      </c>
      <c r="E232" s="26"/>
      <c r="F232" s="62">
        <v>-645700</v>
      </c>
      <c r="G232" s="62">
        <v>372476</v>
      </c>
      <c r="H232" s="62"/>
      <c r="I232" s="62"/>
      <c r="J232" s="62">
        <v>296800</v>
      </c>
      <c r="K232" s="27"/>
      <c r="L232" s="62"/>
      <c r="M232" s="62"/>
      <c r="N232" s="62"/>
      <c r="O232" s="62">
        <v>445512</v>
      </c>
      <c r="P232" s="62">
        <v>-273224</v>
      </c>
      <c r="Q232" s="62">
        <v>669276</v>
      </c>
      <c r="X232" s="82"/>
      <c r="Y232" s="83"/>
      <c r="Z232" s="83"/>
      <c r="AA232" s="84"/>
      <c r="AC232" s="89" t="s">
        <v>2</v>
      </c>
      <c r="AD232" s="90"/>
      <c r="AE232" s="162">
        <f>L208</f>
        <v>2013</v>
      </c>
      <c r="AF232" s="162">
        <f>M208</f>
        <v>2014</v>
      </c>
      <c r="AG232" s="162">
        <f>N208</f>
        <v>2015</v>
      </c>
      <c r="AH232" s="162">
        <f>O208</f>
        <v>2016</v>
      </c>
      <c r="AI232" s="162">
        <f>P208</f>
        <v>2017</v>
      </c>
      <c r="AJ232" s="95"/>
    </row>
    <row r="233" spans="1:40" ht="18.75" customHeight="1" thickBot="1" x14ac:dyDescent="0.25">
      <c r="B233" s="113"/>
      <c r="C233" s="37"/>
      <c r="D233" s="60" t="s">
        <v>84</v>
      </c>
      <c r="E233" s="26"/>
      <c r="F233" s="62">
        <v>-109421</v>
      </c>
      <c r="G233" s="62">
        <v>-96898</v>
      </c>
      <c r="H233" s="62"/>
      <c r="I233" s="62"/>
      <c r="J233" s="62">
        <v>-117523</v>
      </c>
      <c r="K233" s="27"/>
      <c r="L233" s="62"/>
      <c r="M233" s="62"/>
      <c r="N233" s="62"/>
      <c r="O233" s="62">
        <v>-194422</v>
      </c>
      <c r="P233" s="62">
        <v>-206319</v>
      </c>
      <c r="Q233" s="62">
        <v>-214421</v>
      </c>
      <c r="S233" s="153" t="s">
        <v>4</v>
      </c>
      <c r="T233" s="19"/>
      <c r="U233" s="19"/>
      <c r="V233" s="86"/>
      <c r="X233" s="155" t="s">
        <v>85</v>
      </c>
      <c r="Y233" s="43"/>
      <c r="Z233" s="43"/>
      <c r="AA233" s="196"/>
      <c r="AC233" s="74" t="s">
        <v>20</v>
      </c>
      <c r="AD233" s="75"/>
      <c r="AE233" s="92" t="str">
        <f t="shared" ref="AE233:AI234" si="20">IF(OR(L223="",L226="",L223=0,L226=0),"",L223/L226)</f>
        <v/>
      </c>
      <c r="AF233" s="92" t="str">
        <f t="shared" si="20"/>
        <v/>
      </c>
      <c r="AG233" s="92" t="str">
        <f t="shared" si="20"/>
        <v/>
      </c>
      <c r="AH233" s="92">
        <f t="shared" si="20"/>
        <v>1.2948674380084426</v>
      </c>
      <c r="AI233" s="92">
        <f t="shared" si="20"/>
        <v>1.1317647812247924</v>
      </c>
      <c r="AJ233" s="95"/>
    </row>
    <row r="234" spans="1:40" ht="18.75" customHeight="1" thickBot="1" x14ac:dyDescent="0.25">
      <c r="B234" s="113"/>
      <c r="C234" s="37"/>
      <c r="D234" s="60" t="s">
        <v>86</v>
      </c>
      <c r="E234" s="26"/>
      <c r="F234" s="62">
        <v>-755121</v>
      </c>
      <c r="G234" s="62">
        <v>275578</v>
      </c>
      <c r="H234" s="62">
        <v>0</v>
      </c>
      <c r="I234" s="62">
        <v>0</v>
      </c>
      <c r="J234" s="62">
        <v>179277</v>
      </c>
      <c r="K234" s="27"/>
      <c r="L234" s="62"/>
      <c r="M234" s="62"/>
      <c r="N234" s="62"/>
      <c r="O234" s="62">
        <v>251090</v>
      </c>
      <c r="P234" s="62">
        <v>-479543</v>
      </c>
      <c r="Q234" s="62">
        <v>454855</v>
      </c>
      <c r="S234" s="47" t="s">
        <v>26</v>
      </c>
      <c r="T234" s="47"/>
      <c r="U234" s="48"/>
      <c r="V234" s="189">
        <f>Q213/AVERAGE(G229:J229)</f>
        <v>8.6297930053396317E-3</v>
      </c>
      <c r="X234" s="66" t="s">
        <v>87</v>
      </c>
      <c r="Y234" s="66"/>
      <c r="Z234" s="67"/>
      <c r="AA234" s="87">
        <f>AVERAGE(N232:P232)</f>
        <v>86144</v>
      </c>
      <c r="AC234" s="74" t="s">
        <v>21</v>
      </c>
      <c r="AD234" s="75"/>
      <c r="AE234" s="92" t="str">
        <f t="shared" si="20"/>
        <v/>
      </c>
      <c r="AF234" s="92" t="str">
        <f t="shared" si="20"/>
        <v/>
      </c>
      <c r="AG234" s="92" t="str">
        <f t="shared" si="20"/>
        <v/>
      </c>
      <c r="AH234" s="92">
        <f t="shared" si="20"/>
        <v>15.292102834541859</v>
      </c>
      <c r="AI234" s="92">
        <f t="shared" si="20"/>
        <v>12.703974435825419</v>
      </c>
      <c r="AJ234" s="95"/>
    </row>
    <row r="235" spans="1:40" ht="18.75" customHeight="1" x14ac:dyDescent="0.2">
      <c r="B235" s="110"/>
      <c r="C235" s="17"/>
      <c r="S235" s="29" t="s">
        <v>27</v>
      </c>
      <c r="T235" s="29"/>
      <c r="U235" s="30"/>
      <c r="V235" s="192">
        <f>Q213/AVERAGE(G224:J224)</f>
        <v>7.0240683888852674E-3</v>
      </c>
      <c r="X235" s="63" t="s">
        <v>88</v>
      </c>
      <c r="Y235" s="63"/>
      <c r="Z235" s="81"/>
      <c r="AA235" s="88">
        <f>ABS(AVERAGE(N233:P233))</f>
        <v>200370.5</v>
      </c>
      <c r="AC235" s="74" t="s">
        <v>22</v>
      </c>
      <c r="AD235" s="75"/>
      <c r="AE235" s="92" t="str">
        <f>IF(OR(L229="",L227="",L227=0,L229=0),"",L229/L227)</f>
        <v/>
      </c>
      <c r="AF235" s="92" t="str">
        <f>IF(OR(M229="",M227="",M227=0,M229=0),"",M229/M227)</f>
        <v/>
      </c>
      <c r="AG235" s="92" t="str">
        <f>IF(OR(N229="",N227="",N227=0,N229=0),"",N229/N227)</f>
        <v/>
      </c>
      <c r="AH235" s="92">
        <f>IF(OR(O229="",O227="",O227=0,O229=0),"",O229/O227)</f>
        <v>6.7464733025708634</v>
      </c>
      <c r="AI235" s="92">
        <f>IF(OR(P229="",P227="",P227=0,P229=0),"",P229/P227)</f>
        <v>5.176820949389267</v>
      </c>
    </row>
    <row r="236" spans="1:40" ht="18.75" customHeight="1" x14ac:dyDescent="0.2">
      <c r="B236" s="110"/>
      <c r="C236" s="17"/>
      <c r="S236" s="29" t="s">
        <v>89</v>
      </c>
      <c r="T236" s="29"/>
      <c r="U236" s="30"/>
      <c r="V236" s="192">
        <f>Q212/(AVERAGE(G229:J229)+(AVERAGE(G224:J224)-AVERAGE(G226:J226)))</f>
        <v>1.5549004230971371E-3</v>
      </c>
      <c r="X236" s="63" t="s">
        <v>90</v>
      </c>
      <c r="Y236" s="63"/>
      <c r="Z236" s="64"/>
      <c r="AA236" s="32">
        <f>AVERAGE(N234:P234)</f>
        <v>-114226.5</v>
      </c>
    </row>
    <row r="237" spans="1:40" ht="18.75" customHeight="1" x14ac:dyDescent="0.2">
      <c r="B237" s="113"/>
      <c r="C237" s="37"/>
      <c r="S237" s="29" t="s">
        <v>28</v>
      </c>
      <c r="T237" s="29"/>
      <c r="U237" s="30"/>
      <c r="V237" s="65">
        <f>Q209/AVERAGE(G224:J224)</f>
        <v>3.6409818338312352</v>
      </c>
      <c r="X237" s="123"/>
      <c r="AA237" s="123"/>
      <c r="AJ237" s="99"/>
    </row>
    <row r="238" spans="1:40" s="105" customFormat="1" ht="18.75" customHeight="1" thickBot="1" x14ac:dyDescent="0.35">
      <c r="A238" s="118"/>
      <c r="B238" s="119"/>
      <c r="C238" s="100"/>
      <c r="D238" s="169"/>
      <c r="E238" s="100"/>
      <c r="F238" s="101"/>
      <c r="G238" s="101"/>
      <c r="H238" s="101"/>
      <c r="I238" s="101"/>
      <c r="J238" s="101"/>
      <c r="K238" s="102"/>
      <c r="L238" s="103"/>
      <c r="M238" s="104"/>
      <c r="N238" s="104"/>
      <c r="O238" s="104"/>
      <c r="P238" s="102"/>
      <c r="Q238" s="102"/>
      <c r="R238" s="100"/>
      <c r="S238" s="156"/>
      <c r="X238" s="156"/>
      <c r="AA238" s="209"/>
      <c r="AC238" s="156"/>
    </row>
    <row r="239" spans="1:40" s="106" customFormat="1" ht="18.75" customHeight="1" thickBot="1" x14ac:dyDescent="0.25">
      <c r="D239" s="15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S239" s="157"/>
      <c r="X239" s="157"/>
      <c r="AA239" s="210"/>
      <c r="AC239" s="157"/>
    </row>
    <row r="240" spans="1:40" s="143" customFormat="1" ht="18.75" customHeight="1" thickBot="1" x14ac:dyDescent="0.3">
      <c r="A240" s="129">
        <v>8</v>
      </c>
      <c r="B240" s="130"/>
      <c r="C240" s="131"/>
      <c r="D240" s="132"/>
      <c r="E240" s="133"/>
      <c r="F240" s="134"/>
      <c r="G240" s="135"/>
      <c r="H240" s="135"/>
      <c r="I240" s="135"/>
      <c r="J240" s="135"/>
      <c r="K240" s="136"/>
      <c r="L240" s="137"/>
      <c r="M240" s="138"/>
      <c r="N240" s="138"/>
      <c r="O240" s="138"/>
      <c r="P240" s="138"/>
      <c r="Q240" s="138"/>
      <c r="R240" s="139"/>
      <c r="S240" s="140" t="s">
        <v>7</v>
      </c>
      <c r="T240" s="325" t="s">
        <v>97</v>
      </c>
      <c r="U240" s="326"/>
      <c r="V240" s="141" t="s">
        <v>35</v>
      </c>
      <c r="W240" s="138"/>
      <c r="X240" s="158"/>
      <c r="Y240" s="138"/>
      <c r="Z240" s="138"/>
      <c r="AA240" s="182"/>
      <c r="AB240" s="142"/>
      <c r="AC240" s="159"/>
      <c r="AD240" s="136"/>
      <c r="AE240" s="136"/>
      <c r="AF240" s="142"/>
      <c r="AG240" s="142"/>
      <c r="AH240" s="142"/>
      <c r="AI240" s="142"/>
      <c r="AJ240" s="142"/>
      <c r="AK240" s="142"/>
      <c r="AL240" s="142"/>
      <c r="AM240" s="136"/>
      <c r="AN240" s="136"/>
    </row>
    <row r="241" spans="1:40" ht="18.75" customHeight="1" x14ac:dyDescent="0.25">
      <c r="B241" s="109"/>
      <c r="C241" s="14"/>
      <c r="D241" s="15"/>
      <c r="E241" s="183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51"/>
      <c r="T241" s="16"/>
      <c r="U241" s="16"/>
      <c r="V241" s="16"/>
      <c r="W241" s="16"/>
      <c r="X241" s="151"/>
      <c r="Y241" s="16"/>
      <c r="Z241" s="16"/>
      <c r="AA241" s="184"/>
      <c r="AB241" s="16"/>
      <c r="AC241" s="151"/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 spans="1:40" ht="18.75" customHeight="1" x14ac:dyDescent="0.2">
      <c r="B242" s="110"/>
      <c r="C242" s="17"/>
      <c r="D242" s="120" t="s">
        <v>36</v>
      </c>
      <c r="E242" s="18"/>
      <c r="F242" s="185" t="s">
        <v>37</v>
      </c>
      <c r="G242" s="185" t="s">
        <v>38</v>
      </c>
      <c r="H242" s="185" t="s">
        <v>39</v>
      </c>
      <c r="I242" s="185" t="s">
        <v>40</v>
      </c>
      <c r="J242" s="185" t="s">
        <v>41</v>
      </c>
      <c r="K242" s="186"/>
      <c r="L242" s="185">
        <v>2013</v>
      </c>
      <c r="M242" s="185">
        <v>2014</v>
      </c>
      <c r="N242" s="185">
        <v>2015</v>
      </c>
      <c r="O242" s="185">
        <v>2016</v>
      </c>
      <c r="P242" s="185">
        <v>2017</v>
      </c>
      <c r="Q242" s="185" t="s">
        <v>42</v>
      </c>
      <c r="S242" s="153" t="s">
        <v>0</v>
      </c>
      <c r="T242" s="19"/>
      <c r="U242" s="19"/>
      <c r="V242" s="20"/>
      <c r="W242" s="21"/>
      <c r="X242" s="153" t="s">
        <v>5</v>
      </c>
      <c r="Y242" s="19"/>
      <c r="Z242" s="44"/>
      <c r="AA242" s="44" t="s">
        <v>43</v>
      </c>
      <c r="AB242" s="21"/>
      <c r="AC242" s="155" t="s">
        <v>44</v>
      </c>
      <c r="AD242" s="43"/>
      <c r="AE242" s="44"/>
      <c r="AF242" s="160">
        <f>M242</f>
        <v>2014</v>
      </c>
      <c r="AG242" s="160">
        <f>N242</f>
        <v>2015</v>
      </c>
      <c r="AH242" s="160">
        <f>O242</f>
        <v>2016</v>
      </c>
      <c r="AI242" s="160">
        <f>P242</f>
        <v>2017</v>
      </c>
      <c r="AJ242" s="22"/>
      <c r="AK242" s="23"/>
      <c r="AM242" s="24"/>
      <c r="AN242" s="175"/>
    </row>
    <row r="243" spans="1:40" ht="18.75" customHeight="1" thickBot="1" x14ac:dyDescent="0.25">
      <c r="A243" s="111"/>
      <c r="B243" s="112"/>
      <c r="C243" s="25"/>
      <c r="D243" s="60" t="s">
        <v>29</v>
      </c>
      <c r="E243" s="26"/>
      <c r="F243" s="62">
        <v>60198000</v>
      </c>
      <c r="G243" s="62">
        <v>65865000</v>
      </c>
      <c r="H243" s="62">
        <v>62261000</v>
      </c>
      <c r="I243" s="62">
        <v>48938000</v>
      </c>
      <c r="J243" s="62">
        <v>55541000</v>
      </c>
      <c r="K243" s="27"/>
      <c r="L243" s="62">
        <v>241394000</v>
      </c>
      <c r="M243" s="62">
        <v>233610000</v>
      </c>
      <c r="N243" s="62">
        <v>229003000</v>
      </c>
      <c r="O243" s="62">
        <v>229653000</v>
      </c>
      <c r="P243" s="62">
        <v>232605000</v>
      </c>
      <c r="Q243" s="62">
        <v>232605000</v>
      </c>
      <c r="S243" s="122" t="s">
        <v>8</v>
      </c>
      <c r="T243" s="149"/>
      <c r="U243" s="149"/>
      <c r="V243" s="187">
        <v>11.91</v>
      </c>
      <c r="W243" s="188"/>
      <c r="X243" s="50" t="s">
        <v>29</v>
      </c>
      <c r="Y243" s="50"/>
      <c r="Z243" s="78"/>
      <c r="AA243" s="189">
        <f>IF(AA242="Year over Year",AI243,IF(AA242="3-Year Average",AVERAGE(AH243:AI243),IF(AA242="5-Year Average",AVERAGE(AF243:AI243),"")))</f>
        <v>-9.0685933864669832E-3</v>
      </c>
      <c r="AB243" s="190"/>
      <c r="AC243" s="51" t="s">
        <v>45</v>
      </c>
      <c r="AD243" s="52"/>
      <c r="AE243" s="53"/>
      <c r="AF243" s="191">
        <f>IF(AND(M243&gt;0,L243&gt;0,L243&lt;&gt;""),M243/L243-1,IF(AND(L243&lt;0,M243&lt;0,L243&lt;&gt;""),(M243-L243)/ABS(L243),IF(AND(L243&gt;0,M243&lt;0,L243&lt;&gt;""),"L",IF(AND(L243&lt;0,M243&gt;0,L243&lt;&gt;""),"P",""))))</f>
        <v>-3.2246037598283261E-2</v>
      </c>
      <c r="AG243" s="191">
        <f>IF(AND(N243&gt;0,M243&gt;0,M243&lt;&gt;""),N243/M243-1,IF(AND(M243&lt;0,N243&lt;0,M243&lt;&gt;""),(N243-M243)/ABS(M243),IF(AND(M243&gt;0,N243&lt;0,M243&lt;&gt;""),"L",IF(AND(M243&lt;0,N243&gt;0,M243&lt;&gt;""),"P",""))))</f>
        <v>-1.9720902358631887E-2</v>
      </c>
      <c r="AH243" s="191">
        <f>IF(AND(O243&gt;0,N243&gt;0,N243&lt;&gt;""),O243/N243-1,IF(AND(N243&lt;0,O243&lt;0,N243&lt;&gt;""),(O243-N243)/ABS(N243),IF(AND(N243&gt;0,O243&lt;0,N243&lt;&gt;""),"L",IF(AND(N243&lt;0,O243&gt;0,N243&lt;&gt;""),"P",""))))</f>
        <v>2.8383907634397243E-3</v>
      </c>
      <c r="AI243" s="191">
        <f>IF(AND(P243&gt;0,O243&gt;0,O243&lt;&gt;""),P243/O243-1,IF(AND(O243&lt;0,P243&lt;0,O243&lt;&gt;""),(P243-O243)/ABS(O243),IF(AND(O243&gt;0,P243&lt;0,O243&lt;&gt;""),"L",IF(AND(O243&lt;0,P243&gt;0,O243&lt;&gt;""),"P",""))))</f>
        <v>1.2854175647607491E-2</v>
      </c>
    </row>
    <row r="244" spans="1:40" ht="18.75" customHeight="1" thickBot="1" x14ac:dyDescent="0.25">
      <c r="A244" s="111"/>
      <c r="B244" s="112"/>
      <c r="C244" s="25"/>
      <c r="D244" s="60" t="s">
        <v>46</v>
      </c>
      <c r="E244" s="26"/>
      <c r="F244" s="62">
        <v>47652000</v>
      </c>
      <c r="G244" s="62">
        <v>50204000</v>
      </c>
      <c r="H244" s="62">
        <v>47064000</v>
      </c>
      <c r="I244" s="62">
        <v>39571000</v>
      </c>
      <c r="J244" s="62">
        <v>42936000</v>
      </c>
      <c r="K244" s="28"/>
      <c r="L244" s="62">
        <v>188559000</v>
      </c>
      <c r="M244" s="62">
        <v>182288000</v>
      </c>
      <c r="N244" s="62">
        <v>182864000</v>
      </c>
      <c r="O244" s="62">
        <v>183453000</v>
      </c>
      <c r="P244" s="62">
        <v>179775000</v>
      </c>
      <c r="Q244" s="62">
        <v>179775000</v>
      </c>
      <c r="S244" s="29" t="s">
        <v>9</v>
      </c>
      <c r="T244" s="30"/>
      <c r="U244" s="31"/>
      <c r="V244" s="32">
        <f>V243*Q251</f>
        <v>189952590</v>
      </c>
      <c r="W244" s="188"/>
      <c r="X244" s="63" t="s">
        <v>47</v>
      </c>
      <c r="Y244" s="63"/>
      <c r="Z244" s="64"/>
      <c r="AA244" s="192">
        <f>IF(AA242="Year over Year",AI244,IF(AA242="3-Year Average",AVERAGE(AH244:AI244),IF(AA242="5-Year Average",AVERAGE(AF244:AI244),"")))</f>
        <v>-1.5218185946947285</v>
      </c>
      <c r="AB244" s="190"/>
      <c r="AC244" s="51" t="s">
        <v>30</v>
      </c>
      <c r="AD244" s="52"/>
      <c r="AE244" s="53"/>
      <c r="AF244" s="191">
        <f t="shared" ref="AF244:AI246" si="21">IF(AND(M246&gt;0,L246&gt;0,L246&lt;&gt;""),M246/L246-1,IF(AND(L246&lt;0,M246&lt;0,L246&lt;&gt;""),(M246-L246)/ABS(L246),IF(AND(L246&gt;0,M246&lt;0,L246&lt;&gt;""),"L",IF(AND(L246&lt;0,M246&gt;0,L246&lt;&gt;""),"P",""))))</f>
        <v>-2.3774733637747336</v>
      </c>
      <c r="AG244" s="191" t="str">
        <f t="shared" si="21"/>
        <v>P</v>
      </c>
      <c r="AH244" s="191">
        <f t="shared" si="21"/>
        <v>-0.6661638256147232</v>
      </c>
      <c r="AI244" s="191" t="str">
        <f t="shared" si="21"/>
        <v>L</v>
      </c>
    </row>
    <row r="245" spans="1:40" ht="18.75" customHeight="1" thickBot="1" x14ac:dyDescent="0.25">
      <c r="B245" s="112"/>
      <c r="C245" s="25"/>
      <c r="D245" s="33" t="s">
        <v>48</v>
      </c>
      <c r="E245" s="34"/>
      <c r="F245" s="35">
        <v>12546000</v>
      </c>
      <c r="G245" s="35">
        <v>15661000</v>
      </c>
      <c r="H245" s="35">
        <v>15197000</v>
      </c>
      <c r="I245" s="35">
        <v>9367000</v>
      </c>
      <c r="J245" s="35">
        <v>12605000</v>
      </c>
      <c r="K245" s="27"/>
      <c r="L245" s="35">
        <v>52835000</v>
      </c>
      <c r="M245" s="35">
        <v>51322000</v>
      </c>
      <c r="N245" s="35">
        <v>46139000</v>
      </c>
      <c r="O245" s="35">
        <v>46200000</v>
      </c>
      <c r="P245" s="35">
        <v>52830000</v>
      </c>
      <c r="Q245" s="62">
        <v>52830000</v>
      </c>
      <c r="S245" s="29" t="s">
        <v>10</v>
      </c>
      <c r="T245" s="30"/>
      <c r="U245" s="36"/>
      <c r="V245" s="32">
        <f>V244+(J259+J261)-J255</f>
        <v>184682590</v>
      </c>
      <c r="W245" s="190"/>
      <c r="X245" s="63" t="s">
        <v>31</v>
      </c>
      <c r="Y245" s="63"/>
      <c r="Z245" s="81"/>
      <c r="AA245" s="192">
        <f>IF(AA242="Year over Year",AI245,IF(AA242="3-Year Average",AVERAGE(AH245:AI245),IF(AA242="5-Year Average",AVERAGE(AF245:AI245),"")))</f>
        <v>0.7559572719802794</v>
      </c>
      <c r="AB245" s="190"/>
      <c r="AC245" s="51" t="s">
        <v>49</v>
      </c>
      <c r="AD245" s="52"/>
      <c r="AE245" s="53"/>
      <c r="AF245" s="191" t="str">
        <f t="shared" si="21"/>
        <v>L</v>
      </c>
      <c r="AG245" s="191">
        <f t="shared" si="21"/>
        <v>0.7559572719802794</v>
      </c>
      <c r="AH245" s="191" t="str">
        <f t="shared" si="21"/>
        <v>P</v>
      </c>
      <c r="AI245" s="191" t="str">
        <f t="shared" si="21"/>
        <v>L</v>
      </c>
    </row>
    <row r="246" spans="1:40" ht="18.75" customHeight="1" thickBot="1" x14ac:dyDescent="0.25">
      <c r="B246" s="112"/>
      <c r="C246" s="25"/>
      <c r="D246" s="60" t="s">
        <v>50</v>
      </c>
      <c r="E246" s="61"/>
      <c r="F246" s="62">
        <v>975000</v>
      </c>
      <c r="G246" s="62">
        <v>2241000</v>
      </c>
      <c r="H246" s="62">
        <v>2754000</v>
      </c>
      <c r="I246" s="62">
        <v>-2596000</v>
      </c>
      <c r="J246" s="62">
        <v>-2520000</v>
      </c>
      <c r="K246" s="40"/>
      <c r="L246" s="62">
        <v>-657000</v>
      </c>
      <c r="M246" s="62">
        <v>-2219000</v>
      </c>
      <c r="N246" s="62">
        <v>6629000</v>
      </c>
      <c r="O246" s="62">
        <v>2213000</v>
      </c>
      <c r="P246" s="62">
        <v>-121000</v>
      </c>
      <c r="Q246" s="62">
        <v>-121000</v>
      </c>
      <c r="S246" s="29" t="s">
        <v>11</v>
      </c>
      <c r="T246" s="30"/>
      <c r="U246" s="36"/>
      <c r="V246" s="32">
        <f>J258-J262</f>
        <v>68986000</v>
      </c>
      <c r="W246" s="188"/>
      <c r="X246" s="63" t="s">
        <v>32</v>
      </c>
      <c r="Y246" s="63"/>
      <c r="Z246" s="64"/>
      <c r="AA246" s="192">
        <f>IF(AA242="Year over Year",AI246,IF(AA242="3-Year Average",AVERAGE(AH246:AI246),IF(AA242="5-Year Average",AVERAGE(AF246:AI246),"")))</f>
        <v>0.75</v>
      </c>
      <c r="AB246" s="190"/>
      <c r="AC246" s="51" t="s">
        <v>51</v>
      </c>
      <c r="AD246" s="52"/>
      <c r="AE246" s="53"/>
      <c r="AF246" s="191" t="str">
        <f t="shared" si="21"/>
        <v>L</v>
      </c>
      <c r="AG246" s="191">
        <f t="shared" si="21"/>
        <v>0.75</v>
      </c>
      <c r="AH246" s="191" t="str">
        <f t="shared" si="21"/>
        <v>P</v>
      </c>
      <c r="AI246" s="191" t="str">
        <f t="shared" si="21"/>
        <v>L</v>
      </c>
    </row>
    <row r="247" spans="1:40" ht="18.75" customHeight="1" thickBot="1" x14ac:dyDescent="0.25">
      <c r="B247" s="112"/>
      <c r="C247" s="25"/>
      <c r="D247" s="60" t="s">
        <v>52</v>
      </c>
      <c r="E247" s="61"/>
      <c r="F247" s="62">
        <v>1175000</v>
      </c>
      <c r="G247" s="62">
        <v>1447000</v>
      </c>
      <c r="H247" s="62">
        <v>1977000</v>
      </c>
      <c r="I247" s="62">
        <v>-1517000</v>
      </c>
      <c r="J247" s="62">
        <v>-5293000</v>
      </c>
      <c r="K247" s="27"/>
      <c r="L247" s="62">
        <v>358000</v>
      </c>
      <c r="M247" s="62">
        <v>-3651000</v>
      </c>
      <c r="N247" s="62">
        <v>-891000</v>
      </c>
      <c r="O247" s="62">
        <v>1783000</v>
      </c>
      <c r="P247" s="62">
        <v>-3386000</v>
      </c>
      <c r="Q247" s="62">
        <v>-3386000</v>
      </c>
      <c r="S247" s="29" t="s">
        <v>53</v>
      </c>
      <c r="T247" s="30"/>
      <c r="U247" s="31"/>
      <c r="V247" s="39" t="str">
        <f>IF(V244&gt;10000,"Large Cap",IF(AND(10000&gt;V244,2000&lt;V244),"Mid Cap",IF(AND(2000&gt;V244,V244&gt;50),"Small Cap",IF(V244&lt;50,"Micro Cap",NA))))</f>
        <v>Large Cap</v>
      </c>
      <c r="W247" s="188"/>
      <c r="AB247" s="41"/>
    </row>
    <row r="248" spans="1:40" ht="18.75" customHeight="1" thickBot="1" x14ac:dyDescent="0.25">
      <c r="B248" s="112"/>
      <c r="C248" s="25"/>
      <c r="D248" s="60" t="s">
        <v>54</v>
      </c>
      <c r="E248" s="61"/>
      <c r="F248" s="54">
        <v>7.0000000000000007E-2</v>
      </c>
      <c r="G248" s="54">
        <v>0.09</v>
      </c>
      <c r="H248" s="54">
        <v>0.12</v>
      </c>
      <c r="I248" s="54">
        <v>-0.1</v>
      </c>
      <c r="J248" s="54">
        <v>-0.34</v>
      </c>
      <c r="K248" s="55"/>
      <c r="L248" s="56">
        <v>0.02</v>
      </c>
      <c r="M248" s="56">
        <v>-0.24</v>
      </c>
      <c r="N248" s="56">
        <v>-0.06</v>
      </c>
      <c r="O248" s="56">
        <v>0.11</v>
      </c>
      <c r="P248" s="56">
        <v>-0.22</v>
      </c>
      <c r="Q248" s="54">
        <v>-0.22</v>
      </c>
      <c r="S248" s="122" t="s">
        <v>55</v>
      </c>
      <c r="T248" s="124"/>
      <c r="U248" s="124"/>
      <c r="V248" s="125"/>
      <c r="W248" s="190"/>
      <c r="X248" s="155" t="s">
        <v>2</v>
      </c>
      <c r="Y248" s="43"/>
      <c r="Z248" s="97"/>
      <c r="AA248" s="193"/>
      <c r="AC248" s="154" t="s">
        <v>56</v>
      </c>
      <c r="AD248" s="72"/>
      <c r="AE248" s="161">
        <f>L242</f>
        <v>2013</v>
      </c>
      <c r="AF248" s="161">
        <f>M242</f>
        <v>2014</v>
      </c>
      <c r="AG248" s="161">
        <f>N242</f>
        <v>2015</v>
      </c>
      <c r="AH248" s="161">
        <f>O242</f>
        <v>2016</v>
      </c>
      <c r="AI248" s="161">
        <f>P242</f>
        <v>2017</v>
      </c>
    </row>
    <row r="249" spans="1:40" ht="18.75" hidden="1" customHeight="1" x14ac:dyDescent="0.2">
      <c r="B249" s="112"/>
      <c r="C249" s="25"/>
      <c r="D249" s="60"/>
      <c r="E249" s="61"/>
      <c r="F249" s="54">
        <v>15690000</v>
      </c>
      <c r="G249" s="54">
        <v>15781000</v>
      </c>
      <c r="H249" s="54">
        <v>15919000</v>
      </c>
      <c r="I249" s="54">
        <v>15976000</v>
      </c>
      <c r="J249" s="54">
        <v>15949000</v>
      </c>
      <c r="K249" s="55"/>
      <c r="L249" s="56">
        <v>15240000</v>
      </c>
      <c r="M249" s="56">
        <v>15501000</v>
      </c>
      <c r="N249" s="56">
        <v>15562000</v>
      </c>
      <c r="O249" s="56">
        <v>15675000</v>
      </c>
      <c r="P249" s="56">
        <v>15949000</v>
      </c>
      <c r="Q249" s="54">
        <v>15949000</v>
      </c>
      <c r="S249" s="51"/>
      <c r="V249" s="170"/>
      <c r="W249" s="190"/>
      <c r="X249" s="171"/>
      <c r="Y249" s="172"/>
      <c r="Z249" s="173"/>
      <c r="AA249" s="194"/>
      <c r="AC249" s="174"/>
      <c r="AD249" s="175"/>
      <c r="AE249" s="176"/>
      <c r="AF249" s="176"/>
      <c r="AG249" s="176"/>
      <c r="AH249" s="176"/>
      <c r="AI249" s="176"/>
    </row>
    <row r="250" spans="1:40" ht="18.75" hidden="1" customHeight="1" x14ac:dyDescent="0.2">
      <c r="B250" s="112"/>
      <c r="C250" s="25"/>
      <c r="D250" s="60"/>
      <c r="E250" s="61"/>
      <c r="F250" s="54">
        <v>7.0000000000000007E-2</v>
      </c>
      <c r="G250" s="54">
        <v>0.09</v>
      </c>
      <c r="H250" s="54">
        <v>0.12</v>
      </c>
      <c r="I250" s="54">
        <v>-0.1</v>
      </c>
      <c r="J250" s="54">
        <v>-0.34</v>
      </c>
      <c r="K250" s="55"/>
      <c r="L250" s="56">
        <v>0.02</v>
      </c>
      <c r="M250" s="56">
        <v>-0.24</v>
      </c>
      <c r="N250" s="56">
        <v>-0.06</v>
      </c>
      <c r="O250" s="56">
        <v>0.11</v>
      </c>
      <c r="P250" s="56">
        <v>-0.22</v>
      </c>
      <c r="Q250" s="54">
        <v>-0.22</v>
      </c>
      <c r="S250" s="51"/>
      <c r="V250" s="170"/>
      <c r="W250" s="190"/>
      <c r="X250" s="171"/>
      <c r="Y250" s="172"/>
      <c r="Z250" s="173"/>
      <c r="AA250" s="194"/>
      <c r="AC250" s="174"/>
      <c r="AD250" s="175"/>
      <c r="AE250" s="176"/>
      <c r="AF250" s="176"/>
      <c r="AG250" s="176"/>
      <c r="AH250" s="176"/>
      <c r="AI250" s="176"/>
    </row>
    <row r="251" spans="1:40" ht="18.75" customHeight="1" thickBot="1" x14ac:dyDescent="0.25">
      <c r="B251" s="112"/>
      <c r="C251" s="25"/>
      <c r="D251" s="33" t="s">
        <v>57</v>
      </c>
      <c r="E251" s="61"/>
      <c r="F251" s="62">
        <v>15690000</v>
      </c>
      <c r="G251" s="62">
        <v>15781000</v>
      </c>
      <c r="H251" s="62">
        <v>15919000</v>
      </c>
      <c r="I251" s="62">
        <v>15976000</v>
      </c>
      <c r="J251" s="62">
        <v>15949000</v>
      </c>
      <c r="K251" s="28"/>
      <c r="L251" s="62">
        <v>15240000</v>
      </c>
      <c r="M251" s="62">
        <v>15501000</v>
      </c>
      <c r="N251" s="62">
        <v>15562000</v>
      </c>
      <c r="O251" s="62">
        <v>15675000</v>
      </c>
      <c r="P251" s="62">
        <v>15949000</v>
      </c>
      <c r="Q251" s="62">
        <v>15949000</v>
      </c>
      <c r="S251" s="123"/>
      <c r="X251" s="47" t="s">
        <v>20</v>
      </c>
      <c r="Y251" s="47"/>
      <c r="Z251" s="48"/>
      <c r="AA251" s="49">
        <f>AVERAGE(G257:J257)/AVERAGE(G260:J260)</f>
        <v>1.673568619567539</v>
      </c>
      <c r="AC251" s="74" t="s">
        <v>29</v>
      </c>
      <c r="AD251" s="75"/>
      <c r="AE251" s="76">
        <f>IF(L243="","",L243)</f>
        <v>241394000</v>
      </c>
      <c r="AF251" s="76">
        <f>IF(M243="","",M243)</f>
        <v>233610000</v>
      </c>
      <c r="AG251" s="76">
        <f>IF(N243="","",N243)</f>
        <v>229003000</v>
      </c>
      <c r="AH251" s="76">
        <f>IF(O243="","",O243)</f>
        <v>229653000</v>
      </c>
      <c r="AI251" s="76">
        <f>IF(P243="","",P243)</f>
        <v>232605000</v>
      </c>
    </row>
    <row r="252" spans="1:40" ht="18.75" customHeight="1" thickBot="1" x14ac:dyDescent="0.25">
      <c r="B252" s="112"/>
      <c r="C252" s="25"/>
      <c r="D252" s="33" t="s">
        <v>58</v>
      </c>
      <c r="E252" s="45"/>
      <c r="F252" s="35">
        <v>2385000</v>
      </c>
      <c r="G252" s="35">
        <v>3139000</v>
      </c>
      <c r="H252" s="35">
        <v>3708000</v>
      </c>
      <c r="I252" s="35">
        <v>-1643000</v>
      </c>
      <c r="J252" s="35">
        <v>-1292000</v>
      </c>
      <c r="K252" s="40"/>
      <c r="L252" s="62">
        <v>2679000</v>
      </c>
      <c r="M252" s="62">
        <v>1755000</v>
      </c>
      <c r="N252" s="62">
        <v>8899000</v>
      </c>
      <c r="O252" s="62">
        <v>6837000</v>
      </c>
      <c r="P252" s="62">
        <v>3912000</v>
      </c>
      <c r="Q252" s="62">
        <v>3912000</v>
      </c>
      <c r="S252" s="153" t="s">
        <v>59</v>
      </c>
      <c r="T252" s="19"/>
      <c r="U252" s="19"/>
      <c r="V252" s="19"/>
      <c r="X252" s="63" t="s">
        <v>21</v>
      </c>
      <c r="Y252" s="63"/>
      <c r="Z252" s="98"/>
      <c r="AA252" s="65">
        <f>AVERAGE(G258:J258)/AVERAGE(G263:J263)</f>
        <v>1.6614840350852806</v>
      </c>
      <c r="AC252" s="74" t="s">
        <v>60</v>
      </c>
      <c r="AD252" s="75"/>
      <c r="AE252" s="195">
        <f>IF(OR(L243="",L245=""),"",L245/L243)</f>
        <v>0.21887453706388726</v>
      </c>
      <c r="AF252" s="195">
        <f>IF(OR(M243="",M245=""),"",M245/M243)</f>
        <v>0.21969093788793287</v>
      </c>
      <c r="AG252" s="195">
        <f>IF(OR(N243="",N245=""),"",N245/N243)</f>
        <v>0.20147770989899697</v>
      </c>
      <c r="AH252" s="195">
        <f>IF(OR(O243="",O245=""),"",O245/O243)</f>
        <v>0.20117307415971053</v>
      </c>
      <c r="AI252" s="195">
        <f>IF(OR(P243="",P245=""),"",P245/P243)</f>
        <v>0.22712323466821435</v>
      </c>
    </row>
    <row r="253" spans="1:40" ht="18.75" customHeight="1" x14ac:dyDescent="0.2">
      <c r="B253" s="113"/>
      <c r="C253" s="37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S253" s="47" t="s">
        <v>13</v>
      </c>
      <c r="T253" s="47"/>
      <c r="U253" s="48"/>
      <c r="V253" s="49" t="str">
        <f>IF(Q248&gt;0,V243/Q248,"")</f>
        <v/>
      </c>
      <c r="X253" s="63" t="s">
        <v>22</v>
      </c>
      <c r="Y253" s="63"/>
      <c r="Z253" s="98"/>
      <c r="AA253" s="65">
        <f>AVERAGE(G261:J261)/AVERAGE(G263:J263)</f>
        <v>3.5863717872086074E-3</v>
      </c>
      <c r="AC253" s="74" t="s">
        <v>47</v>
      </c>
      <c r="AD253" s="75"/>
      <c r="AE253" s="76">
        <f>IF(L246="","",L246)</f>
        <v>-657000</v>
      </c>
      <c r="AF253" s="76">
        <f>IF(M246="","",M246)</f>
        <v>-2219000</v>
      </c>
      <c r="AG253" s="76">
        <f>IF(N246="","",N246)</f>
        <v>6629000</v>
      </c>
      <c r="AH253" s="76">
        <f>IF(O246="","",O246)</f>
        <v>2213000</v>
      </c>
      <c r="AI253" s="76">
        <f>IF(P246="","",P246)</f>
        <v>-121000</v>
      </c>
    </row>
    <row r="254" spans="1:40" ht="18.75" customHeight="1" x14ac:dyDescent="0.25">
      <c r="B254" s="114"/>
      <c r="C254" s="73"/>
      <c r="D254" s="120" t="s">
        <v>61</v>
      </c>
      <c r="E254" s="18"/>
      <c r="F254" s="196" t="str">
        <f>F242</f>
        <v>2016-10</v>
      </c>
      <c r="G254" s="196" t="str">
        <f>G242</f>
        <v>2017-01</v>
      </c>
      <c r="H254" s="196" t="str">
        <f>H242</f>
        <v>2017-04</v>
      </c>
      <c r="I254" s="196" t="str">
        <f>I242</f>
        <v>2017-07</v>
      </c>
      <c r="J254" s="196" t="str">
        <f>J242</f>
        <v>2017-10</v>
      </c>
      <c r="K254" s="197"/>
      <c r="L254" s="198">
        <f>L242</f>
        <v>2013</v>
      </c>
      <c r="M254" s="198">
        <f>M242</f>
        <v>2014</v>
      </c>
      <c r="N254" s="198">
        <f>N242</f>
        <v>2015</v>
      </c>
      <c r="O254" s="198">
        <f>O242</f>
        <v>2016</v>
      </c>
      <c r="P254" s="198">
        <f>P242</f>
        <v>2017</v>
      </c>
      <c r="Q254" s="185"/>
      <c r="S254" s="57" t="s">
        <v>15</v>
      </c>
      <c r="T254" s="57"/>
      <c r="U254" s="58"/>
      <c r="V254" s="59">
        <f>V243/((J258-J262)/J251)</f>
        <v>2.7534947670541849</v>
      </c>
      <c r="W254" s="199"/>
      <c r="X254" s="123"/>
      <c r="AA254" s="123"/>
      <c r="AC254" s="74" t="s">
        <v>62</v>
      </c>
      <c r="AD254" s="75"/>
      <c r="AE254" s="195">
        <f>IF(OR(L243="",L246=""),"",L246/L243)</f>
        <v>-2.7216915084881978E-3</v>
      </c>
      <c r="AF254" s="195">
        <f>IF(OR(M243="",M246=""),"",M246/M243)</f>
        <v>-9.4987372115919698E-3</v>
      </c>
      <c r="AG254" s="195">
        <f>IF(OR(N243="",N246=""),"",N246/N243)</f>
        <v>2.8947219032065083E-2</v>
      </c>
      <c r="AH254" s="195">
        <f>IF(OR(O243="",O246=""),"",O246/O243)</f>
        <v>9.6362773401610247E-3</v>
      </c>
      <c r="AI254" s="195">
        <f>IF(OR(P243="",P246=""),"",P246/P243)</f>
        <v>-5.2019518067109483E-4</v>
      </c>
      <c r="AJ254" s="77"/>
      <c r="AK254" s="23"/>
    </row>
    <row r="255" spans="1:40" ht="18.75" customHeight="1" thickBot="1" x14ac:dyDescent="0.25">
      <c r="B255" s="110"/>
      <c r="C255" s="17"/>
      <c r="D255" s="60" t="s">
        <v>63</v>
      </c>
      <c r="E255" s="61"/>
      <c r="F255" s="62">
        <v>9055000</v>
      </c>
      <c r="G255" s="62">
        <v>5470000</v>
      </c>
      <c r="H255" s="62">
        <v>3282000</v>
      </c>
      <c r="I255" s="62">
        <v>1173000</v>
      </c>
      <c r="J255" s="62">
        <v>6600000</v>
      </c>
      <c r="K255" s="27"/>
      <c r="L255" s="62">
        <v>10015000</v>
      </c>
      <c r="M255" s="62">
        <v>10167000</v>
      </c>
      <c r="N255" s="62">
        <v>8024000</v>
      </c>
      <c r="O255" s="62">
        <v>9055000</v>
      </c>
      <c r="P255" s="62">
        <v>6600000</v>
      </c>
      <c r="Q255" s="62"/>
      <c r="S255" s="57" t="s">
        <v>14</v>
      </c>
      <c r="T255" s="57"/>
      <c r="U255" s="58"/>
      <c r="V255" s="59">
        <f>V243/(Q243/Q251)</f>
        <v>0.81663158573547434</v>
      </c>
      <c r="W255" s="200"/>
      <c r="X255" s="155" t="s">
        <v>36</v>
      </c>
      <c r="Y255" s="43"/>
      <c r="Z255" s="43"/>
      <c r="AA255" s="201"/>
      <c r="AC255" s="74" t="s">
        <v>31</v>
      </c>
      <c r="AD255" s="75"/>
      <c r="AE255" s="76">
        <f t="shared" ref="AE255:AI256" si="22">IF(L247="","",L247)</f>
        <v>358000</v>
      </c>
      <c r="AF255" s="76">
        <f t="shared" si="22"/>
        <v>-3651000</v>
      </c>
      <c r="AG255" s="76">
        <f t="shared" si="22"/>
        <v>-891000</v>
      </c>
      <c r="AH255" s="76">
        <f t="shared" si="22"/>
        <v>1783000</v>
      </c>
      <c r="AI255" s="76">
        <f t="shared" si="22"/>
        <v>-3386000</v>
      </c>
      <c r="AK255" s="202"/>
    </row>
    <row r="256" spans="1:40" ht="18.75" customHeight="1" thickBot="1" x14ac:dyDescent="0.25">
      <c r="B256" s="112"/>
      <c r="C256" s="25"/>
      <c r="D256" s="94" t="s">
        <v>64</v>
      </c>
      <c r="E256" s="61"/>
      <c r="F256" s="38">
        <v>9055000</v>
      </c>
      <c r="G256" s="38">
        <v>5470000</v>
      </c>
      <c r="H256" s="38">
        <v>3282000</v>
      </c>
      <c r="I256" s="38">
        <v>1173000</v>
      </c>
      <c r="J256" s="38">
        <v>6600000</v>
      </c>
      <c r="K256" s="80"/>
      <c r="L256" s="38">
        <v>10015000</v>
      </c>
      <c r="M256" s="38">
        <v>10167000</v>
      </c>
      <c r="N256" s="38">
        <v>8024000</v>
      </c>
      <c r="O256" s="38">
        <v>9055000</v>
      </c>
      <c r="P256" s="38">
        <v>6600000</v>
      </c>
      <c r="Q256" s="38"/>
      <c r="S256" s="63" t="s">
        <v>17</v>
      </c>
      <c r="T256" s="63"/>
      <c r="U256" s="64"/>
      <c r="V256" s="65">
        <f>IF(AVERAGE(N266:P266)&gt;0,V243/(AVERAGE(N266:P266)/Q251),"")</f>
        <v>47.871116431451611</v>
      </c>
      <c r="W256" s="200"/>
      <c r="X256" s="145" t="s">
        <v>29</v>
      </c>
      <c r="Y256" s="145"/>
      <c r="Z256" s="147"/>
      <c r="AA256" s="148">
        <f>Q243</f>
        <v>232605000</v>
      </c>
      <c r="AC256" s="74" t="s">
        <v>32</v>
      </c>
      <c r="AD256" s="75"/>
      <c r="AE256" s="203">
        <f t="shared" si="22"/>
        <v>0.02</v>
      </c>
      <c r="AF256" s="203">
        <f t="shared" si="22"/>
        <v>-0.24</v>
      </c>
      <c r="AG256" s="203">
        <f t="shared" si="22"/>
        <v>-0.06</v>
      </c>
      <c r="AH256" s="203">
        <f t="shared" si="22"/>
        <v>0.11</v>
      </c>
      <c r="AI256" s="203">
        <f t="shared" si="22"/>
        <v>-0.22</v>
      </c>
      <c r="AK256" s="202"/>
    </row>
    <row r="257" spans="1:37" ht="18.75" customHeight="1" thickBot="1" x14ac:dyDescent="0.3">
      <c r="B257" s="114"/>
      <c r="C257" s="73"/>
      <c r="D257" s="94" t="s">
        <v>65</v>
      </c>
      <c r="E257" s="61"/>
      <c r="F257" s="38">
        <v>82024000</v>
      </c>
      <c r="G257" s="38">
        <v>73117000</v>
      </c>
      <c r="H257" s="38">
        <v>70180000</v>
      </c>
      <c r="I257" s="38">
        <v>60473000</v>
      </c>
      <c r="J257" s="38">
        <v>62632000</v>
      </c>
      <c r="K257" s="80"/>
      <c r="L257" s="38">
        <v>72333000</v>
      </c>
      <c r="M257" s="38">
        <v>76643000</v>
      </c>
      <c r="N257" s="38">
        <v>69602000</v>
      </c>
      <c r="O257" s="38">
        <v>82024000</v>
      </c>
      <c r="P257" s="38">
        <v>62632000</v>
      </c>
      <c r="Q257" s="38"/>
      <c r="S257" s="29" t="s">
        <v>16</v>
      </c>
      <c r="T257" s="29"/>
      <c r="U257" s="30"/>
      <c r="V257" s="65" t="str">
        <f>IF(AVERAGE(N268:P268)&gt;0,V244/AVERAGE(N268:P268),"")</f>
        <v/>
      </c>
      <c r="X257" s="68" t="s">
        <v>66</v>
      </c>
      <c r="Y257" s="68"/>
      <c r="Z257" s="69"/>
      <c r="AA257" s="70">
        <f>Q245</f>
        <v>52830000</v>
      </c>
      <c r="AC257" s="74" t="s">
        <v>67</v>
      </c>
      <c r="AD257" s="75"/>
      <c r="AE257" s="76">
        <f>IF(L251="","",L251)</f>
        <v>15240000</v>
      </c>
      <c r="AF257" s="76">
        <f>IF(M251="","",M251)</f>
        <v>15501000</v>
      </c>
      <c r="AG257" s="76">
        <f>IF(N251="","",N251)</f>
        <v>15562000</v>
      </c>
      <c r="AH257" s="76">
        <f>IF(O251="","",O251)</f>
        <v>15675000</v>
      </c>
      <c r="AI257" s="76">
        <f>IF(P251="","",P251)</f>
        <v>15949000</v>
      </c>
      <c r="AK257" s="202"/>
    </row>
    <row r="258" spans="1:37" ht="18.75" customHeight="1" thickBot="1" x14ac:dyDescent="0.25">
      <c r="B258" s="113"/>
      <c r="C258" s="37"/>
      <c r="D258" s="94" t="s">
        <v>68</v>
      </c>
      <c r="E258" s="61"/>
      <c r="F258" s="38">
        <v>124511000</v>
      </c>
      <c r="G258" s="38">
        <v>125538000</v>
      </c>
      <c r="H258" s="38">
        <v>123207000</v>
      </c>
      <c r="I258" s="38">
        <v>114733000</v>
      </c>
      <c r="J258" s="38">
        <v>114624000</v>
      </c>
      <c r="K258" s="85"/>
      <c r="L258" s="38">
        <v>117508000</v>
      </c>
      <c r="M258" s="38">
        <v>137297000</v>
      </c>
      <c r="N258" s="38">
        <v>115312000</v>
      </c>
      <c r="O258" s="38">
        <v>124511000</v>
      </c>
      <c r="P258" s="38">
        <v>114624000</v>
      </c>
      <c r="Q258" s="38"/>
      <c r="S258" s="57" t="s">
        <v>18</v>
      </c>
      <c r="T258" s="57"/>
      <c r="U258" s="58"/>
      <c r="V258" s="59">
        <f>(V244+(J259+J261)-J255)/J252</f>
        <v>-142.94318111455109</v>
      </c>
      <c r="X258" s="68" t="s">
        <v>31</v>
      </c>
      <c r="Y258" s="68"/>
      <c r="Z258" s="69"/>
      <c r="AA258" s="70">
        <f>Q247</f>
        <v>-3386000</v>
      </c>
      <c r="AC258" s="74" t="s">
        <v>69</v>
      </c>
      <c r="AD258" s="75"/>
      <c r="AE258" s="204">
        <f>IF(OR(L263="",L251="",L258="",L262=""),"",(L258-L262)/L251)</f>
        <v>4.771653543307087</v>
      </c>
      <c r="AF258" s="204">
        <f>IF(OR(M263="",M251="",M258="",M262=""),"",(M258-M262)/M251)</f>
        <v>4.4844203599767756</v>
      </c>
      <c r="AG258" s="204">
        <f>IF(OR(N263="",N251="",N258="",N262=""),"",(N258-N262)/N251)</f>
        <v>4.3734738465492864</v>
      </c>
      <c r="AH258" s="204">
        <f>IF(OR(O263="",O251="",O258="",O262=""),"",(O258-O262)/O251)</f>
        <v>4.4389154704944183</v>
      </c>
      <c r="AI258" s="204">
        <f>IF(OR(P263="",P251="",P258="",P262=""),"",(P258-P262)/P251)</f>
        <v>4.3254122515518212</v>
      </c>
      <c r="AK258" s="202"/>
    </row>
    <row r="259" spans="1:37" ht="18.75" customHeight="1" thickBot="1" x14ac:dyDescent="0.25">
      <c r="B259" s="112"/>
      <c r="C259" s="25"/>
      <c r="D259" s="60" t="s">
        <v>70</v>
      </c>
      <c r="E259" s="26"/>
      <c r="F259" s="62">
        <v>187000</v>
      </c>
      <c r="G259" s="62">
        <v>1189000</v>
      </c>
      <c r="H259" s="62">
        <v>1191000</v>
      </c>
      <c r="I259" s="62">
        <v>1645000</v>
      </c>
      <c r="J259" s="62">
        <v>1145000</v>
      </c>
      <c r="K259" s="27"/>
      <c r="L259" s="62">
        <v>166000</v>
      </c>
      <c r="M259" s="62">
        <v>8173000</v>
      </c>
      <c r="N259" s="62">
        <v>2103000</v>
      </c>
      <c r="O259" s="62">
        <v>187000</v>
      </c>
      <c r="P259" s="62">
        <v>1145000</v>
      </c>
      <c r="Q259" s="62"/>
      <c r="S259" s="63" t="s">
        <v>19</v>
      </c>
      <c r="T259" s="63"/>
      <c r="U259" s="64"/>
      <c r="V259" s="65">
        <f>(V244+(J259+J261)-J255)/J243</f>
        <v>3.325157811346573</v>
      </c>
      <c r="X259" s="29" t="s">
        <v>32</v>
      </c>
      <c r="Y259" s="29"/>
      <c r="Z259" s="30"/>
      <c r="AA259" s="205">
        <f>Q248</f>
        <v>-0.22</v>
      </c>
      <c r="AK259" s="202"/>
    </row>
    <row r="260" spans="1:37" ht="18.75" customHeight="1" thickBot="1" x14ac:dyDescent="0.25">
      <c r="B260" s="115"/>
      <c r="C260" s="91"/>
      <c r="D260" s="94" t="s">
        <v>71</v>
      </c>
      <c r="E260" s="61"/>
      <c r="F260" s="38">
        <v>46840000</v>
      </c>
      <c r="G260" s="38">
        <v>46245000</v>
      </c>
      <c r="H260" s="38">
        <v>41030000</v>
      </c>
      <c r="I260" s="38">
        <v>33320000</v>
      </c>
      <c r="J260" s="38">
        <v>38587000</v>
      </c>
      <c r="K260" s="80"/>
      <c r="L260" s="38">
        <v>40156000</v>
      </c>
      <c r="M260" s="38">
        <v>56371000</v>
      </c>
      <c r="N260" s="38">
        <v>37803000</v>
      </c>
      <c r="O260" s="38">
        <v>46840000</v>
      </c>
      <c r="P260" s="38">
        <v>38587000</v>
      </c>
      <c r="Q260" s="38"/>
      <c r="AC260" s="89" t="s">
        <v>3</v>
      </c>
      <c r="AD260" s="90"/>
      <c r="AE260" s="161">
        <f>L242</f>
        <v>2013</v>
      </c>
      <c r="AF260" s="161">
        <f>M242</f>
        <v>2014</v>
      </c>
      <c r="AG260" s="161">
        <f>N242</f>
        <v>2015</v>
      </c>
      <c r="AH260" s="161">
        <f>O242</f>
        <v>2016</v>
      </c>
      <c r="AI260" s="161">
        <f>P242</f>
        <v>2017</v>
      </c>
    </row>
    <row r="261" spans="1:37" ht="18.75" customHeight="1" thickBot="1" x14ac:dyDescent="0.25">
      <c r="B261" s="113"/>
      <c r="C261" s="37"/>
      <c r="D261" s="60" t="s">
        <v>72</v>
      </c>
      <c r="E261" s="26"/>
      <c r="F261" s="62">
        <v>379000</v>
      </c>
      <c r="G261" s="62">
        <v>331000</v>
      </c>
      <c r="H261" s="62">
        <v>283000</v>
      </c>
      <c r="I261" s="62">
        <v>233000</v>
      </c>
      <c r="J261" s="62">
        <v>185000</v>
      </c>
      <c r="K261" s="71"/>
      <c r="L261" s="62">
        <v>918000</v>
      </c>
      <c r="M261" s="62">
        <v>2566000</v>
      </c>
      <c r="N261" s="62">
        <v>566000</v>
      </c>
      <c r="O261" s="62">
        <v>379000</v>
      </c>
      <c r="P261" s="62">
        <v>185000</v>
      </c>
      <c r="Q261" s="62"/>
      <c r="S261" s="154" t="s">
        <v>3</v>
      </c>
      <c r="T261" s="72"/>
      <c r="U261" s="72"/>
      <c r="V261" s="42"/>
      <c r="X261" s="155" t="s">
        <v>61</v>
      </c>
      <c r="Y261" s="43"/>
      <c r="Z261" s="43"/>
      <c r="AA261" s="206"/>
      <c r="AC261" s="74" t="s">
        <v>73</v>
      </c>
      <c r="AD261" s="75"/>
      <c r="AE261" s="207">
        <f>IF(OR(L243="",L247="",L243=0,L247=0),"",L247/L243)</f>
        <v>1.483052602798744E-3</v>
      </c>
      <c r="AF261" s="207">
        <f>IF(OR(M243="",M247="",M243=0,M247=0),"",M247/M243)</f>
        <v>-1.56286117888789E-2</v>
      </c>
      <c r="AG261" s="207">
        <f>IF(OR(N243="",N247="",N243=0,N247=0),"",N247/N243)</f>
        <v>-3.8907787234228374E-3</v>
      </c>
      <c r="AH261" s="207">
        <f>IF(OR(O243="",O247="",O243=0,O247=0),"",O247/O243)</f>
        <v>7.76388725599056E-3</v>
      </c>
      <c r="AI261" s="207">
        <f>IF(OR(P243="",P247="",P243=0,P247=0),"",P247/P243)</f>
        <v>-1.4556866791341544E-2</v>
      </c>
    </row>
    <row r="262" spans="1:37" ht="18.75" customHeight="1" thickBot="1" x14ac:dyDescent="0.25">
      <c r="B262" s="116"/>
      <c r="C262" s="93"/>
      <c r="D262" s="94" t="s">
        <v>74</v>
      </c>
      <c r="E262" s="61"/>
      <c r="F262" s="38">
        <v>54931000</v>
      </c>
      <c r="G262" s="38">
        <v>54281000</v>
      </c>
      <c r="H262" s="38">
        <v>49077000</v>
      </c>
      <c r="I262" s="38">
        <v>41350000</v>
      </c>
      <c r="J262" s="38">
        <v>45638000</v>
      </c>
      <c r="K262" s="80"/>
      <c r="L262" s="46">
        <v>44788000</v>
      </c>
      <c r="M262" s="46">
        <v>67784000</v>
      </c>
      <c r="N262" s="46">
        <v>47252000</v>
      </c>
      <c r="O262" s="46">
        <v>54931000</v>
      </c>
      <c r="P262" s="46">
        <v>45638000</v>
      </c>
      <c r="Q262" s="38"/>
      <c r="S262" s="50" t="s">
        <v>12</v>
      </c>
      <c r="T262" s="50"/>
      <c r="U262" s="78"/>
      <c r="V262" s="79">
        <f>Q243</f>
        <v>232605000</v>
      </c>
      <c r="X262" s="122" t="s">
        <v>75</v>
      </c>
      <c r="Y262" s="122"/>
      <c r="Z262" s="144"/>
      <c r="AA262" s="148">
        <f>J256</f>
        <v>6600000</v>
      </c>
      <c r="AC262" s="74" t="s">
        <v>76</v>
      </c>
      <c r="AD262" s="75"/>
      <c r="AE262" s="207">
        <f>IF(OR(L247="",L261="",L247=0,L261=0),"",L247/L261)</f>
        <v>0.38997821350762529</v>
      </c>
      <c r="AF262" s="207">
        <f>IF(OR(M247="",M261="",M247=0,M261=0),"",M247/M261)</f>
        <v>-1.4228371005455962</v>
      </c>
      <c r="AG262" s="207">
        <f>IF(OR(N247="",N261="",N247=0,N261=0),"",N247/N261)</f>
        <v>-1.5742049469964665</v>
      </c>
      <c r="AH262" s="207">
        <f>IF(OR(O247="",O261="",O247=0,O261=0),"",O247/O261)</f>
        <v>4.7044854881266494</v>
      </c>
      <c r="AI262" s="207">
        <f>IF(OR(P247="",P261="",P247=0,P261=0),"",P247/P261)</f>
        <v>-18.302702702702703</v>
      </c>
    </row>
    <row r="263" spans="1:37" ht="18.75" customHeight="1" thickBot="1" x14ac:dyDescent="0.25">
      <c r="B263" s="113"/>
      <c r="C263" s="37"/>
      <c r="D263" s="94" t="s">
        <v>77</v>
      </c>
      <c r="E263" s="61"/>
      <c r="F263" s="38">
        <v>69580000</v>
      </c>
      <c r="G263" s="38">
        <v>71257000</v>
      </c>
      <c r="H263" s="38">
        <v>74130000</v>
      </c>
      <c r="I263" s="38">
        <v>73383000</v>
      </c>
      <c r="J263" s="38">
        <v>68986000</v>
      </c>
      <c r="K263" s="85"/>
      <c r="L263" s="46">
        <v>72720000</v>
      </c>
      <c r="M263" s="46">
        <v>69513000</v>
      </c>
      <c r="N263" s="46">
        <v>68060000</v>
      </c>
      <c r="O263" s="46">
        <v>69580000</v>
      </c>
      <c r="P263" s="46">
        <v>68986000</v>
      </c>
      <c r="Q263" s="38"/>
      <c r="S263" s="68" t="s">
        <v>23</v>
      </c>
      <c r="T263" s="68"/>
      <c r="U263" s="69"/>
      <c r="V263" s="192">
        <f>(Q243-Q244)/Q243</f>
        <v>0.22712323466821435</v>
      </c>
      <c r="X263" s="145" t="s">
        <v>78</v>
      </c>
      <c r="Y263" s="146"/>
      <c r="Z263" s="147"/>
      <c r="AA263" s="148">
        <f>J257</f>
        <v>62632000</v>
      </c>
      <c r="AC263" s="74" t="s">
        <v>79</v>
      </c>
      <c r="AD263" s="75"/>
      <c r="AE263" s="207">
        <f>IF(OR(L247="",L258="",L247=0,L258=0),"",L247/L258)</f>
        <v>3.0466010824794906E-3</v>
      </c>
      <c r="AF263" s="207">
        <f>IF(OR(M247="",M258="",M247=0,M258=0),"",M247/M258)</f>
        <v>-2.6591986714931862E-2</v>
      </c>
      <c r="AG263" s="207">
        <f>IF(OR(N247="",N258="",N247=0,N258=0),"",N247/N258)</f>
        <v>-7.7268627723047038E-3</v>
      </c>
      <c r="AH263" s="207">
        <f>IF(OR(O247="",O258="",O247=0,O258=0),"",O247/O258)</f>
        <v>1.4320019917918899E-2</v>
      </c>
      <c r="AI263" s="207">
        <f>IF(OR(P247="",P258="",P247=0,P258=0),"",P247/P258)</f>
        <v>-2.9540061418202122E-2</v>
      </c>
    </row>
    <row r="264" spans="1:37" ht="18.75" customHeight="1" x14ac:dyDescent="0.2">
      <c r="B264" s="113"/>
      <c r="C264" s="37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S264" s="68" t="s">
        <v>24</v>
      </c>
      <c r="T264" s="68"/>
      <c r="U264" s="69"/>
      <c r="V264" s="192">
        <f>Q247/Q243</f>
        <v>-1.4556866791341544E-2</v>
      </c>
      <c r="X264" s="63" t="s">
        <v>80</v>
      </c>
      <c r="Y264" s="63"/>
      <c r="Z264" s="64"/>
      <c r="AA264" s="70">
        <f>J260</f>
        <v>38587000</v>
      </c>
      <c r="AC264" s="74" t="s">
        <v>28</v>
      </c>
      <c r="AD264" s="75"/>
      <c r="AE264" s="92">
        <f>IF(OR(L243="",L258="",L243=0,L258=0),"",L243/L258)</f>
        <v>2.0542771555979167</v>
      </c>
      <c r="AF264" s="92">
        <f>IF(OR(M243="",M258="",M243=0,M258=0),"",M243/M258)</f>
        <v>1.701493841817374</v>
      </c>
      <c r="AG264" s="92">
        <f>IF(OR(N243="",N258="",N243=0,N258=0),"",N243/N258)</f>
        <v>1.9859424864714861</v>
      </c>
      <c r="AH264" s="92">
        <f>IF(OR(O243="",O258="",O243=0,O258=0),"",O243/O258)</f>
        <v>1.8444394471171222</v>
      </c>
      <c r="AI264" s="92">
        <f>IF(OR(P243="",P258="",P243=0,P258=0),"",P243/P258)</f>
        <v>2.0292870603015074</v>
      </c>
    </row>
    <row r="265" spans="1:37" ht="18.75" customHeight="1" x14ac:dyDescent="0.2">
      <c r="B265" s="113"/>
      <c r="C265" s="37"/>
      <c r="D265" s="121" t="s">
        <v>81</v>
      </c>
      <c r="E265" s="18"/>
      <c r="F265" s="196" t="str">
        <f>F242</f>
        <v>2016-10</v>
      </c>
      <c r="G265" s="196" t="str">
        <f>G242</f>
        <v>2017-01</v>
      </c>
      <c r="H265" s="196" t="str">
        <f>H242</f>
        <v>2017-04</v>
      </c>
      <c r="I265" s="196" t="str">
        <f>I242</f>
        <v>2017-07</v>
      </c>
      <c r="J265" s="196" t="str">
        <f>J242</f>
        <v>2017-10</v>
      </c>
      <c r="K265" s="197"/>
      <c r="L265" s="208">
        <f>L242</f>
        <v>2013</v>
      </c>
      <c r="M265" s="208">
        <f>M242</f>
        <v>2014</v>
      </c>
      <c r="N265" s="208">
        <f>N242</f>
        <v>2015</v>
      </c>
      <c r="O265" s="208">
        <f>O242</f>
        <v>2016</v>
      </c>
      <c r="P265" s="208">
        <f>P242</f>
        <v>2017</v>
      </c>
      <c r="Q265" s="185" t="s">
        <v>42</v>
      </c>
      <c r="S265" s="68" t="s">
        <v>25</v>
      </c>
      <c r="T265" s="68"/>
      <c r="U265" s="69"/>
      <c r="V265" s="192">
        <f>Q246/Q243</f>
        <v>-5.2019518067109483E-4</v>
      </c>
      <c r="X265" s="63" t="s">
        <v>82</v>
      </c>
      <c r="Y265" s="81"/>
      <c r="Z265" s="81"/>
      <c r="AA265" s="70">
        <f>J259+J261</f>
        <v>1330000</v>
      </c>
      <c r="AJ265" s="95"/>
    </row>
    <row r="266" spans="1:37" ht="18.75" customHeight="1" thickBot="1" x14ac:dyDescent="0.3">
      <c r="B266" s="117"/>
      <c r="C266" s="96"/>
      <c r="D266" s="60" t="s">
        <v>83</v>
      </c>
      <c r="E266" s="26"/>
      <c r="F266" s="62">
        <v>13813000</v>
      </c>
      <c r="G266" s="62">
        <v>-1230000</v>
      </c>
      <c r="H266" s="62">
        <v>-4441000</v>
      </c>
      <c r="I266" s="62">
        <v>-1642000</v>
      </c>
      <c r="J266" s="62">
        <v>7627000</v>
      </c>
      <c r="K266" s="27"/>
      <c r="L266" s="62">
        <v>-3230000</v>
      </c>
      <c r="M266" s="62">
        <v>6261000</v>
      </c>
      <c r="N266" s="62">
        <v>594000</v>
      </c>
      <c r="O266" s="62">
        <v>10996000</v>
      </c>
      <c r="P266" s="62">
        <v>314000</v>
      </c>
      <c r="Q266" s="62">
        <v>314000</v>
      </c>
      <c r="X266" s="82"/>
      <c r="Y266" s="83"/>
      <c r="Z266" s="83"/>
      <c r="AA266" s="84"/>
      <c r="AC266" s="89" t="s">
        <v>2</v>
      </c>
      <c r="AD266" s="90"/>
      <c r="AE266" s="162">
        <f>L242</f>
        <v>2013</v>
      </c>
      <c r="AF266" s="162">
        <f>M242</f>
        <v>2014</v>
      </c>
      <c r="AG266" s="162">
        <f>N242</f>
        <v>2015</v>
      </c>
      <c r="AH266" s="162">
        <f>O242</f>
        <v>2016</v>
      </c>
      <c r="AI266" s="162">
        <f>P242</f>
        <v>2017</v>
      </c>
      <c r="AJ266" s="95"/>
    </row>
    <row r="267" spans="1:37" ht="18.75" customHeight="1" thickBot="1" x14ac:dyDescent="0.25">
      <c r="B267" s="113"/>
      <c r="C267" s="37"/>
      <c r="D267" s="60" t="s">
        <v>84</v>
      </c>
      <c r="E267" s="26"/>
      <c r="F267" s="62">
        <v>-2399000</v>
      </c>
      <c r="G267" s="62">
        <v>-3350000</v>
      </c>
      <c r="H267" s="62">
        <v>-2295000</v>
      </c>
      <c r="I267" s="62">
        <v>-1578000</v>
      </c>
      <c r="J267" s="62">
        <v>-1634000</v>
      </c>
      <c r="K267" s="27"/>
      <c r="L267" s="62">
        <v>-5788000</v>
      </c>
      <c r="M267" s="62">
        <v>-5002000</v>
      </c>
      <c r="N267" s="62">
        <v>-3853000</v>
      </c>
      <c r="O267" s="62">
        <v>-6118000</v>
      </c>
      <c r="P267" s="62">
        <v>-8857000</v>
      </c>
      <c r="Q267" s="62">
        <v>-8857000</v>
      </c>
      <c r="S267" s="153" t="s">
        <v>4</v>
      </c>
      <c r="T267" s="19"/>
      <c r="U267" s="19"/>
      <c r="V267" s="86"/>
      <c r="X267" s="155" t="s">
        <v>85</v>
      </c>
      <c r="Y267" s="43"/>
      <c r="Z267" s="43"/>
      <c r="AA267" s="196"/>
      <c r="AC267" s="74" t="s">
        <v>20</v>
      </c>
      <c r="AD267" s="75"/>
      <c r="AE267" s="92">
        <f t="shared" ref="AE267:AI268" si="23">IF(OR(L257="",L260="",L257=0,L260=0),"",L257/L260)</f>
        <v>1.8012999302719395</v>
      </c>
      <c r="AF267" s="92">
        <f t="shared" si="23"/>
        <v>1.3596175338383212</v>
      </c>
      <c r="AG267" s="92">
        <f t="shared" si="23"/>
        <v>1.8411766261936884</v>
      </c>
      <c r="AH267" s="92">
        <f t="shared" si="23"/>
        <v>1.7511528608027327</v>
      </c>
      <c r="AI267" s="92">
        <f t="shared" si="23"/>
        <v>1.6231373260424495</v>
      </c>
      <c r="AJ267" s="95"/>
    </row>
    <row r="268" spans="1:37" ht="18.75" customHeight="1" thickBot="1" x14ac:dyDescent="0.25">
      <c r="B268" s="113"/>
      <c r="C268" s="37"/>
      <c r="D268" s="60" t="s">
        <v>86</v>
      </c>
      <c r="E268" s="26"/>
      <c r="F268" s="62">
        <v>11414000</v>
      </c>
      <c r="G268" s="62">
        <v>-4580000</v>
      </c>
      <c r="H268" s="62">
        <v>-6736000</v>
      </c>
      <c r="I268" s="62">
        <v>-3220000</v>
      </c>
      <c r="J268" s="62">
        <v>5993000</v>
      </c>
      <c r="K268" s="27"/>
      <c r="L268" s="62">
        <v>-9018000</v>
      </c>
      <c r="M268" s="62">
        <v>1259000</v>
      </c>
      <c r="N268" s="62">
        <v>-3259000</v>
      </c>
      <c r="O268" s="62">
        <v>4878000</v>
      </c>
      <c r="P268" s="62">
        <v>-8543000</v>
      </c>
      <c r="Q268" s="62">
        <v>-8543000</v>
      </c>
      <c r="S268" s="47" t="s">
        <v>26</v>
      </c>
      <c r="T268" s="47"/>
      <c r="U268" s="48"/>
      <c r="V268" s="189">
        <f>Q247/AVERAGE(G263:J263)</f>
        <v>-4.7067654540652495E-2</v>
      </c>
      <c r="X268" s="66" t="s">
        <v>87</v>
      </c>
      <c r="Y268" s="66"/>
      <c r="Z268" s="67"/>
      <c r="AA268" s="87">
        <f>AVERAGE(N266:P266)</f>
        <v>3968000</v>
      </c>
      <c r="AC268" s="74" t="s">
        <v>21</v>
      </c>
      <c r="AD268" s="75"/>
      <c r="AE268" s="92">
        <f t="shared" si="23"/>
        <v>128.00435729847496</v>
      </c>
      <c r="AF268" s="92">
        <f t="shared" si="23"/>
        <v>53.506235385814499</v>
      </c>
      <c r="AG268" s="92">
        <f t="shared" si="23"/>
        <v>203.73144876325088</v>
      </c>
      <c r="AH268" s="92">
        <f t="shared" si="23"/>
        <v>328.52506596306068</v>
      </c>
      <c r="AI268" s="92">
        <f t="shared" si="23"/>
        <v>619.58918918918914</v>
      </c>
      <c r="AJ268" s="95"/>
    </row>
    <row r="269" spans="1:37" ht="18.75" customHeight="1" x14ac:dyDescent="0.2">
      <c r="B269" s="110"/>
      <c r="C269" s="17"/>
      <c r="S269" s="29" t="s">
        <v>27</v>
      </c>
      <c r="T269" s="29"/>
      <c r="U269" s="30"/>
      <c r="V269" s="192">
        <f>Q247/AVERAGE(G258:J258)</f>
        <v>-2.8328683000698594E-2</v>
      </c>
      <c r="X269" s="63" t="s">
        <v>88</v>
      </c>
      <c r="Y269" s="63"/>
      <c r="Z269" s="81"/>
      <c r="AA269" s="88">
        <f>ABS(AVERAGE(N267:P267))</f>
        <v>6276000</v>
      </c>
      <c r="AC269" s="74" t="s">
        <v>22</v>
      </c>
      <c r="AD269" s="75"/>
      <c r="AE269" s="92">
        <f>IF(OR(L263="",L261="",L261=0,L263=0),"",L263/L261)</f>
        <v>79.215686274509807</v>
      </c>
      <c r="AF269" s="92">
        <f>IF(OR(M263="",M261="",M261=0,M263=0),"",M263/M261)</f>
        <v>27.090023382696803</v>
      </c>
      <c r="AG269" s="92">
        <f>IF(OR(N263="",N261="",N261=0,N263=0),"",N263/N261)</f>
        <v>120.24734982332156</v>
      </c>
      <c r="AH269" s="92">
        <f>IF(OR(O263="",O261="",O261=0,O263=0),"",O263/O261)</f>
        <v>183.58839050131925</v>
      </c>
      <c r="AI269" s="92">
        <f>IF(OR(P263="",P261="",P261=0,P263=0),"",P263/P261)</f>
        <v>372.89729729729731</v>
      </c>
    </row>
    <row r="270" spans="1:37" ht="18.75" customHeight="1" x14ac:dyDescent="0.2">
      <c r="B270" s="110"/>
      <c r="C270" s="17"/>
      <c r="S270" s="29" t="s">
        <v>89</v>
      </c>
      <c r="T270" s="29"/>
      <c r="U270" s="30"/>
      <c r="V270" s="192">
        <f>Q246/(AVERAGE(G263:J263)+(AVERAGE(G258:J258)-AVERAGE(G260:J260)))</f>
        <v>-7.9778992411105767E-4</v>
      </c>
      <c r="X270" s="63" t="s">
        <v>90</v>
      </c>
      <c r="Y270" s="63"/>
      <c r="Z270" s="64"/>
      <c r="AA270" s="32">
        <f>AVERAGE(N268:P268)</f>
        <v>-2308000</v>
      </c>
    </row>
    <row r="271" spans="1:37" ht="18.75" customHeight="1" x14ac:dyDescent="0.2">
      <c r="B271" s="113"/>
      <c r="C271" s="37"/>
      <c r="S271" s="29" t="s">
        <v>28</v>
      </c>
      <c r="T271" s="29"/>
      <c r="U271" s="30"/>
      <c r="V271" s="65">
        <f>Q243/AVERAGE(G258:J258)</f>
        <v>1.9460700854629347</v>
      </c>
      <c r="X271" s="123"/>
      <c r="AA271" s="123"/>
      <c r="AJ271" s="99"/>
    </row>
    <row r="272" spans="1:37" s="105" customFormat="1" ht="18.75" customHeight="1" thickBot="1" x14ac:dyDescent="0.35">
      <c r="A272" s="118"/>
      <c r="B272" s="119"/>
      <c r="C272" s="100"/>
      <c r="D272" s="169"/>
      <c r="E272" s="100"/>
      <c r="F272" s="101"/>
      <c r="G272" s="101"/>
      <c r="H272" s="101"/>
      <c r="I272" s="101"/>
      <c r="J272" s="101"/>
      <c r="K272" s="102"/>
      <c r="L272" s="103"/>
      <c r="M272" s="104"/>
      <c r="N272" s="104"/>
      <c r="O272" s="104"/>
      <c r="P272" s="102"/>
      <c r="Q272" s="102"/>
      <c r="R272" s="100"/>
      <c r="S272" s="156"/>
      <c r="X272" s="156"/>
      <c r="AA272" s="209"/>
      <c r="AC272" s="156"/>
    </row>
    <row r="273" spans="1:40" s="106" customFormat="1" ht="18.75" customHeight="1" thickBot="1" x14ac:dyDescent="0.25">
      <c r="D273" s="15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S273" s="157"/>
      <c r="X273" s="157"/>
      <c r="AA273" s="210"/>
      <c r="AC273" s="157"/>
    </row>
    <row r="274" spans="1:40" s="143" customFormat="1" ht="18.75" customHeight="1" thickBot="1" x14ac:dyDescent="0.3">
      <c r="A274" s="129">
        <v>9</v>
      </c>
      <c r="B274" s="130"/>
      <c r="C274" s="131"/>
      <c r="D274" s="132"/>
      <c r="E274" s="133"/>
      <c r="F274" s="134"/>
      <c r="G274" s="135"/>
      <c r="H274" s="135"/>
      <c r="I274" s="135"/>
      <c r="J274" s="135"/>
      <c r="K274" s="136"/>
      <c r="L274" s="137"/>
      <c r="M274" s="138"/>
      <c r="N274" s="138"/>
      <c r="O274" s="138"/>
      <c r="P274" s="138"/>
      <c r="Q274" s="138"/>
      <c r="R274" s="139"/>
      <c r="S274" s="140" t="s">
        <v>7</v>
      </c>
      <c r="T274" s="325" t="s">
        <v>98</v>
      </c>
      <c r="U274" s="326"/>
      <c r="V274" s="141" t="s">
        <v>35</v>
      </c>
      <c r="W274" s="138"/>
      <c r="X274" s="158"/>
      <c r="Y274" s="138"/>
      <c r="Z274" s="138"/>
      <c r="AA274" s="182"/>
      <c r="AB274" s="142"/>
      <c r="AC274" s="159"/>
      <c r="AD274" s="136"/>
      <c r="AE274" s="136"/>
      <c r="AF274" s="142"/>
      <c r="AG274" s="142"/>
      <c r="AH274" s="142"/>
      <c r="AI274" s="142"/>
      <c r="AJ274" s="142"/>
      <c r="AK274" s="142"/>
      <c r="AL274" s="142"/>
      <c r="AM274" s="136"/>
      <c r="AN274" s="136"/>
    </row>
    <row r="275" spans="1:40" ht="18.75" customHeight="1" x14ac:dyDescent="0.25">
      <c r="B275" s="109"/>
      <c r="C275" s="14"/>
      <c r="D275" s="15"/>
      <c r="E275" s="183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51"/>
      <c r="T275" s="16"/>
      <c r="U275" s="16"/>
      <c r="V275" s="16"/>
      <c r="W275" s="16"/>
      <c r="X275" s="151"/>
      <c r="Y275" s="16"/>
      <c r="Z275" s="16"/>
      <c r="AA275" s="184"/>
      <c r="AB275" s="16"/>
      <c r="AC275" s="151"/>
      <c r="AD275" s="16"/>
      <c r="AE275" s="16"/>
      <c r="AF275" s="16"/>
      <c r="AG275" s="16"/>
      <c r="AH275" s="16"/>
      <c r="AI275" s="16"/>
      <c r="AJ275" s="16"/>
      <c r="AK275" s="16"/>
      <c r="AL275" s="16"/>
    </row>
    <row r="276" spans="1:40" ht="18.75" customHeight="1" x14ac:dyDescent="0.2">
      <c r="B276" s="110"/>
      <c r="C276" s="17"/>
      <c r="D276" s="120" t="s">
        <v>36</v>
      </c>
      <c r="E276" s="18"/>
      <c r="F276" s="185" t="s">
        <v>37</v>
      </c>
      <c r="G276" s="185" t="s">
        <v>38</v>
      </c>
      <c r="H276" s="185" t="s">
        <v>39</v>
      </c>
      <c r="I276" s="185" t="s">
        <v>40</v>
      </c>
      <c r="J276" s="185" t="s">
        <v>41</v>
      </c>
      <c r="K276" s="186"/>
      <c r="L276" s="185">
        <v>2013</v>
      </c>
      <c r="M276" s="185">
        <v>2014</v>
      </c>
      <c r="N276" s="185">
        <v>2015</v>
      </c>
      <c r="O276" s="185">
        <v>2016</v>
      </c>
      <c r="P276" s="185">
        <v>2017</v>
      </c>
      <c r="Q276" s="185" t="s">
        <v>42</v>
      </c>
      <c r="S276" s="153" t="s">
        <v>0</v>
      </c>
      <c r="T276" s="19"/>
      <c r="U276" s="19"/>
      <c r="V276" s="20"/>
      <c r="W276" s="21"/>
      <c r="X276" s="153" t="s">
        <v>5</v>
      </c>
      <c r="Y276" s="19"/>
      <c r="Z276" s="44"/>
      <c r="AA276" s="44" t="s">
        <v>43</v>
      </c>
      <c r="AB276" s="21"/>
      <c r="AC276" s="155" t="s">
        <v>44</v>
      </c>
      <c r="AD276" s="43"/>
      <c r="AE276" s="44"/>
      <c r="AF276" s="160">
        <f>M276</f>
        <v>2014</v>
      </c>
      <c r="AG276" s="160">
        <f>N276</f>
        <v>2015</v>
      </c>
      <c r="AH276" s="160">
        <f>O276</f>
        <v>2016</v>
      </c>
      <c r="AI276" s="160">
        <f>P276</f>
        <v>2017</v>
      </c>
      <c r="AJ276" s="22"/>
      <c r="AK276" s="23"/>
      <c r="AM276" s="24"/>
      <c r="AN276" s="175"/>
    </row>
    <row r="277" spans="1:40" ht="18.75" customHeight="1" thickBot="1" x14ac:dyDescent="0.25">
      <c r="A277" s="111"/>
      <c r="B277" s="112"/>
      <c r="C277" s="25"/>
      <c r="D277" s="60" t="s">
        <v>29</v>
      </c>
      <c r="E277" s="26"/>
      <c r="F277" s="62">
        <v>626000000</v>
      </c>
      <c r="G277" s="62">
        <v>491000000</v>
      </c>
      <c r="H277" s="62">
        <v>513000000</v>
      </c>
      <c r="I277" s="62">
        <v>526000000</v>
      </c>
      <c r="J277" s="62">
        <v>626000000</v>
      </c>
      <c r="K277" s="27"/>
      <c r="L277" s="62">
        <v>2692000000</v>
      </c>
      <c r="M277" s="62">
        <v>2732000000</v>
      </c>
      <c r="N277" s="62">
        <v>2530000000</v>
      </c>
      <c r="O277" s="62">
        <v>2322000000</v>
      </c>
      <c r="P277" s="62">
        <v>2156000000</v>
      </c>
      <c r="Q277" s="62">
        <v>2156000000</v>
      </c>
      <c r="S277" s="122" t="s">
        <v>8</v>
      </c>
      <c r="T277" s="149"/>
      <c r="U277" s="149"/>
      <c r="V277" s="187">
        <v>42.139999000000003</v>
      </c>
      <c r="W277" s="188"/>
      <c r="X277" s="50" t="s">
        <v>29</v>
      </c>
      <c r="Y277" s="50"/>
      <c r="Z277" s="78"/>
      <c r="AA277" s="189">
        <f>IF(AA276="Year over Year",AI277,IF(AA276="3-Year Average",AVERAGE(AH277:AI277),IF(AA276="5-Year Average",AVERAGE(AF277:AI277),"")))</f>
        <v>-5.3195799764816309E-2</v>
      </c>
      <c r="AB277" s="190"/>
      <c r="AC277" s="51" t="s">
        <v>45</v>
      </c>
      <c r="AD277" s="52"/>
      <c r="AE277" s="53"/>
      <c r="AF277" s="191">
        <f>IF(AND(M277&gt;0,L277&gt;0,L277&lt;&gt;""),M277/L277-1,IF(AND(L277&lt;0,M277&lt;0,L277&lt;&gt;""),(M277-L277)/ABS(L277),IF(AND(L277&gt;0,M277&lt;0,L277&lt;&gt;""),"L",IF(AND(L277&lt;0,M277&gt;0,L277&lt;&gt;""),"P",""))))</f>
        <v>1.4858841010401136E-2</v>
      </c>
      <c r="AG277" s="191">
        <f>IF(AND(N277&gt;0,M277&gt;0,M277&lt;&gt;""),N277/M277-1,IF(AND(M277&lt;0,N277&lt;0,M277&lt;&gt;""),(N277-M277)/ABS(M277),IF(AND(M277&gt;0,N277&lt;0,M277&lt;&gt;""),"L",IF(AND(M277&lt;0,N277&gt;0,M277&lt;&gt;""),"P",""))))</f>
        <v>-7.3938506588579811E-2</v>
      </c>
      <c r="AH277" s="191">
        <f>IF(AND(O277&gt;0,N277&gt;0,N277&lt;&gt;""),O277/N277-1,IF(AND(N277&lt;0,O277&lt;0,N277&lt;&gt;""),(O277-N277)/ABS(N277),IF(AND(N277&gt;0,O277&lt;0,N277&lt;&gt;""),"L",IF(AND(N277&lt;0,O277&gt;0,N277&lt;&gt;""),"P",""))))</f>
        <v>-8.2213438735177835E-2</v>
      </c>
      <c r="AI277" s="191">
        <f>IF(AND(P277&gt;0,O277&gt;0,O277&lt;&gt;""),P277/O277-1,IF(AND(O277&lt;0,P277&lt;0,O277&lt;&gt;""),(P277-O277)/ABS(O277),IF(AND(O277&gt;0,P277&lt;0,O277&lt;&gt;""),"L",IF(AND(O277&lt;0,P277&gt;0,O277&lt;&gt;""),"P",""))))</f>
        <v>-7.1490094745908728E-2</v>
      </c>
    </row>
    <row r="278" spans="1:40" ht="18.75" customHeight="1" thickBot="1" x14ac:dyDescent="0.25">
      <c r="A278" s="111"/>
      <c r="B278" s="112"/>
      <c r="C278" s="25"/>
      <c r="D278" s="60" t="s">
        <v>46</v>
      </c>
      <c r="E278" s="26"/>
      <c r="F278" s="62">
        <v>311000000</v>
      </c>
      <c r="G278" s="62">
        <v>267000000</v>
      </c>
      <c r="H278" s="62">
        <v>271000000</v>
      </c>
      <c r="I278" s="62">
        <v>276000000</v>
      </c>
      <c r="J278" s="62">
        <v>320000000</v>
      </c>
      <c r="K278" s="28"/>
      <c r="L278" s="62">
        <v>1219000000</v>
      </c>
      <c r="M278" s="62">
        <v>1253000000</v>
      </c>
      <c r="N278" s="62">
        <v>1254000000</v>
      </c>
      <c r="O278" s="62">
        <v>1134000000</v>
      </c>
      <c r="P278" s="62">
        <v>1134000000</v>
      </c>
      <c r="Q278" s="62">
        <v>1134000000</v>
      </c>
      <c r="S278" s="29" t="s">
        <v>9</v>
      </c>
      <c r="T278" s="30"/>
      <c r="U278" s="31"/>
      <c r="V278" s="32">
        <f>V277*Q285</f>
        <v>5301211874.2000008</v>
      </c>
      <c r="W278" s="188"/>
      <c r="X278" s="63" t="s">
        <v>47</v>
      </c>
      <c r="Y278" s="63"/>
      <c r="Z278" s="64"/>
      <c r="AA278" s="192">
        <f>IF(AA276="Year over Year",AI278,IF(AA276="3-Year Average",AVERAGE(AH278:AI278),IF(AA276="5-Year Average",AVERAGE(AF278:AI278),"")))</f>
        <v>-0.38932460461498575</v>
      </c>
      <c r="AB278" s="190"/>
      <c r="AC278" s="51" t="s">
        <v>30</v>
      </c>
      <c r="AD278" s="52"/>
      <c r="AE278" s="53"/>
      <c r="AF278" s="191">
        <f t="shared" ref="AF278:AI280" si="24">IF(AND(M280&gt;0,L280&gt;0,L280&lt;&gt;""),M280/L280-1,IF(AND(L280&lt;0,M280&lt;0,L280&lt;&gt;""),(M280-L280)/ABS(L280),IF(AND(L280&gt;0,M280&lt;0,L280&lt;&gt;""),"L",IF(AND(L280&lt;0,M280&gt;0,L280&lt;&gt;""),"P",""))))</f>
        <v>-5.4511278195488733E-2</v>
      </c>
      <c r="AG278" s="191" t="str">
        <f t="shared" si="24"/>
        <v>L</v>
      </c>
      <c r="AH278" s="191" t="str">
        <f t="shared" si="24"/>
        <v>P</v>
      </c>
      <c r="AI278" s="191">
        <f t="shared" si="24"/>
        <v>-0.72413793103448276</v>
      </c>
    </row>
    <row r="279" spans="1:40" ht="18.75" customHeight="1" thickBot="1" x14ac:dyDescent="0.25">
      <c r="B279" s="112"/>
      <c r="C279" s="25"/>
      <c r="D279" s="33" t="s">
        <v>48</v>
      </c>
      <c r="E279" s="34"/>
      <c r="F279" s="35">
        <v>315000000</v>
      </c>
      <c r="G279" s="35">
        <v>224000000</v>
      </c>
      <c r="H279" s="35">
        <v>242000000</v>
      </c>
      <c r="I279" s="35">
        <v>250000000</v>
      </c>
      <c r="J279" s="35">
        <v>306000000</v>
      </c>
      <c r="K279" s="27"/>
      <c r="L279" s="35">
        <v>1473000000</v>
      </c>
      <c r="M279" s="35">
        <v>1479000000</v>
      </c>
      <c r="N279" s="35">
        <v>1276000000</v>
      </c>
      <c r="O279" s="35">
        <v>1188000000</v>
      </c>
      <c r="P279" s="35">
        <v>1022000000</v>
      </c>
      <c r="Q279" s="62">
        <v>1022000000</v>
      </c>
      <c r="S279" s="29" t="s">
        <v>10</v>
      </c>
      <c r="T279" s="30"/>
      <c r="U279" s="36"/>
      <c r="V279" s="32">
        <f>V278+(J293+J295)-J289</f>
        <v>4990211874.2000008</v>
      </c>
      <c r="W279" s="190"/>
      <c r="X279" s="63" t="s">
        <v>31</v>
      </c>
      <c r="Y279" s="63"/>
      <c r="Z279" s="81"/>
      <c r="AA279" s="192">
        <f>IF(AA276="Year over Year",AI279,IF(AA276="3-Year Average",AVERAGE(AH279:AI279),IF(AA276="5-Year Average",AVERAGE(AF279:AI279),"")))</f>
        <v>-2.6525198938992078E-2</v>
      </c>
      <c r="AB279" s="190"/>
      <c r="AC279" s="51" t="s">
        <v>49</v>
      </c>
      <c r="AD279" s="52"/>
      <c r="AE279" s="53"/>
      <c r="AF279" s="191">
        <f t="shared" si="24"/>
        <v>-2.6525198938992078E-2</v>
      </c>
      <c r="AG279" s="191" t="str">
        <f t="shared" si="24"/>
        <v>L</v>
      </c>
      <c r="AH279" s="191" t="str">
        <f t="shared" si="24"/>
        <v>P</v>
      </c>
      <c r="AI279" s="191" t="str">
        <f t="shared" si="24"/>
        <v>L</v>
      </c>
    </row>
    <row r="280" spans="1:40" ht="18.75" customHeight="1" thickBot="1" x14ac:dyDescent="0.25">
      <c r="B280" s="112"/>
      <c r="C280" s="25"/>
      <c r="D280" s="60" t="s">
        <v>50</v>
      </c>
      <c r="E280" s="61"/>
      <c r="F280" s="62">
        <v>98000000</v>
      </c>
      <c r="G280" s="62">
        <v>-1000000</v>
      </c>
      <c r="H280" s="62">
        <v>-1000000</v>
      </c>
      <c r="I280" s="62">
        <v>7000000</v>
      </c>
      <c r="J280" s="62">
        <v>59000000</v>
      </c>
      <c r="K280" s="40"/>
      <c r="L280" s="62">
        <v>532000000</v>
      </c>
      <c r="M280" s="62">
        <v>503000000</v>
      </c>
      <c r="N280" s="62">
        <v>-195000000</v>
      </c>
      <c r="O280" s="62">
        <v>232000000</v>
      </c>
      <c r="P280" s="62">
        <v>64000000</v>
      </c>
      <c r="Q280" s="62">
        <v>64000000</v>
      </c>
      <c r="S280" s="29" t="s">
        <v>11</v>
      </c>
      <c r="T280" s="30"/>
      <c r="U280" s="36"/>
      <c r="V280" s="32">
        <f>J292-J296</f>
        <v>668000000</v>
      </c>
      <c r="W280" s="188"/>
      <c r="X280" s="63" t="s">
        <v>32</v>
      </c>
      <c r="Y280" s="63"/>
      <c r="Z280" s="64"/>
      <c r="AA280" s="192">
        <f>IF(AA276="Year over Year",AI280,IF(AA276="3-Year Average",AVERAGE(AH280:AI280),IF(AA276="5-Year Average",AVERAGE(AF280:AI280),"")))</f>
        <v>2.1645021645021467E-2</v>
      </c>
      <c r="AB280" s="190"/>
      <c r="AC280" s="51" t="s">
        <v>51</v>
      </c>
      <c r="AD280" s="52"/>
      <c r="AE280" s="53"/>
      <c r="AF280" s="191">
        <f t="shared" si="24"/>
        <v>2.1645021645021467E-2</v>
      </c>
      <c r="AG280" s="191" t="str">
        <f t="shared" si="24"/>
        <v>L</v>
      </c>
      <c r="AH280" s="191" t="str">
        <f t="shared" si="24"/>
        <v>P</v>
      </c>
      <c r="AI280" s="191" t="str">
        <f t="shared" si="24"/>
        <v>L</v>
      </c>
    </row>
    <row r="281" spans="1:40" ht="18.75" customHeight="1" thickBot="1" x14ac:dyDescent="0.25">
      <c r="B281" s="112"/>
      <c r="C281" s="25"/>
      <c r="D281" s="60" t="s">
        <v>52</v>
      </c>
      <c r="E281" s="61"/>
      <c r="F281" s="62">
        <v>58000000</v>
      </c>
      <c r="G281" s="62">
        <v>-2000000</v>
      </c>
      <c r="H281" s="62">
        <v>-4000000</v>
      </c>
      <c r="I281" s="62">
        <v>13000000</v>
      </c>
      <c r="J281" s="62">
        <v>-74000000</v>
      </c>
      <c r="K281" s="27"/>
      <c r="L281" s="62">
        <v>377000000</v>
      </c>
      <c r="M281" s="62">
        <v>367000000</v>
      </c>
      <c r="N281" s="62">
        <v>-214000000</v>
      </c>
      <c r="O281" s="62">
        <v>125000000</v>
      </c>
      <c r="P281" s="62">
        <v>-67000000</v>
      </c>
      <c r="Q281" s="62">
        <v>-67000000</v>
      </c>
      <c r="S281" s="29" t="s">
        <v>53</v>
      </c>
      <c r="T281" s="30"/>
      <c r="U281" s="31"/>
      <c r="V281" s="39" t="str">
        <f>IF(V278&gt;10000,"Large Cap",IF(AND(10000&gt;V278,2000&lt;V278),"Mid Cap",IF(AND(2000&gt;V278,V278&gt;50),"Small Cap",IF(V278&lt;50,"Micro Cap",NA))))</f>
        <v>Large Cap</v>
      </c>
      <c r="W281" s="188"/>
      <c r="AB281" s="41"/>
    </row>
    <row r="282" spans="1:40" ht="18.75" customHeight="1" thickBot="1" x14ac:dyDescent="0.25">
      <c r="B282" s="112"/>
      <c r="C282" s="25"/>
      <c r="D282" s="60" t="s">
        <v>54</v>
      </c>
      <c r="E282" s="61"/>
      <c r="F282" s="54">
        <v>0.44</v>
      </c>
      <c r="G282" s="54">
        <v>-0.02</v>
      </c>
      <c r="H282" s="54">
        <v>-0.03</v>
      </c>
      <c r="I282" s="54">
        <v>0.11</v>
      </c>
      <c r="J282" s="54">
        <v>-0.57999999999999996</v>
      </c>
      <c r="K282" s="55"/>
      <c r="L282" s="56">
        <v>2.31</v>
      </c>
      <c r="M282" s="56">
        <v>2.36</v>
      </c>
      <c r="N282" s="56">
        <v>-1.53</v>
      </c>
      <c r="O282" s="56">
        <v>0.96</v>
      </c>
      <c r="P282" s="56">
        <v>-0.53</v>
      </c>
      <c r="Q282" s="54">
        <v>-0.53</v>
      </c>
      <c r="S282" s="122" t="s">
        <v>55</v>
      </c>
      <c r="T282" s="124"/>
      <c r="U282" s="124"/>
      <c r="V282" s="125"/>
      <c r="W282" s="190"/>
      <c r="X282" s="155" t="s">
        <v>2</v>
      </c>
      <c r="Y282" s="43"/>
      <c r="Z282" s="97"/>
      <c r="AA282" s="193"/>
      <c r="AC282" s="154" t="s">
        <v>56</v>
      </c>
      <c r="AD282" s="72"/>
      <c r="AE282" s="161">
        <f>L276</f>
        <v>2013</v>
      </c>
      <c r="AF282" s="161">
        <f>M276</f>
        <v>2014</v>
      </c>
      <c r="AG282" s="161">
        <f>N276</f>
        <v>2015</v>
      </c>
      <c r="AH282" s="161">
        <f>O276</f>
        <v>2016</v>
      </c>
      <c r="AI282" s="161">
        <f>P276</f>
        <v>2017</v>
      </c>
    </row>
    <row r="283" spans="1:40" ht="18.75" hidden="1" customHeight="1" x14ac:dyDescent="0.2">
      <c r="B283" s="112"/>
      <c r="C283" s="25"/>
      <c r="D283" s="60"/>
      <c r="E283" s="61"/>
      <c r="F283" s="54">
        <v>130000000</v>
      </c>
      <c r="G283" s="54">
        <v>130400000</v>
      </c>
      <c r="H283" s="54">
        <v>127900000</v>
      </c>
      <c r="I283" s="54">
        <v>123700000</v>
      </c>
      <c r="J283" s="54">
        <v>121300000</v>
      </c>
      <c r="K283" s="55"/>
      <c r="L283" s="56">
        <v>163400000</v>
      </c>
      <c r="M283" s="56">
        <v>155300000</v>
      </c>
      <c r="N283" s="56">
        <v>139600000</v>
      </c>
      <c r="O283" s="56">
        <v>129700000</v>
      </c>
      <c r="P283" s="56">
        <v>125800000</v>
      </c>
      <c r="Q283" s="54">
        <v>125800000</v>
      </c>
      <c r="S283" s="51"/>
      <c r="V283" s="170"/>
      <c r="W283" s="190"/>
      <c r="X283" s="171"/>
      <c r="Y283" s="172"/>
      <c r="Z283" s="173"/>
      <c r="AA283" s="194"/>
      <c r="AC283" s="174"/>
      <c r="AD283" s="175"/>
      <c r="AE283" s="176"/>
      <c r="AF283" s="176"/>
      <c r="AG283" s="176"/>
      <c r="AH283" s="176"/>
      <c r="AI283" s="176"/>
    </row>
    <row r="284" spans="1:40" ht="18.75" hidden="1" customHeight="1" x14ac:dyDescent="0.2">
      <c r="B284" s="112"/>
      <c r="C284" s="25"/>
      <c r="D284" s="60"/>
      <c r="E284" s="61"/>
      <c r="F284" s="54">
        <v>0.44</v>
      </c>
      <c r="G284" s="54">
        <v>-0.02</v>
      </c>
      <c r="H284" s="54">
        <v>-0.03</v>
      </c>
      <c r="I284" s="54">
        <v>0.11</v>
      </c>
      <c r="J284" s="54">
        <v>-0.57999999999999996</v>
      </c>
      <c r="K284" s="55"/>
      <c r="L284" s="56">
        <v>2.31</v>
      </c>
      <c r="M284" s="56">
        <v>2.36</v>
      </c>
      <c r="N284" s="56">
        <v>-1.53</v>
      </c>
      <c r="O284" s="56">
        <v>0.96</v>
      </c>
      <c r="P284" s="56">
        <v>-0.53</v>
      </c>
      <c r="Q284" s="54">
        <v>-0.53</v>
      </c>
      <c r="S284" s="51"/>
      <c r="V284" s="170"/>
      <c r="W284" s="190"/>
      <c r="X284" s="171"/>
      <c r="Y284" s="172"/>
      <c r="Z284" s="173"/>
      <c r="AA284" s="194"/>
      <c r="AC284" s="174"/>
      <c r="AD284" s="175"/>
      <c r="AE284" s="176"/>
      <c r="AF284" s="176"/>
      <c r="AG284" s="176"/>
      <c r="AH284" s="176"/>
      <c r="AI284" s="176"/>
    </row>
    <row r="285" spans="1:40" ht="18.75" customHeight="1" thickBot="1" x14ac:dyDescent="0.25">
      <c r="B285" s="112"/>
      <c r="C285" s="25"/>
      <c r="D285" s="33" t="s">
        <v>57</v>
      </c>
      <c r="E285" s="61"/>
      <c r="F285" s="62">
        <v>130000000</v>
      </c>
      <c r="G285" s="62">
        <v>130400000</v>
      </c>
      <c r="H285" s="62">
        <v>127900000</v>
      </c>
      <c r="I285" s="62">
        <v>123700000</v>
      </c>
      <c r="J285" s="62">
        <v>121300000</v>
      </c>
      <c r="K285" s="28"/>
      <c r="L285" s="62">
        <v>163400000</v>
      </c>
      <c r="M285" s="62">
        <v>155300000</v>
      </c>
      <c r="N285" s="62">
        <v>139600000</v>
      </c>
      <c r="O285" s="62">
        <v>129700000</v>
      </c>
      <c r="P285" s="62">
        <v>125800000</v>
      </c>
      <c r="Q285" s="62">
        <v>125800000</v>
      </c>
      <c r="S285" s="123"/>
      <c r="X285" s="47" t="s">
        <v>20</v>
      </c>
      <c r="Y285" s="47"/>
      <c r="Z285" s="48"/>
      <c r="AA285" s="49">
        <f>AVERAGE(G291:J291)/AVERAGE(G294:J294)</f>
        <v>1.7953667953667953</v>
      </c>
      <c r="AC285" s="74" t="s">
        <v>29</v>
      </c>
      <c r="AD285" s="75"/>
      <c r="AE285" s="76">
        <f>IF(L277="","",L277)</f>
        <v>2692000000</v>
      </c>
      <c r="AF285" s="76">
        <f>IF(M277="","",M277)</f>
        <v>2732000000</v>
      </c>
      <c r="AG285" s="76">
        <f>IF(N277="","",N277)</f>
        <v>2530000000</v>
      </c>
      <c r="AH285" s="76">
        <f>IF(O277="","",O277)</f>
        <v>2322000000</v>
      </c>
      <c r="AI285" s="76">
        <f>IF(P277="","",P277)</f>
        <v>2156000000</v>
      </c>
    </row>
    <row r="286" spans="1:40" ht="18.75" customHeight="1" thickBot="1" x14ac:dyDescent="0.25">
      <c r="B286" s="112"/>
      <c r="C286" s="25"/>
      <c r="D286" s="33" t="s">
        <v>58</v>
      </c>
      <c r="E286" s="45"/>
      <c r="F286" s="35">
        <v>125000000</v>
      </c>
      <c r="G286" s="35">
        <v>37000000</v>
      </c>
      <c r="H286" s="35">
        <v>35000000</v>
      </c>
      <c r="I286" s="35">
        <v>43000000</v>
      </c>
      <c r="J286" s="35">
        <v>96000000</v>
      </c>
      <c r="K286" s="40"/>
      <c r="L286" s="62">
        <v>679000000</v>
      </c>
      <c r="M286" s="62">
        <v>672000000</v>
      </c>
      <c r="N286" s="62">
        <v>35000000</v>
      </c>
      <c r="O286" s="62">
        <v>361000000</v>
      </c>
      <c r="P286" s="62">
        <v>211000000</v>
      </c>
      <c r="Q286" s="62">
        <v>211000000</v>
      </c>
      <c r="S286" s="153" t="s">
        <v>59</v>
      </c>
      <c r="T286" s="19"/>
      <c r="U286" s="19"/>
      <c r="V286" s="19"/>
      <c r="X286" s="63" t="s">
        <v>21</v>
      </c>
      <c r="Y286" s="63"/>
      <c r="Z286" s="98"/>
      <c r="AA286" s="65">
        <f>AVERAGE(G292:J292)/AVERAGE(G297:J297)</f>
        <v>3.0140056022408963</v>
      </c>
      <c r="AC286" s="74" t="s">
        <v>60</v>
      </c>
      <c r="AD286" s="75"/>
      <c r="AE286" s="195">
        <f>IF(OR(L277="",L279=""),"",L279/L277)</f>
        <v>0.54717682020802383</v>
      </c>
      <c r="AF286" s="195">
        <f>IF(OR(M277="",M279=""),"",M279/M277)</f>
        <v>0.54136163982430452</v>
      </c>
      <c r="AG286" s="195">
        <f>IF(OR(N277="",N279=""),"",N279/N277)</f>
        <v>0.5043478260869565</v>
      </c>
      <c r="AH286" s="195">
        <f>IF(OR(O277="",O279=""),"",O279/O277)</f>
        <v>0.51162790697674421</v>
      </c>
      <c r="AI286" s="195">
        <f>IF(OR(P277="",P279=""),"",P279/P277)</f>
        <v>0.47402597402597402</v>
      </c>
    </row>
    <row r="287" spans="1:40" ht="18.75" customHeight="1" x14ac:dyDescent="0.2">
      <c r="B287" s="113"/>
      <c r="C287" s="37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S287" s="47" t="s">
        <v>13</v>
      </c>
      <c r="T287" s="47"/>
      <c r="U287" s="48"/>
      <c r="V287" s="49" t="str">
        <f>IF(Q282&gt;0,V277/Q282,"")</f>
        <v/>
      </c>
      <c r="X287" s="63" t="s">
        <v>22</v>
      </c>
      <c r="Y287" s="63"/>
      <c r="Z287" s="98"/>
      <c r="AA287" s="65">
        <f>AVERAGE(G295:J295)/AVERAGE(G297:J297)</f>
        <v>0.62309368191721137</v>
      </c>
      <c r="AC287" s="74" t="s">
        <v>47</v>
      </c>
      <c r="AD287" s="75"/>
      <c r="AE287" s="76">
        <f>IF(L280="","",L280)</f>
        <v>532000000</v>
      </c>
      <c r="AF287" s="76">
        <f>IF(M280="","",M280)</f>
        <v>503000000</v>
      </c>
      <c r="AG287" s="76">
        <f>IF(N280="","",N280)</f>
        <v>-195000000</v>
      </c>
      <c r="AH287" s="76">
        <f>IF(O280="","",O280)</f>
        <v>232000000</v>
      </c>
      <c r="AI287" s="76">
        <f>IF(P280="","",P280)</f>
        <v>64000000</v>
      </c>
    </row>
    <row r="288" spans="1:40" ht="18.75" customHeight="1" x14ac:dyDescent="0.25">
      <c r="B288" s="114"/>
      <c r="C288" s="73"/>
      <c r="D288" s="120" t="s">
        <v>61</v>
      </c>
      <c r="E288" s="18"/>
      <c r="F288" s="196" t="str">
        <f>F276</f>
        <v>2016-10</v>
      </c>
      <c r="G288" s="196" t="str">
        <f>G276</f>
        <v>2017-01</v>
      </c>
      <c r="H288" s="196" t="str">
        <f>H276</f>
        <v>2017-04</v>
      </c>
      <c r="I288" s="196" t="str">
        <f>I276</f>
        <v>2017-07</v>
      </c>
      <c r="J288" s="196" t="str">
        <f>J276</f>
        <v>2017-10</v>
      </c>
      <c r="K288" s="197"/>
      <c r="L288" s="198">
        <f>L276</f>
        <v>2013</v>
      </c>
      <c r="M288" s="198">
        <f>M276</f>
        <v>2014</v>
      </c>
      <c r="N288" s="198">
        <f>N276</f>
        <v>2015</v>
      </c>
      <c r="O288" s="198">
        <f>O276</f>
        <v>2016</v>
      </c>
      <c r="P288" s="198">
        <f>P276</f>
        <v>2017</v>
      </c>
      <c r="Q288" s="185"/>
      <c r="S288" s="57" t="s">
        <v>15</v>
      </c>
      <c r="T288" s="57"/>
      <c r="U288" s="58"/>
      <c r="V288" s="59">
        <f>V277/((J292-J296)/J285)</f>
        <v>7.6520686806886227</v>
      </c>
      <c r="W288" s="199"/>
      <c r="X288" s="123"/>
      <c r="AA288" s="123"/>
      <c r="AC288" s="74" t="s">
        <v>62</v>
      </c>
      <c r="AD288" s="75"/>
      <c r="AE288" s="195">
        <f>IF(OR(L277="",L280=""),"",L280/L277)</f>
        <v>0.1976225854383358</v>
      </c>
      <c r="AF288" s="195">
        <f>IF(OR(M277="",M280=""),"",M280/M277)</f>
        <v>0.18411420204978038</v>
      </c>
      <c r="AG288" s="195">
        <f>IF(OR(N277="",N280=""),"",N280/N277)</f>
        <v>-7.7075098814229248E-2</v>
      </c>
      <c r="AH288" s="195">
        <f>IF(OR(O277="",O280=""),"",O280/O277)</f>
        <v>9.9913867355727826E-2</v>
      </c>
      <c r="AI288" s="195">
        <f>IF(OR(P277="",P280=""),"",P280/P277)</f>
        <v>2.9684601113172542E-2</v>
      </c>
      <c r="AJ288" s="77"/>
      <c r="AK288" s="23"/>
    </row>
    <row r="289" spans="2:37" ht="18.75" customHeight="1" thickBot="1" x14ac:dyDescent="0.25">
      <c r="B289" s="110"/>
      <c r="C289" s="17"/>
      <c r="D289" s="60" t="s">
        <v>63</v>
      </c>
      <c r="E289" s="61"/>
      <c r="F289" s="62">
        <v>974000000</v>
      </c>
      <c r="G289" s="62">
        <v>1164000000</v>
      </c>
      <c r="H289" s="62">
        <v>1085000000</v>
      </c>
      <c r="I289" s="62">
        <v>1025000000</v>
      </c>
      <c r="J289" s="62">
        <v>1089000000</v>
      </c>
      <c r="K289" s="27"/>
      <c r="L289" s="62">
        <v>695000000</v>
      </c>
      <c r="M289" s="62">
        <v>834000000</v>
      </c>
      <c r="N289" s="62">
        <v>839000000</v>
      </c>
      <c r="O289" s="62">
        <v>974000000</v>
      </c>
      <c r="P289" s="62">
        <v>1089000000</v>
      </c>
      <c r="Q289" s="62"/>
      <c r="S289" s="57" t="s">
        <v>14</v>
      </c>
      <c r="T289" s="57"/>
      <c r="U289" s="58"/>
      <c r="V289" s="59">
        <f>V277/(Q277/Q285)</f>
        <v>2.458818123469388</v>
      </c>
      <c r="W289" s="200"/>
      <c r="X289" s="155" t="s">
        <v>36</v>
      </c>
      <c r="Y289" s="43"/>
      <c r="Z289" s="43"/>
      <c r="AA289" s="201"/>
      <c r="AC289" s="74" t="s">
        <v>31</v>
      </c>
      <c r="AD289" s="75"/>
      <c r="AE289" s="76">
        <f t="shared" ref="AE289:AI290" si="25">IF(L281="","",L281)</f>
        <v>377000000</v>
      </c>
      <c r="AF289" s="76">
        <f t="shared" si="25"/>
        <v>367000000</v>
      </c>
      <c r="AG289" s="76">
        <f t="shared" si="25"/>
        <v>-214000000</v>
      </c>
      <c r="AH289" s="76">
        <f t="shared" si="25"/>
        <v>125000000</v>
      </c>
      <c r="AI289" s="76">
        <f t="shared" si="25"/>
        <v>-67000000</v>
      </c>
      <c r="AK289" s="202"/>
    </row>
    <row r="290" spans="2:37" ht="18.75" customHeight="1" thickBot="1" x14ac:dyDescent="0.25">
      <c r="B290" s="112"/>
      <c r="C290" s="25"/>
      <c r="D290" s="94" t="s">
        <v>64</v>
      </c>
      <c r="E290" s="61"/>
      <c r="F290" s="38">
        <v>974000000</v>
      </c>
      <c r="G290" s="38">
        <v>1164000000</v>
      </c>
      <c r="H290" s="38">
        <v>1085000000</v>
      </c>
      <c r="I290" s="38">
        <v>1025000000</v>
      </c>
      <c r="J290" s="38">
        <v>1089000000</v>
      </c>
      <c r="K290" s="80"/>
      <c r="L290" s="38">
        <v>695000000</v>
      </c>
      <c r="M290" s="38">
        <v>834000000</v>
      </c>
      <c r="N290" s="38">
        <v>839000000</v>
      </c>
      <c r="O290" s="38">
        <v>974000000</v>
      </c>
      <c r="P290" s="38">
        <v>1089000000</v>
      </c>
      <c r="Q290" s="38"/>
      <c r="S290" s="63" t="s">
        <v>17</v>
      </c>
      <c r="T290" s="63"/>
      <c r="U290" s="64"/>
      <c r="V290" s="65">
        <f>IF(AVERAGE(N300:P300)&gt;0,V277/(AVERAGE(N300:P300)/Q285),"")</f>
        <v>13.58124305943638</v>
      </c>
      <c r="W290" s="200"/>
      <c r="X290" s="145" t="s">
        <v>29</v>
      </c>
      <c r="Y290" s="145"/>
      <c r="Z290" s="147"/>
      <c r="AA290" s="148">
        <f>Q277</f>
        <v>2156000000</v>
      </c>
      <c r="AC290" s="74" t="s">
        <v>32</v>
      </c>
      <c r="AD290" s="75"/>
      <c r="AE290" s="203">
        <f t="shared" si="25"/>
        <v>2.31</v>
      </c>
      <c r="AF290" s="203">
        <f t="shared" si="25"/>
        <v>2.36</v>
      </c>
      <c r="AG290" s="203">
        <f t="shared" si="25"/>
        <v>-1.53</v>
      </c>
      <c r="AH290" s="203">
        <f t="shared" si="25"/>
        <v>0.96</v>
      </c>
      <c r="AI290" s="203">
        <f t="shared" si="25"/>
        <v>-0.53</v>
      </c>
      <c r="AK290" s="202"/>
    </row>
    <row r="291" spans="2:37" ht="18.75" customHeight="1" thickBot="1" x14ac:dyDescent="0.3">
      <c r="B291" s="114"/>
      <c r="C291" s="73"/>
      <c r="D291" s="94" t="s">
        <v>65</v>
      </c>
      <c r="E291" s="61"/>
      <c r="F291" s="38">
        <v>1621000000</v>
      </c>
      <c r="G291" s="38">
        <v>1704000000</v>
      </c>
      <c r="H291" s="38">
        <v>1548000000</v>
      </c>
      <c r="I291" s="38">
        <v>1508000000</v>
      </c>
      <c r="J291" s="38">
        <v>1750000000</v>
      </c>
      <c r="K291" s="80"/>
      <c r="L291" s="38">
        <v>1563000000</v>
      </c>
      <c r="M291" s="38">
        <v>1572000000</v>
      </c>
      <c r="N291" s="38">
        <v>1734000000</v>
      </c>
      <c r="O291" s="38">
        <v>1621000000</v>
      </c>
      <c r="P291" s="38">
        <v>1750000000</v>
      </c>
      <c r="Q291" s="38"/>
      <c r="S291" s="29" t="s">
        <v>16</v>
      </c>
      <c r="T291" s="29"/>
      <c r="U291" s="30"/>
      <c r="V291" s="65">
        <f>IF(AVERAGE(N302:P302)&gt;0,V278/AVERAGE(N302:P302),"")</f>
        <v>18.798623667375889</v>
      </c>
      <c r="X291" s="68" t="s">
        <v>66</v>
      </c>
      <c r="Y291" s="68"/>
      <c r="Z291" s="69"/>
      <c r="AA291" s="70">
        <f>Q279</f>
        <v>1022000000</v>
      </c>
      <c r="AC291" s="74" t="s">
        <v>67</v>
      </c>
      <c r="AD291" s="75"/>
      <c r="AE291" s="76">
        <f>IF(L285="","",L285)</f>
        <v>163400000</v>
      </c>
      <c r="AF291" s="76">
        <f>IF(M285="","",M285)</f>
        <v>155300000</v>
      </c>
      <c r="AG291" s="76">
        <f>IF(N285="","",N285)</f>
        <v>139600000</v>
      </c>
      <c r="AH291" s="76">
        <f>IF(O285="","",O285)</f>
        <v>129700000</v>
      </c>
      <c r="AI291" s="76">
        <f>IF(P285="","",P285)</f>
        <v>125800000</v>
      </c>
      <c r="AK291" s="202"/>
    </row>
    <row r="292" spans="2:37" ht="18.75" customHeight="1" thickBot="1" x14ac:dyDescent="0.25">
      <c r="B292" s="113"/>
      <c r="C292" s="37"/>
      <c r="D292" s="94" t="s">
        <v>68</v>
      </c>
      <c r="E292" s="61"/>
      <c r="F292" s="38">
        <v>2413000000</v>
      </c>
      <c r="G292" s="38">
        <v>2483000000</v>
      </c>
      <c r="H292" s="38">
        <v>2338000000</v>
      </c>
      <c r="I292" s="38">
        <v>2307000000</v>
      </c>
      <c r="J292" s="38">
        <v>2556000000</v>
      </c>
      <c r="K292" s="85"/>
      <c r="L292" s="38">
        <v>3096000000</v>
      </c>
      <c r="M292" s="38">
        <v>3132000000</v>
      </c>
      <c r="N292" s="38">
        <v>2530000000</v>
      </c>
      <c r="O292" s="38">
        <v>2413000000</v>
      </c>
      <c r="P292" s="38">
        <v>2556000000</v>
      </c>
      <c r="Q292" s="38"/>
      <c r="S292" s="57" t="s">
        <v>18</v>
      </c>
      <c r="T292" s="57"/>
      <c r="U292" s="58"/>
      <c r="V292" s="59">
        <f>(V278+(J293+J295)-J289)/J286</f>
        <v>51.981373689583343</v>
      </c>
      <c r="X292" s="68" t="s">
        <v>31</v>
      </c>
      <c r="Y292" s="68"/>
      <c r="Z292" s="69"/>
      <c r="AA292" s="70">
        <f>Q281</f>
        <v>-67000000</v>
      </c>
      <c r="AC292" s="74" t="s">
        <v>69</v>
      </c>
      <c r="AD292" s="75"/>
      <c r="AE292" s="204">
        <f>IF(OR(L297="",L285="",L292="",L296=""),"",(L292-L296)/L285)</f>
        <v>11.364749082007345</v>
      </c>
      <c r="AF292" s="204">
        <f>IF(OR(M297="",M285="",M292="",M296=""),"",(M292-M296)/M285)</f>
        <v>10.991629104958145</v>
      </c>
      <c r="AG292" s="204">
        <f>IF(OR(N297="",N285="",N292="",N296=""),"",(N292-N296)/N285)</f>
        <v>6.0816618911174789</v>
      </c>
      <c r="AH292" s="204">
        <f>IF(OR(O297="",O285="",O292="",O296=""),"",(O292-O296)/O285)</f>
        <v>7.4865073245952196</v>
      </c>
      <c r="AI292" s="204">
        <f>IF(OR(P297="",P285="",P292="",P296=""),"",(P292-P296)/P285)</f>
        <v>5.3100158982511925</v>
      </c>
      <c r="AK292" s="202"/>
    </row>
    <row r="293" spans="2:37" ht="18.75" customHeight="1" thickBot="1" x14ac:dyDescent="0.25">
      <c r="B293" s="112"/>
      <c r="C293" s="25"/>
      <c r="D293" s="60" t="s">
        <v>70</v>
      </c>
      <c r="E293" s="26"/>
      <c r="F293" s="62">
        <v>30000000</v>
      </c>
      <c r="G293" s="62">
        <v>38000000</v>
      </c>
      <c r="H293" s="62">
        <v>45000000</v>
      </c>
      <c r="I293" s="62">
        <v>233000000</v>
      </c>
      <c r="J293" s="62">
        <v>300000000</v>
      </c>
      <c r="K293" s="27"/>
      <c r="L293" s="62">
        <v>26000000</v>
      </c>
      <c r="M293" s="62">
        <v>273000000</v>
      </c>
      <c r="N293" s="62">
        <v>210000000</v>
      </c>
      <c r="O293" s="62">
        <v>30000000</v>
      </c>
      <c r="P293" s="62">
        <v>300000000</v>
      </c>
      <c r="Q293" s="62"/>
      <c r="S293" s="63" t="s">
        <v>19</v>
      </c>
      <c r="T293" s="63"/>
      <c r="U293" s="64"/>
      <c r="V293" s="65">
        <f>(V278+(J293+J295)-J289)/J277</f>
        <v>7.9715844635782762</v>
      </c>
      <c r="X293" s="29" t="s">
        <v>32</v>
      </c>
      <c r="Y293" s="29"/>
      <c r="Z293" s="30"/>
      <c r="AA293" s="205">
        <f>Q282</f>
        <v>-0.53</v>
      </c>
      <c r="AK293" s="202"/>
    </row>
    <row r="294" spans="2:37" ht="18.75" customHeight="1" thickBot="1" x14ac:dyDescent="0.25">
      <c r="B294" s="115"/>
      <c r="C294" s="91"/>
      <c r="D294" s="94" t="s">
        <v>71</v>
      </c>
      <c r="E294" s="61"/>
      <c r="F294" s="38">
        <v>729000000</v>
      </c>
      <c r="G294" s="38">
        <v>835000000</v>
      </c>
      <c r="H294" s="38">
        <v>792000000</v>
      </c>
      <c r="I294" s="38">
        <v>936000000</v>
      </c>
      <c r="J294" s="38">
        <v>1063000000</v>
      </c>
      <c r="K294" s="80"/>
      <c r="L294" s="38">
        <v>776000000</v>
      </c>
      <c r="M294" s="38">
        <v>995000000</v>
      </c>
      <c r="N294" s="38">
        <v>953000000</v>
      </c>
      <c r="O294" s="38">
        <v>729000000</v>
      </c>
      <c r="P294" s="38">
        <v>1063000000</v>
      </c>
      <c r="Q294" s="38"/>
      <c r="AC294" s="89" t="s">
        <v>3</v>
      </c>
      <c r="AD294" s="90"/>
      <c r="AE294" s="161">
        <f>L276</f>
        <v>2013</v>
      </c>
      <c r="AF294" s="161">
        <f>M276</f>
        <v>2014</v>
      </c>
      <c r="AG294" s="161">
        <f>N276</f>
        <v>2015</v>
      </c>
      <c r="AH294" s="161">
        <f>O276</f>
        <v>2016</v>
      </c>
      <c r="AI294" s="161">
        <f>P276</f>
        <v>2017</v>
      </c>
    </row>
    <row r="295" spans="2:37" ht="18.75" customHeight="1" thickBot="1" x14ac:dyDescent="0.25">
      <c r="B295" s="113"/>
      <c r="C295" s="37"/>
      <c r="D295" s="60" t="s">
        <v>72</v>
      </c>
      <c r="E295" s="26"/>
      <c r="F295" s="62">
        <v>538000000</v>
      </c>
      <c r="G295" s="62">
        <v>523000000</v>
      </c>
      <c r="H295" s="62">
        <v>508000000</v>
      </c>
      <c r="I295" s="62">
        <v>493000000</v>
      </c>
      <c r="J295" s="62">
        <v>478000000</v>
      </c>
      <c r="K295" s="71"/>
      <c r="L295" s="62">
        <v>248000000</v>
      </c>
      <c r="M295" s="62">
        <v>195000000</v>
      </c>
      <c r="N295" s="62">
        <v>570000000</v>
      </c>
      <c r="O295" s="62">
        <v>538000000</v>
      </c>
      <c r="P295" s="62">
        <v>478000000</v>
      </c>
      <c r="Q295" s="62"/>
      <c r="S295" s="154" t="s">
        <v>3</v>
      </c>
      <c r="T295" s="72"/>
      <c r="U295" s="72"/>
      <c r="V295" s="42"/>
      <c r="X295" s="155" t="s">
        <v>61</v>
      </c>
      <c r="Y295" s="43"/>
      <c r="Z295" s="43"/>
      <c r="AA295" s="206"/>
      <c r="AC295" s="74" t="s">
        <v>73</v>
      </c>
      <c r="AD295" s="75"/>
      <c r="AE295" s="207">
        <f>IF(OR(L277="",L281="",L277=0,L281=0),"",L281/L277)</f>
        <v>0.14004457652303121</v>
      </c>
      <c r="AF295" s="207">
        <f>IF(OR(M277="",M281="",M277=0,M281=0),"",M281/M277)</f>
        <v>0.13433382137628111</v>
      </c>
      <c r="AG295" s="207">
        <f>IF(OR(N277="",N281="",N277=0,N281=0),"",N281/N277)</f>
        <v>-8.4584980237154148E-2</v>
      </c>
      <c r="AH295" s="207">
        <f>IF(OR(O277="",O281="",O277=0,O281=0),"",O281/O277)</f>
        <v>5.3832902670111975E-2</v>
      </c>
      <c r="AI295" s="207">
        <f>IF(OR(P277="",P281="",P277=0,P281=0),"",P281/P277)</f>
        <v>-3.1076066790352505E-2</v>
      </c>
    </row>
    <row r="296" spans="2:37" ht="18.75" customHeight="1" thickBot="1" x14ac:dyDescent="0.25">
      <c r="B296" s="116"/>
      <c r="C296" s="93"/>
      <c r="D296" s="94" t="s">
        <v>74</v>
      </c>
      <c r="E296" s="61"/>
      <c r="F296" s="38">
        <v>1442000000</v>
      </c>
      <c r="G296" s="38">
        <v>1529000000</v>
      </c>
      <c r="H296" s="38">
        <v>1466000000</v>
      </c>
      <c r="I296" s="38">
        <v>1588000000</v>
      </c>
      <c r="J296" s="38">
        <v>1888000000</v>
      </c>
      <c r="K296" s="80"/>
      <c r="L296" s="46">
        <v>1239000000</v>
      </c>
      <c r="M296" s="46">
        <v>1425000000</v>
      </c>
      <c r="N296" s="46">
        <v>1681000000</v>
      </c>
      <c r="O296" s="46">
        <v>1442000000</v>
      </c>
      <c r="P296" s="46">
        <v>1888000000</v>
      </c>
      <c r="Q296" s="38"/>
      <c r="S296" s="50" t="s">
        <v>12</v>
      </c>
      <c r="T296" s="50"/>
      <c r="U296" s="78"/>
      <c r="V296" s="79">
        <f>Q277</f>
        <v>2156000000</v>
      </c>
      <c r="X296" s="122" t="s">
        <v>75</v>
      </c>
      <c r="Y296" s="122"/>
      <c r="Z296" s="144"/>
      <c r="AA296" s="148">
        <f>J290</f>
        <v>1089000000</v>
      </c>
      <c r="AC296" s="74" t="s">
        <v>76</v>
      </c>
      <c r="AD296" s="75"/>
      <c r="AE296" s="207">
        <f>IF(OR(L281="",L295="",L281=0,L295=0),"",L281/L295)</f>
        <v>1.5201612903225807</v>
      </c>
      <c r="AF296" s="207">
        <f>IF(OR(M281="",M295="",M281=0,M295=0),"",M281/M295)</f>
        <v>1.882051282051282</v>
      </c>
      <c r="AG296" s="207">
        <f>IF(OR(N281="",N295="",N281=0,N295=0),"",N281/N295)</f>
        <v>-0.37543859649122807</v>
      </c>
      <c r="AH296" s="207">
        <f>IF(OR(O281="",O295="",O281=0,O295=0),"",O281/O295)</f>
        <v>0.23234200743494424</v>
      </c>
      <c r="AI296" s="207">
        <f>IF(OR(P281="",P295="",P281=0,P295=0),"",P281/P295)</f>
        <v>-0.14016736401673641</v>
      </c>
    </row>
    <row r="297" spans="2:37" ht="18.75" customHeight="1" thickBot="1" x14ac:dyDescent="0.25">
      <c r="B297" s="113"/>
      <c r="C297" s="37"/>
      <c r="D297" s="94" t="s">
        <v>77</v>
      </c>
      <c r="E297" s="61"/>
      <c r="F297" s="38">
        <v>971000000</v>
      </c>
      <c r="G297" s="38">
        <v>954000000</v>
      </c>
      <c r="H297" s="38">
        <v>872000000</v>
      </c>
      <c r="I297" s="38">
        <v>719000000</v>
      </c>
      <c r="J297" s="38">
        <v>668000000</v>
      </c>
      <c r="K297" s="85"/>
      <c r="L297" s="46">
        <v>1857000000</v>
      </c>
      <c r="M297" s="46">
        <v>1707000000</v>
      </c>
      <c r="N297" s="46">
        <v>849000000</v>
      </c>
      <c r="O297" s="46">
        <v>971000000</v>
      </c>
      <c r="P297" s="46">
        <v>668000000</v>
      </c>
      <c r="Q297" s="38"/>
      <c r="S297" s="68" t="s">
        <v>23</v>
      </c>
      <c r="T297" s="68"/>
      <c r="U297" s="69"/>
      <c r="V297" s="192">
        <f>(Q277-Q278)/Q277</f>
        <v>0.47402597402597402</v>
      </c>
      <c r="X297" s="145" t="s">
        <v>78</v>
      </c>
      <c r="Y297" s="146"/>
      <c r="Z297" s="147"/>
      <c r="AA297" s="148">
        <f>J291</f>
        <v>1750000000</v>
      </c>
      <c r="AC297" s="74" t="s">
        <v>79</v>
      </c>
      <c r="AD297" s="75"/>
      <c r="AE297" s="207">
        <f>IF(OR(L281="",L292="",L281=0,L292=0),"",L281/L292)</f>
        <v>0.12177002583979328</v>
      </c>
      <c r="AF297" s="207">
        <f>IF(OR(M281="",M292="",M281=0,M292=0),"",M281/M292)</f>
        <v>0.11717752234993614</v>
      </c>
      <c r="AG297" s="207">
        <f>IF(OR(N281="",N292="",N281=0,N292=0),"",N281/N292)</f>
        <v>-8.4584980237154148E-2</v>
      </c>
      <c r="AH297" s="207">
        <f>IF(OR(O281="",O292="",O281=0,O292=0),"",O281/O292)</f>
        <v>5.1802735184417741E-2</v>
      </c>
      <c r="AI297" s="207">
        <f>IF(OR(P281="",P292="",P281=0,P292=0),"",P281/P292)</f>
        <v>-2.621283255086072E-2</v>
      </c>
    </row>
    <row r="298" spans="2:37" ht="18.75" customHeight="1" x14ac:dyDescent="0.2">
      <c r="B298" s="113"/>
      <c r="C298" s="37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S298" s="68" t="s">
        <v>24</v>
      </c>
      <c r="T298" s="68"/>
      <c r="U298" s="69"/>
      <c r="V298" s="192">
        <f>Q281/Q277</f>
        <v>-3.1076066790352505E-2</v>
      </c>
      <c r="X298" s="63" t="s">
        <v>80</v>
      </c>
      <c r="Y298" s="63"/>
      <c r="Z298" s="64"/>
      <c r="AA298" s="70">
        <f>J294</f>
        <v>1063000000</v>
      </c>
      <c r="AC298" s="74" t="s">
        <v>28</v>
      </c>
      <c r="AD298" s="75"/>
      <c r="AE298" s="92">
        <f>IF(OR(L277="",L292="",L277=0,L292=0),"",L277/L292)</f>
        <v>0.86950904392764861</v>
      </c>
      <c r="AF298" s="92">
        <f>IF(OR(M277="",M292="",M277=0,M292=0),"",M277/M292)</f>
        <v>0.8722860791826309</v>
      </c>
      <c r="AG298" s="92">
        <f>IF(OR(N277="",N292="",N277=0,N292=0),"",N277/N292)</f>
        <v>1</v>
      </c>
      <c r="AH298" s="92">
        <f>IF(OR(O277="",O292="",O277=0,O292=0),"",O277/O292)</f>
        <v>0.96228760878574393</v>
      </c>
      <c r="AI298" s="92">
        <f>IF(OR(P277="",P292="",P277=0,P292=0),"",P277/P292)</f>
        <v>0.84350547730829417</v>
      </c>
    </row>
    <row r="299" spans="2:37" ht="18.75" customHeight="1" x14ac:dyDescent="0.2">
      <c r="B299" s="113"/>
      <c r="C299" s="37"/>
      <c r="D299" s="121" t="s">
        <v>81</v>
      </c>
      <c r="E299" s="18"/>
      <c r="F299" s="196" t="str">
        <f>F276</f>
        <v>2016-10</v>
      </c>
      <c r="G299" s="196" t="str">
        <f>G276</f>
        <v>2017-01</v>
      </c>
      <c r="H299" s="196" t="str">
        <f>H276</f>
        <v>2017-04</v>
      </c>
      <c r="I299" s="196" t="str">
        <f>I276</f>
        <v>2017-07</v>
      </c>
      <c r="J299" s="196" t="str">
        <f>J276</f>
        <v>2017-10</v>
      </c>
      <c r="K299" s="197"/>
      <c r="L299" s="208">
        <f>L276</f>
        <v>2013</v>
      </c>
      <c r="M299" s="208">
        <f>M276</f>
        <v>2014</v>
      </c>
      <c r="N299" s="208">
        <f>N276</f>
        <v>2015</v>
      </c>
      <c r="O299" s="208">
        <f>O276</f>
        <v>2016</v>
      </c>
      <c r="P299" s="208">
        <f>P276</f>
        <v>2017</v>
      </c>
      <c r="Q299" s="185" t="s">
        <v>42</v>
      </c>
      <c r="S299" s="68" t="s">
        <v>25</v>
      </c>
      <c r="T299" s="68"/>
      <c r="U299" s="69"/>
      <c r="V299" s="192">
        <f>Q280/Q277</f>
        <v>2.9684601113172542E-2</v>
      </c>
      <c r="X299" s="63" t="s">
        <v>82</v>
      </c>
      <c r="Y299" s="81"/>
      <c r="Z299" s="81"/>
      <c r="AA299" s="70">
        <f>J293+J295</f>
        <v>778000000</v>
      </c>
      <c r="AJ299" s="95"/>
    </row>
    <row r="300" spans="2:37" ht="18.75" customHeight="1" thickBot="1" x14ac:dyDescent="0.3">
      <c r="B300" s="117"/>
      <c r="C300" s="96"/>
      <c r="D300" s="60" t="s">
        <v>83</v>
      </c>
      <c r="E300" s="26"/>
      <c r="F300" s="62">
        <v>51000000</v>
      </c>
      <c r="G300" s="62">
        <v>248000000</v>
      </c>
      <c r="H300" s="62">
        <v>61000000</v>
      </c>
      <c r="I300" s="62">
        <v>-8000000</v>
      </c>
      <c r="J300" s="62">
        <v>23000000</v>
      </c>
      <c r="K300" s="27"/>
      <c r="L300" s="62">
        <v>510000000</v>
      </c>
      <c r="M300" s="62">
        <v>680000000</v>
      </c>
      <c r="N300" s="62">
        <v>401000000</v>
      </c>
      <c r="O300" s="62">
        <v>446000000</v>
      </c>
      <c r="P300" s="62">
        <v>324000000</v>
      </c>
      <c r="Q300" s="62">
        <v>324000000</v>
      </c>
      <c r="X300" s="82"/>
      <c r="Y300" s="83"/>
      <c r="Z300" s="83"/>
      <c r="AA300" s="84"/>
      <c r="AC300" s="89" t="s">
        <v>2</v>
      </c>
      <c r="AD300" s="90"/>
      <c r="AE300" s="162">
        <f>L276</f>
        <v>2013</v>
      </c>
      <c r="AF300" s="162">
        <f>M276</f>
        <v>2014</v>
      </c>
      <c r="AG300" s="162">
        <f>N276</f>
        <v>2015</v>
      </c>
      <c r="AH300" s="162">
        <f>O276</f>
        <v>2016</v>
      </c>
      <c r="AI300" s="162">
        <f>P276</f>
        <v>2017</v>
      </c>
      <c r="AJ300" s="95"/>
    </row>
    <row r="301" spans="2:37" ht="18.75" customHeight="1" thickBot="1" x14ac:dyDescent="0.25">
      <c r="B301" s="113"/>
      <c r="C301" s="37"/>
      <c r="D301" s="60" t="s">
        <v>84</v>
      </c>
      <c r="E301" s="26"/>
      <c r="F301" s="62">
        <v>-32000000</v>
      </c>
      <c r="G301" s="62">
        <v>-18000000</v>
      </c>
      <c r="H301" s="62">
        <v>-16000000</v>
      </c>
      <c r="I301" s="62">
        <v>-32000000</v>
      </c>
      <c r="J301" s="62">
        <v>-21000000</v>
      </c>
      <c r="K301" s="27"/>
      <c r="L301" s="62">
        <v>-138000000</v>
      </c>
      <c r="M301" s="62">
        <v>-129000000</v>
      </c>
      <c r="N301" s="62">
        <v>-120000000</v>
      </c>
      <c r="O301" s="62">
        <v>-118000000</v>
      </c>
      <c r="P301" s="62">
        <v>-87000000</v>
      </c>
      <c r="Q301" s="62">
        <v>-87000000</v>
      </c>
      <c r="S301" s="153" t="s">
        <v>4</v>
      </c>
      <c r="T301" s="19"/>
      <c r="U301" s="19"/>
      <c r="V301" s="86"/>
      <c r="X301" s="155" t="s">
        <v>85</v>
      </c>
      <c r="Y301" s="43"/>
      <c r="Z301" s="43"/>
      <c r="AA301" s="196"/>
      <c r="AC301" s="74" t="s">
        <v>20</v>
      </c>
      <c r="AD301" s="75"/>
      <c r="AE301" s="92">
        <f t="shared" ref="AE301:AI302" si="26">IF(OR(L291="",L294="",L291=0,L294=0),"",L291/L294)</f>
        <v>2.0141752577319587</v>
      </c>
      <c r="AF301" s="92">
        <f t="shared" si="26"/>
        <v>1.5798994974874372</v>
      </c>
      <c r="AG301" s="92">
        <f t="shared" si="26"/>
        <v>1.819517313746065</v>
      </c>
      <c r="AH301" s="92">
        <f t="shared" si="26"/>
        <v>2.2235939643347051</v>
      </c>
      <c r="AI301" s="92">
        <f t="shared" si="26"/>
        <v>1.6462841015992473</v>
      </c>
      <c r="AJ301" s="95"/>
    </row>
    <row r="302" spans="2:37" ht="18.75" customHeight="1" thickBot="1" x14ac:dyDescent="0.25">
      <c r="B302" s="113"/>
      <c r="C302" s="37"/>
      <c r="D302" s="60" t="s">
        <v>86</v>
      </c>
      <c r="E302" s="26"/>
      <c r="F302" s="62">
        <v>19000000</v>
      </c>
      <c r="G302" s="62">
        <v>230000000</v>
      </c>
      <c r="H302" s="62">
        <v>45000000</v>
      </c>
      <c r="I302" s="62">
        <v>-40000000</v>
      </c>
      <c r="J302" s="62">
        <v>2000000</v>
      </c>
      <c r="K302" s="27"/>
      <c r="L302" s="62">
        <v>372000000</v>
      </c>
      <c r="M302" s="62">
        <v>551000000</v>
      </c>
      <c r="N302" s="62">
        <v>281000000</v>
      </c>
      <c r="O302" s="62">
        <v>328000000</v>
      </c>
      <c r="P302" s="62">
        <v>237000000</v>
      </c>
      <c r="Q302" s="62">
        <v>237000000</v>
      </c>
      <c r="S302" s="47" t="s">
        <v>26</v>
      </c>
      <c r="T302" s="47"/>
      <c r="U302" s="48"/>
      <c r="V302" s="189">
        <f>Q281/AVERAGE(G297:J297)</f>
        <v>-8.3411142234671651E-2</v>
      </c>
      <c r="X302" s="66" t="s">
        <v>87</v>
      </c>
      <c r="Y302" s="66"/>
      <c r="Z302" s="67"/>
      <c r="AA302" s="87">
        <f>AVERAGE(N300:P300)</f>
        <v>390333333.33333331</v>
      </c>
      <c r="AC302" s="74" t="s">
        <v>21</v>
      </c>
      <c r="AD302" s="75"/>
      <c r="AE302" s="92">
        <f t="shared" si="26"/>
        <v>12.483870967741936</v>
      </c>
      <c r="AF302" s="92">
        <f t="shared" si="26"/>
        <v>16.061538461538461</v>
      </c>
      <c r="AG302" s="92">
        <f t="shared" si="26"/>
        <v>4.4385964912280702</v>
      </c>
      <c r="AH302" s="92">
        <f t="shared" si="26"/>
        <v>4.485130111524164</v>
      </c>
      <c r="AI302" s="92">
        <f t="shared" si="26"/>
        <v>5.3472803347280333</v>
      </c>
      <c r="AJ302" s="95"/>
    </row>
    <row r="303" spans="2:37" ht="18.75" customHeight="1" x14ac:dyDescent="0.2">
      <c r="B303" s="110"/>
      <c r="C303" s="17"/>
      <c r="S303" s="29" t="s">
        <v>27</v>
      </c>
      <c r="T303" s="29"/>
      <c r="U303" s="30"/>
      <c r="V303" s="192">
        <f>Q281/AVERAGE(G292:J292)</f>
        <v>-2.7674514663362248E-2</v>
      </c>
      <c r="X303" s="63" t="s">
        <v>88</v>
      </c>
      <c r="Y303" s="63"/>
      <c r="Z303" s="81"/>
      <c r="AA303" s="88">
        <f>ABS(AVERAGE(N301:P301))</f>
        <v>108333333.33333333</v>
      </c>
      <c r="AC303" s="74" t="s">
        <v>22</v>
      </c>
      <c r="AD303" s="75"/>
      <c r="AE303" s="92">
        <f>IF(OR(L297="",L295="",L295=0,L297=0),"",L297/L295)</f>
        <v>7.487903225806452</v>
      </c>
      <c r="AF303" s="92">
        <f>IF(OR(M297="",M295="",M295=0,M297=0),"",M297/M295)</f>
        <v>8.7538461538461547</v>
      </c>
      <c r="AG303" s="92">
        <f>IF(OR(N297="",N295="",N295=0,N297=0),"",N297/N295)</f>
        <v>1.4894736842105263</v>
      </c>
      <c r="AH303" s="92">
        <f>IF(OR(O297="",O295="",O295=0,O297=0),"",O297/O295)</f>
        <v>1.8048327137546469</v>
      </c>
      <c r="AI303" s="92">
        <f>IF(OR(P297="",P295="",P295=0,P297=0),"",P297/P295)</f>
        <v>1.397489539748954</v>
      </c>
    </row>
    <row r="304" spans="2:37" ht="18.75" customHeight="1" x14ac:dyDescent="0.2">
      <c r="B304" s="110"/>
      <c r="C304" s="17"/>
      <c r="S304" s="29" t="s">
        <v>89</v>
      </c>
      <c r="T304" s="29"/>
      <c r="U304" s="30"/>
      <c r="V304" s="192">
        <f>Q280/(AVERAGE(G297:J297)+(AVERAGE(G292:J292)-AVERAGE(G294:J294)))</f>
        <v>2.7612986732822781E-2</v>
      </c>
      <c r="X304" s="63" t="s">
        <v>90</v>
      </c>
      <c r="Y304" s="63"/>
      <c r="Z304" s="64"/>
      <c r="AA304" s="32">
        <f>AVERAGE(N302:P302)</f>
        <v>282000000</v>
      </c>
    </row>
    <row r="305" spans="1:40" ht="18.75" customHeight="1" x14ac:dyDescent="0.2">
      <c r="B305" s="113"/>
      <c r="C305" s="37"/>
      <c r="S305" s="29" t="s">
        <v>28</v>
      </c>
      <c r="T305" s="29"/>
      <c r="U305" s="30"/>
      <c r="V305" s="65">
        <f>Q277/AVERAGE(G292:J292)</f>
        <v>0.89054109871953735</v>
      </c>
      <c r="X305" s="123"/>
      <c r="AA305" s="123"/>
      <c r="AJ305" s="99"/>
    </row>
    <row r="306" spans="1:40" s="105" customFormat="1" ht="18.75" customHeight="1" thickBot="1" x14ac:dyDescent="0.35">
      <c r="A306" s="118"/>
      <c r="B306" s="119"/>
      <c r="C306" s="100"/>
      <c r="D306" s="169"/>
      <c r="E306" s="100"/>
      <c r="F306" s="101"/>
      <c r="G306" s="101"/>
      <c r="H306" s="101"/>
      <c r="I306" s="101"/>
      <c r="J306" s="101"/>
      <c r="K306" s="102"/>
      <c r="L306" s="103"/>
      <c r="M306" s="104"/>
      <c r="N306" s="104"/>
      <c r="O306" s="104"/>
      <c r="P306" s="102"/>
      <c r="Q306" s="102"/>
      <c r="R306" s="100"/>
      <c r="S306" s="156"/>
      <c r="X306" s="156"/>
      <c r="AA306" s="209"/>
      <c r="AC306" s="156"/>
    </row>
    <row r="307" spans="1:40" s="106" customFormat="1" ht="18.75" customHeight="1" thickBot="1" x14ac:dyDescent="0.25">
      <c r="D307" s="15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S307" s="157"/>
      <c r="X307" s="157"/>
      <c r="AA307" s="210"/>
      <c r="AC307" s="157"/>
    </row>
    <row r="308" spans="1:40" s="143" customFormat="1" ht="18.75" customHeight="1" thickBot="1" x14ac:dyDescent="0.3">
      <c r="A308" s="129">
        <v>10</v>
      </c>
      <c r="B308" s="130"/>
      <c r="C308" s="131"/>
      <c r="D308" s="132"/>
      <c r="E308" s="133"/>
      <c r="F308" s="134"/>
      <c r="G308" s="135"/>
      <c r="H308" s="135"/>
      <c r="I308" s="135"/>
      <c r="J308" s="135"/>
      <c r="K308" s="136"/>
      <c r="L308" s="137"/>
      <c r="M308" s="138"/>
      <c r="N308" s="138"/>
      <c r="O308" s="138"/>
      <c r="P308" s="138"/>
      <c r="Q308" s="138"/>
      <c r="R308" s="139"/>
      <c r="S308" s="140" t="s">
        <v>7</v>
      </c>
      <c r="T308" s="325" t="s">
        <v>99</v>
      </c>
      <c r="U308" s="326"/>
      <c r="V308" s="141" t="s">
        <v>35</v>
      </c>
      <c r="W308" s="138"/>
      <c r="X308" s="158"/>
      <c r="Y308" s="138"/>
      <c r="Z308" s="138"/>
      <c r="AA308" s="182"/>
      <c r="AB308" s="142"/>
      <c r="AC308" s="159"/>
      <c r="AD308" s="136"/>
      <c r="AE308" s="136"/>
      <c r="AF308" s="142"/>
      <c r="AG308" s="142"/>
      <c r="AH308" s="142"/>
      <c r="AI308" s="142"/>
      <c r="AJ308" s="142"/>
      <c r="AK308" s="142"/>
      <c r="AL308" s="142"/>
      <c r="AM308" s="136"/>
      <c r="AN308" s="136"/>
    </row>
    <row r="309" spans="1:40" ht="18.75" customHeight="1" x14ac:dyDescent="0.25">
      <c r="B309" s="109"/>
      <c r="C309" s="14"/>
      <c r="D309" s="15"/>
      <c r="E309" s="183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51"/>
      <c r="T309" s="16"/>
      <c r="U309" s="16"/>
      <c r="V309" s="16"/>
      <c r="W309" s="16"/>
      <c r="X309" s="151"/>
      <c r="Y309" s="16"/>
      <c r="Z309" s="16"/>
      <c r="AA309" s="184"/>
      <c r="AB309" s="16"/>
      <c r="AC309" s="151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 spans="1:40" ht="18.75" customHeight="1" x14ac:dyDescent="0.2">
      <c r="B310" s="110"/>
      <c r="C310" s="17"/>
      <c r="D310" s="120" t="s">
        <v>36</v>
      </c>
      <c r="E310" s="18"/>
      <c r="F310" s="185" t="s">
        <v>37</v>
      </c>
      <c r="G310" s="185" t="s">
        <v>38</v>
      </c>
      <c r="H310" s="185" t="s">
        <v>39</v>
      </c>
      <c r="I310" s="185" t="s">
        <v>40</v>
      </c>
      <c r="J310" s="185" t="s">
        <v>41</v>
      </c>
      <c r="K310" s="186"/>
      <c r="L310" s="185">
        <v>2013</v>
      </c>
      <c r="M310" s="185">
        <v>2014</v>
      </c>
      <c r="N310" s="185">
        <v>2015</v>
      </c>
      <c r="O310" s="185">
        <v>2016</v>
      </c>
      <c r="P310" s="185">
        <v>2017</v>
      </c>
      <c r="Q310" s="185" t="s">
        <v>42</v>
      </c>
      <c r="S310" s="153" t="s">
        <v>0</v>
      </c>
      <c r="T310" s="19"/>
      <c r="U310" s="19"/>
      <c r="V310" s="20"/>
      <c r="W310" s="21"/>
      <c r="X310" s="153" t="s">
        <v>5</v>
      </c>
      <c r="Y310" s="19"/>
      <c r="Z310" s="44"/>
      <c r="AA310" s="44" t="s">
        <v>43</v>
      </c>
      <c r="AB310" s="21"/>
      <c r="AC310" s="155" t="s">
        <v>44</v>
      </c>
      <c r="AD310" s="43"/>
      <c r="AE310" s="44"/>
      <c r="AF310" s="160">
        <f>M310</f>
        <v>2014</v>
      </c>
      <c r="AG310" s="160">
        <f>N310</f>
        <v>2015</v>
      </c>
      <c r="AH310" s="160">
        <f>O310</f>
        <v>2016</v>
      </c>
      <c r="AI310" s="160">
        <f>P310</f>
        <v>2017</v>
      </c>
      <c r="AJ310" s="22"/>
      <c r="AK310" s="23"/>
      <c r="AM310" s="24"/>
      <c r="AN310" s="175"/>
    </row>
    <row r="311" spans="1:40" ht="18.75" customHeight="1" thickBot="1" x14ac:dyDescent="0.25">
      <c r="A311" s="111"/>
      <c r="B311" s="112"/>
      <c r="C311" s="25"/>
      <c r="D311" s="60" t="s">
        <v>29</v>
      </c>
      <c r="E311" s="26"/>
      <c r="F311" s="62">
        <v>24499000</v>
      </c>
      <c r="G311" s="62">
        <v>16949000</v>
      </c>
      <c r="H311" s="62">
        <v>19998000</v>
      </c>
      <c r="I311" s="62">
        <v>22748000</v>
      </c>
      <c r="J311" s="62">
        <v>23853000</v>
      </c>
      <c r="K311" s="27"/>
      <c r="L311" s="62">
        <v>30486000</v>
      </c>
      <c r="M311" s="62">
        <v>35585000</v>
      </c>
      <c r="N311" s="62">
        <v>42639000</v>
      </c>
      <c r="O311" s="62">
        <v>100530000</v>
      </c>
      <c r="P311" s="62">
        <v>77928000</v>
      </c>
      <c r="Q311" s="62">
        <v>83548000</v>
      </c>
      <c r="S311" s="122" t="s">
        <v>8</v>
      </c>
      <c r="T311" s="149"/>
      <c r="U311" s="149"/>
      <c r="V311" s="187">
        <v>3.65</v>
      </c>
      <c r="W311" s="188"/>
      <c r="X311" s="50" t="s">
        <v>29</v>
      </c>
      <c r="Y311" s="50"/>
      <c r="Z311" s="78"/>
      <c r="AA311" s="189">
        <f>IF(AA310="Year over Year",AI311,IF(AA310="3-Year Average",AVERAGE(AH311:AI311),IF(AA310="5-Year Average",AVERAGE(AF311:AI311),"")))</f>
        <v>0.37458974496391628</v>
      </c>
      <c r="AB311" s="190"/>
      <c r="AC311" s="51" t="s">
        <v>45</v>
      </c>
      <c r="AD311" s="52"/>
      <c r="AE311" s="53"/>
      <c r="AF311" s="191">
        <f>IF(AND(M311&gt;0,L311&gt;0,L311&lt;&gt;""),M311/L311-1,IF(AND(L311&lt;0,M311&lt;0,L311&lt;&gt;""),(M311-L311)/ABS(L311),IF(AND(L311&gt;0,M311&lt;0,L311&lt;&gt;""),"L",IF(AND(L311&lt;0,M311&gt;0,L311&lt;&gt;""),"P",""))))</f>
        <v>0.16725710162041585</v>
      </c>
      <c r="AG311" s="191">
        <f>IF(AND(N311&gt;0,M311&gt;0,M311&lt;&gt;""),N311/M311-1,IF(AND(M311&lt;0,N311&lt;0,M311&lt;&gt;""),(N311-M311)/ABS(M311),IF(AND(M311&gt;0,N311&lt;0,M311&lt;&gt;""),"L",IF(AND(M311&lt;0,N311&gt;0,M311&lt;&gt;""),"P",""))))</f>
        <v>0.19822959111985394</v>
      </c>
      <c r="AH311" s="191">
        <f>IF(AND(O311&gt;0,N311&gt;0,N311&lt;&gt;""),O311/N311-1,IF(AND(N311&lt;0,O311&lt;0,N311&lt;&gt;""),(O311-N311)/ABS(N311),IF(AND(N311&gt;0,O311&lt;0,N311&lt;&gt;""),"L",IF(AND(N311&lt;0,O311&gt;0,N311&lt;&gt;""),"P",""))))</f>
        <v>1.3577006965454164</v>
      </c>
      <c r="AI311" s="191">
        <f>IF(AND(P311&gt;0,O311&gt;0,O311&lt;&gt;""),P311/O311-1,IF(AND(O311&lt;0,P311&lt;0,O311&lt;&gt;""),(P311-O311)/ABS(O311),IF(AND(O311&gt;0,P311&lt;0,O311&lt;&gt;""),"L",IF(AND(O311&lt;0,P311&gt;0,O311&lt;&gt;""),"P",""))))</f>
        <v>-0.22482840943002091</v>
      </c>
    </row>
    <row r="312" spans="1:40" ht="18.75" customHeight="1" thickBot="1" x14ac:dyDescent="0.25">
      <c r="A312" s="111"/>
      <c r="B312" s="112"/>
      <c r="C312" s="25"/>
      <c r="D312" s="60" t="s">
        <v>46</v>
      </c>
      <c r="E312" s="26"/>
      <c r="F312" s="62">
        <v>17784000</v>
      </c>
      <c r="G312" s="62">
        <v>12192000</v>
      </c>
      <c r="H312" s="62">
        <v>13812000</v>
      </c>
      <c r="I312" s="62">
        <v>16395000</v>
      </c>
      <c r="J312" s="62">
        <v>16233000</v>
      </c>
      <c r="K312" s="28"/>
      <c r="L312" s="62">
        <v>20078000</v>
      </c>
      <c r="M312" s="62">
        <v>22864000</v>
      </c>
      <c r="N312" s="62">
        <v>28320000</v>
      </c>
      <c r="O312" s="62">
        <v>69183000</v>
      </c>
      <c r="P312" s="62">
        <v>55956000</v>
      </c>
      <c r="Q312" s="62">
        <v>58632000</v>
      </c>
      <c r="S312" s="29" t="s">
        <v>9</v>
      </c>
      <c r="T312" s="30"/>
      <c r="U312" s="31"/>
      <c r="V312" s="32">
        <f>V311*Q319</f>
        <v>40137079</v>
      </c>
      <c r="W312" s="188"/>
      <c r="X312" s="63" t="s">
        <v>47</v>
      </c>
      <c r="Y312" s="63"/>
      <c r="Z312" s="64"/>
      <c r="AA312" s="192">
        <f>IF(AA310="Year over Year",AI312,IF(AA310="3-Year Average",AVERAGE(AH312:AI312),IF(AA310="5-Year Average",AVERAGE(AF312:AI312),"")))</f>
        <v>2.2201834862385321</v>
      </c>
      <c r="AB312" s="190"/>
      <c r="AC312" s="51" t="s">
        <v>30</v>
      </c>
      <c r="AD312" s="52"/>
      <c r="AE312" s="53"/>
      <c r="AF312" s="191" t="str">
        <f t="shared" ref="AF312:AI314" si="27">IF(AND(M314&gt;0,L314&gt;0,L314&lt;&gt;""),M314/L314-1,IF(AND(L314&lt;0,M314&lt;0,L314&lt;&gt;""),(M314-L314)/ABS(L314),IF(AND(L314&gt;0,M314&lt;0,L314&lt;&gt;""),"L",IF(AND(L314&lt;0,M314&gt;0,L314&lt;&gt;""),"P",""))))</f>
        <v>L</v>
      </c>
      <c r="AG312" s="191" t="str">
        <f t="shared" si="27"/>
        <v>P</v>
      </c>
      <c r="AH312" s="191">
        <f t="shared" si="27"/>
        <v>2.2201834862385321</v>
      </c>
      <c r="AI312" s="191" t="str">
        <f t="shared" si="27"/>
        <v>L</v>
      </c>
    </row>
    <row r="313" spans="1:40" ht="18.75" customHeight="1" thickBot="1" x14ac:dyDescent="0.25">
      <c r="B313" s="112"/>
      <c r="C313" s="25"/>
      <c r="D313" s="33" t="s">
        <v>48</v>
      </c>
      <c r="E313" s="34"/>
      <c r="F313" s="35">
        <v>6715000</v>
      </c>
      <c r="G313" s="35">
        <v>4757000</v>
      </c>
      <c r="H313" s="35">
        <v>6186000</v>
      </c>
      <c r="I313" s="35">
        <v>6353000</v>
      </c>
      <c r="J313" s="35">
        <v>7620000</v>
      </c>
      <c r="K313" s="27"/>
      <c r="L313" s="35">
        <v>10408000</v>
      </c>
      <c r="M313" s="35">
        <v>12721000</v>
      </c>
      <c r="N313" s="35">
        <v>14319000</v>
      </c>
      <c r="O313" s="35">
        <v>31347000</v>
      </c>
      <c r="P313" s="35">
        <v>21972000</v>
      </c>
      <c r="Q313" s="62">
        <v>24916000</v>
      </c>
      <c r="S313" s="29" t="s">
        <v>10</v>
      </c>
      <c r="T313" s="30"/>
      <c r="U313" s="36"/>
      <c r="V313" s="32">
        <f>V312+(J327+J329)-J323</f>
        <v>54437079</v>
      </c>
      <c r="W313" s="190"/>
      <c r="X313" s="63" t="s">
        <v>31</v>
      </c>
      <c r="Y313" s="63"/>
      <c r="Z313" s="81"/>
      <c r="AA313" s="192">
        <f>IF(AA310="Year over Year",AI313,IF(AA310="3-Year Average",AVERAGE(AH313:AI313),IF(AA310="5-Year Average",AVERAGE(AF313:AI313),"")))</f>
        <v>-6.0497237569060776</v>
      </c>
      <c r="AB313" s="190"/>
      <c r="AC313" s="51" t="s">
        <v>49</v>
      </c>
      <c r="AD313" s="52"/>
      <c r="AE313" s="53"/>
      <c r="AF313" s="191" t="str">
        <f t="shared" si="27"/>
        <v>L</v>
      </c>
      <c r="AG313" s="191" t="str">
        <f t="shared" si="27"/>
        <v>P</v>
      </c>
      <c r="AH313" s="191" t="str">
        <f t="shared" si="27"/>
        <v>L</v>
      </c>
      <c r="AI313" s="191">
        <f t="shared" si="27"/>
        <v>-6.0497237569060776</v>
      </c>
    </row>
    <row r="314" spans="1:40" ht="18.75" customHeight="1" thickBot="1" x14ac:dyDescent="0.25">
      <c r="B314" s="112"/>
      <c r="C314" s="25"/>
      <c r="D314" s="60" t="s">
        <v>50</v>
      </c>
      <c r="E314" s="61"/>
      <c r="F314" s="62">
        <v>443000</v>
      </c>
      <c r="G314" s="62">
        <v>-488000</v>
      </c>
      <c r="H314" s="62">
        <v>228000</v>
      </c>
      <c r="I314" s="62">
        <v>479000</v>
      </c>
      <c r="J314" s="62">
        <v>461000</v>
      </c>
      <c r="K314" s="40"/>
      <c r="L314" s="62">
        <v>449000</v>
      </c>
      <c r="M314" s="62">
        <v>-2419000</v>
      </c>
      <c r="N314" s="62">
        <v>327000</v>
      </c>
      <c r="O314" s="62">
        <v>1053000</v>
      </c>
      <c r="P314" s="62">
        <v>-2053000</v>
      </c>
      <c r="Q314" s="62">
        <v>680000</v>
      </c>
      <c r="S314" s="29" t="s">
        <v>11</v>
      </c>
      <c r="T314" s="30"/>
      <c r="U314" s="36"/>
      <c r="V314" s="32">
        <f>J326-J330</f>
        <v>30655000</v>
      </c>
      <c r="W314" s="188"/>
      <c r="X314" s="63" t="s">
        <v>32</v>
      </c>
      <c r="Y314" s="63"/>
      <c r="Z314" s="64"/>
      <c r="AA314" s="192">
        <f>IF(AA310="Year over Year",AI314,IF(AA310="3-Year Average",AVERAGE(AH314:AI314),IF(AA310="5-Year Average",AVERAGE(AF314:AI314),"")))</f>
        <v>-3.0392156862745097</v>
      </c>
      <c r="AB314" s="190"/>
      <c r="AC314" s="51" t="s">
        <v>51</v>
      </c>
      <c r="AD314" s="52"/>
      <c r="AE314" s="53"/>
      <c r="AF314" s="191">
        <f t="shared" si="27"/>
        <v>0.58823529411764719</v>
      </c>
      <c r="AG314" s="191" t="str">
        <f t="shared" si="27"/>
        <v>P</v>
      </c>
      <c r="AH314" s="191" t="str">
        <f t="shared" si="27"/>
        <v>L</v>
      </c>
      <c r="AI314" s="191">
        <f t="shared" si="27"/>
        <v>-6.666666666666667</v>
      </c>
    </row>
    <row r="315" spans="1:40" ht="18.75" customHeight="1" thickBot="1" x14ac:dyDescent="0.25">
      <c r="B315" s="112"/>
      <c r="C315" s="25"/>
      <c r="D315" s="60" t="s">
        <v>52</v>
      </c>
      <c r="E315" s="61"/>
      <c r="F315" s="62">
        <v>219000</v>
      </c>
      <c r="G315" s="62">
        <v>-488000</v>
      </c>
      <c r="H315" s="62">
        <v>239000</v>
      </c>
      <c r="I315" s="62">
        <v>397000</v>
      </c>
      <c r="J315" s="62">
        <v>302000</v>
      </c>
      <c r="K315" s="27"/>
      <c r="L315" s="62">
        <v>306000</v>
      </c>
      <c r="M315" s="62">
        <v>-1758000</v>
      </c>
      <c r="N315" s="62">
        <v>249000</v>
      </c>
      <c r="O315" s="62">
        <v>-362000</v>
      </c>
      <c r="P315" s="62">
        <v>-2552000</v>
      </c>
      <c r="Q315" s="62">
        <v>450000</v>
      </c>
      <c r="S315" s="29" t="s">
        <v>53</v>
      </c>
      <c r="T315" s="30"/>
      <c r="U315" s="31"/>
      <c r="V315" s="39" t="str">
        <f>IF(V312&gt;10000,"Large Cap",IF(AND(10000&gt;V312,2000&lt;V312),"Mid Cap",IF(AND(2000&gt;V312,V312&gt;50),"Small Cap",IF(V312&lt;50,"Micro Cap",NA))))</f>
        <v>Large Cap</v>
      </c>
      <c r="W315" s="188"/>
      <c r="AB315" s="41"/>
    </row>
    <row r="316" spans="1:40" ht="18.75" customHeight="1" thickBot="1" x14ac:dyDescent="0.25">
      <c r="B316" s="112"/>
      <c r="C316" s="25"/>
      <c r="D316" s="60" t="s">
        <v>54</v>
      </c>
      <c r="E316" s="61"/>
      <c r="F316" s="54">
        <v>0.02</v>
      </c>
      <c r="G316" s="54">
        <v>-0.04</v>
      </c>
      <c r="H316" s="54">
        <v>0.02</v>
      </c>
      <c r="I316" s="54">
        <v>0.04</v>
      </c>
      <c r="J316" s="54">
        <v>0.03</v>
      </c>
      <c r="K316" s="55"/>
      <c r="L316" s="56">
        <v>-0.51</v>
      </c>
      <c r="M316" s="56">
        <v>-0.21</v>
      </c>
      <c r="N316" s="56">
        <v>0.03</v>
      </c>
      <c r="O316" s="56">
        <v>-0.03</v>
      </c>
      <c r="P316" s="56">
        <v>-0.23</v>
      </c>
      <c r="Q316" s="54">
        <v>0.05</v>
      </c>
      <c r="S316" s="122" t="s">
        <v>55</v>
      </c>
      <c r="T316" s="124"/>
      <c r="U316" s="124"/>
      <c r="V316" s="125"/>
      <c r="W316" s="190"/>
      <c r="X316" s="155" t="s">
        <v>2</v>
      </c>
      <c r="Y316" s="43"/>
      <c r="Z316" s="97"/>
      <c r="AA316" s="193"/>
      <c r="AC316" s="154" t="s">
        <v>56</v>
      </c>
      <c r="AD316" s="72"/>
      <c r="AE316" s="161">
        <f>L310</f>
        <v>2013</v>
      </c>
      <c r="AF316" s="161">
        <f>M310</f>
        <v>2014</v>
      </c>
      <c r="AG316" s="161">
        <f>N310</f>
        <v>2015</v>
      </c>
      <c r="AH316" s="161">
        <f>O310</f>
        <v>2016</v>
      </c>
      <c r="AI316" s="161">
        <f>P310</f>
        <v>2017</v>
      </c>
    </row>
    <row r="317" spans="1:40" ht="18.75" hidden="1" customHeight="1" x14ac:dyDescent="0.2">
      <c r="B317" s="112"/>
      <c r="C317" s="25"/>
      <c r="D317" s="60"/>
      <c r="E317" s="61"/>
      <c r="F317" s="54">
        <v>10947329</v>
      </c>
      <c r="G317" s="54">
        <v>10969797</v>
      </c>
      <c r="H317" s="54">
        <v>10989780</v>
      </c>
      <c r="I317" s="54">
        <v>11005189</v>
      </c>
      <c r="J317" s="54">
        <v>11020905</v>
      </c>
      <c r="K317" s="55"/>
      <c r="L317" s="56">
        <v>3856351</v>
      </c>
      <c r="M317" s="56">
        <v>8399205</v>
      </c>
      <c r="N317" s="56">
        <v>8603732</v>
      </c>
      <c r="O317" s="56">
        <v>10848255</v>
      </c>
      <c r="P317" s="56">
        <v>10938057</v>
      </c>
      <c r="Q317" s="54">
        <v>10996460</v>
      </c>
      <c r="S317" s="51"/>
      <c r="V317" s="170"/>
      <c r="W317" s="190"/>
      <c r="X317" s="171"/>
      <c r="Y317" s="172"/>
      <c r="Z317" s="173"/>
      <c r="AA317" s="194"/>
      <c r="AC317" s="174"/>
      <c r="AD317" s="175"/>
      <c r="AE317" s="176"/>
      <c r="AF317" s="176"/>
      <c r="AG317" s="176"/>
      <c r="AH317" s="176"/>
      <c r="AI317" s="176"/>
    </row>
    <row r="318" spans="1:40" ht="18.75" hidden="1" customHeight="1" x14ac:dyDescent="0.2">
      <c r="B318" s="112"/>
      <c r="C318" s="25"/>
      <c r="D318" s="60"/>
      <c r="E318" s="61"/>
      <c r="F318" s="54">
        <v>0.02</v>
      </c>
      <c r="G318" s="54">
        <v>-0.04</v>
      </c>
      <c r="H318" s="54">
        <v>0.02</v>
      </c>
      <c r="I318" s="54">
        <v>0.04</v>
      </c>
      <c r="J318" s="54">
        <v>0.03</v>
      </c>
      <c r="K318" s="55"/>
      <c r="L318" s="56">
        <v>-0.51</v>
      </c>
      <c r="M318" s="56">
        <v>-0.21</v>
      </c>
      <c r="N318" s="56">
        <v>0.03</v>
      </c>
      <c r="O318" s="56">
        <v>-0.03</v>
      </c>
      <c r="P318" s="56">
        <v>-0.23</v>
      </c>
      <c r="Q318" s="54">
        <v>0.05</v>
      </c>
      <c r="S318" s="51"/>
      <c r="V318" s="170"/>
      <c r="W318" s="190"/>
      <c r="X318" s="171"/>
      <c r="Y318" s="172"/>
      <c r="Z318" s="173"/>
      <c r="AA318" s="194"/>
      <c r="AC318" s="174"/>
      <c r="AD318" s="175"/>
      <c r="AE318" s="176"/>
      <c r="AF318" s="176"/>
      <c r="AG318" s="176"/>
      <c r="AH318" s="176"/>
      <c r="AI318" s="176"/>
    </row>
    <row r="319" spans="1:40" ht="18.75" customHeight="1" thickBot="1" x14ac:dyDescent="0.25">
      <c r="B319" s="112"/>
      <c r="C319" s="25"/>
      <c r="D319" s="33" t="s">
        <v>57</v>
      </c>
      <c r="E319" s="61"/>
      <c r="F319" s="62">
        <v>10947329</v>
      </c>
      <c r="G319" s="62">
        <v>10969797</v>
      </c>
      <c r="H319" s="62">
        <v>10989780</v>
      </c>
      <c r="I319" s="62">
        <v>11005189</v>
      </c>
      <c r="J319" s="62">
        <v>11020905</v>
      </c>
      <c r="K319" s="28"/>
      <c r="L319" s="62">
        <v>3856351</v>
      </c>
      <c r="M319" s="62">
        <v>8399205</v>
      </c>
      <c r="N319" s="62">
        <v>8603732</v>
      </c>
      <c r="O319" s="62">
        <v>10848255</v>
      </c>
      <c r="P319" s="62">
        <v>10938057</v>
      </c>
      <c r="Q319" s="62">
        <v>10996460</v>
      </c>
      <c r="S319" s="123"/>
      <c r="X319" s="47" t="s">
        <v>20</v>
      </c>
      <c r="Y319" s="47"/>
      <c r="Z319" s="48"/>
      <c r="AA319" s="49">
        <f>AVERAGE(G325:J325)/AVERAGE(G328:J328)</f>
        <v>1.6510461679630399</v>
      </c>
      <c r="AC319" s="74" t="s">
        <v>29</v>
      </c>
      <c r="AD319" s="75"/>
      <c r="AE319" s="76">
        <f>IF(L311="","",L311)</f>
        <v>30486000</v>
      </c>
      <c r="AF319" s="76">
        <f>IF(M311="","",M311)</f>
        <v>35585000</v>
      </c>
      <c r="AG319" s="76">
        <f>IF(N311="","",N311)</f>
        <v>42639000</v>
      </c>
      <c r="AH319" s="76">
        <f>IF(O311="","",O311)</f>
        <v>100530000</v>
      </c>
      <c r="AI319" s="76">
        <f>IF(P311="","",P311)</f>
        <v>77928000</v>
      </c>
    </row>
    <row r="320" spans="1:40" ht="18.75" customHeight="1" thickBot="1" x14ac:dyDescent="0.25">
      <c r="B320" s="112"/>
      <c r="C320" s="25"/>
      <c r="D320" s="33" t="s">
        <v>58</v>
      </c>
      <c r="E320" s="45"/>
      <c r="F320" s="35">
        <v>711000</v>
      </c>
      <c r="G320" s="35">
        <v>-68000</v>
      </c>
      <c r="H320" s="35">
        <v>737000</v>
      </c>
      <c r="I320" s="35">
        <v>940000</v>
      </c>
      <c r="J320" s="35">
        <v>901000</v>
      </c>
      <c r="K320" s="40"/>
      <c r="L320" s="62">
        <v>865000</v>
      </c>
      <c r="M320" s="62">
        <v>-1053000</v>
      </c>
      <c r="N320" s="62">
        <v>1215000</v>
      </c>
      <c r="O320" s="62">
        <v>1420000</v>
      </c>
      <c r="P320" s="62">
        <v>-679000</v>
      </c>
      <c r="Q320" s="62">
        <v>2510000</v>
      </c>
      <c r="S320" s="153" t="s">
        <v>59</v>
      </c>
      <c r="T320" s="19"/>
      <c r="U320" s="19"/>
      <c r="V320" s="19"/>
      <c r="X320" s="63" t="s">
        <v>21</v>
      </c>
      <c r="Y320" s="63"/>
      <c r="Z320" s="98"/>
      <c r="AA320" s="65">
        <f>AVERAGE(G326:J326)/AVERAGE(G331:J331)</f>
        <v>1.903728807900031</v>
      </c>
      <c r="AC320" s="74" t="s">
        <v>60</v>
      </c>
      <c r="AD320" s="75"/>
      <c r="AE320" s="195">
        <f>IF(OR(L311="",L313=""),"",L313/L311)</f>
        <v>0.34140261103457326</v>
      </c>
      <c r="AF320" s="195">
        <f>IF(OR(M311="",M313=""),"",M313/M311)</f>
        <v>0.35748208514823659</v>
      </c>
      <c r="AG320" s="195">
        <f>IF(OR(N311="",N313=""),"",N313/N311)</f>
        <v>0.3358193203405333</v>
      </c>
      <c r="AH320" s="195">
        <f>IF(OR(O311="",O313=""),"",O313/O311)</f>
        <v>0.3118173679498657</v>
      </c>
      <c r="AI320" s="195">
        <f>IF(OR(P311="",P313=""),"",P313/P311)</f>
        <v>0.28195257160455806</v>
      </c>
    </row>
    <row r="321" spans="2:37" ht="18.75" customHeight="1" x14ac:dyDescent="0.2">
      <c r="B321" s="113"/>
      <c r="C321" s="37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S321" s="47" t="s">
        <v>13</v>
      </c>
      <c r="T321" s="47"/>
      <c r="U321" s="48"/>
      <c r="V321" s="49">
        <f>IF(Q316&gt;0,V311/Q316,"")</f>
        <v>73</v>
      </c>
      <c r="X321" s="63" t="s">
        <v>22</v>
      </c>
      <c r="Y321" s="63"/>
      <c r="Z321" s="98"/>
      <c r="AA321" s="65" t="e">
        <f>AVERAGE(G329:J329)/AVERAGE(G331:J331)</f>
        <v>#DIV/0!</v>
      </c>
      <c r="AC321" s="74" t="s">
        <v>47</v>
      </c>
      <c r="AD321" s="75"/>
      <c r="AE321" s="76">
        <f>IF(L314="","",L314)</f>
        <v>449000</v>
      </c>
      <c r="AF321" s="76">
        <f>IF(M314="","",M314)</f>
        <v>-2419000</v>
      </c>
      <c r="AG321" s="76">
        <f>IF(N314="","",N314)</f>
        <v>327000</v>
      </c>
      <c r="AH321" s="76">
        <f>IF(O314="","",O314)</f>
        <v>1053000</v>
      </c>
      <c r="AI321" s="76">
        <f>IF(P314="","",P314)</f>
        <v>-2053000</v>
      </c>
    </row>
    <row r="322" spans="2:37" ht="18.75" customHeight="1" x14ac:dyDescent="0.25">
      <c r="B322" s="114"/>
      <c r="C322" s="73"/>
      <c r="D322" s="120" t="s">
        <v>61</v>
      </c>
      <c r="E322" s="18"/>
      <c r="F322" s="196" t="str">
        <f>F310</f>
        <v>2016-10</v>
      </c>
      <c r="G322" s="196" t="str">
        <f>G310</f>
        <v>2017-01</v>
      </c>
      <c r="H322" s="196" t="str">
        <f>H310</f>
        <v>2017-04</v>
      </c>
      <c r="I322" s="196" t="str">
        <f>I310</f>
        <v>2017-07</v>
      </c>
      <c r="J322" s="196" t="str">
        <f>J310</f>
        <v>2017-10</v>
      </c>
      <c r="K322" s="197"/>
      <c r="L322" s="198">
        <f>L310</f>
        <v>2013</v>
      </c>
      <c r="M322" s="198">
        <f>M310</f>
        <v>2014</v>
      </c>
      <c r="N322" s="198">
        <f>N310</f>
        <v>2015</v>
      </c>
      <c r="O322" s="198">
        <f>O310</f>
        <v>2016</v>
      </c>
      <c r="P322" s="198">
        <f>P310</f>
        <v>2017</v>
      </c>
      <c r="Q322" s="185"/>
      <c r="S322" s="57" t="s">
        <v>15</v>
      </c>
      <c r="T322" s="57"/>
      <c r="U322" s="58"/>
      <c r="V322" s="59">
        <f>V311/((J326-J330)/J319)</f>
        <v>1.3122264964932311</v>
      </c>
      <c r="W322" s="199"/>
      <c r="X322" s="123"/>
      <c r="AA322" s="123"/>
      <c r="AC322" s="74" t="s">
        <v>62</v>
      </c>
      <c r="AD322" s="75"/>
      <c r="AE322" s="195">
        <f>IF(OR(L311="",L314=""),"",L314/L311)</f>
        <v>1.472807190185659E-2</v>
      </c>
      <c r="AF322" s="195">
        <f>IF(OR(M311="",M314=""),"",M314/M311)</f>
        <v>-6.7978080651960093E-2</v>
      </c>
      <c r="AG322" s="195">
        <f>IF(OR(N311="",N314=""),"",N314/N311)</f>
        <v>7.6690353901357911E-3</v>
      </c>
      <c r="AH322" s="195">
        <f>IF(OR(O311="",O314=""),"",O314/O311)</f>
        <v>1.0474485228290063E-2</v>
      </c>
      <c r="AI322" s="195">
        <f>IF(OR(P311="",P314=""),"",P314/P311)</f>
        <v>-2.6344831126167745E-2</v>
      </c>
      <c r="AJ322" s="77"/>
      <c r="AK322" s="23"/>
    </row>
    <row r="323" spans="2:37" ht="18.75" customHeight="1" thickBot="1" x14ac:dyDescent="0.25">
      <c r="B323" s="110"/>
      <c r="C323" s="17"/>
      <c r="D323" s="60" t="s">
        <v>63</v>
      </c>
      <c r="E323" s="61"/>
      <c r="F323" s="62">
        <v>4099000</v>
      </c>
      <c r="G323" s="62">
        <v>3460000</v>
      </c>
      <c r="H323" s="62">
        <v>648000</v>
      </c>
      <c r="I323" s="62">
        <v>260000</v>
      </c>
      <c r="J323" s="62">
        <v>18000</v>
      </c>
      <c r="K323" s="27"/>
      <c r="L323" s="62">
        <v>10280000</v>
      </c>
      <c r="M323" s="62">
        <v>5400000</v>
      </c>
      <c r="N323" s="62">
        <v>19455000</v>
      </c>
      <c r="O323" s="62">
        <v>5594000</v>
      </c>
      <c r="P323" s="62">
        <v>3460000</v>
      </c>
      <c r="Q323" s="62"/>
      <c r="S323" s="57" t="s">
        <v>14</v>
      </c>
      <c r="T323" s="57"/>
      <c r="U323" s="58"/>
      <c r="V323" s="59">
        <f>V311/(Q311/Q319)</f>
        <v>0.48040741848996982</v>
      </c>
      <c r="W323" s="200"/>
      <c r="X323" s="155" t="s">
        <v>36</v>
      </c>
      <c r="Y323" s="43"/>
      <c r="Z323" s="43"/>
      <c r="AA323" s="201"/>
      <c r="AC323" s="74" t="s">
        <v>31</v>
      </c>
      <c r="AD323" s="75"/>
      <c r="AE323" s="76">
        <f t="shared" ref="AE323:AI324" si="28">IF(L315="","",L315)</f>
        <v>306000</v>
      </c>
      <c r="AF323" s="76">
        <f t="shared" si="28"/>
        <v>-1758000</v>
      </c>
      <c r="AG323" s="76">
        <f t="shared" si="28"/>
        <v>249000</v>
      </c>
      <c r="AH323" s="76">
        <f t="shared" si="28"/>
        <v>-362000</v>
      </c>
      <c r="AI323" s="76">
        <f t="shared" si="28"/>
        <v>-2552000</v>
      </c>
      <c r="AK323" s="202"/>
    </row>
    <row r="324" spans="2:37" ht="18.75" customHeight="1" thickBot="1" x14ac:dyDescent="0.25">
      <c r="B324" s="112"/>
      <c r="C324" s="25"/>
      <c r="D324" s="94" t="s">
        <v>64</v>
      </c>
      <c r="E324" s="61"/>
      <c r="F324" s="38">
        <v>4099000</v>
      </c>
      <c r="G324" s="38">
        <v>3460000</v>
      </c>
      <c r="H324" s="38">
        <v>648000</v>
      </c>
      <c r="I324" s="38">
        <v>260000</v>
      </c>
      <c r="J324" s="38">
        <v>18000</v>
      </c>
      <c r="K324" s="80"/>
      <c r="L324" s="38">
        <v>10280000</v>
      </c>
      <c r="M324" s="38">
        <v>5400000</v>
      </c>
      <c r="N324" s="38">
        <v>19455000</v>
      </c>
      <c r="O324" s="38">
        <v>5594000</v>
      </c>
      <c r="P324" s="38">
        <v>3460000</v>
      </c>
      <c r="Q324" s="38"/>
      <c r="S324" s="63" t="s">
        <v>17</v>
      </c>
      <c r="T324" s="63"/>
      <c r="U324" s="64"/>
      <c r="V324" s="65" t="str">
        <f>IF(AVERAGE(N334:P334)&gt;0,V311/(AVERAGE(N334:P334)/Q319),"")</f>
        <v/>
      </c>
      <c r="W324" s="200"/>
      <c r="X324" s="145" t="s">
        <v>29</v>
      </c>
      <c r="Y324" s="145"/>
      <c r="Z324" s="147"/>
      <c r="AA324" s="148">
        <f>Q311</f>
        <v>83548000</v>
      </c>
      <c r="AC324" s="74" t="s">
        <v>32</v>
      </c>
      <c r="AD324" s="75"/>
      <c r="AE324" s="203">
        <f t="shared" si="28"/>
        <v>-0.51</v>
      </c>
      <c r="AF324" s="203">
        <f t="shared" si="28"/>
        <v>-0.21</v>
      </c>
      <c r="AG324" s="203">
        <f t="shared" si="28"/>
        <v>0.03</v>
      </c>
      <c r="AH324" s="203">
        <f t="shared" si="28"/>
        <v>-0.03</v>
      </c>
      <c r="AI324" s="203">
        <f t="shared" si="28"/>
        <v>-0.23</v>
      </c>
      <c r="AK324" s="202"/>
    </row>
    <row r="325" spans="2:37" ht="18.75" customHeight="1" thickBot="1" x14ac:dyDescent="0.3">
      <c r="B325" s="114"/>
      <c r="C325" s="73"/>
      <c r="D325" s="94" t="s">
        <v>65</v>
      </c>
      <c r="E325" s="61"/>
      <c r="F325" s="38">
        <v>35948000</v>
      </c>
      <c r="G325" s="38">
        <v>27239000</v>
      </c>
      <c r="H325" s="38">
        <v>34459000</v>
      </c>
      <c r="I325" s="38">
        <v>42593000</v>
      </c>
      <c r="J325" s="38">
        <v>50450000</v>
      </c>
      <c r="K325" s="80"/>
      <c r="L325" s="38">
        <v>19514000</v>
      </c>
      <c r="M325" s="38">
        <v>19263000</v>
      </c>
      <c r="N325" s="38">
        <v>34286000</v>
      </c>
      <c r="O325" s="38">
        <v>35529000</v>
      </c>
      <c r="P325" s="38">
        <v>27239000</v>
      </c>
      <c r="Q325" s="38"/>
      <c r="S325" s="29" t="s">
        <v>16</v>
      </c>
      <c r="T325" s="29"/>
      <c r="U325" s="30"/>
      <c r="V325" s="65" t="str">
        <f>IF(AVERAGE(N336:P336)&gt;0,V312/AVERAGE(N336:P336),"")</f>
        <v/>
      </c>
      <c r="X325" s="68" t="s">
        <v>66</v>
      </c>
      <c r="Y325" s="68"/>
      <c r="Z325" s="69"/>
      <c r="AA325" s="70">
        <f>Q313</f>
        <v>24916000</v>
      </c>
      <c r="AC325" s="74" t="s">
        <v>67</v>
      </c>
      <c r="AD325" s="75"/>
      <c r="AE325" s="76">
        <f>IF(L319="","",L319)</f>
        <v>3856351</v>
      </c>
      <c r="AF325" s="76">
        <f>IF(M319="","",M319)</f>
        <v>8399205</v>
      </c>
      <c r="AG325" s="76">
        <f>IF(N319="","",N319)</f>
        <v>8603732</v>
      </c>
      <c r="AH325" s="76">
        <f>IF(O319="","",O319)</f>
        <v>10848255</v>
      </c>
      <c r="AI325" s="76">
        <f>IF(P319="","",P319)</f>
        <v>10938057</v>
      </c>
      <c r="AK325" s="202"/>
    </row>
    <row r="326" spans="2:37" ht="18.75" customHeight="1" thickBot="1" x14ac:dyDescent="0.25">
      <c r="B326" s="113"/>
      <c r="C326" s="37"/>
      <c r="D326" s="94" t="s">
        <v>68</v>
      </c>
      <c r="E326" s="61"/>
      <c r="F326" s="38">
        <v>54325000</v>
      </c>
      <c r="G326" s="38">
        <v>45685000</v>
      </c>
      <c r="H326" s="38">
        <v>52964000</v>
      </c>
      <c r="I326" s="38">
        <v>60967000</v>
      </c>
      <c r="J326" s="38">
        <v>68445000</v>
      </c>
      <c r="K326" s="85"/>
      <c r="L326" s="38">
        <v>20211000</v>
      </c>
      <c r="M326" s="38">
        <v>20146000</v>
      </c>
      <c r="N326" s="38">
        <v>35316000</v>
      </c>
      <c r="O326" s="38">
        <v>53189000</v>
      </c>
      <c r="P326" s="38">
        <v>45685000</v>
      </c>
      <c r="Q326" s="38"/>
      <c r="S326" s="57" t="s">
        <v>18</v>
      </c>
      <c r="T326" s="57"/>
      <c r="U326" s="58"/>
      <c r="V326" s="59">
        <f>(V312+(J327+J329)-J323)/J320</f>
        <v>60.418511653718092</v>
      </c>
      <c r="X326" s="68" t="s">
        <v>31</v>
      </c>
      <c r="Y326" s="68"/>
      <c r="Z326" s="69"/>
      <c r="AA326" s="70">
        <f>Q315</f>
        <v>450000</v>
      </c>
      <c r="AC326" s="74" t="s">
        <v>69</v>
      </c>
      <c r="AD326" s="75"/>
      <c r="AE326" s="204">
        <f>IF(OR(L331="",L319="",L326="",L330=""),"",(L326-L330)/L319)</f>
        <v>4.0250485497819053</v>
      </c>
      <c r="AF326" s="204">
        <f>IF(OR(M331="",M319="",M326="",M330=""),"",(M326-M330)/M319)</f>
        <v>1.8012419032515576</v>
      </c>
      <c r="AG326" s="204">
        <f>IF(OR(N331="",N319="",N326="",N330=""),"",(N326-N330)/N319)</f>
        <v>3.346338542390674</v>
      </c>
      <c r="AH326" s="204">
        <f>IF(OR(O331="",O319="",O326="",O330=""),"",(O326-O330)/O319)</f>
        <v>2.8749324200067199</v>
      </c>
      <c r="AI326" s="204">
        <f>IF(OR(P331="",P319="",P326="",P330=""),"",(P326-P330)/P319)</f>
        <v>2.6770750966099373</v>
      </c>
      <c r="AK326" s="202"/>
    </row>
    <row r="327" spans="2:37" ht="18.75" customHeight="1" thickBot="1" x14ac:dyDescent="0.25">
      <c r="B327" s="112"/>
      <c r="C327" s="25"/>
      <c r="D327" s="60" t="s">
        <v>70</v>
      </c>
      <c r="E327" s="26"/>
      <c r="F327" s="62">
        <v>5096000</v>
      </c>
      <c r="G327" s="62"/>
      <c r="H327" s="62">
        <v>3060000</v>
      </c>
      <c r="I327" s="62">
        <v>8371000</v>
      </c>
      <c r="J327" s="62">
        <v>14318000</v>
      </c>
      <c r="K327" s="27"/>
      <c r="L327" s="62"/>
      <c r="M327" s="62"/>
      <c r="N327" s="62"/>
      <c r="O327" s="62"/>
      <c r="P327" s="62"/>
      <c r="Q327" s="62"/>
      <c r="S327" s="63" t="s">
        <v>19</v>
      </c>
      <c r="T327" s="63"/>
      <c r="U327" s="64"/>
      <c r="V327" s="65">
        <f>(V312+(J327+J329)-J323)/J311</f>
        <v>2.2821900389888063</v>
      </c>
      <c r="X327" s="29" t="s">
        <v>32</v>
      </c>
      <c r="Y327" s="29"/>
      <c r="Z327" s="30"/>
      <c r="AA327" s="205">
        <f>Q316</f>
        <v>0.05</v>
      </c>
      <c r="AK327" s="202"/>
    </row>
    <row r="328" spans="2:37" ht="18.75" customHeight="1" thickBot="1" x14ac:dyDescent="0.25">
      <c r="B328" s="115"/>
      <c r="C328" s="91"/>
      <c r="D328" s="94" t="s">
        <v>71</v>
      </c>
      <c r="E328" s="61"/>
      <c r="F328" s="38">
        <v>20778000</v>
      </c>
      <c r="G328" s="38">
        <v>12753000</v>
      </c>
      <c r="H328" s="38">
        <v>19755000</v>
      </c>
      <c r="I328" s="38">
        <v>27086000</v>
      </c>
      <c r="J328" s="38">
        <v>34129000</v>
      </c>
      <c r="K328" s="80"/>
      <c r="L328" s="38">
        <v>4689000</v>
      </c>
      <c r="M328" s="38">
        <v>4381000</v>
      </c>
      <c r="N328" s="38">
        <v>5008000</v>
      </c>
      <c r="O328" s="38">
        <v>17433000</v>
      </c>
      <c r="P328" s="38">
        <v>12753000</v>
      </c>
      <c r="Q328" s="38"/>
      <c r="AC328" s="89" t="s">
        <v>3</v>
      </c>
      <c r="AD328" s="90"/>
      <c r="AE328" s="161">
        <f>L310</f>
        <v>2013</v>
      </c>
      <c r="AF328" s="161">
        <f>M310</f>
        <v>2014</v>
      </c>
      <c r="AG328" s="161">
        <f>N310</f>
        <v>2015</v>
      </c>
      <c r="AH328" s="161">
        <f>O310</f>
        <v>2016</v>
      </c>
      <c r="AI328" s="161">
        <f>P310</f>
        <v>2017</v>
      </c>
    </row>
    <row r="329" spans="2:37" ht="18.75" customHeight="1" thickBot="1" x14ac:dyDescent="0.25">
      <c r="B329" s="113"/>
      <c r="C329" s="37"/>
      <c r="D329" s="60" t="s">
        <v>72</v>
      </c>
      <c r="E329" s="26"/>
      <c r="F329" s="62"/>
      <c r="G329" s="62"/>
      <c r="H329" s="62"/>
      <c r="I329" s="62"/>
      <c r="J329" s="62"/>
      <c r="K329" s="71"/>
      <c r="L329" s="62"/>
      <c r="M329" s="62"/>
      <c r="N329" s="62"/>
      <c r="O329" s="62"/>
      <c r="P329" s="62"/>
      <c r="Q329" s="62"/>
      <c r="S329" s="154" t="s">
        <v>3</v>
      </c>
      <c r="T329" s="72"/>
      <c r="U329" s="72"/>
      <c r="V329" s="42"/>
      <c r="X329" s="155" t="s">
        <v>61</v>
      </c>
      <c r="Y329" s="43"/>
      <c r="Z329" s="43"/>
      <c r="AA329" s="206"/>
      <c r="AC329" s="74" t="s">
        <v>73</v>
      </c>
      <c r="AD329" s="75"/>
      <c r="AE329" s="207">
        <f>IF(OR(L311="",L315="",L311=0,L315=0),"",L315/L311)</f>
        <v>1.0037394213737453E-2</v>
      </c>
      <c r="AF329" s="207">
        <f>IF(OR(M311="",M315="",M311=0,M315=0),"",M315/M311)</f>
        <v>-4.9402838274553884E-2</v>
      </c>
      <c r="AG329" s="207">
        <f>IF(OR(N311="",N315="",N311=0,N315=0),"",N315/N311)</f>
        <v>5.8397241961584464E-3</v>
      </c>
      <c r="AH329" s="207">
        <f>IF(OR(O311="",O315="",O311=0,O315=0),"",O315/O311)</f>
        <v>-3.6009151497065554E-3</v>
      </c>
      <c r="AI329" s="207">
        <f>IF(OR(P311="",P315="",P311=0,P315=0),"",P315/P311)</f>
        <v>-3.2748177805153475E-2</v>
      </c>
    </row>
    <row r="330" spans="2:37" ht="18.75" customHeight="1" thickBot="1" x14ac:dyDescent="0.25">
      <c r="B330" s="116"/>
      <c r="C330" s="93"/>
      <c r="D330" s="94" t="s">
        <v>74</v>
      </c>
      <c r="E330" s="61"/>
      <c r="F330" s="38">
        <v>24676000</v>
      </c>
      <c r="G330" s="38">
        <v>16403000</v>
      </c>
      <c r="H330" s="38">
        <v>23303000</v>
      </c>
      <c r="I330" s="38">
        <v>30768000</v>
      </c>
      <c r="J330" s="38">
        <v>37790000</v>
      </c>
      <c r="K330" s="80"/>
      <c r="L330" s="46">
        <v>4689000</v>
      </c>
      <c r="M330" s="46">
        <v>5017000</v>
      </c>
      <c r="N330" s="46">
        <v>6525000</v>
      </c>
      <c r="O330" s="46">
        <v>22001000</v>
      </c>
      <c r="P330" s="46">
        <v>16403000</v>
      </c>
      <c r="Q330" s="38"/>
      <c r="S330" s="50" t="s">
        <v>12</v>
      </c>
      <c r="T330" s="50"/>
      <c r="U330" s="78"/>
      <c r="V330" s="79">
        <f>Q311</f>
        <v>83548000</v>
      </c>
      <c r="X330" s="122" t="s">
        <v>75</v>
      </c>
      <c r="Y330" s="122"/>
      <c r="Z330" s="144"/>
      <c r="AA330" s="148">
        <f>J324</f>
        <v>18000</v>
      </c>
      <c r="AC330" s="74" t="s">
        <v>76</v>
      </c>
      <c r="AD330" s="75"/>
      <c r="AE330" s="207" t="str">
        <f>IF(OR(L315="",L329="",L315=0,L329=0),"",L315/L329)</f>
        <v/>
      </c>
      <c r="AF330" s="207" t="str">
        <f>IF(OR(M315="",M329="",M315=0,M329=0),"",M315/M329)</f>
        <v/>
      </c>
      <c r="AG330" s="207" t="str">
        <f>IF(OR(N315="",N329="",N315=0,N329=0),"",N315/N329)</f>
        <v/>
      </c>
      <c r="AH330" s="207" t="str">
        <f>IF(OR(O315="",O329="",O315=0,O329=0),"",O315/O329)</f>
        <v/>
      </c>
      <c r="AI330" s="207" t="str">
        <f>IF(OR(P315="",P329="",P315=0,P329=0),"",P315/P329)</f>
        <v/>
      </c>
    </row>
    <row r="331" spans="2:37" ht="18.75" customHeight="1" thickBot="1" x14ac:dyDescent="0.25">
      <c r="B331" s="113"/>
      <c r="C331" s="37"/>
      <c r="D331" s="94" t="s">
        <v>77</v>
      </c>
      <c r="E331" s="61"/>
      <c r="F331" s="38">
        <v>29649000</v>
      </c>
      <c r="G331" s="38">
        <v>29282000</v>
      </c>
      <c r="H331" s="38">
        <v>29661000</v>
      </c>
      <c r="I331" s="38">
        <v>30199000</v>
      </c>
      <c r="J331" s="38">
        <v>30655000</v>
      </c>
      <c r="K331" s="85"/>
      <c r="L331" s="46">
        <v>15522000</v>
      </c>
      <c r="M331" s="46">
        <v>15129000</v>
      </c>
      <c r="N331" s="46">
        <v>28791000</v>
      </c>
      <c r="O331" s="46">
        <v>31188000</v>
      </c>
      <c r="P331" s="46">
        <v>29282000</v>
      </c>
      <c r="Q331" s="38"/>
      <c r="S331" s="68" t="s">
        <v>23</v>
      </c>
      <c r="T331" s="68"/>
      <c r="U331" s="69"/>
      <c r="V331" s="192">
        <f>(Q311-Q312)/Q311</f>
        <v>0.29822377555417245</v>
      </c>
      <c r="X331" s="145" t="s">
        <v>78</v>
      </c>
      <c r="Y331" s="146"/>
      <c r="Z331" s="147"/>
      <c r="AA331" s="148">
        <f>J325</f>
        <v>50450000</v>
      </c>
      <c r="AC331" s="74" t="s">
        <v>79</v>
      </c>
      <c r="AD331" s="75"/>
      <c r="AE331" s="207">
        <f>IF(OR(L315="",L326="",L315=0,L326=0),"",L315/L326)</f>
        <v>1.5140270149918362E-2</v>
      </c>
      <c r="AF331" s="207">
        <f>IF(OR(M315="",M326="",M315=0,M326=0),"",M315/M326)</f>
        <v>-8.726298024421722E-2</v>
      </c>
      <c r="AG331" s="207">
        <f>IF(OR(N315="",N326="",N315=0,N326=0),"",N315/N326)</f>
        <v>7.0506286102616379E-3</v>
      </c>
      <c r="AH331" s="207">
        <f>IF(OR(O315="",O326="",O315=0,O326=0),"",O315/O326)</f>
        <v>-6.8059185169865952E-3</v>
      </c>
      <c r="AI331" s="207">
        <f>IF(OR(P315="",P326="",P315=0,P326=0),"",P315/P326)</f>
        <v>-5.5860785815913319E-2</v>
      </c>
    </row>
    <row r="332" spans="2:37" ht="18.75" customHeight="1" x14ac:dyDescent="0.2">
      <c r="B332" s="113"/>
      <c r="C332" s="37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S332" s="68" t="s">
        <v>24</v>
      </c>
      <c r="T332" s="68"/>
      <c r="U332" s="69"/>
      <c r="V332" s="192">
        <f>Q315/Q311</f>
        <v>5.3861253411212713E-3</v>
      </c>
      <c r="X332" s="63" t="s">
        <v>80</v>
      </c>
      <c r="Y332" s="63"/>
      <c r="Z332" s="64"/>
      <c r="AA332" s="70">
        <f>J328</f>
        <v>34129000</v>
      </c>
      <c r="AC332" s="74" t="s">
        <v>28</v>
      </c>
      <c r="AD332" s="75"/>
      <c r="AE332" s="92">
        <f>IF(OR(L311="",L326="",L311=0,L326=0),"",L311/L326)</f>
        <v>1.5083865221908861</v>
      </c>
      <c r="AF332" s="92">
        <f>IF(OR(M311="",M326="",M311=0,M326=0),"",M311/M326)</f>
        <v>1.766355604090142</v>
      </c>
      <c r="AG332" s="92">
        <f>IF(OR(N311="",N326="",N311=0,N326=0),"",N311/N326)</f>
        <v>1.2073564390078151</v>
      </c>
      <c r="AH332" s="92">
        <f>IF(OR(O311="",O326="",O311=0,O326=0),"",O311/O326)</f>
        <v>1.8900524544548685</v>
      </c>
      <c r="AI332" s="92">
        <f>IF(OR(P311="",P326="",P311=0,P326=0),"",P311/P326)</f>
        <v>1.7057677574696291</v>
      </c>
    </row>
    <row r="333" spans="2:37" ht="18.75" customHeight="1" x14ac:dyDescent="0.2">
      <c r="B333" s="113"/>
      <c r="C333" s="37"/>
      <c r="D333" s="121" t="s">
        <v>81</v>
      </c>
      <c r="E333" s="18"/>
      <c r="F333" s="196" t="str">
        <f>F310</f>
        <v>2016-10</v>
      </c>
      <c r="G333" s="196" t="str">
        <f>G310</f>
        <v>2017-01</v>
      </c>
      <c r="H333" s="196" t="str">
        <f>H310</f>
        <v>2017-04</v>
      </c>
      <c r="I333" s="196" t="str">
        <f>I310</f>
        <v>2017-07</v>
      </c>
      <c r="J333" s="196" t="str">
        <f>J310</f>
        <v>2017-10</v>
      </c>
      <c r="K333" s="197"/>
      <c r="L333" s="208">
        <f>L310</f>
        <v>2013</v>
      </c>
      <c r="M333" s="208">
        <f>M310</f>
        <v>2014</v>
      </c>
      <c r="N333" s="208">
        <f>N310</f>
        <v>2015</v>
      </c>
      <c r="O333" s="208">
        <f>O310</f>
        <v>2016</v>
      </c>
      <c r="P333" s="208">
        <f>P310</f>
        <v>2017</v>
      </c>
      <c r="Q333" s="185" t="s">
        <v>42</v>
      </c>
      <c r="S333" s="68" t="s">
        <v>25</v>
      </c>
      <c r="T333" s="68"/>
      <c r="U333" s="69"/>
      <c r="V333" s="192">
        <f>Q314/Q311</f>
        <v>8.1390338488054777E-3</v>
      </c>
      <c r="X333" s="63" t="s">
        <v>82</v>
      </c>
      <c r="Y333" s="81"/>
      <c r="Z333" s="81"/>
      <c r="AA333" s="70">
        <f>J327+J329</f>
        <v>14318000</v>
      </c>
      <c r="AJ333" s="95"/>
    </row>
    <row r="334" spans="2:37" ht="18.75" customHeight="1" thickBot="1" x14ac:dyDescent="0.3">
      <c r="B334" s="117"/>
      <c r="C334" s="96"/>
      <c r="D334" s="60" t="s">
        <v>83</v>
      </c>
      <c r="E334" s="26"/>
      <c r="F334" s="62">
        <v>5698000</v>
      </c>
      <c r="G334" s="62">
        <v>4906000</v>
      </c>
      <c r="H334" s="62">
        <v>-5378000</v>
      </c>
      <c r="I334" s="62">
        <v>-5404000</v>
      </c>
      <c r="J334" s="62">
        <v>-6161000</v>
      </c>
      <c r="K334" s="27"/>
      <c r="L334" s="62">
        <v>2991000</v>
      </c>
      <c r="M334" s="62">
        <v>-4169000</v>
      </c>
      <c r="N334" s="62">
        <v>2394000</v>
      </c>
      <c r="O334" s="62">
        <v>-5147000</v>
      </c>
      <c r="P334" s="62">
        <v>116000</v>
      </c>
      <c r="Q334" s="62">
        <v>-12037000</v>
      </c>
      <c r="X334" s="82"/>
      <c r="Y334" s="83"/>
      <c r="Z334" s="83"/>
      <c r="AA334" s="84"/>
      <c r="AC334" s="89" t="s">
        <v>2</v>
      </c>
      <c r="AD334" s="90"/>
      <c r="AE334" s="162">
        <f>L310</f>
        <v>2013</v>
      </c>
      <c r="AF334" s="162">
        <f>M310</f>
        <v>2014</v>
      </c>
      <c r="AG334" s="162">
        <f>N310</f>
        <v>2015</v>
      </c>
      <c r="AH334" s="162">
        <f>O310</f>
        <v>2016</v>
      </c>
      <c r="AI334" s="162">
        <f>P310</f>
        <v>2017</v>
      </c>
      <c r="AJ334" s="95"/>
    </row>
    <row r="335" spans="2:37" ht="18.75" customHeight="1" thickBot="1" x14ac:dyDescent="0.25">
      <c r="B335" s="113"/>
      <c r="C335" s="37"/>
      <c r="D335" s="60" t="s">
        <v>84</v>
      </c>
      <c r="E335" s="26"/>
      <c r="F335" s="62">
        <v>-974000</v>
      </c>
      <c r="G335" s="62">
        <v>-472000</v>
      </c>
      <c r="H335" s="62">
        <v>-532000</v>
      </c>
      <c r="I335" s="62">
        <v>-323000</v>
      </c>
      <c r="J335" s="62">
        <v>-59000</v>
      </c>
      <c r="K335" s="27"/>
      <c r="L335" s="62">
        <v>-791000</v>
      </c>
      <c r="M335" s="62">
        <v>-900000</v>
      </c>
      <c r="N335" s="62">
        <v>-1066000</v>
      </c>
      <c r="O335" s="62">
        <v>-888000</v>
      </c>
      <c r="P335" s="62">
        <v>-2098000</v>
      </c>
      <c r="Q335" s="62">
        <v>-1386000</v>
      </c>
      <c r="S335" s="153" t="s">
        <v>4</v>
      </c>
      <c r="T335" s="19"/>
      <c r="U335" s="19"/>
      <c r="V335" s="86"/>
      <c r="X335" s="155" t="s">
        <v>85</v>
      </c>
      <c r="Y335" s="43"/>
      <c r="Z335" s="43"/>
      <c r="AA335" s="196"/>
      <c r="AC335" s="74" t="s">
        <v>20</v>
      </c>
      <c r="AD335" s="75"/>
      <c r="AE335" s="92">
        <f t="shared" ref="AE335:AI336" si="29">IF(OR(L325="",L328="",L325=0,L328=0),"",L325/L328)</f>
        <v>4.1616549370867988</v>
      </c>
      <c r="AF335" s="92">
        <f t="shared" si="29"/>
        <v>4.3969413375941562</v>
      </c>
      <c r="AG335" s="92">
        <f t="shared" si="29"/>
        <v>6.8462460063897765</v>
      </c>
      <c r="AH335" s="92">
        <f t="shared" si="29"/>
        <v>2.0380313199105147</v>
      </c>
      <c r="AI335" s="92">
        <f t="shared" si="29"/>
        <v>2.135889594605191</v>
      </c>
      <c r="AJ335" s="95"/>
    </row>
    <row r="336" spans="2:37" ht="18.75" customHeight="1" thickBot="1" x14ac:dyDescent="0.25">
      <c r="B336" s="113"/>
      <c r="C336" s="37"/>
      <c r="D336" s="60" t="s">
        <v>86</v>
      </c>
      <c r="E336" s="26"/>
      <c r="F336" s="62">
        <v>4724000</v>
      </c>
      <c r="G336" s="62">
        <v>4434000</v>
      </c>
      <c r="H336" s="62">
        <v>-5910000</v>
      </c>
      <c r="I336" s="62">
        <v>-5727000</v>
      </c>
      <c r="J336" s="62">
        <v>-6220000</v>
      </c>
      <c r="K336" s="27"/>
      <c r="L336" s="62">
        <v>2200000</v>
      </c>
      <c r="M336" s="62">
        <v>-5069000</v>
      </c>
      <c r="N336" s="62">
        <v>1328000</v>
      </c>
      <c r="O336" s="62">
        <v>-6035000</v>
      </c>
      <c r="P336" s="62">
        <v>-1982000</v>
      </c>
      <c r="Q336" s="62">
        <v>-13423000</v>
      </c>
      <c r="S336" s="47" t="s">
        <v>26</v>
      </c>
      <c r="T336" s="47"/>
      <c r="U336" s="48"/>
      <c r="V336" s="189">
        <f>Q315/AVERAGE(G331:J331)</f>
        <v>1.5025417998781272E-2</v>
      </c>
      <c r="X336" s="66" t="s">
        <v>87</v>
      </c>
      <c r="Y336" s="66"/>
      <c r="Z336" s="67"/>
      <c r="AA336" s="87">
        <f>AVERAGE(N334:P334)</f>
        <v>-879000</v>
      </c>
      <c r="AC336" s="74" t="s">
        <v>21</v>
      </c>
      <c r="AD336" s="75"/>
      <c r="AE336" s="92" t="str">
        <f t="shared" si="29"/>
        <v/>
      </c>
      <c r="AF336" s="92" t="str">
        <f t="shared" si="29"/>
        <v/>
      </c>
      <c r="AG336" s="92" t="str">
        <f t="shared" si="29"/>
        <v/>
      </c>
      <c r="AH336" s="92" t="str">
        <f t="shared" si="29"/>
        <v/>
      </c>
      <c r="AI336" s="92" t="str">
        <f t="shared" si="29"/>
        <v/>
      </c>
      <c r="AJ336" s="95"/>
    </row>
    <row r="337" spans="1:36" ht="18.75" customHeight="1" x14ac:dyDescent="0.2">
      <c r="B337" s="110"/>
      <c r="C337" s="17"/>
      <c r="S337" s="29" t="s">
        <v>27</v>
      </c>
      <c r="T337" s="29"/>
      <c r="U337" s="30"/>
      <c r="V337" s="192">
        <f>Q315/AVERAGE(G326:J326)</f>
        <v>7.8926252186914906E-3</v>
      </c>
      <c r="X337" s="63" t="s">
        <v>88</v>
      </c>
      <c r="Y337" s="63"/>
      <c r="Z337" s="81"/>
      <c r="AA337" s="88">
        <f>ABS(AVERAGE(N335:P335))</f>
        <v>1350666.6666666667</v>
      </c>
      <c r="AC337" s="74" t="s">
        <v>22</v>
      </c>
      <c r="AD337" s="75"/>
      <c r="AE337" s="92" t="str">
        <f>IF(OR(L331="",L329="",L329=0,L331=0),"",L331/L329)</f>
        <v/>
      </c>
      <c r="AF337" s="92" t="str">
        <f>IF(OR(M331="",M329="",M329=0,M331=0),"",M331/M329)</f>
        <v/>
      </c>
      <c r="AG337" s="92" t="str">
        <f>IF(OR(N331="",N329="",N329=0,N331=0),"",N331/N329)</f>
        <v/>
      </c>
      <c r="AH337" s="92" t="str">
        <f>IF(OR(O331="",O329="",O329=0,O331=0),"",O331/O329)</f>
        <v/>
      </c>
      <c r="AI337" s="92" t="str">
        <f>IF(OR(P331="",P329="",P329=0,P331=0),"",P331/P329)</f>
        <v/>
      </c>
    </row>
    <row r="338" spans="1:36" ht="18.75" customHeight="1" x14ac:dyDescent="0.2">
      <c r="B338" s="110"/>
      <c r="C338" s="17"/>
      <c r="S338" s="29" t="s">
        <v>89</v>
      </c>
      <c r="T338" s="29"/>
      <c r="U338" s="30"/>
      <c r="V338" s="192">
        <f>Q314/(AVERAGE(G331:J331)+(AVERAGE(G326:J326)-AVERAGE(G328:J328)))</f>
        <v>1.0702972829401696E-2</v>
      </c>
      <c r="X338" s="63" t="s">
        <v>90</v>
      </c>
      <c r="Y338" s="63"/>
      <c r="Z338" s="64"/>
      <c r="AA338" s="32">
        <f>AVERAGE(N336:P336)</f>
        <v>-2229666.6666666665</v>
      </c>
    </row>
    <row r="339" spans="1:36" ht="18.75" customHeight="1" x14ac:dyDescent="0.2">
      <c r="B339" s="113"/>
      <c r="C339" s="37"/>
      <c r="S339" s="29" t="s">
        <v>28</v>
      </c>
      <c r="T339" s="29"/>
      <c r="U339" s="30"/>
      <c r="V339" s="65">
        <f>Q311/AVERAGE(G326:J326)</f>
        <v>1.4653623372694147</v>
      </c>
      <c r="X339" s="123"/>
      <c r="AA339" s="123"/>
      <c r="AJ339" s="99"/>
    </row>
    <row r="340" spans="1:36" s="105" customFormat="1" ht="18.75" customHeight="1" thickBot="1" x14ac:dyDescent="0.35">
      <c r="A340" s="118"/>
      <c r="B340" s="119"/>
      <c r="C340" s="100"/>
      <c r="D340" s="169"/>
      <c r="E340" s="100"/>
      <c r="F340" s="101"/>
      <c r="G340" s="101"/>
      <c r="H340" s="101"/>
      <c r="I340" s="101"/>
      <c r="J340" s="101"/>
      <c r="K340" s="102"/>
      <c r="L340" s="103"/>
      <c r="M340" s="104"/>
      <c r="N340" s="104"/>
      <c r="O340" s="104"/>
      <c r="P340" s="102"/>
      <c r="Q340" s="102"/>
      <c r="R340" s="100"/>
      <c r="S340" s="156"/>
      <c r="X340" s="156"/>
      <c r="AA340" s="209"/>
      <c r="AC340" s="156"/>
    </row>
    <row r="341" spans="1:36" s="106" customFormat="1" ht="18.75" customHeight="1" thickBot="1" x14ac:dyDescent="0.25">
      <c r="D341" s="15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S341" s="157"/>
      <c r="X341" s="157"/>
      <c r="AA341" s="210"/>
      <c r="AC341" s="157"/>
    </row>
  </sheetData>
  <mergeCells count="10">
    <mergeCell ref="T172:U172"/>
    <mergeCell ref="T206:U206"/>
    <mergeCell ref="T240:U240"/>
    <mergeCell ref="T274:U274"/>
    <mergeCell ref="T308:U308"/>
    <mergeCell ref="T2:U2"/>
    <mergeCell ref="T36:U36"/>
    <mergeCell ref="T70:U70"/>
    <mergeCell ref="T104:U104"/>
    <mergeCell ref="T138:U138"/>
  </mergeCells>
  <pageMargins left="0.7" right="0.7" top="0.75" bottom="0.75" header="0.3" footer="0.3"/>
  <pageSetup orientation="portrait" horizont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K5"/>
  <sheetViews>
    <sheetView workbookViewId="0">
      <selection activeCell="E18" sqref="E18"/>
    </sheetView>
  </sheetViews>
  <sheetFormatPr defaultColWidth="19.85546875" defaultRowHeight="12.75" x14ac:dyDescent="0.2"/>
  <cols>
    <col min="1" max="1" width="19.85546875" style="4" customWidth="1"/>
    <col min="2" max="2" width="4.140625" style="4" customWidth="1"/>
    <col min="3" max="3" width="19.85546875" style="4" customWidth="1"/>
    <col min="4" max="4" width="4.140625" style="4" customWidth="1"/>
    <col min="5" max="5" width="19.85546875" style="4" customWidth="1"/>
    <col min="6" max="6" width="4.140625" style="4" customWidth="1"/>
    <col min="7" max="7" width="19.85546875" style="4" customWidth="1"/>
    <col min="8" max="8" width="4.140625" style="4" customWidth="1"/>
    <col min="9" max="9" width="19.85546875" style="4" customWidth="1"/>
    <col min="10" max="10" width="4.140625" style="4" customWidth="1"/>
    <col min="11" max="13" width="19.85546875" style="4" customWidth="1"/>
    <col min="14" max="16384" width="19.85546875" style="4"/>
  </cols>
  <sheetData>
    <row r="1" spans="1:11" x14ac:dyDescent="0.2">
      <c r="A1" s="2" t="s">
        <v>100</v>
      </c>
      <c r="B1" s="3"/>
      <c r="C1" s="3"/>
      <c r="D1" s="3"/>
      <c r="E1" s="1"/>
      <c r="F1" s="1"/>
      <c r="G1" s="1"/>
      <c r="H1" s="1"/>
      <c r="I1" s="1"/>
      <c r="J1" s="1"/>
      <c r="K1" s="1"/>
    </row>
    <row r="2" spans="1:11" x14ac:dyDescent="0.2">
      <c r="A2" s="2" t="s">
        <v>60</v>
      </c>
      <c r="B2" s="3"/>
      <c r="C2" s="2" t="s">
        <v>76</v>
      </c>
      <c r="D2" s="3"/>
      <c r="E2" s="2" t="s">
        <v>22</v>
      </c>
      <c r="F2" s="1"/>
      <c r="G2" s="5" t="s">
        <v>20</v>
      </c>
      <c r="H2" s="5"/>
      <c r="I2" s="4" t="s">
        <v>101</v>
      </c>
      <c r="J2" s="5"/>
      <c r="K2" s="4" t="s">
        <v>102</v>
      </c>
    </row>
    <row r="3" spans="1:11" x14ac:dyDescent="0.2">
      <c r="A3" s="2" t="s">
        <v>73</v>
      </c>
      <c r="B3" s="3"/>
      <c r="C3" s="2" t="s">
        <v>79</v>
      </c>
      <c r="D3" s="3"/>
      <c r="E3" s="2" t="s">
        <v>21</v>
      </c>
      <c r="F3" s="1"/>
      <c r="G3" s="5" t="s">
        <v>103</v>
      </c>
      <c r="H3" s="5"/>
      <c r="I3" s="4" t="s">
        <v>104</v>
      </c>
      <c r="J3" s="5"/>
      <c r="K3" s="4" t="s">
        <v>105</v>
      </c>
    </row>
    <row r="4" spans="1:11" x14ac:dyDescent="0.2">
      <c r="A4" s="2" t="s">
        <v>62</v>
      </c>
      <c r="B4" s="1"/>
      <c r="C4" s="1"/>
      <c r="D4" s="1"/>
      <c r="E4" s="1"/>
      <c r="F4" s="1"/>
      <c r="G4" s="1"/>
      <c r="H4" s="1"/>
      <c r="I4" s="4" t="s">
        <v>106</v>
      </c>
      <c r="J4" s="1"/>
      <c r="K4" s="4" t="s">
        <v>43</v>
      </c>
    </row>
    <row r="5" spans="1:11" x14ac:dyDescent="0.2">
      <c r="I5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 1</vt:lpstr>
      <vt:lpstr>Sheet 2</vt:lpstr>
      <vt:lpstr>Sheet 3</vt:lpstr>
      <vt:lpstr>debt</vt:lpstr>
      <vt:lpstr>effc</vt:lpstr>
      <vt:lpstr>proft</vt:lpstr>
      <vt:lpstr>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tweak</dc:creator>
  <cp:lastModifiedBy>Keith Fleming</cp:lastModifiedBy>
  <dcterms:created xsi:type="dcterms:W3CDTF">2017-02-01T04:17:15Z</dcterms:created>
  <dcterms:modified xsi:type="dcterms:W3CDTF">2025-12-15T16:37:38Z</dcterms:modified>
</cp:coreProperties>
</file>