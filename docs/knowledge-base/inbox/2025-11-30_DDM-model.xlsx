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jfle\Workspace\ordinis\docs\knowledge-base\inbox\"/>
    </mc:Choice>
  </mc:AlternateContent>
  <xr:revisionPtr revIDLastSave="0" documentId="8_{492595C1-7ED3-4966-BCBB-11C3548D480F}" xr6:coauthVersionLast="47" xr6:coauthVersionMax="47" xr10:uidLastSave="{00000000-0000-0000-0000-000000000000}"/>
  <bookViews>
    <workbookView xWindow="38280" yWindow="-120" windowWidth="38640" windowHeight="21840" xr2:uid="{807EA78D-D67E-4B7B-A329-9763C1AF78FF}"/>
  </bookViews>
  <sheets>
    <sheet name="Sheet1" sheetId="1" r:id="rId1"/>
    <sheet name="Sheet1 (2)" sheetId="2" r:id="rId2"/>
    <sheet name="Sheet1 (3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" i="3" l="1"/>
  <c r="N3" i="3"/>
  <c r="M3" i="3"/>
  <c r="L3" i="3"/>
  <c r="K3" i="3"/>
  <c r="J3" i="3"/>
  <c r="P3" i="3" l="1"/>
  <c r="C4" i="3" s="1"/>
  <c r="E10" i="3" s="1"/>
  <c r="L6" i="1"/>
  <c r="J3" i="1"/>
  <c r="P3" i="1"/>
  <c r="C4" i="1" s="1"/>
  <c r="H10" i="1" s="1"/>
  <c r="K3" i="1"/>
  <c r="L3" i="1"/>
  <c r="M3" i="1"/>
  <c r="N3" i="1"/>
  <c r="O3" i="1"/>
  <c r="J8" i="2"/>
  <c r="H8" i="2"/>
  <c r="E8" i="2"/>
  <c r="D8" i="2"/>
  <c r="C8" i="2"/>
  <c r="H11" i="3" l="1"/>
  <c r="F10" i="3"/>
  <c r="F11" i="3"/>
  <c r="D10" i="3"/>
  <c r="H10" i="3"/>
  <c r="F12" i="3"/>
  <c r="C11" i="3"/>
  <c r="D12" i="3"/>
  <c r="E11" i="3"/>
  <c r="C12" i="3"/>
  <c r="E12" i="3"/>
  <c r="L6" i="3"/>
  <c r="D11" i="3"/>
  <c r="C10" i="3"/>
  <c r="H12" i="3"/>
  <c r="F10" i="1"/>
  <c r="D10" i="1"/>
  <c r="F12" i="1"/>
  <c r="D12" i="1"/>
  <c r="H12" i="1"/>
  <c r="C10" i="1"/>
  <c r="E10" i="1"/>
  <c r="C12" i="1"/>
  <c r="E12" i="1"/>
  <c r="H11" i="1"/>
  <c r="D11" i="1"/>
  <c r="C11" i="1"/>
  <c r="F11" i="1"/>
  <c r="E11" i="1"/>
  <c r="J12" i="3" l="1"/>
  <c r="J10" i="3"/>
  <c r="J11" i="3"/>
  <c r="J10" i="1"/>
  <c r="J11" i="1"/>
  <c r="J12" i="1"/>
</calcChain>
</file>

<file path=xl/sharedStrings.xml><?xml version="1.0" encoding="utf-8"?>
<sst xmlns="http://schemas.openxmlformats.org/spreadsheetml/2006/main" count="15" uniqueCount="7">
  <si>
    <t>V0</t>
  </si>
  <si>
    <t>r</t>
  </si>
  <si>
    <t>V0h</t>
  </si>
  <si>
    <t>V0l</t>
  </si>
  <si>
    <t>c</t>
  </si>
  <si>
    <t>h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</si>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</sst>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BCFE-861B-4F4A-95CA-0FA10D8CDB16}">
  <dimension ref="B2:P20"/>
  <sheetViews>
    <sheetView tabSelected="1" workbookViewId="0">
      <selection activeCell="C2" sqref="C2"/>
    </sheetView>
  </sheetViews>
  <sheetFormatPr defaultRowHeight="15" x14ac:dyDescent="0.25"/>
  <sheetData>
    <row r="2" spans="2:16" x14ac:dyDescent="0.25">
      <c r="B2" s="2">
        <v>21.51</v>
      </c>
      <c r="C2" s="2">
        <v>59</v>
      </c>
      <c r="E2">
        <v>1.61</v>
      </c>
      <c r="F2" s="1">
        <v>6.8500000000000005E-2</v>
      </c>
      <c r="I2">
        <v>0.12</v>
      </c>
      <c r="J2">
        <v>0.3</v>
      </c>
      <c r="K2">
        <v>0.45</v>
      </c>
      <c r="L2">
        <v>0.68</v>
      </c>
      <c r="M2">
        <v>1.01</v>
      </c>
      <c r="N2">
        <v>1.31</v>
      </c>
      <c r="O2">
        <v>1.5</v>
      </c>
    </row>
    <row r="3" spans="2:16" x14ac:dyDescent="0.25">
      <c r="C3" s="1">
        <v>0.1</v>
      </c>
      <c r="I3" s="1"/>
      <c r="J3" s="1">
        <f>(J2-I2)/I2</f>
        <v>1.5</v>
      </c>
      <c r="K3" s="1">
        <f t="shared" ref="K3:O3" si="0">(K2-J2)/J2</f>
        <v>0.50000000000000011</v>
      </c>
      <c r="L3" s="1">
        <f t="shared" si="0"/>
        <v>0.51111111111111118</v>
      </c>
      <c r="M3" s="1">
        <f t="shared" si="0"/>
        <v>0.48529411764705871</v>
      </c>
      <c r="N3" s="1">
        <f t="shared" si="0"/>
        <v>0.29702970297029707</v>
      </c>
      <c r="O3" s="1">
        <f t="shared" si="0"/>
        <v>0.14503816793893126</v>
      </c>
      <c r="P3" s="1">
        <f>AVERAGE(K3:O3)</f>
        <v>0.38769461993347965</v>
      </c>
    </row>
    <row r="4" spans="2:16" x14ac:dyDescent="0.25">
      <c r="B4" t="s">
        <v>1</v>
      </c>
      <c r="C4">
        <f>(E2/B2)+P3</f>
        <v>0.4625435274183704</v>
      </c>
    </row>
    <row r="6" spans="2:16" x14ac:dyDescent="0.25">
      <c r="B6" t="s">
        <v>5</v>
      </c>
      <c r="C6" s="2">
        <v>1.2</v>
      </c>
      <c r="D6" s="2">
        <v>2.76</v>
      </c>
      <c r="E6" s="2">
        <v>2.46</v>
      </c>
      <c r="F6" s="2">
        <v>1.95</v>
      </c>
      <c r="L6">
        <f>E2/(C4-P3)</f>
        <v>21.509999999999998</v>
      </c>
    </row>
    <row r="7" spans="2:16" x14ac:dyDescent="0.25">
      <c r="B7" t="s">
        <v>4</v>
      </c>
      <c r="C7" s="2">
        <v>0.53</v>
      </c>
      <c r="D7" s="2">
        <v>0.41</v>
      </c>
      <c r="E7" s="2">
        <v>1.39</v>
      </c>
      <c r="F7" s="2">
        <v>1.42</v>
      </c>
    </row>
    <row r="8" spans="2:16" x14ac:dyDescent="0.25">
      <c r="B8" t="s">
        <v>6</v>
      </c>
      <c r="C8" s="2">
        <v>-0.95</v>
      </c>
      <c r="D8" s="2">
        <v>-6.02</v>
      </c>
      <c r="E8" s="2">
        <v>-1.46</v>
      </c>
      <c r="F8" s="2">
        <v>0.5</v>
      </c>
    </row>
    <row r="10" spans="2:16" x14ac:dyDescent="0.25">
      <c r="B10" t="s">
        <v>2</v>
      </c>
      <c r="C10">
        <f>C6/((1+$C4)^COUNT($C6:C6))</f>
        <v>0.82048840086024455</v>
      </c>
      <c r="D10">
        <f>D6/((1+$C4)^COUNT($C6:D6))</f>
        <v>1.2903023305635524</v>
      </c>
      <c r="E10">
        <f>E6/((1+$C4)^COUNT($C6:E6))</f>
        <v>0.78633699146818414</v>
      </c>
      <c r="F10">
        <f>F6/((1+$C4)^COUNT($C6:F6))</f>
        <v>0.42618622706660675</v>
      </c>
      <c r="H10">
        <f>C2/((1+C4)^COUNT(C6:F6))</f>
        <v>12.894865331758872</v>
      </c>
      <c r="J10" s="3">
        <f>C10+D10+E10+F10+H10</f>
        <v>16.218179281717461</v>
      </c>
    </row>
    <row r="11" spans="2:16" x14ac:dyDescent="0.25">
      <c r="B11" t="s">
        <v>0</v>
      </c>
      <c r="C11">
        <f>C7/((1+$C4)^COUNT($C7:C7))</f>
        <v>0.36238237704660803</v>
      </c>
      <c r="D11">
        <f>D7/((1+$C4)^COUNT($C7:D7))</f>
        <v>0.19167534620690455</v>
      </c>
      <c r="E11">
        <f>E7/((1+$C4)^COUNT($C7:E7))</f>
        <v>0.44431236509787642</v>
      </c>
      <c r="F11">
        <f>F7/((1+$C4)^COUNT($C7:F7))</f>
        <v>0.31035099612029826</v>
      </c>
      <c r="H11">
        <f>C2/((1+C4)^COUNT(C7:F7))</f>
        <v>12.894865331758872</v>
      </c>
      <c r="J11" s="3">
        <f>C11+D11+E11+F11+H11</f>
        <v>14.203586416230559</v>
      </c>
    </row>
    <row r="12" spans="2:16" x14ac:dyDescent="0.25">
      <c r="B12" t="s">
        <v>3</v>
      </c>
      <c r="C12">
        <f>C8/((1+$C4)^COUNT($C8:C8))</f>
        <v>-0.64955331734769362</v>
      </c>
      <c r="D12">
        <f>D8/((1+$C4)^COUNT($C8:D8))</f>
        <v>-2.8143550833306472</v>
      </c>
      <c r="E12">
        <f>E8/((1+$C4)^COUNT($C8:E8))</f>
        <v>-0.46668780794453207</v>
      </c>
      <c r="F12">
        <f>F8/((1+$C4)^COUNT($C8:F8))</f>
        <v>0.10927851976066841</v>
      </c>
      <c r="H12">
        <f>C2/((1+C4)^COUNT(C8:F8))</f>
        <v>12.894865331758872</v>
      </c>
      <c r="J12" s="3">
        <f>C12+D12+E12+F12+H12</f>
        <v>9.073547642896667</v>
      </c>
    </row>
    <row r="14" spans="2:16" x14ac:dyDescent="0.25">
      <c r="B14" s="2"/>
      <c r="C14" s="2"/>
      <c r="F14" s="1"/>
    </row>
    <row r="15" spans="2:16" x14ac:dyDescent="0.25">
      <c r="C15" s="1"/>
      <c r="I15" s="1"/>
      <c r="J15" s="1"/>
      <c r="K15" s="1"/>
      <c r="L15" s="1"/>
      <c r="M15" s="1"/>
      <c r="N15" s="1"/>
      <c r="O15" s="1"/>
      <c r="P15" s="1"/>
    </row>
    <row r="18" spans="3:10" x14ac:dyDescent="0.25">
      <c r="C18" s="2"/>
      <c r="D18" s="2"/>
      <c r="E18" s="2"/>
      <c r="F18" s="2"/>
    </row>
    <row r="20" spans="3:10" x14ac:dyDescent="0.25">
      <c r="J20" s="3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98D3-0C57-49B5-A497-80FBE61F8A18}">
  <dimension ref="B2:J8"/>
  <sheetViews>
    <sheetView workbookViewId="0">
      <selection activeCell="J9" sqref="J9"/>
    </sheetView>
  </sheetViews>
  <sheetFormatPr defaultRowHeight="15" x14ac:dyDescent="0.25"/>
  <sheetData>
    <row r="2" spans="2:10" x14ac:dyDescent="0.25">
      <c r="B2" s="2"/>
      <c r="C2" s="2">
        <v>20</v>
      </c>
    </row>
    <row r="3" spans="2:10" x14ac:dyDescent="0.25">
      <c r="C3" s="1">
        <v>0.1</v>
      </c>
    </row>
    <row r="6" spans="2:10" x14ac:dyDescent="0.25">
      <c r="C6" s="2">
        <v>2</v>
      </c>
      <c r="D6" s="2">
        <v>2.1</v>
      </c>
      <c r="E6" s="2">
        <v>2.2000000000000002</v>
      </c>
      <c r="F6" s="2"/>
    </row>
    <row r="8" spans="2:10" x14ac:dyDescent="0.25">
      <c r="B8" t="s">
        <v>0</v>
      </c>
      <c r="C8">
        <f>C6/((1+$C3)^COUNT($C6:C6))</f>
        <v>1.8181818181818181</v>
      </c>
      <c r="D8">
        <f>D6/((1+$C3)^COUNT($C6:D6))</f>
        <v>1.7355371900826444</v>
      </c>
      <c r="E8">
        <f>E6/((1+$C3)^COUNT($C6:E6))</f>
        <v>1.6528925619834707</v>
      </c>
      <c r="H8">
        <f>C2/((1+C3)^COUNT(C6:E6))</f>
        <v>15.02629601803155</v>
      </c>
      <c r="J8">
        <f>C8+D8+E8+H8</f>
        <v>20.232907588279481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5B85C-1C02-4B08-982B-48B2F304C667}">
  <dimension ref="B2:P20"/>
  <sheetViews>
    <sheetView workbookViewId="0">
      <selection activeCell="C3" sqref="C3"/>
    </sheetView>
  </sheetViews>
  <sheetFormatPr defaultRowHeight="15" x14ac:dyDescent="0.25"/>
  <sheetData>
    <row r="2" spans="2:16" x14ac:dyDescent="0.25">
      <c r="B2" s="2">
        <v>3.5</v>
      </c>
      <c r="C2" s="2">
        <v>5</v>
      </c>
      <c r="E2">
        <v>0.1595</v>
      </c>
      <c r="F2" s="1">
        <v>4.8099999999999997E-2</v>
      </c>
      <c r="I2">
        <v>1.64</v>
      </c>
      <c r="J2">
        <v>4.22</v>
      </c>
      <c r="K2">
        <v>3.69</v>
      </c>
      <c r="L2">
        <v>8.0299999999999994</v>
      </c>
      <c r="M2">
        <v>6.45</v>
      </c>
      <c r="N2">
        <v>5.56</v>
      </c>
      <c r="O2">
        <v>4.37</v>
      </c>
    </row>
    <row r="3" spans="2:16" x14ac:dyDescent="0.25">
      <c r="C3" s="1">
        <v>0.1</v>
      </c>
      <c r="I3" s="1"/>
      <c r="J3" s="1">
        <f>(J2-I2)/I2</f>
        <v>1.5731707317073171</v>
      </c>
      <c r="K3" s="1">
        <f t="shared" ref="K3:O3" si="0">(K2-J2)/J2</f>
        <v>-0.12559241706161134</v>
      </c>
      <c r="L3" s="1">
        <f t="shared" si="0"/>
        <v>1.1761517615176151</v>
      </c>
      <c r="M3" s="1">
        <f t="shared" si="0"/>
        <v>-0.19676214196762135</v>
      </c>
      <c r="N3" s="1">
        <f t="shared" si="0"/>
        <v>-0.1379844961240311</v>
      </c>
      <c r="O3" s="1">
        <f t="shared" si="0"/>
        <v>-0.21402877697841718</v>
      </c>
      <c r="P3" s="1">
        <f>AVERAGE(K3:O3)</f>
        <v>0.10035678587718684</v>
      </c>
    </row>
    <row r="4" spans="2:16" x14ac:dyDescent="0.25">
      <c r="B4" t="s">
        <v>1</v>
      </c>
      <c r="C4">
        <f>(E2/B2)+P3</f>
        <v>0.14592821444861542</v>
      </c>
    </row>
    <row r="6" spans="2:16" x14ac:dyDescent="0.25">
      <c r="B6" t="s">
        <v>5</v>
      </c>
      <c r="C6" s="2">
        <v>0.06</v>
      </c>
      <c r="D6" s="2">
        <v>7.0000000000000007E-2</v>
      </c>
      <c r="E6" s="2">
        <v>0.11</v>
      </c>
      <c r="F6" s="2">
        <v>0.12</v>
      </c>
      <c r="L6">
        <f>E2/(C4-P3)</f>
        <v>3.4999999999999991</v>
      </c>
    </row>
    <row r="7" spans="2:16" x14ac:dyDescent="0.25">
      <c r="B7" t="s">
        <v>4</v>
      </c>
      <c r="C7" s="2">
        <v>0.06</v>
      </c>
      <c r="D7" s="2">
        <v>7.0000000000000007E-2</v>
      </c>
      <c r="E7" s="2">
        <v>0.1</v>
      </c>
      <c r="F7" s="2">
        <v>0.12</v>
      </c>
    </row>
    <row r="8" spans="2:16" x14ac:dyDescent="0.25">
      <c r="B8" t="s">
        <v>6</v>
      </c>
      <c r="C8" s="2">
        <v>0.05</v>
      </c>
      <c r="D8" s="2">
        <v>7.0000000000000007E-2</v>
      </c>
      <c r="E8" s="2">
        <v>0.1</v>
      </c>
      <c r="F8" s="2">
        <v>0.12</v>
      </c>
    </row>
    <row r="10" spans="2:16" x14ac:dyDescent="0.25">
      <c r="B10" t="s">
        <v>2</v>
      </c>
      <c r="C10">
        <f>C6/((1+$C4)^COUNT($C6:C6))</f>
        <v>5.2359300734095386E-2</v>
      </c>
      <c r="D10">
        <f>D6/((1+$C4)^COUNT($C6:D6))</f>
        <v>5.3306873926511365E-2</v>
      </c>
      <c r="E10">
        <f>E6/((1+$C4)^COUNT($C6:E6))</f>
        <v>7.310051684342829E-2</v>
      </c>
      <c r="F10">
        <f>F6/((1+$C4)^COUNT($C6:F6))</f>
        <v>6.9590762640415763E-2</v>
      </c>
      <c r="H10">
        <f>C2/((1+C4)^COUNT(C6:F6))</f>
        <v>2.8996151100173235</v>
      </c>
      <c r="J10" s="3">
        <f>C10+D10+E10+F10+H10</f>
        <v>3.1479725641617744</v>
      </c>
    </row>
    <row r="11" spans="2:16" x14ac:dyDescent="0.25">
      <c r="B11" t="s">
        <v>0</v>
      </c>
      <c r="C11">
        <f>C7/((1+$C4)^COUNT($C7:C7))</f>
        <v>5.2359300734095386E-2</v>
      </c>
      <c r="D11">
        <f>D7/((1+$C4)^COUNT($C7:D7))</f>
        <v>5.3306873926511365E-2</v>
      </c>
      <c r="E11">
        <f>E7/((1+$C4)^COUNT($C7:E7))</f>
        <v>6.6455015312207544E-2</v>
      </c>
      <c r="F11">
        <f>F7/((1+$C4)^COUNT($C7:F7))</f>
        <v>6.9590762640415763E-2</v>
      </c>
      <c r="H11">
        <f>C2/((1+C4)^COUNT(C7:F7))</f>
        <v>2.8996151100173235</v>
      </c>
      <c r="J11" s="3">
        <f>C11+D11+E11+F11+H11</f>
        <v>3.1413270626305536</v>
      </c>
    </row>
    <row r="12" spans="2:16" x14ac:dyDescent="0.25">
      <c r="B12" t="s">
        <v>3</v>
      </c>
      <c r="C12">
        <f>C8/((1+$C4)^COUNT($C8:C8))</f>
        <v>4.3632750611746159E-2</v>
      </c>
      <c r="D12">
        <f>D8/((1+$C4)^COUNT($C8:D8))</f>
        <v>5.3306873926511365E-2</v>
      </c>
      <c r="E12">
        <f>E8/((1+$C4)^COUNT($C8:E8))</f>
        <v>6.6455015312207544E-2</v>
      </c>
      <c r="F12">
        <f>F8/((1+$C4)^COUNT($C8:F8))</f>
        <v>6.9590762640415763E-2</v>
      </c>
      <c r="H12">
        <f>C2/((1+C4)^COUNT(C8:F8))</f>
        <v>2.8996151100173235</v>
      </c>
      <c r="J12" s="3">
        <f>C12+D12+E12+F12+H12</f>
        <v>3.1326005125082044</v>
      </c>
    </row>
    <row r="14" spans="2:16" x14ac:dyDescent="0.25">
      <c r="B14" s="2"/>
      <c r="C14" s="2"/>
      <c r="F14" s="1"/>
    </row>
    <row r="15" spans="2:16" x14ac:dyDescent="0.25">
      <c r="C15" s="1"/>
      <c r="I15" s="1"/>
      <c r="J15" s="1"/>
      <c r="K15" s="1"/>
      <c r="L15" s="1"/>
      <c r="M15" s="1"/>
      <c r="N15" s="1"/>
      <c r="O15" s="1"/>
      <c r="P15" s="1"/>
    </row>
    <row r="18" spans="3:10" x14ac:dyDescent="0.25">
      <c r="C18" s="2"/>
      <c r="D18" s="2"/>
      <c r="E18" s="2"/>
      <c r="F18" s="2"/>
    </row>
    <row r="20" spans="3:10" x14ac:dyDescent="0.25">
      <c r="J20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Fleming</dc:creator>
  <cp:lastModifiedBy>Keith Fleming</cp:lastModifiedBy>
  <dcterms:created xsi:type="dcterms:W3CDTF">2020-03-20T03:06:57Z</dcterms:created>
  <dcterms:modified xsi:type="dcterms:W3CDTF">2025-12-15T16:40:40Z</dcterms:modified>
</cp:coreProperties>
</file>