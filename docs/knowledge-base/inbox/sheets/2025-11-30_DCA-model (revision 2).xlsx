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codeName="ThisWorkbook"/>
  <mc:AlternateContent xmlns:mc="http://schemas.openxmlformats.org/markup-compatibility/2006">
    <mc:Choice Requires="x15">
      <x15ac:absPath xmlns:x15ac="http://schemas.microsoft.com/office/spreadsheetml/2010/11/ac" url="C:\Users\kjfle\Workspace\ordinis\docs\knowledge-base\inbox\"/>
    </mc:Choice>
  </mc:AlternateContent>
  <xr:revisionPtr revIDLastSave="0" documentId="8_{86E221ED-1B98-42B1-977F-2D08FD0BB71F}" xr6:coauthVersionLast="47" xr6:coauthVersionMax="47" xr10:uidLastSave="{00000000-0000-0000-0000-000000000000}"/>
  <bookViews>
    <workbookView xWindow="38280" yWindow="-120" windowWidth="38640" windowHeight="21840" xr2:uid="{00000000-000D-0000-FFFF-FFFF00000000}"/>
  </bookViews>
  <sheets>
    <sheet name="Sheet1" sheetId="11" r:id="rId1"/>
    <sheet name="Sheet3" sheetId="12" r:id="rId2"/>
    <sheet name="Sheet4" sheetId="13" r:id="rId3"/>
    <sheet name="Sheet2" sheetId="5" r:id="rId4"/>
  </sheets>
  <definedNames>
    <definedName name="_xlnm._FilterDatabase" localSheetId="1" hidden="1">Sheet3!$A$1:$E$1</definedName>
    <definedName name="Bi_Weekly">Sheet2!$Q$3</definedName>
    <definedName name="int" localSheetId="0">Sheet1!$D$4</definedName>
    <definedName name="Monthly">Sheet2!$Q$4</definedName>
    <definedName name="None">Sheet2!$Q$7</definedName>
    <definedName name="plot_date" localSheetId="0">OFFSET(Sheet1!$C$31,0,0,COUNTA(Sheet1!$C:$C)-1)</definedName>
    <definedName name="plot_return" localSheetId="0">OFFSET(Sheet1!$Y$31,0,0,COUNTA(Sheet1!$Y:$Y)-1)</definedName>
    <definedName name="plot_return2">OFFSET(Sheet1!$AD$31,0,0,COUNTA(Sheet1!$AD:$AD)-1)</definedName>
    <definedName name="Quarterly">Sheet2!$Q$5</definedName>
    <definedName name="Weekly">Sheet2!$Q$2</definedName>
    <definedName name="Yearly">Sheet2!$Q$6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 i="11" l="1"/>
  <c r="B31" i="11" l="1"/>
  <c r="D31" i="11"/>
  <c r="C31" i="11"/>
  <c r="C32" i="11" l="1"/>
  <c r="E32" i="11" s="1"/>
  <c r="C33" i="11"/>
  <c r="E33" i="11" s="1"/>
  <c r="C34" i="11"/>
  <c r="E34" i="11" s="1"/>
  <c r="D32" i="11" l="1"/>
  <c r="D33" i="11"/>
  <c r="C35" i="11"/>
  <c r="E35" i="11" s="1"/>
  <c r="C36" i="11"/>
  <c r="E36" i="11" s="1"/>
  <c r="C37" i="11"/>
  <c r="C38" i="11"/>
  <c r="C39" i="11"/>
  <c r="C40" i="11"/>
  <c r="E40" i="11" s="1"/>
  <c r="C41" i="11"/>
  <c r="E41" i="11" s="1"/>
  <c r="C42" i="11"/>
  <c r="E42" i="11" s="1"/>
  <c r="C43" i="11"/>
  <c r="E43" i="11" s="1"/>
  <c r="C44" i="11"/>
  <c r="C45" i="11"/>
  <c r="E45" i="11" s="1"/>
  <c r="C46" i="11"/>
  <c r="E46" i="11" s="1"/>
  <c r="C47" i="11"/>
  <c r="E47" i="11" s="1"/>
  <c r="C48" i="11"/>
  <c r="E48" i="11" s="1"/>
  <c r="C49" i="11"/>
  <c r="E49" i="11" s="1"/>
  <c r="C50" i="11"/>
  <c r="E50" i="11" s="1"/>
  <c r="C51" i="11"/>
  <c r="E51" i="11" s="1"/>
  <c r="C52" i="11"/>
  <c r="E52" i="11" s="1"/>
  <c r="C53" i="11"/>
  <c r="E53" i="11" s="1"/>
  <c r="C54" i="11"/>
  <c r="C55" i="11"/>
  <c r="E55" i="11" s="1"/>
  <c r="C56" i="11"/>
  <c r="E56" i="11" s="1"/>
  <c r="C57" i="11"/>
  <c r="E57" i="11" s="1"/>
  <c r="C58" i="11"/>
  <c r="E58" i="11" s="1"/>
  <c r="C59" i="11"/>
  <c r="E59" i="11" s="1"/>
  <c r="C60" i="11"/>
  <c r="E60" i="11" s="1"/>
  <c r="C61" i="11"/>
  <c r="C62" i="11"/>
  <c r="C63" i="11"/>
  <c r="C64" i="11"/>
  <c r="E64" i="11" s="1"/>
  <c r="C65" i="11"/>
  <c r="E65" i="11" s="1"/>
  <c r="C66" i="11"/>
  <c r="E66" i="11" s="1"/>
  <c r="C67" i="11"/>
  <c r="C68" i="11"/>
  <c r="E68" i="11" s="1"/>
  <c r="C69" i="11"/>
  <c r="C70" i="11"/>
  <c r="E70" i="11" s="1"/>
  <c r="C71" i="11"/>
  <c r="E71" i="11" s="1"/>
  <c r="C72" i="11"/>
  <c r="C73" i="11"/>
  <c r="E73" i="11" s="1"/>
  <c r="C74" i="11"/>
  <c r="E74" i="11" s="1"/>
  <c r="C75" i="11"/>
  <c r="E75" i="11" s="1"/>
  <c r="C76" i="11"/>
  <c r="E76" i="11" s="1"/>
  <c r="C77" i="11"/>
  <c r="C78" i="11"/>
  <c r="E78" i="11" s="1"/>
  <c r="D78" i="11"/>
  <c r="C79" i="11"/>
  <c r="C80" i="11"/>
  <c r="E80" i="11" s="1"/>
  <c r="C81" i="11"/>
  <c r="C82" i="11"/>
  <c r="E82" i="11" s="1"/>
  <c r="C83" i="11"/>
  <c r="E83" i="11" s="1"/>
  <c r="C84" i="11"/>
  <c r="E84" i="11" s="1"/>
  <c r="C85" i="11"/>
  <c r="E85" i="11" s="1"/>
  <c r="C86" i="11"/>
  <c r="E86" i="11" s="1"/>
  <c r="C87" i="11"/>
  <c r="E87" i="11" s="1"/>
  <c r="C88" i="11"/>
  <c r="C89" i="11"/>
  <c r="E89" i="11" s="1"/>
  <c r="C90" i="11"/>
  <c r="E90" i="11" s="1"/>
  <c r="C91" i="11"/>
  <c r="E91" i="11" s="1"/>
  <c r="C92" i="11"/>
  <c r="E92" i="11" s="1"/>
  <c r="C93" i="11"/>
  <c r="C94" i="11"/>
  <c r="E94" i="11" s="1"/>
  <c r="C95" i="11"/>
  <c r="E95" i="11" s="1"/>
  <c r="C96" i="11"/>
  <c r="E96" i="11" s="1"/>
  <c r="C97" i="11"/>
  <c r="E97" i="11" s="1"/>
  <c r="C98" i="11"/>
  <c r="E98" i="11" s="1"/>
  <c r="C99" i="11"/>
  <c r="E99" i="11" s="1"/>
  <c r="C100" i="11"/>
  <c r="E100" i="11" s="1"/>
  <c r="C101" i="11"/>
  <c r="C102" i="11"/>
  <c r="E102" i="11" s="1"/>
  <c r="C103" i="11"/>
  <c r="E103" i="11" s="1"/>
  <c r="C104" i="11"/>
  <c r="E104" i="11" s="1"/>
  <c r="C105" i="11"/>
  <c r="E105" i="11" s="1"/>
  <c r="C106" i="11"/>
  <c r="E106" i="11" s="1"/>
  <c r="C107" i="11"/>
  <c r="E107" i="11" s="1"/>
  <c r="C108" i="11"/>
  <c r="E108" i="11" s="1"/>
  <c r="C109" i="11"/>
  <c r="C110" i="11"/>
  <c r="E110" i="11" s="1"/>
  <c r="C111" i="11"/>
  <c r="E111" i="11" s="1"/>
  <c r="C112" i="11"/>
  <c r="E112" i="11" s="1"/>
  <c r="C113" i="11"/>
  <c r="E113" i="11" s="1"/>
  <c r="C114" i="11"/>
  <c r="E114" i="11" s="1"/>
  <c r="C115" i="11"/>
  <c r="C116" i="11"/>
  <c r="E116" i="11" s="1"/>
  <c r="C117" i="11"/>
  <c r="C118" i="11"/>
  <c r="E118" i="11" s="1"/>
  <c r="C119" i="11"/>
  <c r="E119" i="11" s="1"/>
  <c r="C120" i="11"/>
  <c r="E120" i="11" s="1"/>
  <c r="C121" i="11"/>
  <c r="E121" i="11" s="1"/>
  <c r="C122" i="11"/>
  <c r="E122" i="11" s="1"/>
  <c r="C123" i="11"/>
  <c r="E123" i="11" s="1"/>
  <c r="C124" i="11"/>
  <c r="E124" i="11" s="1"/>
  <c r="C125" i="11"/>
  <c r="E125" i="11" s="1"/>
  <c r="C126" i="11"/>
  <c r="E126" i="11" s="1"/>
  <c r="D126" i="11"/>
  <c r="C127" i="11"/>
  <c r="C128" i="11"/>
  <c r="E128" i="11" s="1"/>
  <c r="C129" i="11"/>
  <c r="E129" i="11" s="1"/>
  <c r="C130" i="11"/>
  <c r="E130" i="11" s="1"/>
  <c r="C131" i="11"/>
  <c r="E131" i="11" s="1"/>
  <c r="C132" i="11"/>
  <c r="E132" i="11" s="1"/>
  <c r="C133" i="11"/>
  <c r="E133" i="11" s="1"/>
  <c r="C134" i="11"/>
  <c r="E134" i="11" s="1"/>
  <c r="C135" i="11"/>
  <c r="E135" i="11" s="1"/>
  <c r="C136" i="11"/>
  <c r="E136" i="11" s="1"/>
  <c r="C137" i="11"/>
  <c r="E137" i="11" s="1"/>
  <c r="C138" i="11"/>
  <c r="E138" i="11" s="1"/>
  <c r="C139" i="11"/>
  <c r="E139" i="11" s="1"/>
  <c r="C140" i="11"/>
  <c r="E140" i="11" s="1"/>
  <c r="C141" i="11"/>
  <c r="E141" i="11" s="1"/>
  <c r="C142" i="11"/>
  <c r="E142" i="11" s="1"/>
  <c r="C143" i="11"/>
  <c r="E143" i="11" s="1"/>
  <c r="C144" i="11"/>
  <c r="E144" i="11" s="1"/>
  <c r="C145" i="11"/>
  <c r="C146" i="11"/>
  <c r="E146" i="11" s="1"/>
  <c r="C147" i="11"/>
  <c r="E147" i="11" s="1"/>
  <c r="C148" i="11"/>
  <c r="E148" i="11" s="1"/>
  <c r="C149" i="11"/>
  <c r="E149" i="11" s="1"/>
  <c r="C150" i="11"/>
  <c r="E150" i="11" s="1"/>
  <c r="C151" i="11"/>
  <c r="E151" i="11" s="1"/>
  <c r="C152" i="11"/>
  <c r="E152" i="11" s="1"/>
  <c r="C153" i="11"/>
  <c r="E153" i="11" s="1"/>
  <c r="C154" i="11"/>
  <c r="E154" i="11" s="1"/>
  <c r="C155" i="11"/>
  <c r="E155" i="11" s="1"/>
  <c r="C156" i="11"/>
  <c r="C157" i="11"/>
  <c r="E157" i="11" s="1"/>
  <c r="C158" i="11"/>
  <c r="C159" i="11"/>
  <c r="E159" i="11" s="1"/>
  <c r="C160" i="11"/>
  <c r="E160" i="11" s="1"/>
  <c r="C161" i="11"/>
  <c r="E161" i="11" s="1"/>
  <c r="C162" i="11"/>
  <c r="E162" i="11" s="1"/>
  <c r="C163" i="11"/>
  <c r="E163" i="11" s="1"/>
  <c r="C164" i="11"/>
  <c r="E164" i="11" s="1"/>
  <c r="C165" i="11"/>
  <c r="E165" i="11" s="1"/>
  <c r="C166" i="11"/>
  <c r="E166" i="11" s="1"/>
  <c r="C167" i="11"/>
  <c r="E167" i="11" s="1"/>
  <c r="C168" i="11"/>
  <c r="C169" i="11"/>
  <c r="C170" i="11"/>
  <c r="E170" i="11" s="1"/>
  <c r="C171" i="11"/>
  <c r="E171" i="11" s="1"/>
  <c r="C172" i="11"/>
  <c r="C173" i="11"/>
  <c r="E173" i="11" s="1"/>
  <c r="C174" i="11"/>
  <c r="E174" i="11" s="1"/>
  <c r="C175" i="11"/>
  <c r="E175" i="11" s="1"/>
  <c r="C176" i="11"/>
  <c r="E176" i="11" s="1"/>
  <c r="C177" i="11"/>
  <c r="E177" i="11" s="1"/>
  <c r="C178" i="11"/>
  <c r="E178" i="11" s="1"/>
  <c r="C179" i="11"/>
  <c r="E179" i="11" s="1"/>
  <c r="C180" i="11"/>
  <c r="E180" i="11" s="1"/>
  <c r="C181" i="11"/>
  <c r="E181" i="11" s="1"/>
  <c r="C182" i="11"/>
  <c r="E182" i="11" s="1"/>
  <c r="C183" i="11"/>
  <c r="E183" i="11" s="1"/>
  <c r="C184" i="11"/>
  <c r="E184" i="11" s="1"/>
  <c r="C185" i="11"/>
  <c r="C186" i="11"/>
  <c r="E186" i="11" s="1"/>
  <c r="C187" i="11"/>
  <c r="E187" i="11" s="1"/>
  <c r="C188" i="11"/>
  <c r="E188" i="11" s="1"/>
  <c r="C189" i="11"/>
  <c r="E189" i="11" s="1"/>
  <c r="C190" i="11"/>
  <c r="E190" i="11" s="1"/>
  <c r="C191" i="11"/>
  <c r="E191" i="11" s="1"/>
  <c r="C192" i="11"/>
  <c r="E192" i="11" s="1"/>
  <c r="C193" i="11"/>
  <c r="E193" i="11" s="1"/>
  <c r="C194" i="11"/>
  <c r="E194" i="11" s="1"/>
  <c r="C195" i="11"/>
  <c r="E195" i="11" s="1"/>
  <c r="C196" i="11"/>
  <c r="E196" i="11" s="1"/>
  <c r="C197" i="11"/>
  <c r="E197" i="11" s="1"/>
  <c r="C198" i="11"/>
  <c r="E198" i="11" s="1"/>
  <c r="C199" i="11"/>
  <c r="E199" i="11" s="1"/>
  <c r="C200" i="11"/>
  <c r="E200" i="11" s="1"/>
  <c r="C201" i="11"/>
  <c r="E201" i="11" s="1"/>
  <c r="C202" i="11"/>
  <c r="E202" i="11" s="1"/>
  <c r="C203" i="11"/>
  <c r="E203" i="11" s="1"/>
  <c r="C204" i="11"/>
  <c r="E204" i="11" s="1"/>
  <c r="C205" i="11"/>
  <c r="E205" i="11" s="1"/>
  <c r="C206" i="11"/>
  <c r="E206" i="11" s="1"/>
  <c r="C207" i="11"/>
  <c r="E207" i="11" s="1"/>
  <c r="C208" i="11"/>
  <c r="C209" i="11"/>
  <c r="E209" i="11" s="1"/>
  <c r="C210" i="11"/>
  <c r="E210" i="11" s="1"/>
  <c r="C211" i="11"/>
  <c r="E211" i="11" s="1"/>
  <c r="C212" i="11"/>
  <c r="C213" i="11"/>
  <c r="E213" i="11" s="1"/>
  <c r="C214" i="11"/>
  <c r="E214" i="11" s="1"/>
  <c r="C215" i="11"/>
  <c r="E215" i="11" s="1"/>
  <c r="C216" i="11"/>
  <c r="C217" i="11"/>
  <c r="E217" i="11" s="1"/>
  <c r="C218" i="11"/>
  <c r="E218" i="11" s="1"/>
  <c r="C219" i="11"/>
  <c r="C220" i="11"/>
  <c r="C221" i="11"/>
  <c r="E221" i="11" s="1"/>
  <c r="C222" i="11"/>
  <c r="E222" i="11" s="1"/>
  <c r="C223" i="11"/>
  <c r="E223" i="11" s="1"/>
  <c r="C224" i="11"/>
  <c r="E224" i="11" s="1"/>
  <c r="C225" i="11"/>
  <c r="E225" i="11" s="1"/>
  <c r="C226" i="11"/>
  <c r="E226" i="11" s="1"/>
  <c r="C227" i="11"/>
  <c r="E227" i="11" s="1"/>
  <c r="C228" i="11"/>
  <c r="E228" i="11" s="1"/>
  <c r="C229" i="11"/>
  <c r="E229" i="11" s="1"/>
  <c r="C230" i="11"/>
  <c r="C231" i="11"/>
  <c r="E231" i="11" s="1"/>
  <c r="C232" i="11"/>
  <c r="E232" i="11" s="1"/>
  <c r="C233" i="11"/>
  <c r="E233" i="11" s="1"/>
  <c r="C234" i="11"/>
  <c r="E234" i="11" s="1"/>
  <c r="C235" i="11"/>
  <c r="C236" i="11"/>
  <c r="E236" i="11" s="1"/>
  <c r="C237" i="11"/>
  <c r="E237" i="11" s="1"/>
  <c r="C238" i="11"/>
  <c r="C239" i="11"/>
  <c r="E239" i="11" s="1"/>
  <c r="C240" i="11"/>
  <c r="E240" i="11" s="1"/>
  <c r="C241" i="11"/>
  <c r="E241" i="11" s="1"/>
  <c r="C242" i="11"/>
  <c r="E242" i="11" s="1"/>
  <c r="C243" i="11"/>
  <c r="C244" i="11"/>
  <c r="E244" i="11" s="1"/>
  <c r="C245" i="11"/>
  <c r="E245" i="11" s="1"/>
  <c r="C246" i="11"/>
  <c r="E246" i="11" s="1"/>
  <c r="C247" i="11"/>
  <c r="E247" i="11" s="1"/>
  <c r="C248" i="11"/>
  <c r="C249" i="11"/>
  <c r="E249" i="11" s="1"/>
  <c r="C250" i="11"/>
  <c r="E250" i="11" s="1"/>
  <c r="C251" i="11"/>
  <c r="E251" i="11" s="1"/>
  <c r="C252" i="11"/>
  <c r="C253" i="11"/>
  <c r="E253" i="11" s="1"/>
  <c r="C254" i="11"/>
  <c r="E254" i="11" s="1"/>
  <c r="C255" i="11"/>
  <c r="C256" i="11"/>
  <c r="E256" i="11" s="1"/>
  <c r="C257" i="11"/>
  <c r="E257" i="11" s="1"/>
  <c r="C258" i="11"/>
  <c r="C259" i="11"/>
  <c r="C260" i="11"/>
  <c r="E260" i="11" s="1"/>
  <c r="C261" i="11"/>
  <c r="E261" i="11" s="1"/>
  <c r="C262" i="11"/>
  <c r="E262" i="11" s="1"/>
  <c r="C263" i="11"/>
  <c r="E263" i="11" s="1"/>
  <c r="C264" i="11"/>
  <c r="E264" i="11" s="1"/>
  <c r="C265" i="11"/>
  <c r="C266" i="11"/>
  <c r="E266" i="11" s="1"/>
  <c r="C267" i="11"/>
  <c r="E267" i="11" s="1"/>
  <c r="C268" i="11"/>
  <c r="E268" i="11" s="1"/>
  <c r="C269" i="11"/>
  <c r="E269" i="11" s="1"/>
  <c r="C270" i="11"/>
  <c r="E270" i="11" s="1"/>
  <c r="C271" i="11"/>
  <c r="E271" i="11" s="1"/>
  <c r="C272" i="11"/>
  <c r="E272" i="11" s="1"/>
  <c r="C273" i="11"/>
  <c r="E273" i="11" s="1"/>
  <c r="C274" i="11"/>
  <c r="C275" i="11"/>
  <c r="C276" i="11"/>
  <c r="E276" i="11" s="1"/>
  <c r="C277" i="11"/>
  <c r="E277" i="11" s="1"/>
  <c r="C278" i="11"/>
  <c r="E278" i="11" s="1"/>
  <c r="C279" i="11"/>
  <c r="E279" i="11" s="1"/>
  <c r="C280" i="11"/>
  <c r="E280" i="11" s="1"/>
  <c r="C281" i="11"/>
  <c r="E281" i="11" s="1"/>
  <c r="C282" i="11"/>
  <c r="E282" i="11" s="1"/>
  <c r="C283" i="11"/>
  <c r="E283" i="11" s="1"/>
  <c r="C284" i="11"/>
  <c r="E284" i="11" s="1"/>
  <c r="C285" i="11"/>
  <c r="E285" i="11" s="1"/>
  <c r="C286" i="11"/>
  <c r="C287" i="11"/>
  <c r="E287" i="11" s="1"/>
  <c r="C288" i="11"/>
  <c r="E288" i="11" s="1"/>
  <c r="C289" i="11"/>
  <c r="C290" i="11"/>
  <c r="E290" i="11" s="1"/>
  <c r="C291" i="11"/>
  <c r="E291" i="11" s="1"/>
  <c r="C292" i="11"/>
  <c r="E292" i="11" s="1"/>
  <c r="C293" i="11"/>
  <c r="E293" i="11" s="1"/>
  <c r="C294" i="11"/>
  <c r="C295" i="11"/>
  <c r="E295" i="11" s="1"/>
  <c r="C296" i="11"/>
  <c r="E296" i="11" s="1"/>
  <c r="C297" i="11"/>
  <c r="C298" i="11"/>
  <c r="E298" i="11" s="1"/>
  <c r="C299" i="11"/>
  <c r="C300" i="11"/>
  <c r="E300" i="11" s="1"/>
  <c r="C301" i="11"/>
  <c r="E301" i="11" s="1"/>
  <c r="C302" i="11"/>
  <c r="E302" i="11" s="1"/>
  <c r="C303" i="11"/>
  <c r="E303" i="11" s="1"/>
  <c r="C304" i="11"/>
  <c r="C305" i="11"/>
  <c r="E305" i="11" s="1"/>
  <c r="C306" i="11"/>
  <c r="E306" i="11" s="1"/>
  <c r="C307" i="11"/>
  <c r="E307" i="11" s="1"/>
  <c r="C308" i="11"/>
  <c r="E308" i="11" s="1"/>
  <c r="C309" i="11"/>
  <c r="C310" i="11"/>
  <c r="E310" i="11" s="1"/>
  <c r="C311" i="11"/>
  <c r="C312" i="11"/>
  <c r="E312" i="11" s="1"/>
  <c r="C313" i="11"/>
  <c r="C314" i="11"/>
  <c r="C315" i="11"/>
  <c r="C316" i="11"/>
  <c r="E316" i="11" s="1"/>
  <c r="C317" i="11"/>
  <c r="E317" i="11" s="1"/>
  <c r="C318" i="11"/>
  <c r="E318" i="11" s="1"/>
  <c r="C319" i="11"/>
  <c r="E319" i="11" s="1"/>
  <c r="C320" i="11"/>
  <c r="E320" i="11" s="1"/>
  <c r="C321" i="11"/>
  <c r="E321" i="11" s="1"/>
  <c r="C322" i="11"/>
  <c r="E322" i="11" s="1"/>
  <c r="C323" i="11"/>
  <c r="E323" i="11" s="1"/>
  <c r="C324" i="11"/>
  <c r="C325" i="11"/>
  <c r="E325" i="11" s="1"/>
  <c r="C326" i="11"/>
  <c r="E326" i="11" s="1"/>
  <c r="C327" i="11"/>
  <c r="E327" i="11" s="1"/>
  <c r="C328" i="11"/>
  <c r="E328" i="11" s="1"/>
  <c r="C329" i="11"/>
  <c r="E329" i="11" s="1"/>
  <c r="C330" i="11"/>
  <c r="E330" i="11" s="1"/>
  <c r="C331" i="11"/>
  <c r="E331" i="11" s="1"/>
  <c r="C332" i="11"/>
  <c r="E332" i="11" s="1"/>
  <c r="C333" i="11"/>
  <c r="C334" i="11"/>
  <c r="E334" i="11" s="1"/>
  <c r="C335" i="11"/>
  <c r="E335" i="11" s="1"/>
  <c r="C336" i="11"/>
  <c r="C337" i="11"/>
  <c r="E337" i="11" s="1"/>
  <c r="C338" i="11"/>
  <c r="E338" i="11" s="1"/>
  <c r="C339" i="11"/>
  <c r="C340" i="11"/>
  <c r="E340" i="11" s="1"/>
  <c r="C341" i="11"/>
  <c r="E341" i="11" s="1"/>
  <c r="C342" i="11"/>
  <c r="C343" i="11"/>
  <c r="E343" i="11" s="1"/>
  <c r="C344" i="11"/>
  <c r="E344" i="11" s="1"/>
  <c r="C345" i="11"/>
  <c r="E345" i="11" s="1"/>
  <c r="C346" i="11"/>
  <c r="E346" i="11" s="1"/>
  <c r="C347" i="11"/>
  <c r="E347" i="11" s="1"/>
  <c r="C348" i="11"/>
  <c r="E348" i="11" s="1"/>
  <c r="C349" i="11"/>
  <c r="E349" i="11" s="1"/>
  <c r="C350" i="11"/>
  <c r="E350" i="11" s="1"/>
  <c r="C351" i="11"/>
  <c r="E351" i="11" s="1"/>
  <c r="C352" i="11"/>
  <c r="E352" i="11" s="1"/>
  <c r="C353" i="11"/>
  <c r="E353" i="11" s="1"/>
  <c r="C354" i="11"/>
  <c r="E354" i="11" s="1"/>
  <c r="C355" i="11"/>
  <c r="E355" i="11" s="1"/>
  <c r="C356" i="11"/>
  <c r="E356" i="11" s="1"/>
  <c r="C357" i="11"/>
  <c r="E357" i="11" s="1"/>
  <c r="C358" i="11"/>
  <c r="E358" i="11" s="1"/>
  <c r="C359" i="11"/>
  <c r="E359" i="11" s="1"/>
  <c r="C360" i="11"/>
  <c r="E360" i="11" s="1"/>
  <c r="C361" i="11"/>
  <c r="E361" i="11" s="1"/>
  <c r="C362" i="11"/>
  <c r="E362" i="11" s="1"/>
  <c r="C363" i="11"/>
  <c r="E363" i="11" s="1"/>
  <c r="C364" i="11"/>
  <c r="C365" i="11"/>
  <c r="E365" i="11" s="1"/>
  <c r="C366" i="11"/>
  <c r="E366" i="11" s="1"/>
  <c r="C367" i="11"/>
  <c r="E367" i="11" s="1"/>
  <c r="C368" i="11"/>
  <c r="E368" i="11" s="1"/>
  <c r="C369" i="11"/>
  <c r="E369" i="11" s="1"/>
  <c r="C370" i="11"/>
  <c r="E370" i="11" s="1"/>
  <c r="C371" i="11"/>
  <c r="E371" i="11" s="1"/>
  <c r="C372" i="11"/>
  <c r="E372" i="11" s="1"/>
  <c r="C373" i="11"/>
  <c r="E373" i="11" s="1"/>
  <c r="C374" i="11"/>
  <c r="E374" i="11" s="1"/>
  <c r="C375" i="11"/>
  <c r="C376" i="11"/>
  <c r="E376" i="11" s="1"/>
  <c r="C377" i="11"/>
  <c r="E377" i="11" s="1"/>
  <c r="C378" i="11"/>
  <c r="E378" i="11" s="1"/>
  <c r="C379" i="11"/>
  <c r="E379" i="11" s="1"/>
  <c r="C380" i="11"/>
  <c r="E380" i="11" s="1"/>
  <c r="C381" i="11"/>
  <c r="E381" i="11" s="1"/>
  <c r="C382" i="11"/>
  <c r="E382" i="11" s="1"/>
  <c r="C383" i="11"/>
  <c r="E383" i="11" s="1"/>
  <c r="C384" i="11"/>
  <c r="E384" i="11" s="1"/>
  <c r="C385" i="11"/>
  <c r="E385" i="11" s="1"/>
  <c r="C386" i="11"/>
  <c r="E386" i="11" s="1"/>
  <c r="C387" i="11"/>
  <c r="E387" i="11" s="1"/>
  <c r="C388" i="11"/>
  <c r="E388" i="11" s="1"/>
  <c r="C389" i="11"/>
  <c r="E389" i="11" s="1"/>
  <c r="C390" i="11"/>
  <c r="E390" i="11" s="1"/>
  <c r="C391" i="11"/>
  <c r="E391" i="11" s="1"/>
  <c r="C392" i="11"/>
  <c r="E392" i="11" s="1"/>
  <c r="D392" i="11"/>
  <c r="C393" i="11"/>
  <c r="E393" i="11" s="1"/>
  <c r="C394" i="11"/>
  <c r="E394" i="11" s="1"/>
  <c r="C395" i="11"/>
  <c r="C396" i="11"/>
  <c r="C397" i="11"/>
  <c r="E397" i="11" s="1"/>
  <c r="C398" i="11"/>
  <c r="E398" i="11" s="1"/>
  <c r="C399" i="11"/>
  <c r="E399" i="11" s="1"/>
  <c r="C400" i="11"/>
  <c r="C401" i="11"/>
  <c r="E401" i="11" s="1"/>
  <c r="C402" i="11"/>
  <c r="E402" i="11" s="1"/>
  <c r="C403" i="11"/>
  <c r="E403" i="11" s="1"/>
  <c r="C404" i="11"/>
  <c r="E404" i="11" s="1"/>
  <c r="C405" i="11"/>
  <c r="E405" i="11" s="1"/>
  <c r="C406" i="11"/>
  <c r="E406" i="11" s="1"/>
  <c r="C407" i="11"/>
  <c r="E407" i="11" s="1"/>
  <c r="C408" i="11"/>
  <c r="E408" i="11" s="1"/>
  <c r="C409" i="11"/>
  <c r="E409" i="11" s="1"/>
  <c r="C410" i="11"/>
  <c r="E410" i="11" s="1"/>
  <c r="C411" i="11"/>
  <c r="E411" i="11" s="1"/>
  <c r="C412" i="11"/>
  <c r="C413" i="11"/>
  <c r="C414" i="11"/>
  <c r="E414" i="11" s="1"/>
  <c r="C415" i="11"/>
  <c r="E415" i="11" s="1"/>
  <c r="C416" i="11"/>
  <c r="C417" i="11"/>
  <c r="C418" i="11"/>
  <c r="E418" i="11" s="1"/>
  <c r="C419" i="11"/>
  <c r="E419" i="11" s="1"/>
  <c r="C420" i="11"/>
  <c r="E420" i="11" s="1"/>
  <c r="C421" i="11"/>
  <c r="E421" i="11" s="1"/>
  <c r="C422" i="11"/>
  <c r="E422" i="11" s="1"/>
  <c r="C423" i="11"/>
  <c r="E423" i="11" s="1"/>
  <c r="C424" i="11"/>
  <c r="C425" i="11"/>
  <c r="E425" i="11" s="1"/>
  <c r="C426" i="11"/>
  <c r="E426" i="11" s="1"/>
  <c r="C427" i="11"/>
  <c r="E427" i="11" s="1"/>
  <c r="C428" i="11"/>
  <c r="E428" i="11" s="1"/>
  <c r="C429" i="11"/>
  <c r="C430" i="11"/>
  <c r="E430" i="11" s="1"/>
  <c r="C431" i="11"/>
  <c r="E431" i="11" s="1"/>
  <c r="C432" i="11"/>
  <c r="E432" i="11" s="1"/>
  <c r="C433" i="11"/>
  <c r="E433" i="11" s="1"/>
  <c r="C434" i="11"/>
  <c r="E434" i="11" s="1"/>
  <c r="C435" i="11"/>
  <c r="E435" i="11" s="1"/>
  <c r="C436" i="11"/>
  <c r="C437" i="11"/>
  <c r="E437" i="11" s="1"/>
  <c r="C438" i="11"/>
  <c r="E438" i="11" s="1"/>
  <c r="C439" i="11"/>
  <c r="E439" i="11" s="1"/>
  <c r="C440" i="11"/>
  <c r="E440" i="11" s="1"/>
  <c r="C441" i="11"/>
  <c r="E441" i="11" s="1"/>
  <c r="C442" i="11"/>
  <c r="C443" i="11"/>
  <c r="E443" i="11" s="1"/>
  <c r="C444" i="11"/>
  <c r="E444" i="11" s="1"/>
  <c r="C445" i="11"/>
  <c r="E445" i="11" s="1"/>
  <c r="C446" i="11"/>
  <c r="E446" i="11" s="1"/>
  <c r="C447" i="11"/>
  <c r="E447" i="11" s="1"/>
  <c r="C448" i="11"/>
  <c r="E448" i="11" s="1"/>
  <c r="C449" i="11"/>
  <c r="E449" i="11" s="1"/>
  <c r="C450" i="11"/>
  <c r="E450" i="11" s="1"/>
  <c r="C451" i="11"/>
  <c r="E451" i="11" s="1"/>
  <c r="D451" i="11"/>
  <c r="C452" i="11"/>
  <c r="E452" i="11" s="1"/>
  <c r="C453" i="11"/>
  <c r="E453" i="11" s="1"/>
  <c r="C454" i="11"/>
  <c r="E454" i="11" s="1"/>
  <c r="C455" i="11"/>
  <c r="E455" i="11" s="1"/>
  <c r="C456" i="11"/>
  <c r="E456" i="11" s="1"/>
  <c r="C457" i="11"/>
  <c r="E457" i="11" s="1"/>
  <c r="C458" i="11"/>
  <c r="E458" i="11" s="1"/>
  <c r="C459" i="11"/>
  <c r="E459" i="11" s="1"/>
  <c r="C460" i="11"/>
  <c r="E460" i="11" s="1"/>
  <c r="C461" i="11"/>
  <c r="E461" i="11" s="1"/>
  <c r="C462" i="11"/>
  <c r="E462" i="11" s="1"/>
  <c r="C463" i="11"/>
  <c r="C464" i="11"/>
  <c r="E464" i="11" s="1"/>
  <c r="C465" i="11"/>
  <c r="E465" i="11" s="1"/>
  <c r="C466" i="11"/>
  <c r="E466" i="11" s="1"/>
  <c r="C467" i="11"/>
  <c r="C468" i="11"/>
  <c r="E468" i="11" s="1"/>
  <c r="C469" i="11"/>
  <c r="E469" i="11" s="1"/>
  <c r="C470" i="11"/>
  <c r="E470" i="11" s="1"/>
  <c r="C471" i="11"/>
  <c r="C472" i="11"/>
  <c r="E472" i="11" s="1"/>
  <c r="C473" i="11"/>
  <c r="E473" i="11" s="1"/>
  <c r="C474" i="11"/>
  <c r="C475" i="11"/>
  <c r="E475" i="11" s="1"/>
  <c r="C476" i="11"/>
  <c r="E476" i="11" s="1"/>
  <c r="C477" i="11"/>
  <c r="E477" i="11" s="1"/>
  <c r="C478" i="11"/>
  <c r="E478" i="11" s="1"/>
  <c r="C479" i="11"/>
  <c r="E479" i="11" s="1"/>
  <c r="C480" i="11"/>
  <c r="E480" i="11" s="1"/>
  <c r="C481" i="11"/>
  <c r="E481" i="11" s="1"/>
  <c r="C482" i="11"/>
  <c r="C483" i="11"/>
  <c r="E483" i="11" s="1"/>
  <c r="C484" i="11"/>
  <c r="E484" i="11" s="1"/>
  <c r="C485" i="11"/>
  <c r="E485" i="11" s="1"/>
  <c r="C486" i="11"/>
  <c r="C487" i="11"/>
  <c r="E487" i="11" s="1"/>
  <c r="C488" i="11"/>
  <c r="E488" i="11" s="1"/>
  <c r="C489" i="11"/>
  <c r="C490" i="11"/>
  <c r="E490" i="11" s="1"/>
  <c r="C491" i="11"/>
  <c r="E491" i="11" s="1"/>
  <c r="C492" i="11"/>
  <c r="E492" i="11" s="1"/>
  <c r="C493" i="11"/>
  <c r="E493" i="11" s="1"/>
  <c r="C494" i="11"/>
  <c r="E494" i="11" s="1"/>
  <c r="C495" i="11"/>
  <c r="E495" i="11" s="1"/>
  <c r="C496" i="11"/>
  <c r="C497" i="11"/>
  <c r="E497" i="11" s="1"/>
  <c r="C498" i="11"/>
  <c r="C499" i="11"/>
  <c r="E499" i="11" s="1"/>
  <c r="C500" i="11"/>
  <c r="E500" i="11" s="1"/>
  <c r="C501" i="11"/>
  <c r="E501" i="11" s="1"/>
  <c r="C502" i="11"/>
  <c r="C503" i="11"/>
  <c r="C504" i="11"/>
  <c r="E504" i="11" s="1"/>
  <c r="C505" i="11"/>
  <c r="E505" i="11" s="1"/>
  <c r="C506" i="11"/>
  <c r="E506" i="11" s="1"/>
  <c r="C507" i="11"/>
  <c r="C508" i="11"/>
  <c r="E508" i="11" s="1"/>
  <c r="C509" i="11"/>
  <c r="E509" i="11" s="1"/>
  <c r="C510" i="11"/>
  <c r="E510" i="11" s="1"/>
  <c r="C511" i="11"/>
  <c r="E511" i="11" s="1"/>
  <c r="C512" i="11"/>
  <c r="E512" i="11" s="1"/>
  <c r="C513" i="11"/>
  <c r="C514" i="11"/>
  <c r="E514" i="11" s="1"/>
  <c r="C515" i="11"/>
  <c r="C516" i="11"/>
  <c r="E516" i="11" s="1"/>
  <c r="C517" i="11"/>
  <c r="E517" i="11" s="1"/>
  <c r="C518" i="11"/>
  <c r="E518" i="11" s="1"/>
  <c r="C519" i="11"/>
  <c r="E519" i="11" s="1"/>
  <c r="C520" i="11"/>
  <c r="E520" i="11" s="1"/>
  <c r="C521" i="11"/>
  <c r="E521" i="11" s="1"/>
  <c r="C522" i="11"/>
  <c r="E522" i="11" s="1"/>
  <c r="C523" i="11"/>
  <c r="E523" i="11" s="1"/>
  <c r="C524" i="11"/>
  <c r="E524" i="11" s="1"/>
  <c r="C525" i="11"/>
  <c r="E525" i="11" s="1"/>
  <c r="C526" i="11"/>
  <c r="E526" i="11" s="1"/>
  <c r="C527" i="11"/>
  <c r="E527" i="11" s="1"/>
  <c r="C528" i="11"/>
  <c r="E528" i="11" s="1"/>
  <c r="C529" i="11"/>
  <c r="E529" i="11" s="1"/>
  <c r="C530" i="11"/>
  <c r="E530" i="11" s="1"/>
  <c r="C531" i="11"/>
  <c r="E531" i="11" s="1"/>
  <c r="C532" i="11"/>
  <c r="E532" i="11" s="1"/>
  <c r="C533" i="11"/>
  <c r="E533" i="11" s="1"/>
  <c r="C534" i="11"/>
  <c r="E534" i="11" s="1"/>
  <c r="C535" i="11"/>
  <c r="E535" i="11" s="1"/>
  <c r="C536" i="11"/>
  <c r="E536" i="11" s="1"/>
  <c r="C537" i="11"/>
  <c r="C538" i="11"/>
  <c r="E538" i="11" s="1"/>
  <c r="C539" i="11"/>
  <c r="E539" i="11" s="1"/>
  <c r="C540" i="11"/>
  <c r="E540" i="11" s="1"/>
  <c r="C541" i="11"/>
  <c r="E541" i="11" s="1"/>
  <c r="C542" i="11"/>
  <c r="E542" i="11" s="1"/>
  <c r="C543" i="11"/>
  <c r="E543" i="11" s="1"/>
  <c r="C544" i="11"/>
  <c r="E544" i="11" s="1"/>
  <c r="C545" i="11"/>
  <c r="E545" i="11" s="1"/>
  <c r="C546" i="11"/>
  <c r="E546" i="11" s="1"/>
  <c r="D546" i="11"/>
  <c r="C547" i="11"/>
  <c r="E547" i="11" s="1"/>
  <c r="C548" i="11"/>
  <c r="E548" i="11" s="1"/>
  <c r="C549" i="11"/>
  <c r="E549" i="11" s="1"/>
  <c r="C550" i="11"/>
  <c r="E550" i="11" s="1"/>
  <c r="C551" i="11"/>
  <c r="E551" i="11" s="1"/>
  <c r="C552" i="11"/>
  <c r="E552" i="11" s="1"/>
  <c r="C553" i="11"/>
  <c r="E553" i="11" s="1"/>
  <c r="C554" i="11"/>
  <c r="C555" i="11"/>
  <c r="E555" i="11" s="1"/>
  <c r="C556" i="11"/>
  <c r="C557" i="11"/>
  <c r="E557" i="11" s="1"/>
  <c r="C558" i="11"/>
  <c r="E558" i="11" s="1"/>
  <c r="C559" i="11"/>
  <c r="E559" i="11" s="1"/>
  <c r="C560" i="11"/>
  <c r="E560" i="11" s="1"/>
  <c r="C561" i="11"/>
  <c r="C562" i="11"/>
  <c r="E562" i="11" s="1"/>
  <c r="C563" i="11"/>
  <c r="E563" i="11" s="1"/>
  <c r="C564" i="11"/>
  <c r="E564" i="11" s="1"/>
  <c r="C565" i="11"/>
  <c r="E565" i="11" s="1"/>
  <c r="C566" i="11"/>
  <c r="E566" i="11" s="1"/>
  <c r="C567" i="11"/>
  <c r="C568" i="11"/>
  <c r="E568" i="11" s="1"/>
  <c r="C569" i="11"/>
  <c r="E569" i="11" s="1"/>
  <c r="C570" i="11"/>
  <c r="C571" i="11"/>
  <c r="E571" i="11" s="1"/>
  <c r="C572" i="11"/>
  <c r="C573" i="11"/>
  <c r="E573" i="11" s="1"/>
  <c r="C574" i="11"/>
  <c r="E574" i="11" s="1"/>
  <c r="C575" i="11"/>
  <c r="C576" i="11"/>
  <c r="E576" i="11" s="1"/>
  <c r="C577" i="11"/>
  <c r="E577" i="11" s="1"/>
  <c r="C578" i="11"/>
  <c r="E578" i="11" s="1"/>
  <c r="C579" i="11"/>
  <c r="E579" i="11" s="1"/>
  <c r="C580" i="11"/>
  <c r="E580" i="11" s="1"/>
  <c r="C581" i="11"/>
  <c r="E581" i="11" s="1"/>
  <c r="C582" i="11"/>
  <c r="E582" i="11" s="1"/>
  <c r="C583" i="11"/>
  <c r="E583" i="11" s="1"/>
  <c r="C584" i="11"/>
  <c r="C585" i="11"/>
  <c r="E585" i="11" s="1"/>
  <c r="C586" i="11"/>
  <c r="E586" i="11" s="1"/>
  <c r="C587" i="11"/>
  <c r="E587" i="11" s="1"/>
  <c r="C588" i="11"/>
  <c r="E588" i="11" s="1"/>
  <c r="C589" i="11"/>
  <c r="E589" i="11" s="1"/>
  <c r="C590" i="11"/>
  <c r="E590" i="11" s="1"/>
  <c r="C591" i="11"/>
  <c r="E591" i="11" s="1"/>
  <c r="C592" i="11"/>
  <c r="E592" i="11" s="1"/>
  <c r="C593" i="11"/>
  <c r="E593" i="11" s="1"/>
  <c r="C594" i="11"/>
  <c r="E594" i="11" s="1"/>
  <c r="C595" i="11"/>
  <c r="E595" i="11" s="1"/>
  <c r="C596" i="11"/>
  <c r="C597" i="11"/>
  <c r="E597" i="11" s="1"/>
  <c r="C598" i="11"/>
  <c r="E598" i="11" s="1"/>
  <c r="C599" i="11"/>
  <c r="C600" i="11"/>
  <c r="E600" i="11" s="1"/>
  <c r="C601" i="11"/>
  <c r="E601" i="11" s="1"/>
  <c r="C602" i="11"/>
  <c r="E602" i="11" s="1"/>
  <c r="C603" i="11"/>
  <c r="E603" i="11" s="1"/>
  <c r="C604" i="11"/>
  <c r="C605" i="11"/>
  <c r="E605" i="11" s="1"/>
  <c r="C606" i="11"/>
  <c r="E606" i="11" s="1"/>
  <c r="C607" i="11"/>
  <c r="E607" i="11" s="1"/>
  <c r="C608" i="11"/>
  <c r="C609" i="11"/>
  <c r="E609" i="11" s="1"/>
  <c r="C610" i="11"/>
  <c r="E610" i="11" s="1"/>
  <c r="C611" i="11"/>
  <c r="E611" i="11" s="1"/>
  <c r="C612" i="11"/>
  <c r="E612" i="11" s="1"/>
  <c r="C613" i="11"/>
  <c r="E613" i="11" s="1"/>
  <c r="C614" i="11"/>
  <c r="E614" i="11" s="1"/>
  <c r="C615" i="11"/>
  <c r="C616" i="11"/>
  <c r="E616" i="11" s="1"/>
  <c r="C617" i="11"/>
  <c r="E617" i="11" s="1"/>
  <c r="C618" i="11"/>
  <c r="C619" i="11"/>
  <c r="E619" i="11" s="1"/>
  <c r="C620" i="11"/>
  <c r="E620" i="11" s="1"/>
  <c r="C621" i="11"/>
  <c r="E621" i="11" s="1"/>
  <c r="C622" i="11"/>
  <c r="E622" i="11" s="1"/>
  <c r="C623" i="11"/>
  <c r="E623" i="11" s="1"/>
  <c r="C624" i="11"/>
  <c r="E624" i="11" s="1"/>
  <c r="C625" i="11"/>
  <c r="E625" i="11" s="1"/>
  <c r="C626" i="11"/>
  <c r="E626" i="11" s="1"/>
  <c r="C627" i="11"/>
  <c r="E627" i="11" s="1"/>
  <c r="C628" i="11"/>
  <c r="C629" i="11"/>
  <c r="E629" i="11" s="1"/>
  <c r="C630" i="11"/>
  <c r="C631" i="11"/>
  <c r="E631" i="11" s="1"/>
  <c r="C632" i="11"/>
  <c r="E632" i="11" s="1"/>
  <c r="C633" i="11"/>
  <c r="C634" i="11"/>
  <c r="E634" i="11" s="1"/>
  <c r="C635" i="11"/>
  <c r="E635" i="11" s="1"/>
  <c r="C636" i="11"/>
  <c r="E636" i="11" s="1"/>
  <c r="C637" i="11"/>
  <c r="E637" i="11" s="1"/>
  <c r="C638" i="11"/>
  <c r="E638" i="11" s="1"/>
  <c r="C639" i="11"/>
  <c r="E639" i="11" s="1"/>
  <c r="C640" i="11"/>
  <c r="E640" i="11" s="1"/>
  <c r="C641" i="11"/>
  <c r="E641" i="11" s="1"/>
  <c r="C642" i="11"/>
  <c r="E642" i="11" s="1"/>
  <c r="C643" i="11"/>
  <c r="E643" i="11" s="1"/>
  <c r="C644" i="11"/>
  <c r="E644" i="11" s="1"/>
  <c r="C645" i="11"/>
  <c r="E645" i="11" s="1"/>
  <c r="C646" i="11"/>
  <c r="E646" i="11" s="1"/>
  <c r="C647" i="11"/>
  <c r="E647" i="11" s="1"/>
  <c r="C648" i="11"/>
  <c r="E648" i="11" s="1"/>
  <c r="C649" i="11"/>
  <c r="E649" i="11" s="1"/>
  <c r="C650" i="11"/>
  <c r="E650" i="11" s="1"/>
  <c r="C651" i="11"/>
  <c r="E651" i="11" s="1"/>
  <c r="C652" i="11"/>
  <c r="E652" i="11" s="1"/>
  <c r="C653" i="11"/>
  <c r="E653" i="11" s="1"/>
  <c r="C654" i="11"/>
  <c r="E654" i="11" s="1"/>
  <c r="C655" i="11"/>
  <c r="E655" i="11" s="1"/>
  <c r="C656" i="11"/>
  <c r="E656" i="11" s="1"/>
  <c r="C657" i="11"/>
  <c r="E657" i="11" s="1"/>
  <c r="C658" i="11"/>
  <c r="E658" i="11" s="1"/>
  <c r="C659" i="11"/>
  <c r="E659" i="11" s="1"/>
  <c r="C660" i="11"/>
  <c r="E660" i="11" s="1"/>
  <c r="C661" i="11"/>
  <c r="C662" i="11"/>
  <c r="E662" i="11" s="1"/>
  <c r="C663" i="11"/>
  <c r="E663" i="11" s="1"/>
  <c r="C664" i="11"/>
  <c r="C665" i="11"/>
  <c r="E665" i="11" s="1"/>
  <c r="C666" i="11"/>
  <c r="C667" i="11"/>
  <c r="E667" i="11" s="1"/>
  <c r="C668" i="11"/>
  <c r="E668" i="11" s="1"/>
  <c r="C669" i="11"/>
  <c r="E669" i="11" s="1"/>
  <c r="C670" i="11"/>
  <c r="E670" i="11" s="1"/>
  <c r="C671" i="11"/>
  <c r="C672" i="11"/>
  <c r="C673" i="11"/>
  <c r="C674" i="11"/>
  <c r="C675" i="11"/>
  <c r="E675" i="11" s="1"/>
  <c r="C676" i="11"/>
  <c r="C677" i="11"/>
  <c r="C678" i="11"/>
  <c r="C679" i="11"/>
  <c r="E679" i="11" s="1"/>
  <c r="C680" i="11"/>
  <c r="E680" i="11" s="1"/>
  <c r="C681" i="11"/>
  <c r="C682" i="11"/>
  <c r="E682" i="11" s="1"/>
  <c r="C683" i="11"/>
  <c r="E683" i="11" s="1"/>
  <c r="C684" i="11"/>
  <c r="E684" i="11" s="1"/>
  <c r="C685" i="11"/>
  <c r="C686" i="11"/>
  <c r="E686" i="11" s="1"/>
  <c r="C687" i="11"/>
  <c r="E687" i="11" s="1"/>
  <c r="C688" i="11"/>
  <c r="E688" i="11" s="1"/>
  <c r="C689" i="11"/>
  <c r="E689" i="11" s="1"/>
  <c r="C690" i="11"/>
  <c r="E690" i="11" s="1"/>
  <c r="C691" i="11"/>
  <c r="E691" i="11" s="1"/>
  <c r="C692" i="11"/>
  <c r="E692" i="11" s="1"/>
  <c r="C693" i="11"/>
  <c r="E693" i="11" s="1"/>
  <c r="C694" i="11"/>
  <c r="E694" i="11" s="1"/>
  <c r="C695" i="11"/>
  <c r="E695" i="11" s="1"/>
  <c r="C696" i="11"/>
  <c r="C697" i="11"/>
  <c r="E697" i="11" s="1"/>
  <c r="C698" i="11"/>
  <c r="C699" i="11"/>
  <c r="E699" i="11" s="1"/>
  <c r="C700" i="11"/>
  <c r="C701" i="11"/>
  <c r="C702" i="11"/>
  <c r="E702" i="11" s="1"/>
  <c r="C703" i="11"/>
  <c r="E703" i="11" s="1"/>
  <c r="C704" i="11"/>
  <c r="E704" i="11" s="1"/>
  <c r="C705" i="11"/>
  <c r="E705" i="11" s="1"/>
  <c r="C706" i="11"/>
  <c r="C707" i="11"/>
  <c r="E707" i="11" s="1"/>
  <c r="C708" i="11"/>
  <c r="E708" i="11" s="1"/>
  <c r="C709" i="11"/>
  <c r="E709" i="11" s="1"/>
  <c r="C710" i="11"/>
  <c r="E710" i="11" s="1"/>
  <c r="C711" i="11"/>
  <c r="C712" i="11"/>
  <c r="E712" i="11" s="1"/>
  <c r="C713" i="11"/>
  <c r="C714" i="11"/>
  <c r="C715" i="11"/>
  <c r="E715" i="11" s="1"/>
  <c r="C716" i="11"/>
  <c r="C717" i="11"/>
  <c r="E717" i="11" s="1"/>
  <c r="C718" i="11"/>
  <c r="E718" i="11" s="1"/>
  <c r="C719" i="11"/>
  <c r="E719" i="11" s="1"/>
  <c r="C720" i="11"/>
  <c r="C721" i="11"/>
  <c r="E721" i="11" s="1"/>
  <c r="C722" i="11"/>
  <c r="E722" i="11" s="1"/>
  <c r="C723" i="11"/>
  <c r="C724" i="11"/>
  <c r="E724" i="11" s="1"/>
  <c r="C725" i="11"/>
  <c r="C726" i="11"/>
  <c r="C727" i="11"/>
  <c r="E727" i="11" s="1"/>
  <c r="C728" i="11"/>
  <c r="E728" i="11" s="1"/>
  <c r="C729" i="11"/>
  <c r="C730" i="11"/>
  <c r="C731" i="11"/>
  <c r="E731" i="11" s="1"/>
  <c r="C732" i="11"/>
  <c r="E732" i="11" s="1"/>
  <c r="C733" i="11"/>
  <c r="E733" i="11" s="1"/>
  <c r="C734" i="11"/>
  <c r="E734" i="11" s="1"/>
  <c r="C735" i="11"/>
  <c r="E735" i="11" s="1"/>
  <c r="C736" i="11"/>
  <c r="E736" i="11" s="1"/>
  <c r="C737" i="11"/>
  <c r="E737" i="11" s="1"/>
  <c r="C738" i="11"/>
  <c r="C739" i="11"/>
  <c r="E739" i="11" s="1"/>
  <c r="C740" i="11"/>
  <c r="E740" i="11" s="1"/>
  <c r="C741" i="11"/>
  <c r="C742" i="11"/>
  <c r="E742" i="11" s="1"/>
  <c r="C743" i="11"/>
  <c r="E743" i="11" s="1"/>
  <c r="C744" i="11"/>
  <c r="E744" i="11" s="1"/>
  <c r="C745" i="11"/>
  <c r="E745" i="11" s="1"/>
  <c r="C746" i="11"/>
  <c r="E746" i="11" s="1"/>
  <c r="C747" i="11"/>
  <c r="E747" i="11" s="1"/>
  <c r="C748" i="11"/>
  <c r="E748" i="11" s="1"/>
  <c r="C749" i="11"/>
  <c r="E749" i="11" s="1"/>
  <c r="C750" i="11"/>
  <c r="E750" i="11" s="1"/>
  <c r="C751" i="11"/>
  <c r="E751" i="11" s="1"/>
  <c r="C752" i="11"/>
  <c r="E752" i="11" s="1"/>
  <c r="C753" i="11"/>
  <c r="E753" i="11" s="1"/>
  <c r="C754" i="11"/>
  <c r="E754" i="11" s="1"/>
  <c r="C755" i="11"/>
  <c r="E755" i="11" s="1"/>
  <c r="C756" i="11"/>
  <c r="C757" i="11"/>
  <c r="E757" i="11" s="1"/>
  <c r="C758" i="11"/>
  <c r="E758" i="11" s="1"/>
  <c r="C759" i="11"/>
  <c r="E759" i="11" s="1"/>
  <c r="C760" i="11"/>
  <c r="E760" i="11" s="1"/>
  <c r="C761" i="11"/>
  <c r="C762" i="11"/>
  <c r="E762" i="11" s="1"/>
  <c r="C763" i="11"/>
  <c r="E763" i="11" s="1"/>
  <c r="C764" i="11"/>
  <c r="E764" i="11" s="1"/>
  <c r="C765" i="11"/>
  <c r="E765" i="11" s="1"/>
  <c r="C766" i="11"/>
  <c r="E766" i="11" s="1"/>
  <c r="C767" i="11"/>
  <c r="E767" i="11" s="1"/>
  <c r="C768" i="11"/>
  <c r="E768" i="11" s="1"/>
  <c r="C769" i="11"/>
  <c r="E769" i="11" s="1"/>
  <c r="C770" i="11"/>
  <c r="E770" i="11" s="1"/>
  <c r="C771" i="11"/>
  <c r="E771" i="11" s="1"/>
  <c r="C772" i="11"/>
  <c r="C773" i="11"/>
  <c r="E773" i="11" s="1"/>
  <c r="C774" i="11"/>
  <c r="E774" i="11" s="1"/>
  <c r="C775" i="11"/>
  <c r="E775" i="11" s="1"/>
  <c r="C776" i="11"/>
  <c r="E776" i="11" s="1"/>
  <c r="C777" i="11"/>
  <c r="E777" i="11" s="1"/>
  <c r="C778" i="11"/>
  <c r="E778" i="11" s="1"/>
  <c r="C779" i="11"/>
  <c r="E779" i="11" s="1"/>
  <c r="C780" i="11"/>
  <c r="E780" i="11" s="1"/>
  <c r="C781" i="11"/>
  <c r="C782" i="11"/>
  <c r="E782" i="11" s="1"/>
  <c r="C783" i="11"/>
  <c r="E783" i="11" s="1"/>
  <c r="C784" i="11"/>
  <c r="E784" i="11" s="1"/>
  <c r="C785" i="11"/>
  <c r="E785" i="11" s="1"/>
  <c r="C786" i="11"/>
  <c r="E786" i="11" s="1"/>
  <c r="C787" i="11"/>
  <c r="E787" i="11" s="1"/>
  <c r="C788" i="11"/>
  <c r="E788" i="11" s="1"/>
  <c r="C789" i="11"/>
  <c r="E789" i="11" s="1"/>
  <c r="C790" i="11"/>
  <c r="C791" i="11"/>
  <c r="E791" i="11" s="1"/>
  <c r="C792" i="11"/>
  <c r="E792" i="11" s="1"/>
  <c r="C793" i="11"/>
  <c r="E793" i="11" s="1"/>
  <c r="C794" i="11"/>
  <c r="C795" i="11"/>
  <c r="E795" i="11" s="1"/>
  <c r="C796" i="11"/>
  <c r="E796" i="11" s="1"/>
  <c r="C797" i="11"/>
  <c r="C798" i="11"/>
  <c r="E798" i="11" s="1"/>
  <c r="C799" i="11"/>
  <c r="E799" i="11" s="1"/>
  <c r="C800" i="11"/>
  <c r="E800" i="11" s="1"/>
  <c r="C801" i="11"/>
  <c r="E801" i="11" s="1"/>
  <c r="C802" i="11"/>
  <c r="E802" i="11" s="1"/>
  <c r="C803" i="11"/>
  <c r="E803" i="11" s="1"/>
  <c r="C804" i="11"/>
  <c r="E804" i="11" s="1"/>
  <c r="C805" i="11"/>
  <c r="C806" i="11"/>
  <c r="E806" i="11" s="1"/>
  <c r="C807" i="11"/>
  <c r="E807" i="11" s="1"/>
  <c r="C808" i="11"/>
  <c r="E808" i="11" s="1"/>
  <c r="C809" i="11"/>
  <c r="E809" i="11" s="1"/>
  <c r="C810" i="11"/>
  <c r="E810" i="11" s="1"/>
  <c r="C811" i="11"/>
  <c r="E811" i="11" s="1"/>
  <c r="C812" i="11"/>
  <c r="E812" i="11" s="1"/>
  <c r="C813" i="11"/>
  <c r="E813" i="11" s="1"/>
  <c r="C814" i="11"/>
  <c r="E814" i="11" s="1"/>
  <c r="C815" i="11"/>
  <c r="C816" i="11"/>
  <c r="E816" i="11" s="1"/>
  <c r="C817" i="11"/>
  <c r="E817" i="11" s="1"/>
  <c r="C818" i="11"/>
  <c r="E818" i="11" s="1"/>
  <c r="C819" i="11"/>
  <c r="E819" i="11" s="1"/>
  <c r="C820" i="11"/>
  <c r="E820" i="11" s="1"/>
  <c r="C821" i="11"/>
  <c r="E821" i="11" s="1"/>
  <c r="C822" i="11"/>
  <c r="C823" i="11"/>
  <c r="E823" i="11" s="1"/>
  <c r="C824" i="11"/>
  <c r="E824" i="11" s="1"/>
  <c r="C825" i="11"/>
  <c r="E825" i="11" s="1"/>
  <c r="C826" i="11"/>
  <c r="E826" i="11" s="1"/>
  <c r="C827" i="11"/>
  <c r="E827" i="11" s="1"/>
  <c r="C828" i="11"/>
  <c r="E828" i="11" s="1"/>
  <c r="C829" i="11"/>
  <c r="E829" i="11" s="1"/>
  <c r="C830" i="11"/>
  <c r="C831" i="11"/>
  <c r="C832" i="11"/>
  <c r="C833" i="11"/>
  <c r="E833" i="11" s="1"/>
  <c r="C834" i="11"/>
  <c r="E834" i="11" s="1"/>
  <c r="C835" i="11"/>
  <c r="E835" i="11" s="1"/>
  <c r="C836" i="11"/>
  <c r="C837" i="11"/>
  <c r="C838" i="11"/>
  <c r="E838" i="11" s="1"/>
  <c r="C839" i="11"/>
  <c r="E839" i="11" s="1"/>
  <c r="C840" i="11"/>
  <c r="E840" i="11" s="1"/>
  <c r="C841" i="11"/>
  <c r="C842" i="11"/>
  <c r="E842" i="11" s="1"/>
  <c r="C843" i="11"/>
  <c r="E843" i="11" s="1"/>
  <c r="C844" i="11"/>
  <c r="E844" i="11" s="1"/>
  <c r="C845" i="11"/>
  <c r="E845" i="11" s="1"/>
  <c r="C846" i="11"/>
  <c r="C847" i="11"/>
  <c r="C848" i="11"/>
  <c r="E848" i="11" s="1"/>
  <c r="C849" i="11"/>
  <c r="E849" i="11" s="1"/>
  <c r="C850" i="11"/>
  <c r="E850" i="11" s="1"/>
  <c r="C851" i="11"/>
  <c r="C852" i="11"/>
  <c r="C853" i="11"/>
  <c r="E853" i="11" s="1"/>
  <c r="C854" i="11"/>
  <c r="E854" i="11" s="1"/>
  <c r="C855" i="11"/>
  <c r="E855" i="11" s="1"/>
  <c r="C856" i="11"/>
  <c r="E856" i="11" s="1"/>
  <c r="C857" i="11"/>
  <c r="C858" i="11"/>
  <c r="E858" i="11" s="1"/>
  <c r="C859" i="11"/>
  <c r="E859" i="11" s="1"/>
  <c r="C860" i="11"/>
  <c r="E860" i="11" s="1"/>
  <c r="C861" i="11"/>
  <c r="E861" i="11" s="1"/>
  <c r="C862" i="11"/>
  <c r="E862" i="11" s="1"/>
  <c r="C863" i="11"/>
  <c r="E863" i="11" s="1"/>
  <c r="C864" i="11"/>
  <c r="C865" i="11"/>
  <c r="E865" i="11" s="1"/>
  <c r="C866" i="11"/>
  <c r="C867" i="11"/>
  <c r="E867" i="11" s="1"/>
  <c r="C868" i="11"/>
  <c r="E868" i="11" s="1"/>
  <c r="C869" i="11"/>
  <c r="E869" i="11" s="1"/>
  <c r="C870" i="11"/>
  <c r="E870" i="11" s="1"/>
  <c r="C871" i="11"/>
  <c r="E871" i="11" s="1"/>
  <c r="C872" i="11"/>
  <c r="E872" i="11" s="1"/>
  <c r="C873" i="11"/>
  <c r="E873" i="11" s="1"/>
  <c r="C874" i="11"/>
  <c r="E874" i="11" s="1"/>
  <c r="C875" i="11"/>
  <c r="E875" i="11" s="1"/>
  <c r="C876" i="11"/>
  <c r="C877" i="11"/>
  <c r="E877" i="11" s="1"/>
  <c r="C878" i="11"/>
  <c r="E878" i="11" s="1"/>
  <c r="C879" i="11"/>
  <c r="C880" i="11"/>
  <c r="E880" i="11" s="1"/>
  <c r="C881" i="11"/>
  <c r="E881" i="11" s="1"/>
  <c r="C882" i="11"/>
  <c r="C883" i="11"/>
  <c r="E883" i="11" s="1"/>
  <c r="C884" i="11"/>
  <c r="E884" i="11" s="1"/>
  <c r="C885" i="11"/>
  <c r="E885" i="11" s="1"/>
  <c r="C886" i="11"/>
  <c r="E886" i="11" s="1"/>
  <c r="C887" i="11"/>
  <c r="E887" i="11" s="1"/>
  <c r="C888" i="11"/>
  <c r="E888" i="11" s="1"/>
  <c r="C889" i="11"/>
  <c r="C890" i="11"/>
  <c r="E890" i="11" s="1"/>
  <c r="C891" i="11"/>
  <c r="E891" i="11" s="1"/>
  <c r="C892" i="11"/>
  <c r="E892" i="11" s="1"/>
  <c r="C893" i="11"/>
  <c r="E893" i="11" s="1"/>
  <c r="C894" i="11"/>
  <c r="E894" i="11" s="1"/>
  <c r="C895" i="11"/>
  <c r="E895" i="11" s="1"/>
  <c r="C896" i="11"/>
  <c r="E896" i="11" s="1"/>
  <c r="C897" i="11"/>
  <c r="E897" i="11" s="1"/>
  <c r="C898" i="11"/>
  <c r="C899" i="11"/>
  <c r="C900" i="11"/>
  <c r="E900" i="11" s="1"/>
  <c r="C901" i="11"/>
  <c r="E901" i="11" s="1"/>
  <c r="C902" i="11"/>
  <c r="C903" i="11"/>
  <c r="E903" i="11" s="1"/>
  <c r="C904" i="11"/>
  <c r="E904" i="11" s="1"/>
  <c r="C905" i="11"/>
  <c r="E905" i="11" s="1"/>
  <c r="C906" i="11"/>
  <c r="E906" i="11" s="1"/>
  <c r="C907" i="11"/>
  <c r="E907" i="11" s="1"/>
  <c r="C908" i="11"/>
  <c r="E908" i="11" s="1"/>
  <c r="C909" i="11"/>
  <c r="E909" i="11" s="1"/>
  <c r="C910" i="11"/>
  <c r="E910" i="11" s="1"/>
  <c r="C911" i="11"/>
  <c r="E911" i="11" s="1"/>
  <c r="C912" i="11"/>
  <c r="E912" i="11" s="1"/>
  <c r="C913" i="11"/>
  <c r="E913" i="11" s="1"/>
  <c r="C914" i="11"/>
  <c r="E914" i="11" s="1"/>
  <c r="C915" i="11"/>
  <c r="E915" i="11" s="1"/>
  <c r="C916" i="11"/>
  <c r="E916" i="11" s="1"/>
  <c r="C917" i="11"/>
  <c r="E917" i="11" s="1"/>
  <c r="C918" i="11"/>
  <c r="E918" i="11" s="1"/>
  <c r="C919" i="11"/>
  <c r="E919" i="11" s="1"/>
  <c r="C920" i="11"/>
  <c r="E920" i="11" s="1"/>
  <c r="C921" i="11"/>
  <c r="E921" i="11" s="1"/>
  <c r="C922" i="11"/>
  <c r="E922" i="11" s="1"/>
  <c r="C923" i="11"/>
  <c r="E923" i="11" s="1"/>
  <c r="C924" i="11"/>
  <c r="E924" i="11" s="1"/>
  <c r="C925" i="11"/>
  <c r="E925" i="11" s="1"/>
  <c r="C926" i="11"/>
  <c r="E926" i="11" s="1"/>
  <c r="C927" i="11"/>
  <c r="E927" i="11" s="1"/>
  <c r="C928" i="11"/>
  <c r="E928" i="11" s="1"/>
  <c r="C929" i="11"/>
  <c r="E929" i="11" s="1"/>
  <c r="C930" i="11"/>
  <c r="B931" i="11" s="1"/>
  <c r="C931" i="11"/>
  <c r="B932" i="11" s="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AG59" i="11" s="1"/>
  <c r="F60" i="11"/>
  <c r="AG60" i="11" s="1"/>
  <c r="F61" i="11"/>
  <c r="AG61" i="11" s="1"/>
  <c r="F62" i="11"/>
  <c r="F63" i="11"/>
  <c r="F64" i="11"/>
  <c r="F65" i="11"/>
  <c r="F66" i="11"/>
  <c r="F67" i="11"/>
  <c r="F68" i="11"/>
  <c r="F69" i="11"/>
  <c r="F70" i="11"/>
  <c r="F71" i="11"/>
  <c r="F72" i="11"/>
  <c r="F73" i="11"/>
  <c r="F74" i="11"/>
  <c r="F75" i="11"/>
  <c r="F76" i="11"/>
  <c r="F77" i="11"/>
  <c r="F78" i="11"/>
  <c r="AG78" i="11" s="1"/>
  <c r="F79" i="11"/>
  <c r="F80" i="11"/>
  <c r="F81" i="11"/>
  <c r="F82" i="11"/>
  <c r="F83" i="11"/>
  <c r="F84" i="11"/>
  <c r="AG84" i="11" s="1"/>
  <c r="F85" i="11"/>
  <c r="F86" i="11"/>
  <c r="AG86" i="11" s="1"/>
  <c r="F87" i="11"/>
  <c r="AG87" i="11" s="1"/>
  <c r="F88" i="11"/>
  <c r="F89" i="11"/>
  <c r="F90" i="11"/>
  <c r="F91" i="11"/>
  <c r="F92" i="11"/>
  <c r="F93" i="11"/>
  <c r="F94" i="11"/>
  <c r="F95" i="11"/>
  <c r="F96" i="11"/>
  <c r="F97" i="11"/>
  <c r="F98" i="11"/>
  <c r="F99" i="11"/>
  <c r="F100" i="11"/>
  <c r="F101" i="11"/>
  <c r="F102" i="11"/>
  <c r="AG102" i="11" s="1"/>
  <c r="F103" i="11"/>
  <c r="AG103" i="11" s="1"/>
  <c r="F104" i="11"/>
  <c r="AG104" i="11" s="1"/>
  <c r="F105" i="11"/>
  <c r="F106" i="11"/>
  <c r="F107" i="11"/>
  <c r="F108" i="11"/>
  <c r="F109" i="11"/>
  <c r="F110" i="11"/>
  <c r="F111" i="11"/>
  <c r="F112" i="11"/>
  <c r="F113" i="11"/>
  <c r="F114" i="11"/>
  <c r="F115" i="11"/>
  <c r="F116" i="11"/>
  <c r="AG116" i="11" s="1"/>
  <c r="F117" i="11"/>
  <c r="F118" i="11"/>
  <c r="F119" i="11"/>
  <c r="F120" i="11"/>
  <c r="AG120" i="11" s="1"/>
  <c r="F121" i="11"/>
  <c r="AG121" i="11" s="1"/>
  <c r="F122" i="11"/>
  <c r="F123" i="11"/>
  <c r="F124" i="11"/>
  <c r="F125" i="11"/>
  <c r="F126" i="11"/>
  <c r="F127" i="11"/>
  <c r="F128" i="11"/>
  <c r="F129" i="11"/>
  <c r="F130" i="11"/>
  <c r="F131" i="11"/>
  <c r="F132" i="11"/>
  <c r="F133" i="11"/>
  <c r="F134" i="11"/>
  <c r="AG134" i="11" s="1"/>
  <c r="F135" i="11"/>
  <c r="AG135" i="11" s="1"/>
  <c r="F136" i="11"/>
  <c r="F137" i="11"/>
  <c r="F138" i="11"/>
  <c r="AG138" i="11" s="1"/>
  <c r="F139" i="11"/>
  <c r="AG139" i="11" s="1"/>
  <c r="F140" i="11"/>
  <c r="F141" i="11"/>
  <c r="F142" i="11"/>
  <c r="F143" i="11"/>
  <c r="F144" i="11"/>
  <c r="F145" i="11"/>
  <c r="F146" i="11"/>
  <c r="F147" i="11"/>
  <c r="F148" i="11"/>
  <c r="F149" i="11"/>
  <c r="F150" i="11"/>
  <c r="AG150" i="11" s="1"/>
  <c r="F151" i="11"/>
  <c r="AG151" i="11" s="1"/>
  <c r="F152" i="11"/>
  <c r="AG152" i="11" s="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AG184" i="11" s="1"/>
  <c r="F185" i="11"/>
  <c r="F186" i="11"/>
  <c r="F187" i="11"/>
  <c r="AG187" i="11" s="1"/>
  <c r="F188" i="11"/>
  <c r="AG188" i="11" s="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AG223" i="11" s="1"/>
  <c r="F224" i="11"/>
  <c r="AG224" i="11" s="1"/>
  <c r="F225" i="11"/>
  <c r="AG225" i="11" s="1"/>
  <c r="F226" i="11"/>
  <c r="F227" i="11"/>
  <c r="F228" i="11"/>
  <c r="F229" i="11"/>
  <c r="F230" i="11"/>
  <c r="F231" i="11"/>
  <c r="AG231" i="11" s="1"/>
  <c r="F232" i="11"/>
  <c r="F233" i="11"/>
  <c r="AG233" i="11" s="1"/>
  <c r="F234" i="11"/>
  <c r="F235" i="11"/>
  <c r="F236" i="11"/>
  <c r="F237" i="11"/>
  <c r="F238" i="11"/>
  <c r="F239" i="11"/>
  <c r="F240" i="11"/>
  <c r="F241" i="11"/>
  <c r="F242" i="11"/>
  <c r="F243" i="11"/>
  <c r="F244" i="11"/>
  <c r="F245" i="11"/>
  <c r="F246" i="11"/>
  <c r="F247" i="11"/>
  <c r="F248" i="11"/>
  <c r="F249" i="11"/>
  <c r="AG249" i="11" s="1"/>
  <c r="F250" i="11"/>
  <c r="F251" i="11"/>
  <c r="AG251" i="11" s="1"/>
  <c r="F252" i="11"/>
  <c r="F253" i="11"/>
  <c r="F254" i="11"/>
  <c r="F255" i="11"/>
  <c r="F256" i="11"/>
  <c r="F257" i="11"/>
  <c r="AG257" i="11" s="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AG281" i="11" s="1"/>
  <c r="F282" i="11"/>
  <c r="F283" i="11"/>
  <c r="F284" i="11"/>
  <c r="F285" i="11"/>
  <c r="F286" i="11"/>
  <c r="AG286" i="11" s="1"/>
  <c r="F287" i="11"/>
  <c r="AG287" i="11" s="1"/>
  <c r="F288" i="11"/>
  <c r="F289" i="11"/>
  <c r="F290" i="11"/>
  <c r="F291" i="11"/>
  <c r="F292" i="11"/>
  <c r="F293" i="11"/>
  <c r="F294" i="11"/>
  <c r="F295" i="11"/>
  <c r="F296" i="11"/>
  <c r="F297" i="11"/>
  <c r="F298" i="11"/>
  <c r="F299" i="11"/>
  <c r="F300" i="11"/>
  <c r="AG300" i="11" s="1"/>
  <c r="F301" i="11"/>
  <c r="F302" i="11"/>
  <c r="F303" i="11"/>
  <c r="AG303" i="11" s="1"/>
  <c r="F304" i="11"/>
  <c r="AG304" i="11" s="1"/>
  <c r="F305" i="11"/>
  <c r="F306" i="11"/>
  <c r="F307" i="11"/>
  <c r="F308" i="11"/>
  <c r="F309" i="11"/>
  <c r="F310" i="11"/>
  <c r="F311" i="11"/>
  <c r="F312" i="11"/>
  <c r="F313" i="11"/>
  <c r="F314" i="11"/>
  <c r="F315" i="11"/>
  <c r="F316" i="11"/>
  <c r="F317" i="11"/>
  <c r="F318" i="11"/>
  <c r="F319" i="11"/>
  <c r="AG319" i="11" s="1"/>
  <c r="F320" i="11"/>
  <c r="AG320" i="11" s="1"/>
  <c r="F321" i="11"/>
  <c r="AG321" i="11" s="1"/>
  <c r="F322" i="11"/>
  <c r="F323" i="11"/>
  <c r="F324" i="11"/>
  <c r="F325" i="11"/>
  <c r="F326" i="11"/>
  <c r="F327" i="11"/>
  <c r="F328" i="11"/>
  <c r="F329" i="11"/>
  <c r="F330" i="11"/>
  <c r="F331" i="11"/>
  <c r="F332" i="11"/>
  <c r="F333" i="11"/>
  <c r="F334" i="11"/>
  <c r="F335" i="11"/>
  <c r="AG335" i="11" s="1"/>
  <c r="F336" i="11"/>
  <c r="AG336" i="11" s="1"/>
  <c r="F337" i="11"/>
  <c r="AG337" i="11" s="1"/>
  <c r="F338" i="11"/>
  <c r="F339" i="11"/>
  <c r="F340" i="11"/>
  <c r="F341" i="11"/>
  <c r="F342" i="11"/>
  <c r="F343" i="11"/>
  <c r="F344" i="11"/>
  <c r="F345" i="11"/>
  <c r="F346" i="11"/>
  <c r="F347" i="11"/>
  <c r="F348" i="11"/>
  <c r="F349" i="11"/>
  <c r="F350" i="11"/>
  <c r="F351" i="11"/>
  <c r="F352" i="11"/>
  <c r="AG352" i="11" s="1"/>
  <c r="F353" i="11"/>
  <c r="AG353" i="11" s="1"/>
  <c r="F354" i="11"/>
  <c r="F355" i="11"/>
  <c r="F356" i="11"/>
  <c r="F357" i="11"/>
  <c r="F358" i="11"/>
  <c r="F359" i="11"/>
  <c r="F360" i="11"/>
  <c r="F361" i="11"/>
  <c r="AG361" i="11" s="1"/>
  <c r="F362" i="11"/>
  <c r="F363" i="11"/>
  <c r="F364" i="11"/>
  <c r="F365" i="11"/>
  <c r="F366" i="11"/>
  <c r="F367" i="11"/>
  <c r="F368" i="11"/>
  <c r="AG368" i="11" s="1"/>
  <c r="F369" i="11"/>
  <c r="F370" i="11"/>
  <c r="F371" i="11"/>
  <c r="F372" i="11"/>
  <c r="F373" i="11"/>
  <c r="F374" i="11"/>
  <c r="AG374" i="11" s="1"/>
  <c r="F375" i="11"/>
  <c r="F376" i="11"/>
  <c r="F377" i="11"/>
  <c r="AG377" i="11" s="1"/>
  <c r="F378" i="11"/>
  <c r="F379" i="11"/>
  <c r="F380" i="11"/>
  <c r="F381" i="11"/>
  <c r="F382" i="11"/>
  <c r="F383" i="11"/>
  <c r="F384" i="11"/>
  <c r="F385" i="11"/>
  <c r="AG385" i="11" s="1"/>
  <c r="F386" i="11"/>
  <c r="F387" i="11"/>
  <c r="F388" i="11"/>
  <c r="F389" i="11"/>
  <c r="F390" i="11"/>
  <c r="F391" i="11"/>
  <c r="AG391" i="11" s="1"/>
  <c r="F392" i="11"/>
  <c r="F393" i="11"/>
  <c r="F394" i="11"/>
  <c r="AG394" i="11" s="1"/>
  <c r="F395" i="11"/>
  <c r="F396" i="11"/>
  <c r="F397" i="11"/>
  <c r="F398" i="11"/>
  <c r="F399" i="11"/>
  <c r="F400" i="11"/>
  <c r="F401" i="11"/>
  <c r="F402" i="11"/>
  <c r="F403" i="11"/>
  <c r="F404" i="11"/>
  <c r="F405" i="11"/>
  <c r="F406" i="11"/>
  <c r="AG406" i="11" s="1"/>
  <c r="F407" i="11"/>
  <c r="F408" i="11"/>
  <c r="F409" i="11"/>
  <c r="F410" i="11"/>
  <c r="F411" i="11"/>
  <c r="F412" i="11"/>
  <c r="F413" i="11"/>
  <c r="F414" i="11"/>
  <c r="F415" i="11"/>
  <c r="AG415" i="11" s="1"/>
  <c r="F416" i="11"/>
  <c r="F417" i="11"/>
  <c r="F418" i="11"/>
  <c r="F419" i="11"/>
  <c r="F420" i="11"/>
  <c r="F421" i="11"/>
  <c r="F422" i="11"/>
  <c r="F423" i="11"/>
  <c r="F424" i="11"/>
  <c r="F425" i="11"/>
  <c r="AG425" i="11" s="1"/>
  <c r="F426" i="11"/>
  <c r="F427" i="11"/>
  <c r="F428" i="11"/>
  <c r="F429" i="11"/>
  <c r="F430" i="11"/>
  <c r="F431" i="11"/>
  <c r="AG431" i="11" s="1"/>
  <c r="F432" i="11"/>
  <c r="F433" i="11"/>
  <c r="F434" i="11"/>
  <c r="F435" i="11"/>
  <c r="F436" i="11"/>
  <c r="F437" i="11"/>
  <c r="F438" i="11"/>
  <c r="F439" i="11"/>
  <c r="F440" i="11"/>
  <c r="F441" i="11"/>
  <c r="F442" i="11"/>
  <c r="F443" i="11"/>
  <c r="AG443" i="11" s="1"/>
  <c r="F444" i="11"/>
  <c r="F445" i="11"/>
  <c r="F446" i="11"/>
  <c r="AG446" i="11" s="1"/>
  <c r="F447" i="11"/>
  <c r="F448" i="11"/>
  <c r="AG448" i="11" s="1"/>
  <c r="F449" i="11"/>
  <c r="F450" i="11"/>
  <c r="F451" i="11"/>
  <c r="F452" i="11"/>
  <c r="F453" i="11"/>
  <c r="F454" i="11"/>
  <c r="F455" i="11"/>
  <c r="F456" i="11"/>
  <c r="F457" i="11"/>
  <c r="F458" i="11"/>
  <c r="F459" i="11"/>
  <c r="F460" i="11"/>
  <c r="F461" i="11"/>
  <c r="F462" i="11"/>
  <c r="F463" i="11"/>
  <c r="AG463" i="11" s="1"/>
  <c r="F464" i="11"/>
  <c r="AG464" i="11" s="1"/>
  <c r="F465" i="11"/>
  <c r="AG465" i="11" s="1"/>
  <c r="F466" i="11"/>
  <c r="F467" i="11"/>
  <c r="F468" i="11"/>
  <c r="F469" i="11"/>
  <c r="F470" i="11"/>
  <c r="F471" i="11"/>
  <c r="F472" i="11"/>
  <c r="F473" i="11"/>
  <c r="F474" i="11"/>
  <c r="F475" i="11"/>
  <c r="F476" i="11"/>
  <c r="F477" i="11"/>
  <c r="F478" i="11"/>
  <c r="AG478" i="11" s="1"/>
  <c r="F479" i="11"/>
  <c r="F480" i="11"/>
  <c r="AG480" i="11" s="1"/>
  <c r="F481" i="11"/>
  <c r="AG481" i="11" s="1"/>
  <c r="F482" i="11"/>
  <c r="F483" i="11"/>
  <c r="F484" i="11"/>
  <c r="F485" i="11"/>
  <c r="F486" i="11"/>
  <c r="F487" i="11"/>
  <c r="F488" i="11"/>
  <c r="F489" i="11"/>
  <c r="AG489" i="11" s="1"/>
  <c r="F490" i="11"/>
  <c r="F491" i="11"/>
  <c r="F492" i="11"/>
  <c r="F493" i="11"/>
  <c r="F494" i="11"/>
  <c r="F495" i="11"/>
  <c r="F496" i="11"/>
  <c r="AG496" i="11" s="1"/>
  <c r="F497" i="11"/>
  <c r="F498" i="11"/>
  <c r="F499" i="11"/>
  <c r="F500" i="11"/>
  <c r="F501" i="11"/>
  <c r="F502" i="11"/>
  <c r="F503" i="11"/>
  <c r="F504" i="11"/>
  <c r="F505" i="11"/>
  <c r="AG505" i="11" s="1"/>
  <c r="F506" i="11"/>
  <c r="F507" i="11"/>
  <c r="F508" i="11"/>
  <c r="F509" i="11"/>
  <c r="F510" i="11"/>
  <c r="F511" i="11"/>
  <c r="F512" i="11"/>
  <c r="F513" i="11"/>
  <c r="AG513" i="11" s="1"/>
  <c r="F514" i="11"/>
  <c r="F515" i="11"/>
  <c r="F516" i="11"/>
  <c r="F517" i="11"/>
  <c r="F518" i="11"/>
  <c r="F519" i="11"/>
  <c r="F520" i="11"/>
  <c r="F521" i="11"/>
  <c r="AG521" i="11" s="1"/>
  <c r="F522" i="11"/>
  <c r="F523" i="11"/>
  <c r="F524" i="11"/>
  <c r="AG524" i="11" s="1"/>
  <c r="F525" i="11"/>
  <c r="AG525" i="11" s="1"/>
  <c r="F526" i="11"/>
  <c r="F527" i="11"/>
  <c r="F528" i="11"/>
  <c r="F529" i="11"/>
  <c r="F530" i="11"/>
  <c r="F531" i="11"/>
  <c r="F532" i="11"/>
  <c r="F533" i="11"/>
  <c r="F534" i="11"/>
  <c r="F535" i="11"/>
  <c r="AG535" i="11" s="1"/>
  <c r="F536" i="11"/>
  <c r="F537" i="11"/>
  <c r="F538" i="11"/>
  <c r="F539" i="11"/>
  <c r="F540" i="11"/>
  <c r="F541" i="11"/>
  <c r="F542" i="11"/>
  <c r="F543" i="11"/>
  <c r="AG543" i="11" s="1"/>
  <c r="F544" i="11"/>
  <c r="F545" i="11"/>
  <c r="F546" i="11"/>
  <c r="F547" i="11"/>
  <c r="F548" i="11"/>
  <c r="F549" i="11"/>
  <c r="F550" i="11"/>
  <c r="F551" i="11"/>
  <c r="AG551" i="11" s="1"/>
  <c r="F552" i="11"/>
  <c r="F553" i="11"/>
  <c r="AG553" i="11" s="1"/>
  <c r="F554" i="11"/>
  <c r="F555" i="11"/>
  <c r="F556" i="11"/>
  <c r="F557" i="11"/>
  <c r="F558" i="11"/>
  <c r="F559" i="11"/>
  <c r="AG559" i="11" s="1"/>
  <c r="F560" i="11"/>
  <c r="AG560" i="11" s="1"/>
  <c r="F561" i="11"/>
  <c r="F562" i="11"/>
  <c r="F563" i="11"/>
  <c r="F564" i="11"/>
  <c r="F565" i="11"/>
  <c r="F566" i="11"/>
  <c r="F567" i="11"/>
  <c r="F568" i="11"/>
  <c r="F569" i="11"/>
  <c r="F570" i="11"/>
  <c r="F571" i="11"/>
  <c r="F572" i="11"/>
  <c r="F573" i="11"/>
  <c r="F574" i="11"/>
  <c r="F575" i="11"/>
  <c r="AG575" i="11" s="1"/>
  <c r="F576" i="11"/>
  <c r="F577" i="11"/>
  <c r="AG577" i="11" s="1"/>
  <c r="F578" i="11"/>
  <c r="F579" i="11"/>
  <c r="F580" i="11"/>
  <c r="F581" i="11"/>
  <c r="F582" i="11"/>
  <c r="F583" i="11"/>
  <c r="F584" i="11"/>
  <c r="F585" i="11"/>
  <c r="F586" i="11"/>
  <c r="F587" i="11"/>
  <c r="F588" i="11"/>
  <c r="F589" i="11"/>
  <c r="F590" i="11"/>
  <c r="AG590" i="11" s="1"/>
  <c r="F591" i="11"/>
  <c r="AG591" i="11" s="1"/>
  <c r="F592" i="11"/>
  <c r="AG592" i="11" s="1"/>
  <c r="F593" i="11"/>
  <c r="AG593" i="11" s="1"/>
  <c r="F594" i="11"/>
  <c r="F595" i="11"/>
  <c r="F596" i="11"/>
  <c r="F597" i="11"/>
  <c r="F598" i="11"/>
  <c r="F599" i="11"/>
  <c r="F600" i="11"/>
  <c r="F601" i="11"/>
  <c r="F602" i="11"/>
  <c r="F603" i="11"/>
  <c r="F604" i="11"/>
  <c r="F605" i="11"/>
  <c r="F606" i="11"/>
  <c r="AG606" i="11" s="1"/>
  <c r="F607" i="11"/>
  <c r="AG607" i="11" s="1"/>
  <c r="F608" i="11"/>
  <c r="F609" i="11"/>
  <c r="F610" i="11"/>
  <c r="F611" i="11"/>
  <c r="F612" i="11"/>
  <c r="F613" i="11"/>
  <c r="F614" i="11"/>
  <c r="F615" i="11"/>
  <c r="F616" i="11"/>
  <c r="F617" i="11"/>
  <c r="AG617" i="11" s="1"/>
  <c r="F618" i="11"/>
  <c r="F619" i="11"/>
  <c r="F620" i="11"/>
  <c r="F621" i="11"/>
  <c r="F622" i="11"/>
  <c r="F623" i="11"/>
  <c r="F624" i="11"/>
  <c r="AG624" i="11" s="1"/>
  <c r="F625" i="11"/>
  <c r="AG625" i="11" s="1"/>
  <c r="F626" i="11"/>
  <c r="F627" i="11"/>
  <c r="F628" i="11"/>
  <c r="F629" i="11"/>
  <c r="F630" i="11"/>
  <c r="F631" i="11"/>
  <c r="F632" i="11"/>
  <c r="F633" i="11"/>
  <c r="F634" i="11"/>
  <c r="AG634" i="11" s="1"/>
  <c r="F635" i="11"/>
  <c r="AG635" i="11" s="1"/>
  <c r="F636" i="11"/>
  <c r="F637" i="11"/>
  <c r="F638" i="11"/>
  <c r="F639" i="11"/>
  <c r="F640" i="11"/>
  <c r="F641" i="11"/>
  <c r="AG641" i="11" s="1"/>
  <c r="F642" i="11"/>
  <c r="F643" i="11"/>
  <c r="F644" i="11"/>
  <c r="F645" i="11"/>
  <c r="F646" i="11"/>
  <c r="F647" i="11"/>
  <c r="F648" i="11"/>
  <c r="F649" i="11"/>
  <c r="AG649" i="11" s="1"/>
  <c r="F650" i="11"/>
  <c r="F651" i="11"/>
  <c r="F652" i="11"/>
  <c r="F653" i="11"/>
  <c r="F654" i="11"/>
  <c r="F655" i="11"/>
  <c r="F656" i="11"/>
  <c r="F657" i="11"/>
  <c r="F658" i="11"/>
  <c r="F659" i="11"/>
  <c r="F660" i="11"/>
  <c r="F661" i="11"/>
  <c r="F662" i="11"/>
  <c r="F663" i="11"/>
  <c r="F664" i="11"/>
  <c r="F665" i="11"/>
  <c r="F666" i="11"/>
  <c r="AG666" i="11" s="1"/>
  <c r="F667" i="11"/>
  <c r="AG667" i="11" s="1"/>
  <c r="F668" i="11"/>
  <c r="AG668" i="11" s="1"/>
  <c r="F669" i="11"/>
  <c r="F670" i="11"/>
  <c r="F671" i="11"/>
  <c r="F672" i="11"/>
  <c r="F673" i="11"/>
  <c r="F674" i="11"/>
  <c r="F675" i="11"/>
  <c r="F676" i="11"/>
  <c r="F677" i="11"/>
  <c r="F678" i="11"/>
  <c r="F679" i="11"/>
  <c r="AG679" i="11" s="1"/>
  <c r="F680" i="11"/>
  <c r="AG680" i="11" s="1"/>
  <c r="F681" i="11"/>
  <c r="F682" i="11"/>
  <c r="AG682" i="11" s="1"/>
  <c r="F683" i="11"/>
  <c r="AG683" i="11" s="1"/>
  <c r="F684" i="11"/>
  <c r="F685" i="11"/>
  <c r="F686" i="11"/>
  <c r="F687" i="11"/>
  <c r="AG687" i="11" s="1"/>
  <c r="F688" i="11"/>
  <c r="AG688" i="11" s="1"/>
  <c r="F689" i="11"/>
  <c r="F690" i="11"/>
  <c r="F691" i="11"/>
  <c r="F692" i="11"/>
  <c r="F693" i="11"/>
  <c r="F694" i="11"/>
  <c r="F695" i="11"/>
  <c r="AG695" i="11" s="1"/>
  <c r="F696" i="11"/>
  <c r="F697" i="11"/>
  <c r="F698" i="11"/>
  <c r="AG698" i="11" s="1"/>
  <c r="F699" i="11"/>
  <c r="F700" i="11"/>
  <c r="AG700" i="11" s="1"/>
  <c r="F701" i="11"/>
  <c r="F702" i="11"/>
  <c r="AG702" i="11" s="1"/>
  <c r="F703" i="11"/>
  <c r="F704" i="11"/>
  <c r="AG704" i="11" s="1"/>
  <c r="F705" i="11"/>
  <c r="F706" i="11"/>
  <c r="F707" i="11"/>
  <c r="F708" i="11"/>
  <c r="F709" i="11"/>
  <c r="F710" i="11"/>
  <c r="F711" i="11"/>
  <c r="F712" i="11"/>
  <c r="AG712" i="11" s="1"/>
  <c r="F713" i="11"/>
  <c r="F714" i="11"/>
  <c r="F715" i="11"/>
  <c r="AG715" i="11" s="1"/>
  <c r="F716" i="11"/>
  <c r="F717" i="11"/>
  <c r="AG717" i="11" s="1"/>
  <c r="F718" i="11"/>
  <c r="AG718" i="11" s="1"/>
  <c r="F719" i="11"/>
  <c r="F720" i="11"/>
  <c r="AG720" i="11" s="1"/>
  <c r="F721" i="11"/>
  <c r="F722" i="11"/>
  <c r="F723" i="11"/>
  <c r="F724" i="11"/>
  <c r="F725" i="11"/>
  <c r="F726" i="11"/>
  <c r="F727" i="11"/>
  <c r="F728" i="11"/>
  <c r="AG728" i="11" s="1"/>
  <c r="F729" i="11"/>
  <c r="AG729" i="11" s="1"/>
  <c r="F730" i="11"/>
  <c r="F731" i="11"/>
  <c r="F732" i="11"/>
  <c r="F733" i="11"/>
  <c r="F734" i="11"/>
  <c r="AG734" i="11" s="1"/>
  <c r="F735" i="11"/>
  <c r="F736" i="11"/>
  <c r="AG736" i="11" s="1"/>
  <c r="F737" i="11"/>
  <c r="F738" i="11"/>
  <c r="F739" i="11"/>
  <c r="F740" i="11"/>
  <c r="F741" i="11"/>
  <c r="F742" i="11"/>
  <c r="F743" i="11"/>
  <c r="F744" i="11"/>
  <c r="F745" i="11"/>
  <c r="AG745" i="11" s="1"/>
  <c r="F746" i="11"/>
  <c r="F747" i="11"/>
  <c r="F748" i="11"/>
  <c r="F749" i="11"/>
  <c r="AG749" i="11" s="1"/>
  <c r="F750" i="11"/>
  <c r="F751" i="11"/>
  <c r="F752" i="11"/>
  <c r="AG752" i="11" s="1"/>
  <c r="F753" i="11"/>
  <c r="F754" i="11"/>
  <c r="F755" i="11"/>
  <c r="F756" i="11"/>
  <c r="F757" i="11"/>
  <c r="AG757" i="11" s="1"/>
  <c r="F758" i="11"/>
  <c r="F759" i="11"/>
  <c r="F760" i="11"/>
  <c r="F761" i="11"/>
  <c r="F762" i="11"/>
  <c r="F763" i="11"/>
  <c r="F764" i="11"/>
  <c r="F765" i="11"/>
  <c r="F766" i="11"/>
  <c r="F767" i="11"/>
  <c r="AG767" i="11" s="1"/>
  <c r="F768" i="11"/>
  <c r="F769" i="11"/>
  <c r="F770" i="11"/>
  <c r="F771" i="11"/>
  <c r="F772" i="11"/>
  <c r="F773" i="11"/>
  <c r="AG773" i="11" s="1"/>
  <c r="F774" i="11"/>
  <c r="F775" i="11"/>
  <c r="AG775" i="11" s="1"/>
  <c r="F776" i="11"/>
  <c r="F777" i="11"/>
  <c r="F778" i="11"/>
  <c r="F779" i="11"/>
  <c r="F780" i="11"/>
  <c r="F781" i="11"/>
  <c r="F782" i="11"/>
  <c r="F783" i="11"/>
  <c r="AG783" i="11" s="1"/>
  <c r="F784" i="11"/>
  <c r="AG784" i="11" s="1"/>
  <c r="F785" i="11"/>
  <c r="F786" i="11"/>
  <c r="F787" i="11"/>
  <c r="F788" i="11"/>
  <c r="F789" i="11"/>
  <c r="F790" i="11"/>
  <c r="F791" i="11"/>
  <c r="F792" i="11"/>
  <c r="AG792" i="11" s="1"/>
  <c r="F793" i="11"/>
  <c r="AG793" i="11" s="1"/>
  <c r="F794" i="11"/>
  <c r="AG794" i="11" s="1"/>
  <c r="F795" i="11"/>
  <c r="F796" i="11"/>
  <c r="F797" i="11"/>
  <c r="F798" i="11"/>
  <c r="F799" i="11"/>
  <c r="AG799" i="11" s="1"/>
  <c r="F800" i="11"/>
  <c r="AG800" i="11" s="1"/>
  <c r="F801" i="11"/>
  <c r="F802" i="11"/>
  <c r="F803" i="11"/>
  <c r="F804" i="11"/>
  <c r="F805" i="11"/>
  <c r="F806" i="11"/>
  <c r="F807" i="11"/>
  <c r="F808" i="11"/>
  <c r="F809" i="11"/>
  <c r="F810" i="11"/>
  <c r="F811" i="11"/>
  <c r="AG811" i="11" s="1"/>
  <c r="F812" i="11"/>
  <c r="AG812" i="11" s="1"/>
  <c r="F813" i="11"/>
  <c r="F814" i="11"/>
  <c r="F815" i="11"/>
  <c r="F816" i="11"/>
  <c r="AG816" i="11" s="1"/>
  <c r="F817" i="11"/>
  <c r="F818" i="11"/>
  <c r="F819" i="11"/>
  <c r="F820" i="11"/>
  <c r="F821" i="11"/>
  <c r="F822" i="11"/>
  <c r="F823" i="11"/>
  <c r="F824" i="11"/>
  <c r="F825" i="11"/>
  <c r="AG825" i="11" s="1"/>
  <c r="F826" i="11"/>
  <c r="AG826" i="11" s="1"/>
  <c r="F827" i="11"/>
  <c r="F828" i="11"/>
  <c r="AG828" i="11" s="1"/>
  <c r="F829" i="11"/>
  <c r="F830" i="11"/>
  <c r="F831" i="11"/>
  <c r="F832" i="11"/>
  <c r="AG832" i="11" s="1"/>
  <c r="F833" i="11"/>
  <c r="F834" i="11"/>
  <c r="F835" i="11"/>
  <c r="F836" i="11"/>
  <c r="F837" i="11"/>
  <c r="F838" i="11"/>
  <c r="F839" i="11"/>
  <c r="F840" i="11"/>
  <c r="AG840" i="11" s="1"/>
  <c r="F841" i="11"/>
  <c r="F842" i="11"/>
  <c r="F843" i="11"/>
  <c r="F844" i="11"/>
  <c r="AG844" i="11" s="1"/>
  <c r="F845" i="11"/>
  <c r="F846" i="11"/>
  <c r="AG846" i="11" s="1"/>
  <c r="F847" i="11"/>
  <c r="AG847" i="11" s="1"/>
  <c r="F848" i="11"/>
  <c r="AG848" i="11" s="1"/>
  <c r="F849" i="11"/>
  <c r="F850" i="11"/>
  <c r="F851" i="11"/>
  <c r="F852" i="11"/>
  <c r="F853" i="11"/>
  <c r="AG853" i="11" s="1"/>
  <c r="F854" i="11"/>
  <c r="F855" i="11"/>
  <c r="F856" i="11"/>
  <c r="AG856" i="11" s="1"/>
  <c r="F857" i="11"/>
  <c r="AG857" i="11" s="1"/>
  <c r="F858" i="11"/>
  <c r="F859" i="11"/>
  <c r="F860" i="11"/>
  <c r="F861" i="11"/>
  <c r="AG861" i="11" s="1"/>
  <c r="F862" i="11"/>
  <c r="AG862" i="11" s="1"/>
  <c r="F863" i="11"/>
  <c r="F864" i="11"/>
  <c r="AG864" i="11" s="1"/>
  <c r="F865" i="11"/>
  <c r="F866" i="11"/>
  <c r="F867" i="11"/>
  <c r="AG867" i="11" s="1"/>
  <c r="F868" i="11"/>
  <c r="F869" i="11"/>
  <c r="AG869" i="11" s="1"/>
  <c r="F870" i="11"/>
  <c r="F871" i="11"/>
  <c r="F872" i="11"/>
  <c r="F873" i="11"/>
  <c r="F874" i="11"/>
  <c r="F875" i="11"/>
  <c r="F876" i="11"/>
  <c r="F877" i="11"/>
  <c r="F878" i="11"/>
  <c r="F879" i="11"/>
  <c r="AG879" i="11" s="1"/>
  <c r="F880" i="11"/>
  <c r="AG880" i="11" s="1"/>
  <c r="F881" i="11"/>
  <c r="F882" i="11"/>
  <c r="F883" i="11"/>
  <c r="AG883" i="11" s="1"/>
  <c r="F884" i="11"/>
  <c r="F885" i="11"/>
  <c r="AG885" i="11" s="1"/>
  <c r="F886" i="11"/>
  <c r="F887" i="11"/>
  <c r="AG887" i="11" s="1"/>
  <c r="F888" i="11"/>
  <c r="F889" i="11"/>
  <c r="F890" i="11"/>
  <c r="AG890" i="11" s="1"/>
  <c r="F891" i="11"/>
  <c r="F892" i="11"/>
  <c r="AG892" i="11" s="1"/>
  <c r="F893" i="11"/>
  <c r="F894" i="11"/>
  <c r="F895" i="11"/>
  <c r="F896" i="11"/>
  <c r="AG896" i="11" s="1"/>
  <c r="F897" i="11"/>
  <c r="AG897" i="11" s="1"/>
  <c r="F898" i="11"/>
  <c r="AG898" i="11" s="1"/>
  <c r="F899" i="11"/>
  <c r="AG899" i="11" s="1"/>
  <c r="F900" i="11"/>
  <c r="AG900" i="11" s="1"/>
  <c r="F901" i="11"/>
  <c r="F902" i="11"/>
  <c r="F903" i="11"/>
  <c r="F904" i="11"/>
  <c r="AG904" i="11" s="1"/>
  <c r="F905" i="11"/>
  <c r="AG905" i="11" s="1"/>
  <c r="F906" i="11"/>
  <c r="AG906" i="11" s="1"/>
  <c r="F907" i="11"/>
  <c r="AG907" i="11" s="1"/>
  <c r="F908" i="11"/>
  <c r="AG908" i="11" s="1"/>
  <c r="F909" i="11"/>
  <c r="F910" i="11"/>
  <c r="F911" i="11"/>
  <c r="AG911" i="11" s="1"/>
  <c r="F912" i="11"/>
  <c r="AG912" i="11" s="1"/>
  <c r="F913" i="11"/>
  <c r="AG913" i="11" s="1"/>
  <c r="F914" i="11"/>
  <c r="AG914" i="11" s="1"/>
  <c r="F915" i="11"/>
  <c r="AG915" i="11" s="1"/>
  <c r="F916" i="11"/>
  <c r="AG916" i="11" s="1"/>
  <c r="F917" i="11"/>
  <c r="AG917" i="11" s="1"/>
  <c r="F918" i="11"/>
  <c r="F919" i="11"/>
  <c r="AG919" i="11" s="1"/>
  <c r="F920" i="11"/>
  <c r="AG920" i="11" s="1"/>
  <c r="F921" i="11"/>
  <c r="F922" i="11"/>
  <c r="AG922" i="11" s="1"/>
  <c r="F923" i="11"/>
  <c r="AG923" i="11" s="1"/>
  <c r="F924" i="11"/>
  <c r="AG924" i="11" s="1"/>
  <c r="F925" i="11"/>
  <c r="F926" i="11"/>
  <c r="F927" i="11"/>
  <c r="AG927" i="11" s="1"/>
  <c r="F928" i="11"/>
  <c r="AG928" i="11" s="1"/>
  <c r="F929" i="11"/>
  <c r="AG929" i="11" s="1"/>
  <c r="F32" i="11"/>
  <c r="F31" i="11"/>
  <c r="D852" i="11" l="1"/>
  <c r="E852" i="11"/>
  <c r="D836" i="11"/>
  <c r="E836" i="11"/>
  <c r="D772" i="11"/>
  <c r="E772" i="11"/>
  <c r="D756" i="11"/>
  <c r="E756" i="11"/>
  <c r="D676" i="11"/>
  <c r="E676" i="11"/>
  <c r="D502" i="11"/>
  <c r="E502" i="11"/>
  <c r="D486" i="11"/>
  <c r="E486" i="11"/>
  <c r="D314" i="11"/>
  <c r="E314" i="11"/>
  <c r="D899" i="11"/>
  <c r="E899" i="11"/>
  <c r="D851" i="11"/>
  <c r="E851" i="11"/>
  <c r="D723" i="11"/>
  <c r="E723" i="11"/>
  <c r="D628" i="11"/>
  <c r="E628" i="11"/>
  <c r="D596" i="11"/>
  <c r="E596" i="11"/>
  <c r="D424" i="11"/>
  <c r="E424" i="11"/>
  <c r="D313" i="11"/>
  <c r="E313" i="11"/>
  <c r="D297" i="11"/>
  <c r="E297" i="11"/>
  <c r="D265" i="11"/>
  <c r="E265" i="11"/>
  <c r="D898" i="11"/>
  <c r="E898" i="11"/>
  <c r="D882" i="11"/>
  <c r="E882" i="11"/>
  <c r="D866" i="11"/>
  <c r="E866" i="11"/>
  <c r="D738" i="11"/>
  <c r="E738" i="11"/>
  <c r="D706" i="11"/>
  <c r="E706" i="11"/>
  <c r="D674" i="11"/>
  <c r="E674" i="11"/>
  <c r="D248" i="11"/>
  <c r="E248" i="11"/>
  <c r="D216" i="11"/>
  <c r="E216" i="11"/>
  <c r="D168" i="11"/>
  <c r="E168" i="11"/>
  <c r="D136" i="11"/>
  <c r="D230" i="11"/>
  <c r="E230" i="11"/>
  <c r="D88" i="11"/>
  <c r="E88" i="11"/>
  <c r="D294" i="11"/>
  <c r="E294" i="11"/>
  <c r="D72" i="11"/>
  <c r="E72" i="11"/>
  <c r="D515" i="11"/>
  <c r="E515" i="11"/>
  <c r="D375" i="11"/>
  <c r="E375" i="11"/>
  <c r="D864" i="11"/>
  <c r="E864" i="11"/>
  <c r="D832" i="11"/>
  <c r="E832" i="11"/>
  <c r="D720" i="11"/>
  <c r="E720" i="11"/>
  <c r="D672" i="11"/>
  <c r="E672" i="11"/>
  <c r="D561" i="11"/>
  <c r="E561" i="11"/>
  <c r="D498" i="11"/>
  <c r="E498" i="11"/>
  <c r="D482" i="11"/>
  <c r="E482" i="11"/>
  <c r="D436" i="11"/>
  <c r="E436" i="11"/>
  <c r="D342" i="11"/>
  <c r="E342" i="11"/>
  <c r="D879" i="11"/>
  <c r="E879" i="11"/>
  <c r="D847" i="11"/>
  <c r="E847" i="11"/>
  <c r="D831" i="11"/>
  <c r="E831" i="11"/>
  <c r="D815" i="11"/>
  <c r="E815" i="11"/>
  <c r="D671" i="11"/>
  <c r="E671" i="11"/>
  <c r="D608" i="11"/>
  <c r="E608" i="11"/>
  <c r="D513" i="11"/>
  <c r="J513" i="11" s="1"/>
  <c r="E513" i="11"/>
  <c r="D309" i="11"/>
  <c r="E309" i="11"/>
  <c r="D846" i="11"/>
  <c r="E846" i="11"/>
  <c r="D830" i="11"/>
  <c r="E830" i="11"/>
  <c r="D575" i="11"/>
  <c r="E575" i="11"/>
  <c r="D496" i="11"/>
  <c r="E496" i="11"/>
  <c r="D449" i="11"/>
  <c r="D324" i="11"/>
  <c r="E324" i="11"/>
  <c r="D212" i="11"/>
  <c r="E212" i="11"/>
  <c r="D39" i="11"/>
  <c r="E39" i="11"/>
  <c r="D311" i="11"/>
  <c r="J311" i="11" s="1"/>
  <c r="E311" i="11"/>
  <c r="D797" i="11"/>
  <c r="E797" i="11"/>
  <c r="D781" i="11"/>
  <c r="E781" i="11"/>
  <c r="D701" i="11"/>
  <c r="E701" i="11"/>
  <c r="D685" i="11"/>
  <c r="E685" i="11"/>
  <c r="D463" i="11"/>
  <c r="E463" i="11"/>
  <c r="D339" i="11"/>
  <c r="E339" i="11"/>
  <c r="D275" i="11"/>
  <c r="E275" i="11"/>
  <c r="D259" i="11"/>
  <c r="E259" i="11"/>
  <c r="D243" i="11"/>
  <c r="E243" i="11"/>
  <c r="D117" i="11"/>
  <c r="E117" i="11"/>
  <c r="D101" i="11"/>
  <c r="E101" i="11"/>
  <c r="D54" i="11"/>
  <c r="E54" i="11"/>
  <c r="D38" i="11"/>
  <c r="E38" i="11"/>
  <c r="D69" i="11"/>
  <c r="E69" i="11"/>
  <c r="D37" i="11"/>
  <c r="E37" i="11"/>
  <c r="D145" i="11"/>
  <c r="E145" i="11"/>
  <c r="D115" i="11"/>
  <c r="E115" i="11"/>
  <c r="D876" i="11"/>
  <c r="E876" i="11"/>
  <c r="D716" i="11"/>
  <c r="E716" i="11"/>
  <c r="D700" i="11"/>
  <c r="E700" i="11"/>
  <c r="D417" i="11"/>
  <c r="E417" i="11"/>
  <c r="D274" i="11"/>
  <c r="E274" i="11"/>
  <c r="D258" i="11"/>
  <c r="E258" i="11"/>
  <c r="D604" i="11"/>
  <c r="E604" i="11"/>
  <c r="D572" i="11"/>
  <c r="E572" i="11"/>
  <c r="D556" i="11"/>
  <c r="E556" i="11"/>
  <c r="D416" i="11"/>
  <c r="E416" i="11"/>
  <c r="D400" i="11"/>
  <c r="E400" i="11"/>
  <c r="D289" i="11"/>
  <c r="E289" i="11"/>
  <c r="D794" i="11"/>
  <c r="E794" i="11"/>
  <c r="D730" i="11"/>
  <c r="E730" i="11"/>
  <c r="D714" i="11"/>
  <c r="E714" i="11"/>
  <c r="D698" i="11"/>
  <c r="E698" i="11"/>
  <c r="D666" i="11"/>
  <c r="E666" i="11"/>
  <c r="D650" i="11"/>
  <c r="D430" i="11"/>
  <c r="D336" i="11"/>
  <c r="E336" i="11"/>
  <c r="D304" i="11"/>
  <c r="E304" i="11"/>
  <c r="D208" i="11"/>
  <c r="E208" i="11"/>
  <c r="D67" i="11"/>
  <c r="E67" i="11"/>
  <c r="D467" i="11"/>
  <c r="E467" i="11"/>
  <c r="D889" i="11"/>
  <c r="E889" i="11"/>
  <c r="D857" i="11"/>
  <c r="E857" i="11"/>
  <c r="D841" i="11"/>
  <c r="E841" i="11"/>
  <c r="D761" i="11"/>
  <c r="E761" i="11"/>
  <c r="D729" i="11"/>
  <c r="E729" i="11"/>
  <c r="D713" i="11"/>
  <c r="J713" i="11" s="1"/>
  <c r="E713" i="11"/>
  <c r="D681" i="11"/>
  <c r="E681" i="11"/>
  <c r="D618" i="11"/>
  <c r="E618" i="11"/>
  <c r="D570" i="11"/>
  <c r="E570" i="11"/>
  <c r="D554" i="11"/>
  <c r="E554" i="11"/>
  <c r="D507" i="11"/>
  <c r="E507" i="11"/>
  <c r="D255" i="11"/>
  <c r="E255" i="11"/>
  <c r="D81" i="11"/>
  <c r="E81" i="11"/>
  <c r="D286" i="11"/>
  <c r="E286" i="11"/>
  <c r="D238" i="11"/>
  <c r="E238" i="11"/>
  <c r="D158" i="11"/>
  <c r="E158" i="11"/>
  <c r="D127" i="11"/>
  <c r="E127" i="11"/>
  <c r="D79" i="11"/>
  <c r="E79" i="11"/>
  <c r="D673" i="11"/>
  <c r="E673" i="11"/>
  <c r="D696" i="11"/>
  <c r="E696" i="11"/>
  <c r="D633" i="11"/>
  <c r="J633" i="11" s="1"/>
  <c r="E633" i="11"/>
  <c r="D364" i="11"/>
  <c r="E364" i="11"/>
  <c r="D252" i="11"/>
  <c r="E252" i="11"/>
  <c r="D220" i="11"/>
  <c r="E220" i="11"/>
  <c r="D172" i="11"/>
  <c r="E172" i="11"/>
  <c r="D156" i="11"/>
  <c r="E156" i="11"/>
  <c r="D63" i="11"/>
  <c r="E63" i="11"/>
  <c r="D664" i="11"/>
  <c r="J664" i="11" s="1"/>
  <c r="E664" i="11"/>
  <c r="D474" i="11"/>
  <c r="E474" i="11"/>
  <c r="D429" i="11"/>
  <c r="E429" i="11"/>
  <c r="D413" i="11"/>
  <c r="E413" i="11"/>
  <c r="D711" i="11"/>
  <c r="J711" i="11" s="1"/>
  <c r="E711" i="11"/>
  <c r="D584" i="11"/>
  <c r="E584" i="11"/>
  <c r="D537" i="11"/>
  <c r="E537" i="11"/>
  <c r="D489" i="11"/>
  <c r="E489" i="11"/>
  <c r="D412" i="11"/>
  <c r="J412" i="11" s="1"/>
  <c r="E412" i="11"/>
  <c r="D396" i="11"/>
  <c r="E396" i="11"/>
  <c r="D333" i="11"/>
  <c r="E333" i="11"/>
  <c r="D902" i="11"/>
  <c r="E902" i="11"/>
  <c r="D822" i="11"/>
  <c r="E822" i="11"/>
  <c r="D790" i="11"/>
  <c r="E790" i="11"/>
  <c r="D726" i="11"/>
  <c r="E726" i="11"/>
  <c r="D678" i="11"/>
  <c r="E678" i="11"/>
  <c r="D615" i="11"/>
  <c r="J615" i="11" s="1"/>
  <c r="E615" i="11"/>
  <c r="D599" i="11"/>
  <c r="E599" i="11"/>
  <c r="D567" i="11"/>
  <c r="E567" i="11"/>
  <c r="D442" i="11"/>
  <c r="E442" i="11"/>
  <c r="D395" i="11"/>
  <c r="E395" i="11"/>
  <c r="D837" i="11"/>
  <c r="E837" i="11"/>
  <c r="D805" i="11"/>
  <c r="E805" i="11"/>
  <c r="D741" i="11"/>
  <c r="E741" i="11"/>
  <c r="D725" i="11"/>
  <c r="E725" i="11"/>
  <c r="D630" i="11"/>
  <c r="E630" i="11"/>
  <c r="D503" i="11"/>
  <c r="E503" i="11"/>
  <c r="D471" i="11"/>
  <c r="E471" i="11"/>
  <c r="D315" i="11"/>
  <c r="E315" i="11"/>
  <c r="D299" i="11"/>
  <c r="E299" i="11"/>
  <c r="D235" i="11"/>
  <c r="E235" i="11"/>
  <c r="D219" i="11"/>
  <c r="E219" i="11"/>
  <c r="D109" i="11"/>
  <c r="E109" i="11"/>
  <c r="D93" i="11"/>
  <c r="E93" i="11"/>
  <c r="D62" i="11"/>
  <c r="E62" i="11"/>
  <c r="D677" i="11"/>
  <c r="E677" i="11"/>
  <c r="D77" i="11"/>
  <c r="E77" i="11"/>
  <c r="D61" i="11"/>
  <c r="E61" i="11"/>
  <c r="D661" i="11"/>
  <c r="E661" i="11"/>
  <c r="D185" i="11"/>
  <c r="E185" i="11"/>
  <c r="D169" i="11"/>
  <c r="J169" i="11" s="1"/>
  <c r="E169" i="11"/>
  <c r="D44" i="11"/>
  <c r="E44" i="11"/>
  <c r="D438" i="11"/>
  <c r="J168" i="11"/>
  <c r="J630" i="11"/>
  <c r="D296" i="11"/>
  <c r="D692" i="11"/>
  <c r="D641" i="11"/>
  <c r="J805" i="11"/>
  <c r="J725" i="11"/>
  <c r="J248" i="11"/>
  <c r="J424" i="11"/>
  <c r="J726" i="11"/>
  <c r="D868" i="11"/>
  <c r="D653" i="11"/>
  <c r="J790" i="11"/>
  <c r="D697" i="11"/>
  <c r="D829" i="11"/>
  <c r="D616" i="11"/>
  <c r="D380" i="11"/>
  <c r="D614" i="11"/>
  <c r="D312" i="11"/>
  <c r="D284" i="11"/>
  <c r="D813" i="11"/>
  <c r="D399" i="11"/>
  <c r="D516" i="11"/>
  <c r="D389" i="11"/>
  <c r="D717" i="11"/>
  <c r="D46" i="11"/>
  <c r="D694" i="11"/>
  <c r="D644" i="11"/>
  <c r="D453" i="11"/>
  <c r="D128" i="11"/>
  <c r="D397" i="11"/>
  <c r="D727" i="11"/>
  <c r="D376" i="11"/>
  <c r="D387" i="11"/>
  <c r="D886" i="11"/>
  <c r="D874" i="11"/>
  <c r="D758" i="11"/>
  <c r="D682" i="11"/>
  <c r="D569" i="11"/>
  <c r="D472" i="11"/>
  <c r="D405" i="11"/>
  <c r="D209" i="11"/>
  <c r="D910" i="11"/>
  <c r="D762" i="11"/>
  <c r="D586" i="11"/>
  <c r="D922" i="11"/>
  <c r="D894" i="11"/>
  <c r="D710" i="11"/>
  <c r="D699" i="11"/>
  <c r="D423" i="11"/>
  <c r="D354" i="11"/>
  <c r="D767" i="11"/>
  <c r="D689" i="11"/>
  <c r="D553" i="11"/>
  <c r="D301" i="11"/>
  <c r="J284" i="11"/>
  <c r="D739" i="11"/>
  <c r="D648" i="11"/>
  <c r="D571" i="11"/>
  <c r="D548" i="11"/>
  <c r="D125" i="11"/>
  <c r="D454" i="11"/>
  <c r="D915" i="11"/>
  <c r="D771" i="11"/>
  <c r="D595" i="11"/>
  <c r="D241" i="11"/>
  <c r="J889" i="11"/>
  <c r="D859" i="11"/>
  <c r="D280" i="11"/>
  <c r="D250" i="11"/>
  <c r="J822" i="11"/>
  <c r="J502" i="11"/>
  <c r="D214" i="11"/>
  <c r="D108" i="11"/>
  <c r="D437" i="11"/>
  <c r="D415" i="11"/>
  <c r="D229" i="11"/>
  <c r="D110" i="11"/>
  <c r="D810" i="11"/>
  <c r="D196" i="11"/>
  <c r="D877" i="11"/>
  <c r="D508" i="11"/>
  <c r="D206" i="11"/>
  <c r="D918" i="11"/>
  <c r="D538" i="11"/>
  <c r="D926" i="11"/>
  <c r="D589" i="11"/>
  <c r="D142" i="11"/>
  <c r="D871" i="11"/>
  <c r="D660" i="11"/>
  <c r="D688" i="11"/>
  <c r="D552" i="11"/>
  <c r="D445" i="11"/>
  <c r="D225" i="11"/>
  <c r="AG697" i="11"/>
  <c r="AG313" i="11"/>
  <c r="D884" i="11"/>
  <c r="D786" i="11"/>
  <c r="AG725" i="11"/>
  <c r="D363" i="11"/>
  <c r="J720" i="11"/>
  <c r="D838" i="11"/>
  <c r="D393" i="11"/>
  <c r="D326" i="11"/>
  <c r="D181" i="11"/>
  <c r="D564" i="11"/>
  <c r="D809" i="11"/>
  <c r="AG774" i="11"/>
  <c r="D518" i="11"/>
  <c r="D425" i="11"/>
  <c r="D555" i="11"/>
  <c r="D906" i="11"/>
  <c r="D883" i="11"/>
  <c r="D531" i="11"/>
  <c r="D222" i="11"/>
  <c r="D310" i="11"/>
  <c r="D873" i="11"/>
  <c r="D709" i="11"/>
  <c r="D693" i="11"/>
  <c r="D520" i="11"/>
  <c r="D349" i="11"/>
  <c r="D735" i="11"/>
  <c r="D845" i="11"/>
  <c r="D602" i="11"/>
  <c r="D379" i="11"/>
  <c r="D95" i="11"/>
  <c r="D921" i="11"/>
  <c r="D501" i="11"/>
  <c r="D305" i="11"/>
  <c r="D272" i="11"/>
  <c r="D41" i="11"/>
  <c r="D920" i="11"/>
  <c r="D839" i="11"/>
  <c r="D691" i="11"/>
  <c r="D631" i="11"/>
  <c r="D506" i="11"/>
  <c r="D629" i="11"/>
  <c r="J629" i="11" s="1"/>
  <c r="D568" i="11"/>
  <c r="D814" i="11"/>
  <c r="D774" i="11"/>
  <c r="D619" i="11"/>
  <c r="D497" i="11"/>
  <c r="D244" i="11"/>
  <c r="D96" i="11"/>
  <c r="D905" i="11"/>
  <c r="D895" i="11"/>
  <c r="D860" i="11"/>
  <c r="D632" i="11"/>
  <c r="D322" i="11"/>
  <c r="D276" i="11"/>
  <c r="D137" i="11"/>
  <c r="D452" i="11"/>
  <c r="D149" i="11"/>
  <c r="D143" i="11"/>
  <c r="D850" i="11"/>
  <c r="D746" i="11"/>
  <c r="D388" i="11"/>
  <c r="D197" i="11"/>
  <c r="D752" i="11"/>
  <c r="D560" i="11"/>
  <c r="D418" i="11"/>
  <c r="D362" i="11"/>
  <c r="D173" i="11"/>
  <c r="D856" i="11"/>
  <c r="D563" i="11"/>
  <c r="J563" i="11" s="1"/>
  <c r="D483" i="11"/>
  <c r="D434" i="11"/>
  <c r="D298" i="11"/>
  <c r="D55" i="11"/>
  <c r="D930" i="11"/>
  <c r="D795" i="11"/>
  <c r="D522" i="11"/>
  <c r="D909" i="11"/>
  <c r="D645" i="11"/>
  <c r="D528" i="11"/>
  <c r="D351" i="11"/>
  <c r="D120" i="11"/>
  <c r="D583" i="11"/>
  <c r="D381" i="11"/>
  <c r="D318" i="11"/>
  <c r="D48" i="11"/>
  <c r="AG845" i="11"/>
  <c r="AG829" i="11"/>
  <c r="AG701" i="11"/>
  <c r="J701" i="11"/>
  <c r="AG669" i="11"/>
  <c r="AG589" i="11"/>
  <c r="AG445" i="11"/>
  <c r="AG301" i="11"/>
  <c r="AG888" i="11"/>
  <c r="AG824" i="11"/>
  <c r="AG808" i="11"/>
  <c r="AG776" i="11"/>
  <c r="J696" i="11"/>
  <c r="AG696" i="11"/>
  <c r="AG664" i="11"/>
  <c r="AG632" i="11"/>
  <c r="AG536" i="11"/>
  <c r="J392" i="11"/>
  <c r="AG392" i="11"/>
  <c r="AG312" i="11"/>
  <c r="AG296" i="11"/>
  <c r="AG136" i="11"/>
  <c r="AG40" i="11"/>
  <c r="AG860" i="11"/>
  <c r="D780" i="11"/>
  <c r="AG891" i="11"/>
  <c r="D779" i="11"/>
  <c r="AG886" i="11"/>
  <c r="AG646" i="11"/>
  <c r="J832" i="11"/>
  <c r="AG809" i="11"/>
  <c r="AG714" i="11"/>
  <c r="AG140" i="11"/>
  <c r="J299" i="11"/>
  <c r="AG299" i="11"/>
  <c r="AG807" i="11"/>
  <c r="J902" i="11"/>
  <c r="AG902" i="11"/>
  <c r="AG870" i="11"/>
  <c r="AG806" i="11"/>
  <c r="AG758" i="11"/>
  <c r="J614" i="11"/>
  <c r="AG614" i="11"/>
  <c r="AG901" i="11"/>
  <c r="AG789" i="11"/>
  <c r="AG827" i="11"/>
  <c r="AG587" i="11"/>
  <c r="AG395" i="11"/>
  <c r="J395" i="11"/>
  <c r="D432" i="11"/>
  <c r="AG859" i="11"/>
  <c r="D722" i="11"/>
  <c r="D519" i="11"/>
  <c r="AG921" i="11"/>
  <c r="D500" i="11"/>
  <c r="D170" i="11"/>
  <c r="AG823" i="11"/>
  <c r="AG615" i="11"/>
  <c r="D764" i="11"/>
  <c r="AG842" i="11"/>
  <c r="AG790" i="11"/>
  <c r="AG713" i="11"/>
  <c r="AG444" i="11"/>
  <c r="AG903" i="11"/>
  <c r="AG631" i="11"/>
  <c r="J847" i="11"/>
  <c r="AG810" i="11"/>
  <c r="AG298" i="11"/>
  <c r="AG609" i="11"/>
  <c r="AG768" i="11"/>
  <c r="AG608" i="11"/>
  <c r="J608" i="11"/>
  <c r="AG576" i="11"/>
  <c r="AG432" i="11"/>
  <c r="AG240" i="11"/>
  <c r="AG208" i="11"/>
  <c r="J699" i="11"/>
  <c r="AG699" i="11"/>
  <c r="AG315" i="11"/>
  <c r="J315" i="11"/>
  <c r="AG538" i="11"/>
  <c r="J442" i="11"/>
  <c r="AG442" i="11"/>
  <c r="AG895" i="11"/>
  <c r="AG815" i="11"/>
  <c r="J815" i="11"/>
  <c r="AG735" i="11"/>
  <c r="AG447" i="11"/>
  <c r="AG351" i="11"/>
  <c r="AG207" i="11"/>
  <c r="J716" i="11"/>
  <c r="AG716" i="11"/>
  <c r="J841" i="11"/>
  <c r="AG841" i="11"/>
  <c r="AG681" i="11"/>
  <c r="J681" i="11"/>
  <c r="AG665" i="11"/>
  <c r="AG633" i="11"/>
  <c r="AG537" i="11"/>
  <c r="D460" i="11"/>
  <c r="AG791" i="11"/>
  <c r="AG863" i="11"/>
  <c r="AG831" i="11"/>
  <c r="AG751" i="11"/>
  <c r="AG719" i="11"/>
  <c r="AG703" i="11"/>
  <c r="AG671" i="11"/>
  <c r="J671" i="11"/>
  <c r="AG479" i="11"/>
  <c r="AG830" i="11"/>
  <c r="J830" i="11"/>
  <c r="AG302" i="11"/>
  <c r="AG206" i="11"/>
  <c r="AG918" i="11"/>
  <c r="AG889" i="11"/>
  <c r="AG393" i="11"/>
  <c r="J297" i="11"/>
  <c r="AG297" i="11"/>
  <c r="J185" i="11"/>
  <c r="AG185" i="11"/>
  <c r="AG153" i="11"/>
  <c r="J137" i="11"/>
  <c r="AG137" i="11"/>
  <c r="AG105" i="11"/>
  <c r="AG57" i="11"/>
  <c r="D807" i="11"/>
  <c r="J503" i="11"/>
  <c r="AG503" i="11"/>
  <c r="AG263" i="11"/>
  <c r="D806" i="11"/>
  <c r="AG534" i="11"/>
  <c r="J342" i="11"/>
  <c r="AG342" i="11"/>
  <c r="AG262" i="11"/>
  <c r="J230" i="11"/>
  <c r="AG230" i="11"/>
  <c r="AG214" i="11"/>
  <c r="AG166" i="11"/>
  <c r="AG118" i="11"/>
  <c r="D892" i="11"/>
  <c r="J741" i="11"/>
  <c r="AG741" i="11"/>
  <c r="AG149" i="11"/>
  <c r="J117" i="11"/>
  <c r="J101" i="11"/>
  <c r="AG101" i="11"/>
  <c r="D911" i="11"/>
  <c r="J115" i="11"/>
  <c r="AG115" i="11"/>
  <c r="AG83" i="11"/>
  <c r="J67" i="11"/>
  <c r="AG67" i="11"/>
  <c r="AG502" i="11"/>
  <c r="AG497" i="11"/>
  <c r="AG449" i="11"/>
  <c r="J449" i="11"/>
  <c r="AG369" i="11"/>
  <c r="AG241" i="11"/>
  <c r="AG209" i="11"/>
  <c r="D51" i="11"/>
  <c r="D550" i="11"/>
  <c r="D529" i="11"/>
  <c r="D295" i="11"/>
  <c r="D207" i="11"/>
  <c r="D585" i="11"/>
  <c r="D549" i="11"/>
  <c r="D576" i="11"/>
  <c r="D565" i="11"/>
  <c r="D646" i="11"/>
  <c r="D186" i="11"/>
  <c r="J186" i="11" s="1"/>
  <c r="D540" i="11"/>
  <c r="D370" i="11"/>
  <c r="D256" i="11"/>
  <c r="D598" i="11"/>
  <c r="D597" i="11"/>
  <c r="D547" i="11"/>
  <c r="D924" i="11"/>
  <c r="D887" i="11"/>
  <c r="D40" i="11"/>
  <c r="D607" i="11"/>
  <c r="D226" i="11"/>
  <c r="D174" i="11"/>
  <c r="D80" i="11"/>
  <c r="D824" i="11"/>
  <c r="D757" i="11"/>
  <c r="D613" i="11"/>
  <c r="D742" i="11"/>
  <c r="D703" i="11"/>
  <c r="D636" i="11"/>
  <c r="D603" i="11"/>
  <c r="D582" i="11"/>
  <c r="D484" i="11"/>
  <c r="D476" i="11"/>
  <c r="D869" i="11"/>
  <c r="D842" i="11"/>
  <c r="D770" i="11"/>
  <c r="D617" i="11"/>
  <c r="D634" i="11"/>
  <c r="D854" i="11"/>
  <c r="D927" i="11"/>
  <c r="D823" i="11"/>
  <c r="D334" i="11"/>
  <c r="D916" i="11"/>
  <c r="D754" i="11"/>
  <c r="D422" i="11"/>
  <c r="D403" i="11"/>
  <c r="D218" i="11"/>
  <c r="D903" i="11"/>
  <c r="D853" i="11"/>
  <c r="D649" i="11"/>
  <c r="D612" i="11"/>
  <c r="J641" i="11"/>
  <c r="D281" i="11"/>
  <c r="D870" i="11"/>
  <c r="D834" i="11"/>
  <c r="D828" i="11"/>
  <c r="D514" i="11"/>
  <c r="D485" i="11"/>
  <c r="D262" i="11"/>
  <c r="D925" i="11"/>
  <c r="D505" i="11"/>
  <c r="D457" i="11"/>
  <c r="D384" i="11"/>
  <c r="D320" i="11"/>
  <c r="D269" i="11"/>
  <c r="D896" i="11"/>
  <c r="D536" i="11"/>
  <c r="D371" i="11"/>
  <c r="D290" i="11"/>
  <c r="D919" i="11"/>
  <c r="D708" i="11"/>
  <c r="D534" i="11"/>
  <c r="D509" i="11"/>
  <c r="D369" i="11"/>
  <c r="D266" i="11"/>
  <c r="D260" i="11"/>
  <c r="D210" i="11"/>
  <c r="D891" i="11"/>
  <c r="D827" i="11"/>
  <c r="D734" i="11"/>
  <c r="D690" i="11"/>
  <c r="D662" i="11"/>
  <c r="D639" i="11"/>
  <c r="D580" i="11"/>
  <c r="D204" i="11"/>
  <c r="D192" i="11"/>
  <c r="D914" i="11"/>
  <c r="D707" i="11"/>
  <c r="D656" i="11"/>
  <c r="D323" i="11"/>
  <c r="D901" i="11"/>
  <c r="D802" i="11"/>
  <c r="D787" i="11"/>
  <c r="D776" i="11"/>
  <c r="D751" i="11"/>
  <c r="D652" i="11"/>
  <c r="D439" i="11"/>
  <c r="D900" i="11"/>
  <c r="D855" i="11"/>
  <c r="D669" i="11"/>
  <c r="D444" i="11"/>
  <c r="D366" i="11"/>
  <c r="D112" i="11"/>
  <c r="D808" i="11"/>
  <c r="D792" i="11"/>
  <c r="D544" i="11"/>
  <c r="D251" i="11"/>
  <c r="D228" i="11"/>
  <c r="D65" i="11"/>
  <c r="D858" i="11"/>
  <c r="D768" i="11"/>
  <c r="D642" i="11"/>
  <c r="D359" i="11"/>
  <c r="D328" i="11"/>
  <c r="J328" i="11" s="1"/>
  <c r="D234" i="11"/>
  <c r="D121" i="11"/>
  <c r="D86" i="11"/>
  <c r="D73" i="11"/>
  <c r="D57" i="11"/>
  <c r="J864" i="11"/>
  <c r="D812" i="11"/>
  <c r="D799" i="11"/>
  <c r="D784" i="11"/>
  <c r="D665" i="11"/>
  <c r="D587" i="11"/>
  <c r="D464" i="11"/>
  <c r="D327" i="11"/>
  <c r="D278" i="11"/>
  <c r="D221" i="11"/>
  <c r="D154" i="11"/>
  <c r="D863" i="11"/>
  <c r="D755" i="11"/>
  <c r="D744" i="11"/>
  <c r="J698" i="11"/>
  <c r="D488" i="11"/>
  <c r="D421" i="11"/>
  <c r="D201" i="11"/>
  <c r="D153" i="11"/>
  <c r="D106" i="11"/>
  <c r="D880" i="11"/>
  <c r="D872" i="11"/>
  <c r="D791" i="11"/>
  <c r="D750" i="11"/>
  <c r="D609" i="11"/>
  <c r="D594" i="11"/>
  <c r="D469" i="11"/>
  <c r="D288" i="11"/>
  <c r="D163" i="11"/>
  <c r="D83" i="11"/>
  <c r="D893" i="11"/>
  <c r="D888" i="11"/>
  <c r="D840" i="11"/>
  <c r="D783" i="11"/>
  <c r="D760" i="11"/>
  <c r="D625" i="11"/>
  <c r="D517" i="11"/>
  <c r="D261" i="11"/>
  <c r="D111" i="11"/>
  <c r="D105" i="11"/>
  <c r="D875" i="11"/>
  <c r="D712" i="11"/>
  <c r="D533" i="11"/>
  <c r="D479" i="11"/>
  <c r="D239" i="11"/>
  <c r="D224" i="11"/>
  <c r="D118" i="11"/>
  <c r="D557" i="11"/>
  <c r="D455" i="11"/>
  <c r="D195" i="11"/>
  <c r="D190" i="11"/>
  <c r="D92" i="11"/>
  <c r="D56" i="11"/>
  <c r="D818" i="11"/>
  <c r="D668" i="11"/>
  <c r="D302" i="11"/>
  <c r="D90" i="11"/>
  <c r="D743" i="11"/>
  <c r="D611" i="11"/>
  <c r="J611" i="11" s="1"/>
  <c r="D526" i="11"/>
  <c r="D408" i="11"/>
  <c r="D390" i="11"/>
  <c r="D789" i="11"/>
  <c r="D624" i="11"/>
  <c r="D577" i="11"/>
  <c r="D470" i="11"/>
  <c r="D465" i="11"/>
  <c r="D367" i="11"/>
  <c r="D343" i="11"/>
  <c r="D166" i="11"/>
  <c r="D777" i="11"/>
  <c r="D728" i="11"/>
  <c r="D719" i="11"/>
  <c r="D543" i="11"/>
  <c r="D175" i="11"/>
  <c r="D732" i="11"/>
  <c r="D623" i="11"/>
  <c r="D581" i="11"/>
  <c r="D559" i="11"/>
  <c r="D525" i="11"/>
  <c r="D493" i="11"/>
  <c r="D441" i="11"/>
  <c r="D331" i="11"/>
  <c r="D316" i="11"/>
  <c r="D447" i="11"/>
  <c r="D285" i="11"/>
  <c r="D167" i="11"/>
  <c r="D140" i="11"/>
  <c r="D94" i="11"/>
  <c r="D459" i="11"/>
  <c r="D270" i="11"/>
  <c r="D242" i="11"/>
  <c r="D159" i="11"/>
  <c r="D382" i="11"/>
  <c r="D293" i="11"/>
  <c r="J293" i="11" s="1"/>
  <c r="D237" i="11"/>
  <c r="D47" i="11"/>
  <c r="D358" i="11"/>
  <c r="J304" i="11"/>
  <c r="D254" i="11"/>
  <c r="D131" i="11"/>
  <c r="D89" i="11"/>
  <c r="D273" i="11"/>
  <c r="D42" i="11"/>
  <c r="D426" i="11"/>
  <c r="D407" i="11"/>
  <c r="D263" i="11"/>
  <c r="D240" i="11"/>
  <c r="D176" i="11"/>
  <c r="D160" i="11"/>
  <c r="D144" i="11"/>
  <c r="D64" i="11"/>
  <c r="D473" i="11"/>
  <c r="D411" i="11"/>
  <c r="D87" i="11"/>
  <c r="D566" i="11"/>
  <c r="D150" i="11"/>
  <c r="D100" i="11"/>
  <c r="D908" i="11"/>
  <c r="D747" i="11"/>
  <c r="D53" i="11"/>
  <c r="D524" i="11"/>
  <c r="D904" i="11"/>
  <c r="D658" i="11"/>
  <c r="D466" i="11"/>
  <c r="J486" i="11"/>
  <c r="D490" i="11"/>
  <c r="D532" i="11"/>
  <c r="D601" i="11"/>
  <c r="D573" i="11"/>
  <c r="D495" i="11"/>
  <c r="D745" i="11"/>
  <c r="D800" i="11"/>
  <c r="D753" i="11"/>
  <c r="D600" i="11"/>
  <c r="D736" i="11"/>
  <c r="D592" i="11"/>
  <c r="D775" i="11"/>
  <c r="J775" i="11" s="1"/>
  <c r="D803" i="11"/>
  <c r="D897" i="11"/>
  <c r="D929" i="11"/>
  <c r="D578" i="11"/>
  <c r="D659" i="11"/>
  <c r="D35" i="11"/>
  <c r="D562" i="11"/>
  <c r="D138" i="11"/>
  <c r="D793" i="11"/>
  <c r="D928" i="11"/>
  <c r="D844" i="11"/>
  <c r="D695" i="11"/>
  <c r="D885" i="11"/>
  <c r="D620" i="11"/>
  <c r="D715" i="11"/>
  <c r="D627" i="11"/>
  <c r="D420" i="11"/>
  <c r="D391" i="11"/>
  <c r="D843" i="11"/>
  <c r="D835" i="11"/>
  <c r="D861" i="11"/>
  <c r="D663" i="11"/>
  <c r="D574" i="11"/>
  <c r="D637" i="11"/>
  <c r="D821" i="11"/>
  <c r="D759" i="11"/>
  <c r="D523" i="11"/>
  <c r="D462" i="11"/>
  <c r="D923" i="11"/>
  <c r="D788" i="11"/>
  <c r="D670" i="11"/>
  <c r="D590" i="11"/>
  <c r="D527" i="11"/>
  <c r="D494" i="11"/>
  <c r="D317" i="11"/>
  <c r="D116" i="11"/>
  <c r="D99" i="11"/>
  <c r="D917" i="11"/>
  <c r="D890" i="11"/>
  <c r="D816" i="11"/>
  <c r="D512" i="11"/>
  <c r="D246" i="11"/>
  <c r="D740" i="11"/>
  <c r="D684" i="11"/>
  <c r="D640" i="11"/>
  <c r="D480" i="11"/>
  <c r="D427" i="11"/>
  <c r="D332" i="11"/>
  <c r="D848" i="11"/>
  <c r="D833" i="11"/>
  <c r="D748" i="11"/>
  <c r="D687" i="11"/>
  <c r="D541" i="11"/>
  <c r="D374" i="11"/>
  <c r="D271" i="11"/>
  <c r="D819" i="11"/>
  <c r="D551" i="11"/>
  <c r="D360" i="11"/>
  <c r="D282" i="11"/>
  <c r="D267" i="11"/>
  <c r="D253" i="11"/>
  <c r="D148" i="11"/>
  <c r="D913" i="11"/>
  <c r="D867" i="11"/>
  <c r="D621" i="11"/>
  <c r="D385" i="11"/>
  <c r="D811" i="11"/>
  <c r="D733" i="11"/>
  <c r="D635" i="11"/>
  <c r="J635" i="11" s="1"/>
  <c r="D907" i="11"/>
  <c r="D683" i="11"/>
  <c r="D680" i="11"/>
  <c r="D655" i="11"/>
  <c r="D626" i="11"/>
  <c r="D539" i="11"/>
  <c r="D530" i="11"/>
  <c r="D504" i="11"/>
  <c r="D443" i="11"/>
  <c r="D433" i="11"/>
  <c r="D355" i="11"/>
  <c r="D347" i="11"/>
  <c r="D338" i="11"/>
  <c r="D177" i="11"/>
  <c r="D161" i="11"/>
  <c r="D104" i="11"/>
  <c r="D862" i="11"/>
  <c r="D849" i="11"/>
  <c r="D796" i="11"/>
  <c r="D773" i="11"/>
  <c r="D610" i="11"/>
  <c r="D511" i="11"/>
  <c r="D446" i="11"/>
  <c r="D440" i="11"/>
  <c r="D414" i="11"/>
  <c r="D378" i="11"/>
  <c r="D365" i="11"/>
  <c r="D346" i="11"/>
  <c r="D826" i="11"/>
  <c r="D763" i="11"/>
  <c r="D718" i="11"/>
  <c r="D675" i="11"/>
  <c r="D545" i="11"/>
  <c r="D510" i="11"/>
  <c r="D475" i="11"/>
  <c r="J475" i="11" s="1"/>
  <c r="D458" i="11"/>
  <c r="D373" i="11"/>
  <c r="D345" i="11"/>
  <c r="D769" i="11"/>
  <c r="D731" i="11"/>
  <c r="D705" i="11"/>
  <c r="D667" i="11"/>
  <c r="D654" i="11"/>
  <c r="D651" i="11"/>
  <c r="D647" i="11"/>
  <c r="D593" i="11"/>
  <c r="D535" i="11"/>
  <c r="D361" i="11"/>
  <c r="D350" i="11"/>
  <c r="D236" i="11"/>
  <c r="D164" i="11"/>
  <c r="D825" i="11"/>
  <c r="D657" i="11"/>
  <c r="D638" i="11"/>
  <c r="D588" i="11"/>
  <c r="D491" i="11"/>
  <c r="D468" i="11"/>
  <c r="D410" i="11"/>
  <c r="D394" i="11"/>
  <c r="D202" i="11"/>
  <c r="D912" i="11"/>
  <c r="D778" i="11"/>
  <c r="D766" i="11"/>
  <c r="D704" i="11"/>
  <c r="D606" i="11"/>
  <c r="D247" i="11"/>
  <c r="D231" i="11"/>
  <c r="D213" i="11"/>
  <c r="D881" i="11"/>
  <c r="D785" i="11"/>
  <c r="D686" i="11"/>
  <c r="D643" i="11"/>
  <c r="D461" i="11"/>
  <c r="D419" i="11"/>
  <c r="D409" i="11"/>
  <c r="D368" i="11"/>
  <c r="D245" i="11"/>
  <c r="D85" i="11"/>
  <c r="D878" i="11"/>
  <c r="D804" i="11"/>
  <c r="D801" i="11"/>
  <c r="D782" i="11"/>
  <c r="D749" i="11"/>
  <c r="D591" i="11"/>
  <c r="D383" i="11"/>
  <c r="D357" i="11"/>
  <c r="D329" i="11"/>
  <c r="D308" i="11"/>
  <c r="D211" i="11"/>
  <c r="D135" i="11"/>
  <c r="D119" i="11"/>
  <c r="D97" i="11"/>
  <c r="D865" i="11"/>
  <c r="D724" i="11"/>
  <c r="D721" i="11"/>
  <c r="D702" i="11"/>
  <c r="D622" i="11"/>
  <c r="D605" i="11"/>
  <c r="D558" i="11"/>
  <c r="D492" i="11"/>
  <c r="D477" i="11"/>
  <c r="D325" i="11"/>
  <c r="D183" i="11"/>
  <c r="D134" i="11"/>
  <c r="D102" i="11"/>
  <c r="D679" i="11"/>
  <c r="D481" i="11"/>
  <c r="D307" i="11"/>
  <c r="D122" i="11"/>
  <c r="D820" i="11"/>
  <c r="D817" i="11"/>
  <c r="D798" i="11"/>
  <c r="D765" i="11"/>
  <c r="D499" i="11"/>
  <c r="D404" i="11"/>
  <c r="D182" i="11"/>
  <c r="D133" i="11"/>
  <c r="D737" i="11"/>
  <c r="D435" i="11"/>
  <c r="D386" i="11"/>
  <c r="D348" i="11"/>
  <c r="D340" i="11"/>
  <c r="D306" i="11"/>
  <c r="D232" i="11"/>
  <c r="D191" i="11"/>
  <c r="D542" i="11"/>
  <c r="D406" i="11"/>
  <c r="D292" i="11"/>
  <c r="D217" i="11"/>
  <c r="D198" i="11"/>
  <c r="D129" i="11"/>
  <c r="D487" i="11"/>
  <c r="D478" i="11"/>
  <c r="D398" i="11"/>
  <c r="D344" i="11"/>
  <c r="D291" i="11"/>
  <c r="D579" i="11"/>
  <c r="D401" i="11"/>
  <c r="D341" i="11"/>
  <c r="J341" i="11" s="1"/>
  <c r="D319" i="11"/>
  <c r="D268" i="11"/>
  <c r="D205" i="11"/>
  <c r="D193" i="11"/>
  <c r="D189" i="11"/>
  <c r="D165" i="11"/>
  <c r="D157" i="11"/>
  <c r="D456" i="11"/>
  <c r="D450" i="11"/>
  <c r="D428" i="11"/>
  <c r="D337" i="11"/>
  <c r="D300" i="11"/>
  <c r="D283" i="11"/>
  <c r="D264" i="11"/>
  <c r="D141" i="11"/>
  <c r="D113" i="11"/>
  <c r="D402" i="11"/>
  <c r="D330" i="11"/>
  <c r="D277" i="11"/>
  <c r="D152" i="11"/>
  <c r="D71" i="11"/>
  <c r="D521" i="11"/>
  <c r="D287" i="11"/>
  <c r="D227" i="11"/>
  <c r="D200" i="11"/>
  <c r="D184" i="11"/>
  <c r="D147" i="11"/>
  <c r="D124" i="11"/>
  <c r="D70" i="11"/>
  <c r="D448" i="11"/>
  <c r="D303" i="11"/>
  <c r="D257" i="11"/>
  <c r="D179" i="11"/>
  <c r="D377" i="11"/>
  <c r="D352" i="11"/>
  <c r="D279" i="11"/>
  <c r="D223" i="11"/>
  <c r="D321" i="11"/>
  <c r="D233" i="11"/>
  <c r="D215" i="11"/>
  <c r="D199" i="11"/>
  <c r="D431" i="11"/>
  <c r="D356" i="11"/>
  <c r="D353" i="11"/>
  <c r="D180" i="11"/>
  <c r="D103" i="11"/>
  <c r="D76" i="11"/>
  <c r="D335" i="11"/>
  <c r="D188" i="11"/>
  <c r="D58" i="11"/>
  <c r="D49" i="11"/>
  <c r="D372" i="11"/>
  <c r="D74" i="11"/>
  <c r="D45" i="11"/>
  <c r="D52" i="11"/>
  <c r="D60" i="11"/>
  <c r="D249" i="11"/>
  <c r="D151" i="11"/>
  <c r="D68" i="11"/>
  <c r="D84" i="11"/>
  <c r="D36" i="11"/>
  <c r="D203" i="11"/>
  <c r="D132" i="11"/>
  <c r="D194" i="11"/>
  <c r="D178" i="11"/>
  <c r="D162" i="11"/>
  <c r="D146" i="11"/>
  <c r="D130" i="11"/>
  <c r="D114" i="11"/>
  <c r="D98" i="11"/>
  <c r="D82" i="11"/>
  <c r="D66" i="11"/>
  <c r="D50" i="11"/>
  <c r="D34" i="11"/>
  <c r="D187" i="11"/>
  <c r="D171" i="11"/>
  <c r="D155" i="11"/>
  <c r="D139" i="11"/>
  <c r="D123" i="11"/>
  <c r="D107" i="11"/>
  <c r="D91" i="11"/>
  <c r="D75" i="11"/>
  <c r="D59" i="11"/>
  <c r="D43" i="11"/>
  <c r="AG750" i="11"/>
  <c r="AG638" i="11"/>
  <c r="AG558" i="11"/>
  <c r="AG510" i="11"/>
  <c r="J462" i="11"/>
  <c r="AG462" i="11"/>
  <c r="AG270" i="11"/>
  <c r="J222" i="11"/>
  <c r="AG222" i="11"/>
  <c r="AG174" i="11"/>
  <c r="AG126" i="11"/>
  <c r="J126" i="11"/>
  <c r="AG94" i="11"/>
  <c r="J94" i="11"/>
  <c r="AG62" i="11"/>
  <c r="J62" i="11"/>
  <c r="AG925" i="11"/>
  <c r="AG909" i="11"/>
  <c r="AG893" i="11"/>
  <c r="AG877" i="11"/>
  <c r="AG813" i="11"/>
  <c r="AG797" i="11"/>
  <c r="J797" i="11"/>
  <c r="AG781" i="11"/>
  <c r="AG765" i="11"/>
  <c r="AG685" i="11"/>
  <c r="AG653" i="11"/>
  <c r="J653" i="11"/>
  <c r="AG637" i="11"/>
  <c r="AG621" i="11"/>
  <c r="AG605" i="11"/>
  <c r="AG557" i="11"/>
  <c r="AG541" i="11"/>
  <c r="AG509" i="11"/>
  <c r="AG493" i="11"/>
  <c r="J493" i="11"/>
  <c r="J461" i="11"/>
  <c r="AG461" i="11"/>
  <c r="AG413" i="11"/>
  <c r="J413" i="11"/>
  <c r="AG397" i="11"/>
  <c r="AG381" i="11"/>
  <c r="AG365" i="11"/>
  <c r="AG349" i="11"/>
  <c r="AG333" i="11"/>
  <c r="J333" i="11"/>
  <c r="AG317" i="11"/>
  <c r="AG285" i="11"/>
  <c r="AG269" i="11"/>
  <c r="AG253" i="11"/>
  <c r="AG237" i="11"/>
  <c r="J221" i="11"/>
  <c r="AG221" i="11"/>
  <c r="AG189" i="11"/>
  <c r="AG173" i="11"/>
  <c r="AG157" i="11"/>
  <c r="AG141" i="11"/>
  <c r="AG125" i="11"/>
  <c r="AG109" i="11"/>
  <c r="J109" i="11"/>
  <c r="AG93" i="11"/>
  <c r="J93" i="11"/>
  <c r="AG77" i="11"/>
  <c r="J77" i="11"/>
  <c r="AG45" i="11"/>
  <c r="AG843" i="11"/>
  <c r="AG731" i="11"/>
  <c r="AG283" i="11"/>
  <c r="AG878" i="11"/>
  <c r="AG782" i="11"/>
  <c r="AG654" i="11"/>
  <c r="AG526" i="11"/>
  <c r="AG414" i="11"/>
  <c r="AG350" i="11"/>
  <c r="AG334" i="11"/>
  <c r="AG254" i="11"/>
  <c r="AG190" i="11"/>
  <c r="AG142" i="11"/>
  <c r="J142" i="11"/>
  <c r="AG46" i="11"/>
  <c r="J46" i="11"/>
  <c r="AG876" i="11"/>
  <c r="J876" i="11"/>
  <c r="AG796" i="11"/>
  <c r="AG748" i="11"/>
  <c r="AG684" i="11"/>
  <c r="AG620" i="11"/>
  <c r="J620" i="11"/>
  <c r="AG572" i="11"/>
  <c r="J572" i="11"/>
  <c r="J540" i="11"/>
  <c r="AG540" i="11"/>
  <c r="AG492" i="11"/>
  <c r="AG396" i="11"/>
  <c r="J396" i="11"/>
  <c r="AG364" i="11"/>
  <c r="J364" i="11"/>
  <c r="AG332" i="11"/>
  <c r="AG268" i="11"/>
  <c r="J268" i="11"/>
  <c r="AG156" i="11"/>
  <c r="J156" i="11"/>
  <c r="AG124" i="11"/>
  <c r="AG108" i="11"/>
  <c r="AG44" i="11"/>
  <c r="J44" i="11"/>
  <c r="AG747" i="11"/>
  <c r="AG651" i="11"/>
  <c r="J651" i="11"/>
  <c r="AG619" i="11"/>
  <c r="AG603" i="11"/>
  <c r="AG571" i="11"/>
  <c r="J571" i="11"/>
  <c r="AG555" i="11"/>
  <c r="J555" i="11"/>
  <c r="AG539" i="11"/>
  <c r="AG523" i="11"/>
  <c r="J523" i="11"/>
  <c r="AG507" i="11"/>
  <c r="J507" i="11"/>
  <c r="AG491" i="11"/>
  <c r="AG475" i="11"/>
  <c r="AG459" i="11"/>
  <c r="AG427" i="11"/>
  <c r="J427" i="11"/>
  <c r="AG411" i="11"/>
  <c r="J411" i="11"/>
  <c r="AG379" i="11"/>
  <c r="AG363" i="11"/>
  <c r="AG347" i="11"/>
  <c r="J331" i="11"/>
  <c r="AG331" i="11"/>
  <c r="AG267" i="11"/>
  <c r="J267" i="11"/>
  <c r="AG235" i="11"/>
  <c r="J235" i="11"/>
  <c r="AG219" i="11"/>
  <c r="J219" i="11"/>
  <c r="AG203" i="11"/>
  <c r="AG171" i="11"/>
  <c r="AG155" i="11"/>
  <c r="AG123" i="11"/>
  <c r="AG107" i="11"/>
  <c r="AG91" i="11"/>
  <c r="AG75" i="11"/>
  <c r="AG43" i="11"/>
  <c r="AG732" i="11"/>
  <c r="AG573" i="11"/>
  <c r="AG522" i="11"/>
  <c r="AG428" i="11"/>
  <c r="AG284" i="11"/>
  <c r="AG894" i="11"/>
  <c r="AG814" i="11"/>
  <c r="AG382" i="11"/>
  <c r="AG858" i="11"/>
  <c r="AG730" i="11"/>
  <c r="J730" i="11"/>
  <c r="J570" i="11"/>
  <c r="AG570" i="11"/>
  <c r="AG506" i="11"/>
  <c r="AG458" i="11"/>
  <c r="AG330" i="11"/>
  <c r="AG282" i="11"/>
  <c r="AG218" i="11"/>
  <c r="J218" i="11"/>
  <c r="AG186" i="11"/>
  <c r="AG170" i="11"/>
  <c r="AG154" i="11"/>
  <c r="AG122" i="11"/>
  <c r="AG106" i="11"/>
  <c r="AG42" i="11"/>
  <c r="J634" i="11"/>
  <c r="J524" i="11"/>
  <c r="AG476" i="11"/>
  <c r="AG366" i="11"/>
  <c r="J286" i="11"/>
  <c r="AG58" i="11"/>
  <c r="AG766" i="11"/>
  <c r="AG670" i="11"/>
  <c r="AG158" i="11"/>
  <c r="AG780" i="11"/>
  <c r="J780" i="11"/>
  <c r="AG636" i="11"/>
  <c r="J636" i="11"/>
  <c r="AG875" i="11"/>
  <c r="J875" i="11"/>
  <c r="AG795" i="11"/>
  <c r="AG874" i="11"/>
  <c r="J874" i="11"/>
  <c r="AG746" i="11"/>
  <c r="J746" i="11"/>
  <c r="AG618" i="11"/>
  <c r="J618" i="11"/>
  <c r="AG554" i="11"/>
  <c r="AG378" i="11"/>
  <c r="J314" i="11"/>
  <c r="AG314" i="11"/>
  <c r="AG234" i="11"/>
  <c r="AG74" i="11"/>
  <c r="AG733" i="11"/>
  <c r="AG574" i="11"/>
  <c r="AG429" i="11"/>
  <c r="AG204" i="11"/>
  <c r="J61" i="11"/>
  <c r="AG910" i="11"/>
  <c r="AG798" i="11"/>
  <c r="AG686" i="11"/>
  <c r="AG542" i="11"/>
  <c r="AG398" i="11"/>
  <c r="AG318" i="11"/>
  <c r="AG110" i="11"/>
  <c r="J110" i="11"/>
  <c r="AG764" i="11"/>
  <c r="AG652" i="11"/>
  <c r="J652" i="11"/>
  <c r="AG588" i="11"/>
  <c r="AG380" i="11"/>
  <c r="J380" i="11"/>
  <c r="AG316" i="11"/>
  <c r="J316" i="11"/>
  <c r="AG236" i="11"/>
  <c r="AG76" i="11"/>
  <c r="AG779" i="11"/>
  <c r="AG778" i="11"/>
  <c r="AG490" i="11"/>
  <c r="AG426" i="11"/>
  <c r="J426" i="11"/>
  <c r="AG362" i="11"/>
  <c r="AG250" i="11"/>
  <c r="AG202" i="11"/>
  <c r="J922" i="11"/>
  <c r="AG586" i="11"/>
  <c r="AG477" i="11"/>
  <c r="J78" i="11"/>
  <c r="J926" i="11"/>
  <c r="AG926" i="11"/>
  <c r="AG622" i="11"/>
  <c r="AG494" i="11"/>
  <c r="J238" i="11"/>
  <c r="AG238" i="11"/>
  <c r="AG604" i="11"/>
  <c r="AG556" i="11"/>
  <c r="AG508" i="11"/>
  <c r="AG460" i="11"/>
  <c r="AG412" i="11"/>
  <c r="AG348" i="11"/>
  <c r="AG252" i="11"/>
  <c r="J252" i="11"/>
  <c r="J220" i="11"/>
  <c r="AG220" i="11"/>
  <c r="AG172" i="11"/>
  <c r="J172" i="11"/>
  <c r="AG92" i="11"/>
  <c r="AG763" i="11"/>
  <c r="J763" i="11"/>
  <c r="AG762" i="11"/>
  <c r="AG650" i="11"/>
  <c r="J650" i="11"/>
  <c r="AG602" i="11"/>
  <c r="AG474" i="11"/>
  <c r="J474" i="11"/>
  <c r="AG410" i="11"/>
  <c r="AG346" i="11"/>
  <c r="AG266" i="11"/>
  <c r="AG90" i="11"/>
  <c r="J828" i="11"/>
  <c r="AG430" i="11"/>
  <c r="AG205" i="11"/>
  <c r="AG585" i="11"/>
  <c r="J585" i="11"/>
  <c r="J472" i="11"/>
  <c r="AG472" i="11"/>
  <c r="AG328" i="11"/>
  <c r="J216" i="11"/>
  <c r="AG216" i="11"/>
  <c r="J553" i="11"/>
  <c r="AG583" i="11"/>
  <c r="J471" i="11"/>
  <c r="AG471" i="11"/>
  <c r="AG183" i="11"/>
  <c r="AG71" i="11"/>
  <c r="AG264" i="11"/>
  <c r="AG438" i="11"/>
  <c r="AG38" i="11"/>
  <c r="J38" i="11"/>
  <c r="AG777" i="11"/>
  <c r="AG552" i="11"/>
  <c r="AG677" i="11"/>
  <c r="J677" i="11"/>
  <c r="AG661" i="11"/>
  <c r="AG645" i="11"/>
  <c r="J645" i="11"/>
  <c r="AG629" i="11"/>
  <c r="AG613" i="11"/>
  <c r="J613" i="11"/>
  <c r="AG597" i="11"/>
  <c r="AG581" i="11"/>
  <c r="AG565" i="11"/>
  <c r="AG549" i="11"/>
  <c r="J549" i="11"/>
  <c r="AG533" i="11"/>
  <c r="AG517" i="11"/>
  <c r="AG501" i="11"/>
  <c r="AG485" i="11"/>
  <c r="AG469" i="11"/>
  <c r="J469" i="11"/>
  <c r="AG453" i="11"/>
  <c r="AG437" i="11"/>
  <c r="AG421" i="11"/>
  <c r="AG405" i="11"/>
  <c r="J405" i="11"/>
  <c r="AG389" i="11"/>
  <c r="AG373" i="11"/>
  <c r="AG357" i="11"/>
  <c r="J357" i="11"/>
  <c r="AG341" i="11"/>
  <c r="AG325" i="11"/>
  <c r="AG309" i="11"/>
  <c r="J309" i="11"/>
  <c r="AG293" i="11"/>
  <c r="AG277" i="11"/>
  <c r="AG261" i="11"/>
  <c r="AG245" i="11"/>
  <c r="AG229" i="11"/>
  <c r="J229" i="11"/>
  <c r="AG213" i="11"/>
  <c r="AG197" i="11"/>
  <c r="AG181" i="11"/>
  <c r="AG165" i="11"/>
  <c r="AG85" i="11"/>
  <c r="AG69" i="11"/>
  <c r="AG53" i="11"/>
  <c r="AG37" i="11"/>
  <c r="J37" i="11"/>
  <c r="AG872" i="11"/>
  <c r="AG760" i="11"/>
  <c r="AG647" i="11"/>
  <c r="AG568" i="11"/>
  <c r="J463" i="11"/>
  <c r="AG408" i="11"/>
  <c r="AG278" i="11"/>
  <c r="AG117" i="11"/>
  <c r="AG504" i="11"/>
  <c r="AG41" i="11"/>
  <c r="J455" i="11"/>
  <c r="AG455" i="11"/>
  <c r="AG343" i="11"/>
  <c r="J617" i="11"/>
  <c r="AG407" i="11"/>
  <c r="AG550" i="11"/>
  <c r="J454" i="11"/>
  <c r="AG454" i="11"/>
  <c r="AG871" i="11"/>
  <c r="AG884" i="11"/>
  <c r="AG868" i="11"/>
  <c r="J868" i="11"/>
  <c r="AG852" i="11"/>
  <c r="J852" i="11"/>
  <c r="AG836" i="11"/>
  <c r="J836" i="11"/>
  <c r="AG820" i="11"/>
  <c r="AG804" i="11"/>
  <c r="AG788" i="11"/>
  <c r="AG772" i="11"/>
  <c r="J772" i="11"/>
  <c r="AG756" i="11"/>
  <c r="J756" i="11"/>
  <c r="AG740" i="11"/>
  <c r="AG724" i="11"/>
  <c r="J724" i="11"/>
  <c r="AG708" i="11"/>
  <c r="AG692" i="11"/>
  <c r="AG676" i="11"/>
  <c r="J676" i="11"/>
  <c r="AG660" i="11"/>
  <c r="AG644" i="11"/>
  <c r="AG628" i="11"/>
  <c r="J628" i="11"/>
  <c r="AG612" i="11"/>
  <c r="J612" i="11"/>
  <c r="AG596" i="11"/>
  <c r="J596" i="11"/>
  <c r="AG580" i="11"/>
  <c r="AG564" i="11"/>
  <c r="AG548" i="11"/>
  <c r="AG532" i="11"/>
  <c r="AG516" i="11"/>
  <c r="AG500" i="11"/>
  <c r="AG484" i="11"/>
  <c r="AG468" i="11"/>
  <c r="AG452" i="11"/>
  <c r="AG436" i="11"/>
  <c r="AG420" i="11"/>
  <c r="AG404" i="11"/>
  <c r="AG388" i="11"/>
  <c r="J388" i="11"/>
  <c r="AG372" i="11"/>
  <c r="AG356" i="11"/>
  <c r="AG340" i="11"/>
  <c r="AG324" i="11"/>
  <c r="J324" i="11"/>
  <c r="AG308" i="11"/>
  <c r="AG292" i="11"/>
  <c r="AG276" i="11"/>
  <c r="AG260" i="11"/>
  <c r="AG244" i="11"/>
  <c r="AG228" i="11"/>
  <c r="J228" i="11"/>
  <c r="AG212" i="11"/>
  <c r="J196" i="11"/>
  <c r="AG196" i="11"/>
  <c r="AG180" i="11"/>
  <c r="AG164" i="11"/>
  <c r="J148" i="11"/>
  <c r="AG148" i="11"/>
  <c r="AG68" i="11"/>
  <c r="AG52" i="11"/>
  <c r="AG36" i="11"/>
  <c r="J898" i="11"/>
  <c r="AG873" i="11"/>
  <c r="AG854" i="11"/>
  <c r="AG837" i="11"/>
  <c r="AG761" i="11"/>
  <c r="AG743" i="11"/>
  <c r="AG726" i="11"/>
  <c r="AG709" i="11"/>
  <c r="J688" i="11"/>
  <c r="AG487" i="11"/>
  <c r="AG423" i="11"/>
  <c r="AG409" i="11"/>
  <c r="AG376" i="11"/>
  <c r="AG246" i="11"/>
  <c r="AG168" i="11"/>
  <c r="AG344" i="11"/>
  <c r="AG200" i="11"/>
  <c r="J567" i="11"/>
  <c r="AG567" i="11"/>
  <c r="AG311" i="11"/>
  <c r="J678" i="11"/>
  <c r="AG678" i="11"/>
  <c r="AG582" i="11"/>
  <c r="AG198" i="11"/>
  <c r="AG486" i="11"/>
  <c r="AG375" i="11"/>
  <c r="AG851" i="11"/>
  <c r="J851" i="11"/>
  <c r="AG819" i="11"/>
  <c r="AG787" i="11"/>
  <c r="J787" i="11"/>
  <c r="AG771" i="11"/>
  <c r="J771" i="11"/>
  <c r="AG755" i="11"/>
  <c r="J755" i="11"/>
  <c r="AG739" i="11"/>
  <c r="J739" i="11"/>
  <c r="AG723" i="11"/>
  <c r="J723" i="11"/>
  <c r="AG707" i="11"/>
  <c r="AG691" i="11"/>
  <c r="J691" i="11"/>
  <c r="AG675" i="11"/>
  <c r="AG659" i="11"/>
  <c r="AG643" i="11"/>
  <c r="AG627" i="11"/>
  <c r="J627" i="11"/>
  <c r="AG611" i="11"/>
  <c r="AG595" i="11"/>
  <c r="J595" i="11"/>
  <c r="AG579" i="11"/>
  <c r="AG563" i="11"/>
  <c r="AG547" i="11"/>
  <c r="AG531" i="11"/>
  <c r="J531" i="11"/>
  <c r="AG515" i="11"/>
  <c r="J515" i="11"/>
  <c r="AG499" i="11"/>
  <c r="J499" i="11"/>
  <c r="AG483" i="11"/>
  <c r="J483" i="11"/>
  <c r="AG467" i="11"/>
  <c r="AG451" i="11"/>
  <c r="J451" i="11"/>
  <c r="AG435" i="11"/>
  <c r="AG419" i="11"/>
  <c r="AG403" i="11"/>
  <c r="J403" i="11"/>
  <c r="AG387" i="11"/>
  <c r="J387" i="11"/>
  <c r="AG371" i="11"/>
  <c r="AG355" i="11"/>
  <c r="AG339" i="11"/>
  <c r="AG323" i="11"/>
  <c r="J323" i="11"/>
  <c r="AG307" i="11"/>
  <c r="AG291" i="11"/>
  <c r="AG275" i="11"/>
  <c r="J275" i="11"/>
  <c r="AG259" i="11"/>
  <c r="AG243" i="11"/>
  <c r="J243" i="11"/>
  <c r="AG227" i="11"/>
  <c r="AG211" i="11"/>
  <c r="AG195" i="11"/>
  <c r="AG179" i="11"/>
  <c r="J163" i="11"/>
  <c r="AG163" i="11"/>
  <c r="J147" i="11"/>
  <c r="AG147" i="11"/>
  <c r="AG131" i="11"/>
  <c r="AG51" i="11"/>
  <c r="AG35" i="11"/>
  <c r="J899" i="11"/>
  <c r="J857" i="11"/>
  <c r="AG744" i="11"/>
  <c r="J729" i="11"/>
  <c r="AG648" i="11"/>
  <c r="AG598" i="11"/>
  <c r="AG569" i="11"/>
  <c r="AG518" i="11"/>
  <c r="J489" i="11"/>
  <c r="J464" i="11"/>
  <c r="AG279" i="11"/>
  <c r="AG201" i="11"/>
  <c r="AG169" i="11"/>
  <c r="AG119" i="11"/>
  <c r="AG73" i="11"/>
  <c r="AG39" i="11"/>
  <c r="J39" i="11"/>
  <c r="J422" i="11"/>
  <c r="AG422" i="11"/>
  <c r="J310" i="11"/>
  <c r="AG310" i="11"/>
  <c r="AG182" i="11"/>
  <c r="J182" i="11"/>
  <c r="AG70" i="11"/>
  <c r="J70" i="11"/>
  <c r="AG835" i="11"/>
  <c r="AG803" i="11"/>
  <c r="AG882" i="11"/>
  <c r="J882" i="11"/>
  <c r="AG866" i="11"/>
  <c r="J866" i="11"/>
  <c r="AG850" i="11"/>
  <c r="AG834" i="11"/>
  <c r="AG818" i="11"/>
  <c r="AG802" i="11"/>
  <c r="J802" i="11"/>
  <c r="AG786" i="11"/>
  <c r="AG770" i="11"/>
  <c r="AG754" i="11"/>
  <c r="AG738" i="11"/>
  <c r="AG722" i="11"/>
  <c r="J722" i="11"/>
  <c r="AG706" i="11"/>
  <c r="J706" i="11"/>
  <c r="AG690" i="11"/>
  <c r="J690" i="11"/>
  <c r="AG674" i="11"/>
  <c r="AG658" i="11"/>
  <c r="AG642" i="11"/>
  <c r="J642" i="11"/>
  <c r="AG626" i="11"/>
  <c r="AG610" i="11"/>
  <c r="AG594" i="11"/>
  <c r="AG578" i="11"/>
  <c r="AG562" i="11"/>
  <c r="J562" i="11"/>
  <c r="AG546" i="11"/>
  <c r="J546" i="11"/>
  <c r="AG530" i="11"/>
  <c r="AG514" i="11"/>
  <c r="J514" i="11"/>
  <c r="AG498" i="11"/>
  <c r="J498" i="11"/>
  <c r="AG482" i="11"/>
  <c r="J482" i="11"/>
  <c r="AG466" i="11"/>
  <c r="AG450" i="11"/>
  <c r="AG434" i="11"/>
  <c r="AG418" i="11"/>
  <c r="AG402" i="11"/>
  <c r="J402" i="11"/>
  <c r="AG386" i="11"/>
  <c r="AG370" i="11"/>
  <c r="AG354" i="11"/>
  <c r="J354" i="11"/>
  <c r="AG338" i="11"/>
  <c r="AG322" i="11"/>
  <c r="AG306" i="11"/>
  <c r="AG290" i="11"/>
  <c r="AG274" i="11"/>
  <c r="AG258" i="11"/>
  <c r="J258" i="11"/>
  <c r="AG242" i="11"/>
  <c r="AG226" i="11"/>
  <c r="J226" i="11"/>
  <c r="AG210" i="11"/>
  <c r="J210" i="11"/>
  <c r="AG194" i="11"/>
  <c r="AG178" i="11"/>
  <c r="AG162" i="11"/>
  <c r="AG146" i="11"/>
  <c r="AG130" i="11"/>
  <c r="AG114" i="11"/>
  <c r="AG98" i="11"/>
  <c r="AG82" i="11"/>
  <c r="AG66" i="11"/>
  <c r="AG34" i="11"/>
  <c r="AG855" i="11"/>
  <c r="J840" i="11"/>
  <c r="AG838" i="11"/>
  <c r="AG821" i="11"/>
  <c r="J800" i="11"/>
  <c r="AG727" i="11"/>
  <c r="J712" i="11"/>
  <c r="AG710" i="11"/>
  <c r="AG693" i="11"/>
  <c r="AG424" i="11"/>
  <c r="AG358" i="11"/>
  <c r="AG247" i="11"/>
  <c r="AG132" i="11"/>
  <c r="AG473" i="11"/>
  <c r="AG345" i="11"/>
  <c r="AG217" i="11"/>
  <c r="AG600" i="11"/>
  <c r="AG456" i="11"/>
  <c r="J360" i="11"/>
  <c r="AG360" i="11"/>
  <c r="AG72" i="11"/>
  <c r="J599" i="11"/>
  <c r="AG599" i="11"/>
  <c r="AG215" i="11"/>
  <c r="J294" i="11"/>
  <c r="AG294" i="11"/>
  <c r="AG54" i="11"/>
  <c r="J54" i="11"/>
  <c r="AG759" i="11"/>
  <c r="AG265" i="11"/>
  <c r="AG881" i="11"/>
  <c r="AG865" i="11"/>
  <c r="AG849" i="11"/>
  <c r="J849" i="11"/>
  <c r="AG833" i="11"/>
  <c r="AG817" i="11"/>
  <c r="AG801" i="11"/>
  <c r="AG785" i="11"/>
  <c r="AG769" i="11"/>
  <c r="AG753" i="11"/>
  <c r="AG737" i="11"/>
  <c r="AG721" i="11"/>
  <c r="J721" i="11"/>
  <c r="AG705" i="11"/>
  <c r="AG689" i="11"/>
  <c r="J689" i="11"/>
  <c r="AG673" i="11"/>
  <c r="AG657" i="11"/>
  <c r="AG561" i="11"/>
  <c r="J561" i="11"/>
  <c r="AG545" i="11"/>
  <c r="AG529" i="11"/>
  <c r="AG433" i="11"/>
  <c r="AG417" i="11"/>
  <c r="J417" i="11"/>
  <c r="AG401" i="11"/>
  <c r="J401" i="11"/>
  <c r="AG305" i="11"/>
  <c r="J305" i="11"/>
  <c r="AG289" i="11"/>
  <c r="J289" i="11"/>
  <c r="AG273" i="11"/>
  <c r="AG193" i="11"/>
  <c r="AG177" i="11"/>
  <c r="AG161" i="11"/>
  <c r="AG145" i="11"/>
  <c r="AG129" i="11"/>
  <c r="AG113" i="11"/>
  <c r="AG97" i="11"/>
  <c r="AG81" i="11"/>
  <c r="J81" i="11"/>
  <c r="AG65" i="11"/>
  <c r="AG49" i="11"/>
  <c r="J33" i="11"/>
  <c r="AG33" i="11"/>
  <c r="AG662" i="11"/>
  <c r="AG519" i="11"/>
  <c r="AG440" i="11"/>
  <c r="AG280" i="11"/>
  <c r="AG99" i="11"/>
  <c r="AG50" i="11"/>
  <c r="AG457" i="11"/>
  <c r="J457" i="11"/>
  <c r="AG89" i="11"/>
  <c r="J89" i="11"/>
  <c r="J616" i="11"/>
  <c r="AG616" i="11"/>
  <c r="J232" i="11"/>
  <c r="AG232" i="11"/>
  <c r="AG88" i="11"/>
  <c r="J88" i="11"/>
  <c r="AG439" i="11"/>
  <c r="AG327" i="11"/>
  <c r="AG55" i="11"/>
  <c r="J55" i="11"/>
  <c r="J377" i="11"/>
  <c r="AG672" i="11"/>
  <c r="AG656" i="11"/>
  <c r="AG640" i="11"/>
  <c r="AG544" i="11"/>
  <c r="J544" i="11"/>
  <c r="AG528" i="11"/>
  <c r="AG512" i="11"/>
  <c r="AG416" i="11"/>
  <c r="J416" i="11"/>
  <c r="AG400" i="11"/>
  <c r="AG384" i="11"/>
  <c r="J384" i="11"/>
  <c r="AG288" i="11"/>
  <c r="AG272" i="11"/>
  <c r="AG256" i="11"/>
  <c r="J256" i="11"/>
  <c r="AG192" i="11"/>
  <c r="AG176" i="11"/>
  <c r="J176" i="11"/>
  <c r="AG160" i="11"/>
  <c r="J160" i="11"/>
  <c r="AG144" i="11"/>
  <c r="AG128" i="11"/>
  <c r="J128" i="11"/>
  <c r="AG112" i="11"/>
  <c r="AG96" i="11"/>
  <c r="J96" i="11"/>
  <c r="AG80" i="11"/>
  <c r="AG64" i="11"/>
  <c r="AG48" i="11"/>
  <c r="J48" i="11"/>
  <c r="AG839" i="11"/>
  <c r="AG822" i="11"/>
  <c r="AG805" i="11"/>
  <c r="J784" i="11"/>
  <c r="AG711" i="11"/>
  <c r="AG694" i="11"/>
  <c r="AG630" i="11"/>
  <c r="J496" i="11"/>
  <c r="AG359" i="11"/>
  <c r="AG295" i="11"/>
  <c r="AG248" i="11"/>
  <c r="AG133" i="11"/>
  <c r="AG56" i="11"/>
  <c r="AG601" i="11"/>
  <c r="AG329" i="11"/>
  <c r="J329" i="11"/>
  <c r="J584" i="11"/>
  <c r="AG584" i="11"/>
  <c r="AG488" i="11"/>
  <c r="AG199" i="11"/>
  <c r="J566" i="11"/>
  <c r="AG566" i="11"/>
  <c r="AG326" i="11"/>
  <c r="AG742" i="11"/>
  <c r="AG167" i="11"/>
  <c r="AG655" i="11"/>
  <c r="AG639" i="11"/>
  <c r="AG623" i="11"/>
  <c r="J623" i="11"/>
  <c r="AG527" i="11"/>
  <c r="AG511" i="11"/>
  <c r="AG495" i="11"/>
  <c r="AG399" i="11"/>
  <c r="J399" i="11"/>
  <c r="AG383" i="11"/>
  <c r="AG367" i="11"/>
  <c r="AG271" i="11"/>
  <c r="J271" i="11"/>
  <c r="AG255" i="11"/>
  <c r="AG239" i="11"/>
  <c r="AG191" i="11"/>
  <c r="AG175" i="11"/>
  <c r="AG159" i="11"/>
  <c r="AG143" i="11"/>
  <c r="AG127" i="11"/>
  <c r="J127" i="11"/>
  <c r="AG111" i="11"/>
  <c r="J111" i="11"/>
  <c r="AG95" i="11"/>
  <c r="AG79" i="11"/>
  <c r="J79" i="11"/>
  <c r="AG63" i="11"/>
  <c r="J63" i="11"/>
  <c r="AG47" i="11"/>
  <c r="AG663" i="11"/>
  <c r="J575" i="11"/>
  <c r="AG520" i="11"/>
  <c r="AG470" i="11"/>
  <c r="AG441" i="11"/>
  <c r="AG390" i="11"/>
  <c r="AG100" i="11"/>
  <c r="J674" i="11" l="1"/>
  <c r="J313" i="11"/>
  <c r="J914" i="11"/>
  <c r="J798" i="11"/>
  <c r="J99" i="11"/>
  <c r="J814" i="11"/>
  <c r="J69" i="11"/>
  <c r="J178" i="11"/>
  <c r="J307" i="11"/>
  <c r="J346" i="11"/>
  <c r="J432" i="11"/>
  <c r="J589" i="11"/>
  <c r="J389" i="11"/>
  <c r="J112" i="11"/>
  <c r="J675" i="11"/>
  <c r="J436" i="11"/>
  <c r="J207" i="11"/>
  <c r="J40" i="11"/>
  <c r="J368" i="11"/>
  <c r="J420" i="11"/>
  <c r="J51" i="11"/>
  <c r="J709" i="11"/>
  <c r="J838" i="11"/>
  <c r="J255" i="11"/>
  <c r="J336" i="11"/>
  <c r="J400" i="11"/>
  <c r="J700" i="11"/>
  <c r="J685" i="11"/>
  <c r="J557" i="11"/>
  <c r="J804" i="11"/>
  <c r="J845" i="11"/>
  <c r="J735" i="11"/>
  <c r="J339" i="11"/>
  <c r="J863" i="11"/>
  <c r="J91" i="11"/>
  <c r="J319" i="11"/>
  <c r="J97" i="11"/>
  <c r="J621" i="11"/>
  <c r="J276" i="11"/>
  <c r="J747" i="11"/>
  <c r="J42" i="11"/>
  <c r="J140" i="11"/>
  <c r="J728" i="11"/>
  <c r="J302" i="11"/>
  <c r="J105" i="11"/>
  <c r="J750" i="11"/>
  <c r="J327" i="11"/>
  <c r="J768" i="11"/>
  <c r="J751" i="11"/>
  <c r="J827" i="11"/>
  <c r="J582" i="11"/>
  <c r="J597" i="11"/>
  <c r="J237" i="11"/>
  <c r="J488" i="11"/>
  <c r="J854" i="11"/>
  <c r="J71" i="11"/>
  <c r="J702" i="11"/>
  <c r="J104" i="11"/>
  <c r="J490" i="11"/>
  <c r="J552" i="11"/>
  <c r="J240" i="11"/>
  <c r="J234" i="11"/>
  <c r="J842" i="11"/>
  <c r="J155" i="11"/>
  <c r="J36" i="11"/>
  <c r="J180" i="11"/>
  <c r="J283" i="11"/>
  <c r="J291" i="11"/>
  <c r="J386" i="11"/>
  <c r="J134" i="11"/>
  <c r="J308" i="11"/>
  <c r="J643" i="11"/>
  <c r="J491" i="11"/>
  <c r="J731" i="11"/>
  <c r="J440" i="11"/>
  <c r="J504" i="11"/>
  <c r="J253" i="11"/>
  <c r="J640" i="11"/>
  <c r="J923" i="11"/>
  <c r="J885" i="11"/>
  <c r="J600" i="11"/>
  <c r="J624" i="11"/>
  <c r="J74" i="11"/>
  <c r="J361" i="11"/>
  <c r="J861" i="11"/>
  <c r="J732" i="11"/>
  <c r="J347" i="11"/>
  <c r="J171" i="11"/>
  <c r="J84" i="11"/>
  <c r="J353" i="11"/>
  <c r="J124" i="11"/>
  <c r="J300" i="11"/>
  <c r="J344" i="11"/>
  <c r="J435" i="11"/>
  <c r="J183" i="11"/>
  <c r="J686" i="11"/>
  <c r="J588" i="11"/>
  <c r="J769" i="11"/>
  <c r="J446" i="11"/>
  <c r="J530" i="11"/>
  <c r="J206" i="11"/>
  <c r="J767" i="11"/>
  <c r="J64" i="11"/>
  <c r="J525" i="11"/>
  <c r="J888" i="11"/>
  <c r="J57" i="11"/>
  <c r="J834" i="11"/>
  <c r="J80" i="11"/>
  <c r="J438" i="11"/>
  <c r="J114" i="11"/>
  <c r="J292" i="11"/>
  <c r="J704" i="11"/>
  <c r="J125" i="11"/>
  <c r="J586" i="11"/>
  <c r="J453" i="11"/>
  <c r="J850" i="11"/>
  <c r="J809" i="11"/>
  <c r="J548" i="11"/>
  <c r="J762" i="11"/>
  <c r="J644" i="11"/>
  <c r="J568" i="11"/>
  <c r="J208" i="11"/>
  <c r="J274" i="11"/>
  <c r="J242" i="11"/>
  <c r="J526" i="11"/>
  <c r="J855" i="11"/>
  <c r="J188" i="11"/>
  <c r="J202" i="11"/>
  <c r="J658" i="11"/>
  <c r="J437" i="11"/>
  <c r="J150" i="11"/>
  <c r="J131" i="11"/>
  <c r="J447" i="11"/>
  <c r="J343" i="11"/>
  <c r="J56" i="11"/>
  <c r="J517" i="11"/>
  <c r="J880" i="11"/>
  <c r="J665" i="11"/>
  <c r="J260" i="11"/>
  <c r="J925" i="11"/>
  <c r="J754" i="11"/>
  <c r="J703" i="11"/>
  <c r="J370" i="11"/>
  <c r="J892" i="11"/>
  <c r="J583" i="11"/>
  <c r="J362" i="11"/>
  <c r="J895" i="11"/>
  <c r="J272" i="11"/>
  <c r="J786" i="11"/>
  <c r="J692" i="11"/>
  <c r="J554" i="11"/>
  <c r="J666" i="11"/>
  <c r="J556" i="11"/>
  <c r="J781" i="11"/>
  <c r="J536" i="11"/>
  <c r="J179" i="11"/>
  <c r="J803" i="11"/>
  <c r="J34" i="11"/>
  <c r="J151" i="11"/>
  <c r="J431" i="11"/>
  <c r="J184" i="11"/>
  <c r="J428" i="11"/>
  <c r="J478" i="11"/>
  <c r="J133" i="11"/>
  <c r="J477" i="11"/>
  <c r="J383" i="11"/>
  <c r="J881" i="11"/>
  <c r="J657" i="11"/>
  <c r="J373" i="11"/>
  <c r="J610" i="11"/>
  <c r="J626" i="11"/>
  <c r="J246" i="11"/>
  <c r="J759" i="11"/>
  <c r="J928" i="11"/>
  <c r="J745" i="11"/>
  <c r="J254" i="11"/>
  <c r="J367" i="11"/>
  <c r="J92" i="11"/>
  <c r="J625" i="11"/>
  <c r="J106" i="11"/>
  <c r="J251" i="11"/>
  <c r="J901" i="11"/>
  <c r="J266" i="11"/>
  <c r="J262" i="11"/>
  <c r="J916" i="11"/>
  <c r="J742" i="11"/>
  <c r="J136" i="11"/>
  <c r="J223" i="11"/>
  <c r="J288" i="11"/>
  <c r="J848" i="11"/>
  <c r="J415" i="11"/>
  <c r="J659" i="11"/>
  <c r="J50" i="11"/>
  <c r="J199" i="11"/>
  <c r="J450" i="11"/>
  <c r="J591" i="11"/>
  <c r="J825" i="11"/>
  <c r="J458" i="11"/>
  <c r="J655" i="11"/>
  <c r="J512" i="11"/>
  <c r="J495" i="11"/>
  <c r="J66" i="11"/>
  <c r="J60" i="11"/>
  <c r="J215" i="11"/>
  <c r="J227" i="11"/>
  <c r="J456" i="11"/>
  <c r="J129" i="11"/>
  <c r="J810" i="11"/>
  <c r="J710" i="11"/>
  <c r="J727" i="11"/>
  <c r="J761" i="11"/>
  <c r="J846" i="11"/>
  <c r="J879" i="11"/>
  <c r="J708" i="11"/>
  <c r="J189" i="11"/>
  <c r="J541" i="11"/>
  <c r="J795" i="11"/>
  <c r="J375" i="11"/>
  <c r="J479" i="11"/>
  <c r="J527" i="11"/>
  <c r="J143" i="11"/>
  <c r="J564" i="11"/>
  <c r="J249" i="11"/>
  <c r="J200" i="11"/>
  <c r="J487" i="11"/>
  <c r="J492" i="11"/>
  <c r="J213" i="11"/>
  <c r="J773" i="11"/>
  <c r="J551" i="11"/>
  <c r="J821" i="11"/>
  <c r="J793" i="11"/>
  <c r="J639" i="11"/>
  <c r="J794" i="11"/>
  <c r="J565" i="11"/>
  <c r="J197" i="11"/>
  <c r="J497" i="11"/>
  <c r="J95" i="11"/>
  <c r="J425" i="11"/>
  <c r="J467" i="11"/>
  <c r="J714" i="11"/>
  <c r="J604" i="11"/>
  <c r="J145" i="11"/>
  <c r="J259" i="11"/>
  <c r="J265" i="11"/>
  <c r="J684" i="11"/>
  <c r="J695" i="11"/>
  <c r="J753" i="11"/>
  <c r="J908" i="11"/>
  <c r="J167" i="11"/>
  <c r="J777" i="11"/>
  <c r="J791" i="11"/>
  <c r="J858" i="11"/>
  <c r="J776" i="11"/>
  <c r="J891" i="11"/>
  <c r="J598" i="11"/>
  <c r="J519" i="11"/>
  <c r="J909" i="11"/>
  <c r="J619" i="11"/>
  <c r="J518" i="11"/>
  <c r="J915" i="11"/>
  <c r="J894" i="11"/>
  <c r="J187" i="11"/>
  <c r="J68" i="11"/>
  <c r="J356" i="11"/>
  <c r="J337" i="11"/>
  <c r="J398" i="11"/>
  <c r="J737" i="11"/>
  <c r="J325" i="11"/>
  <c r="J785" i="11"/>
  <c r="J638" i="11"/>
  <c r="J345" i="11"/>
  <c r="J511" i="11"/>
  <c r="J539" i="11"/>
  <c r="J282" i="11"/>
  <c r="J740" i="11"/>
  <c r="J844" i="11"/>
  <c r="J100" i="11"/>
  <c r="J285" i="11"/>
  <c r="J166" i="11"/>
  <c r="J818" i="11"/>
  <c r="J261" i="11"/>
  <c r="J872" i="11"/>
  <c r="J587" i="11"/>
  <c r="J65" i="11"/>
  <c r="J505" i="11"/>
  <c r="J807" i="11"/>
  <c r="J522" i="11"/>
  <c r="J774" i="11"/>
  <c r="J602" i="11"/>
  <c r="J445" i="11"/>
  <c r="J697" i="11"/>
  <c r="J296" i="11"/>
  <c r="J749" i="11"/>
  <c r="J796" i="11"/>
  <c r="J816" i="11"/>
  <c r="J138" i="11"/>
  <c r="J87" i="11"/>
  <c r="J190" i="11"/>
  <c r="J153" i="11"/>
  <c r="J369" i="11"/>
  <c r="J334" i="11"/>
  <c r="J108" i="11"/>
  <c r="J910" i="11"/>
  <c r="J661" i="11"/>
  <c r="J668" i="11"/>
  <c r="J82" i="11"/>
  <c r="J52" i="11"/>
  <c r="J233" i="11"/>
  <c r="J287" i="11"/>
  <c r="J157" i="11"/>
  <c r="J198" i="11"/>
  <c r="J605" i="11"/>
  <c r="J782" i="11"/>
  <c r="J247" i="11"/>
  <c r="J236" i="11"/>
  <c r="J510" i="11"/>
  <c r="J683" i="11"/>
  <c r="J890" i="11"/>
  <c r="J574" i="11"/>
  <c r="J601" i="11"/>
  <c r="J358" i="11"/>
  <c r="J441" i="11"/>
  <c r="J470" i="11"/>
  <c r="J195" i="11"/>
  <c r="J783" i="11"/>
  <c r="J201" i="11"/>
  <c r="J812" i="11"/>
  <c r="J792" i="11"/>
  <c r="J656" i="11"/>
  <c r="J509" i="11"/>
  <c r="J823" i="11"/>
  <c r="J757" i="11"/>
  <c r="J646" i="11"/>
  <c r="J829" i="11"/>
  <c r="J298" i="11"/>
  <c r="J452" i="11"/>
  <c r="J506" i="11"/>
  <c r="J520" i="11"/>
  <c r="J326" i="11"/>
  <c r="J871" i="11"/>
  <c r="J214" i="11"/>
  <c r="J648" i="11"/>
  <c r="J209" i="11"/>
  <c r="J558" i="11"/>
  <c r="J231" i="11"/>
  <c r="J680" i="11"/>
  <c r="J819" i="11"/>
  <c r="J637" i="11"/>
  <c r="J573" i="11"/>
  <c r="J760" i="11"/>
  <c r="J485" i="11"/>
  <c r="J149" i="11"/>
  <c r="J349" i="11"/>
  <c r="J660" i="11"/>
  <c r="J694" i="11"/>
  <c r="J98" i="11"/>
  <c r="J45" i="11"/>
  <c r="J321" i="11"/>
  <c r="J521" i="11"/>
  <c r="J165" i="11"/>
  <c r="J217" i="11"/>
  <c r="J765" i="11"/>
  <c r="J622" i="11"/>
  <c r="J801" i="11"/>
  <c r="J606" i="11"/>
  <c r="J350" i="11"/>
  <c r="J545" i="11"/>
  <c r="J862" i="11"/>
  <c r="J907" i="11"/>
  <c r="J374" i="11"/>
  <c r="J917" i="11"/>
  <c r="J663" i="11"/>
  <c r="J35" i="11"/>
  <c r="J532" i="11"/>
  <c r="J473" i="11"/>
  <c r="J47" i="11"/>
  <c r="J577" i="11"/>
  <c r="J421" i="11"/>
  <c r="J808" i="11"/>
  <c r="J707" i="11"/>
  <c r="J534" i="11"/>
  <c r="J927" i="11"/>
  <c r="J824" i="11"/>
  <c r="J434" i="11"/>
  <c r="J631" i="11"/>
  <c r="J693" i="11"/>
  <c r="J393" i="11"/>
  <c r="J717" i="11"/>
  <c r="J430" i="11"/>
  <c r="J397" i="11"/>
  <c r="J43" i="11"/>
  <c r="J279" i="11"/>
  <c r="J193" i="11"/>
  <c r="J766" i="11"/>
  <c r="J718" i="11"/>
  <c r="J733" i="11"/>
  <c r="J116" i="11"/>
  <c r="J578" i="11"/>
  <c r="J144" i="11"/>
  <c r="J559" i="11"/>
  <c r="J118" i="11"/>
  <c r="J73" i="11"/>
  <c r="J192" i="11"/>
  <c r="J870" i="11"/>
  <c r="J174" i="11"/>
  <c r="J764" i="11"/>
  <c r="J839" i="11"/>
  <c r="J250" i="11"/>
  <c r="J569" i="11"/>
  <c r="J225" i="11"/>
  <c r="J72" i="11"/>
  <c r="J181" i="11"/>
  <c r="J59" i="11"/>
  <c r="J146" i="11"/>
  <c r="J49" i="11"/>
  <c r="J352" i="11"/>
  <c r="J277" i="11"/>
  <c r="J205" i="11"/>
  <c r="J542" i="11"/>
  <c r="J820" i="11"/>
  <c r="J85" i="11"/>
  <c r="J778" i="11"/>
  <c r="J593" i="11"/>
  <c r="J177" i="11"/>
  <c r="J811" i="11"/>
  <c r="J748" i="11"/>
  <c r="J317" i="11"/>
  <c r="J843" i="11"/>
  <c r="J929" i="11"/>
  <c r="J466" i="11"/>
  <c r="J382" i="11"/>
  <c r="J581" i="11"/>
  <c r="J390" i="11"/>
  <c r="J224" i="11"/>
  <c r="J83" i="11"/>
  <c r="J744" i="11"/>
  <c r="J86" i="11"/>
  <c r="J444" i="11"/>
  <c r="J204" i="11"/>
  <c r="J290" i="11"/>
  <c r="J281" i="11"/>
  <c r="J318" i="11"/>
  <c r="J856" i="11"/>
  <c r="J632" i="11"/>
  <c r="J920" i="11"/>
  <c r="J363" i="11"/>
  <c r="J538" i="11"/>
  <c r="J280" i="11"/>
  <c r="J682" i="11"/>
  <c r="J672" i="11"/>
  <c r="J164" i="11"/>
  <c r="J130" i="11"/>
  <c r="J372" i="11"/>
  <c r="J152" i="11"/>
  <c r="J406" i="11"/>
  <c r="J817" i="11"/>
  <c r="J878" i="11"/>
  <c r="J535" i="11"/>
  <c r="J161" i="11"/>
  <c r="J687" i="11"/>
  <c r="J789" i="11"/>
  <c r="J893" i="11"/>
  <c r="J366" i="11"/>
  <c r="J919" i="11"/>
  <c r="J576" i="11"/>
  <c r="J831" i="11"/>
  <c r="J322" i="11"/>
  <c r="J873" i="11"/>
  <c r="J301" i="11"/>
  <c r="J516" i="11"/>
  <c r="J379" i="11"/>
  <c r="J75" i="11"/>
  <c r="J162" i="11"/>
  <c r="J58" i="11"/>
  <c r="J330" i="11"/>
  <c r="J191" i="11"/>
  <c r="J122" i="11"/>
  <c r="J865" i="11"/>
  <c r="J245" i="11"/>
  <c r="J912" i="11"/>
  <c r="J647" i="11"/>
  <c r="J826" i="11"/>
  <c r="J338" i="11"/>
  <c r="J385" i="11"/>
  <c r="J833" i="11"/>
  <c r="J494" i="11"/>
  <c r="J391" i="11"/>
  <c r="J897" i="11"/>
  <c r="J159" i="11"/>
  <c r="J408" i="11"/>
  <c r="J239" i="11"/>
  <c r="J121" i="11"/>
  <c r="J669" i="11"/>
  <c r="J580" i="11"/>
  <c r="J371" i="11"/>
  <c r="J770" i="11"/>
  <c r="J607" i="11"/>
  <c r="J779" i="11"/>
  <c r="J381" i="11"/>
  <c r="J173" i="11"/>
  <c r="J860" i="11"/>
  <c r="J41" i="11"/>
  <c r="J918" i="11"/>
  <c r="J859" i="11"/>
  <c r="J758" i="11"/>
  <c r="J813" i="11"/>
  <c r="J429" i="11"/>
  <c r="J107" i="11"/>
  <c r="J335" i="11"/>
  <c r="J113" i="11"/>
  <c r="J306" i="11"/>
  <c r="J119" i="11"/>
  <c r="J394" i="11"/>
  <c r="J365" i="11"/>
  <c r="J904" i="11"/>
  <c r="J270" i="11"/>
  <c r="J175" i="11"/>
  <c r="J533" i="11"/>
  <c r="J900" i="11"/>
  <c r="J649" i="11"/>
  <c r="J295" i="11"/>
  <c r="J418" i="11"/>
  <c r="J883" i="11"/>
  <c r="J508" i="11"/>
  <c r="J886" i="11"/>
  <c r="J312" i="11"/>
  <c r="J465" i="11"/>
  <c r="J738" i="11"/>
  <c r="J799" i="11"/>
  <c r="J212" i="11"/>
  <c r="J154" i="11"/>
  <c r="J603" i="11"/>
  <c r="J332" i="11"/>
  <c r="J123" i="11"/>
  <c r="J132" i="11"/>
  <c r="J76" i="11"/>
  <c r="J303" i="11"/>
  <c r="J141" i="11"/>
  <c r="J340" i="11"/>
  <c r="J679" i="11"/>
  <c r="J135" i="11"/>
  <c r="J419" i="11"/>
  <c r="J410" i="11"/>
  <c r="J667" i="11"/>
  <c r="J378" i="11"/>
  <c r="J433" i="11"/>
  <c r="J913" i="11"/>
  <c r="J670" i="11"/>
  <c r="J715" i="11"/>
  <c r="J592" i="11"/>
  <c r="J407" i="11"/>
  <c r="J459" i="11"/>
  <c r="J543" i="11"/>
  <c r="J743" i="11"/>
  <c r="J594" i="11"/>
  <c r="J359" i="11"/>
  <c r="J439" i="11"/>
  <c r="J269" i="11"/>
  <c r="J853" i="11"/>
  <c r="J476" i="11"/>
  <c r="J924" i="11"/>
  <c r="J529" i="11"/>
  <c r="J806" i="11"/>
  <c r="J537" i="11"/>
  <c r="J170" i="11"/>
  <c r="J351" i="11"/>
  <c r="J560" i="11"/>
  <c r="J501" i="11"/>
  <c r="J906" i="11"/>
  <c r="J877" i="11"/>
  <c r="J241" i="11"/>
  <c r="J423" i="11"/>
  <c r="J837" i="11"/>
  <c r="J194" i="11"/>
  <c r="J257" i="11"/>
  <c r="J481" i="11"/>
  <c r="J409" i="11"/>
  <c r="J654" i="11"/>
  <c r="J355" i="11"/>
  <c r="J867" i="11"/>
  <c r="J590" i="11"/>
  <c r="J263" i="11"/>
  <c r="J662" i="11"/>
  <c r="J896" i="11"/>
  <c r="J869" i="11"/>
  <c r="J911" i="11"/>
  <c r="J460" i="11"/>
  <c r="J887" i="11"/>
  <c r="J120" i="11"/>
  <c r="J905" i="11"/>
  <c r="J884" i="11"/>
  <c r="J273" i="11"/>
  <c r="J673" i="11"/>
  <c r="J835" i="11"/>
  <c r="J404" i="11"/>
  <c r="J158" i="11"/>
  <c r="J139" i="11"/>
  <c r="J203" i="11"/>
  <c r="J103" i="11"/>
  <c r="J448" i="11"/>
  <c r="J264" i="11"/>
  <c r="J579" i="11"/>
  <c r="J348" i="11"/>
  <c r="J102" i="11"/>
  <c r="J211" i="11"/>
  <c r="J468" i="11"/>
  <c r="J705" i="11"/>
  <c r="J414" i="11"/>
  <c r="J443" i="11"/>
  <c r="J480" i="11"/>
  <c r="J788" i="11"/>
  <c r="J736" i="11"/>
  <c r="J53" i="11"/>
  <c r="J719" i="11"/>
  <c r="J90" i="11"/>
  <c r="J609" i="11"/>
  <c r="J278" i="11"/>
  <c r="J734" i="11"/>
  <c r="J320" i="11"/>
  <c r="J903" i="11"/>
  <c r="J484" i="11"/>
  <c r="J547" i="11"/>
  <c r="J550" i="11"/>
  <c r="J500" i="11"/>
  <c r="J528" i="11"/>
  <c r="J752" i="11"/>
  <c r="J244" i="11"/>
  <c r="J921" i="11"/>
  <c r="J376" i="11"/>
  <c r="W70" i="13"/>
  <c r="W69" i="13"/>
  <c r="W68" i="13"/>
  <c r="W67" i="13"/>
  <c r="W66" i="13"/>
  <c r="W65" i="13"/>
  <c r="W64" i="13"/>
  <c r="W63" i="13"/>
  <c r="W62" i="13"/>
  <c r="W61" i="13"/>
  <c r="W60" i="13"/>
  <c r="W59" i="13"/>
  <c r="W58" i="13"/>
  <c r="W57" i="13"/>
  <c r="W56" i="13"/>
  <c r="W55" i="13"/>
  <c r="W54" i="13"/>
  <c r="W53" i="13"/>
  <c r="W52" i="13"/>
  <c r="W51" i="13"/>
  <c r="W50" i="13"/>
  <c r="W49" i="13"/>
  <c r="W48" i="13"/>
  <c r="W47" i="13"/>
  <c r="W46" i="13"/>
  <c r="W45" i="13"/>
  <c r="W44" i="13"/>
  <c r="W43" i="13"/>
  <c r="W42" i="13"/>
  <c r="W41" i="13"/>
  <c r="W40" i="13"/>
  <c r="W39" i="13"/>
  <c r="W38" i="13"/>
  <c r="W37" i="13"/>
  <c r="W36" i="13"/>
  <c r="W35" i="13"/>
  <c r="W34" i="13"/>
  <c r="W33" i="13"/>
  <c r="W32" i="13"/>
  <c r="W31" i="13"/>
  <c r="W30" i="13"/>
  <c r="W29" i="13"/>
  <c r="W28" i="13"/>
  <c r="W27" i="13"/>
  <c r="W26" i="13"/>
  <c r="W25" i="13"/>
  <c r="W24" i="13"/>
  <c r="W23" i="13"/>
  <c r="W22" i="13"/>
  <c r="W21" i="13"/>
  <c r="W20" i="13"/>
  <c r="W19" i="13"/>
  <c r="W18" i="13"/>
  <c r="W17" i="13"/>
  <c r="W16" i="13"/>
  <c r="W15" i="13"/>
  <c r="W14" i="13"/>
  <c r="W13" i="13"/>
  <c r="W12" i="13"/>
  <c r="W11" i="13"/>
  <c r="W10" i="13"/>
  <c r="W9" i="13"/>
  <c r="W8" i="13"/>
  <c r="W7" i="13"/>
  <c r="W6" i="13"/>
  <c r="W5" i="13"/>
  <c r="W4" i="13"/>
  <c r="W3" i="13"/>
  <c r="W2" i="13"/>
  <c r="S70" i="13"/>
  <c r="S69" i="13"/>
  <c r="S68" i="13"/>
  <c r="S67" i="13"/>
  <c r="S66" i="13"/>
  <c r="S65" i="13"/>
  <c r="S64" i="13"/>
  <c r="S63" i="13"/>
  <c r="S62" i="13"/>
  <c r="S61" i="13"/>
  <c r="S60" i="13"/>
  <c r="S59" i="13"/>
  <c r="S58" i="13"/>
  <c r="S57" i="13"/>
  <c r="S56" i="13"/>
  <c r="S55" i="13"/>
  <c r="S54" i="13"/>
  <c r="S53" i="13"/>
  <c r="S52" i="13"/>
  <c r="S51" i="13"/>
  <c r="S50" i="13"/>
  <c r="S49" i="13"/>
  <c r="S48" i="13"/>
  <c r="S47" i="13"/>
  <c r="S46" i="13"/>
  <c r="S45" i="13"/>
  <c r="S44" i="13"/>
  <c r="S43" i="13"/>
  <c r="S42" i="13"/>
  <c r="S41" i="13"/>
  <c r="S40" i="13"/>
  <c r="S39" i="13"/>
  <c r="S38" i="13"/>
  <c r="S37" i="13"/>
  <c r="S36" i="13"/>
  <c r="S35" i="13"/>
  <c r="S34" i="13"/>
  <c r="S33" i="13"/>
  <c r="S32" i="13"/>
  <c r="S31" i="13"/>
  <c r="S30" i="13"/>
  <c r="S29" i="13"/>
  <c r="S28" i="13"/>
  <c r="S27" i="13"/>
  <c r="S26" i="13"/>
  <c r="S25" i="13"/>
  <c r="S24" i="13"/>
  <c r="S23" i="13"/>
  <c r="S22" i="13"/>
  <c r="S21" i="13"/>
  <c r="S20" i="13"/>
  <c r="S19" i="13"/>
  <c r="S18" i="13"/>
  <c r="S17" i="13"/>
  <c r="S16" i="13"/>
  <c r="S15" i="13"/>
  <c r="S14" i="13"/>
  <c r="S13" i="13"/>
  <c r="S12" i="13"/>
  <c r="S11" i="13"/>
  <c r="S10" i="13"/>
  <c r="S9" i="13"/>
  <c r="S8" i="13"/>
  <c r="S7" i="13"/>
  <c r="S6" i="13"/>
  <c r="S5" i="13"/>
  <c r="S4" i="13"/>
  <c r="S3" i="13"/>
  <c r="S2" i="13"/>
  <c r="O70" i="13"/>
  <c r="O69" i="13"/>
  <c r="O68" i="13"/>
  <c r="O67" i="13"/>
  <c r="O66" i="13"/>
  <c r="O65" i="13"/>
  <c r="O64" i="13"/>
  <c r="O63" i="13"/>
  <c r="O62" i="13"/>
  <c r="O61" i="13"/>
  <c r="O60" i="13"/>
  <c r="O59" i="13"/>
  <c r="O58" i="13"/>
  <c r="O57" i="13"/>
  <c r="O56" i="13"/>
  <c r="O55" i="13"/>
  <c r="O54" i="13"/>
  <c r="O53" i="13"/>
  <c r="O52" i="13"/>
  <c r="O51" i="13"/>
  <c r="O50" i="13"/>
  <c r="O49" i="13"/>
  <c r="O48" i="13"/>
  <c r="O47" i="13"/>
  <c r="O46" i="13"/>
  <c r="O45" i="13"/>
  <c r="O44" i="13"/>
  <c r="O43" i="13"/>
  <c r="O42" i="13"/>
  <c r="O41" i="13"/>
  <c r="O40" i="13"/>
  <c r="O39" i="13"/>
  <c r="O38" i="13"/>
  <c r="O37" i="13"/>
  <c r="O36" i="13"/>
  <c r="O35" i="13"/>
  <c r="O34" i="13"/>
  <c r="O33" i="13"/>
  <c r="O32" i="13"/>
  <c r="O31" i="13"/>
  <c r="O30" i="13"/>
  <c r="O29" i="13"/>
  <c r="O28" i="13"/>
  <c r="O27" i="13"/>
  <c r="O26" i="13"/>
  <c r="O25" i="13"/>
  <c r="O24" i="13"/>
  <c r="O23" i="13"/>
  <c r="O22" i="13"/>
  <c r="O21" i="13"/>
  <c r="O20" i="13"/>
  <c r="O19" i="13"/>
  <c r="O18" i="13"/>
  <c r="O17" i="13"/>
  <c r="O16" i="13"/>
  <c r="O15" i="13"/>
  <c r="O14" i="13"/>
  <c r="O13" i="13"/>
  <c r="O12" i="13"/>
  <c r="O11" i="13"/>
  <c r="O10" i="13"/>
  <c r="O9" i="13"/>
  <c r="O8" i="13"/>
  <c r="O7" i="13"/>
  <c r="O6" i="13"/>
  <c r="O5" i="13"/>
  <c r="O4" i="13"/>
  <c r="O3" i="13"/>
  <c r="O2" i="13"/>
  <c r="K70" i="13"/>
  <c r="K69" i="13"/>
  <c r="K68" i="13"/>
  <c r="K67" i="13"/>
  <c r="K66" i="13"/>
  <c r="K65" i="13"/>
  <c r="K64" i="13"/>
  <c r="K63" i="13"/>
  <c r="K62" i="13"/>
  <c r="K61" i="13"/>
  <c r="K60" i="13"/>
  <c r="K59" i="13"/>
  <c r="K58" i="13"/>
  <c r="K57" i="13"/>
  <c r="K56" i="13"/>
  <c r="K55" i="13"/>
  <c r="K54" i="13"/>
  <c r="K53" i="13"/>
  <c r="K52" i="13"/>
  <c r="K51" i="13"/>
  <c r="K50" i="13"/>
  <c r="K49" i="13"/>
  <c r="K48" i="13"/>
  <c r="K47" i="13"/>
  <c r="K46" i="13"/>
  <c r="K45" i="13"/>
  <c r="K44" i="13"/>
  <c r="K43" i="13"/>
  <c r="K42" i="13"/>
  <c r="K41" i="13"/>
  <c r="K40" i="13"/>
  <c r="K39" i="13"/>
  <c r="K38" i="13"/>
  <c r="K37" i="13"/>
  <c r="K36" i="13"/>
  <c r="K35" i="13"/>
  <c r="K34" i="13"/>
  <c r="K33" i="13"/>
  <c r="K32" i="13"/>
  <c r="K31" i="13"/>
  <c r="K30" i="13"/>
  <c r="K29" i="13"/>
  <c r="K28" i="13"/>
  <c r="K27" i="13"/>
  <c r="K26" i="13"/>
  <c r="K25" i="13"/>
  <c r="K24" i="13"/>
  <c r="K23" i="13"/>
  <c r="K22" i="13"/>
  <c r="K21" i="13"/>
  <c r="K20" i="13"/>
  <c r="K19" i="13"/>
  <c r="K18" i="13"/>
  <c r="K17" i="13"/>
  <c r="K16" i="13"/>
  <c r="K15" i="13"/>
  <c r="K14" i="13"/>
  <c r="K13" i="13"/>
  <c r="K12" i="13"/>
  <c r="K11" i="13"/>
  <c r="K10" i="13"/>
  <c r="K9" i="13"/>
  <c r="K8" i="13"/>
  <c r="K7" i="13"/>
  <c r="K6" i="13"/>
  <c r="K5" i="13"/>
  <c r="K4" i="13"/>
  <c r="K3" i="13"/>
  <c r="K2" i="13"/>
  <c r="G70" i="13"/>
  <c r="G69" i="13"/>
  <c r="G68" i="13"/>
  <c r="G67" i="13"/>
  <c r="G66" i="13"/>
  <c r="G65" i="13"/>
  <c r="G64" i="13"/>
  <c r="G63" i="13"/>
  <c r="G62" i="13"/>
  <c r="G61" i="13"/>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G3" i="13"/>
  <c r="G2" i="13"/>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2" i="13"/>
  <c r="J32" i="11" l="1"/>
  <c r="P31" i="11" l="1"/>
  <c r="AG31" i="11"/>
  <c r="AG32" i="11"/>
  <c r="H31" i="11"/>
  <c r="H32" i="11" s="1"/>
  <c r="H33" i="11" s="1"/>
  <c r="H34" i="11" s="1"/>
  <c r="H35" i="11" s="1"/>
  <c r="H36" i="11" s="1"/>
  <c r="H37" i="11" s="1"/>
  <c r="H38" i="11" s="1"/>
  <c r="H39" i="11" s="1"/>
  <c r="H40" i="11" s="1"/>
  <c r="H41" i="11" s="1"/>
  <c r="H42" i="11" s="1"/>
  <c r="H43" i="11" s="1"/>
  <c r="H44" i="11" s="1"/>
  <c r="H45" i="11" s="1"/>
  <c r="H46" i="11" s="1"/>
  <c r="H47" i="11" s="1"/>
  <c r="H48" i="11" s="1"/>
  <c r="H49" i="11" s="1"/>
  <c r="H50" i="11" s="1"/>
  <c r="H51" i="11" s="1"/>
  <c r="H52" i="11" s="1"/>
  <c r="H53" i="11" s="1"/>
  <c r="H54" i="11" s="1"/>
  <c r="H55" i="11" s="1"/>
  <c r="H56" i="11" s="1"/>
  <c r="H57" i="11" s="1"/>
  <c r="H58" i="11" s="1"/>
  <c r="H59" i="11" s="1"/>
  <c r="H60" i="11" s="1"/>
  <c r="H61" i="11" s="1"/>
  <c r="H62" i="11" s="1"/>
  <c r="H63" i="11" s="1"/>
  <c r="H64" i="11" s="1"/>
  <c r="H65" i="11" s="1"/>
  <c r="H66" i="11" s="1"/>
  <c r="H67" i="11" s="1"/>
  <c r="H68" i="11" s="1"/>
  <c r="H69" i="11" s="1"/>
  <c r="H70" i="11" s="1"/>
  <c r="H71" i="11" s="1"/>
  <c r="H72" i="11" s="1"/>
  <c r="H73" i="11" s="1"/>
  <c r="H74" i="11" s="1"/>
  <c r="H75" i="11" s="1"/>
  <c r="H76" i="11" s="1"/>
  <c r="H77" i="11" s="1"/>
  <c r="H78" i="11" s="1"/>
  <c r="H79" i="11" s="1"/>
  <c r="H80" i="11" s="1"/>
  <c r="H81" i="11" s="1"/>
  <c r="H82" i="11" s="1"/>
  <c r="H83" i="11" s="1"/>
  <c r="H84" i="11" s="1"/>
  <c r="H85" i="11" s="1"/>
  <c r="H86" i="11" s="1"/>
  <c r="H87" i="11" s="1"/>
  <c r="H88" i="11" s="1"/>
  <c r="H89" i="11" s="1"/>
  <c r="H90" i="11" s="1"/>
  <c r="H91" i="11" s="1"/>
  <c r="H92" i="11" s="1"/>
  <c r="H93" i="11" s="1"/>
  <c r="H94" i="11" s="1"/>
  <c r="H95" i="11" s="1"/>
  <c r="H96" i="11" s="1"/>
  <c r="H97" i="11" s="1"/>
  <c r="H98" i="11" s="1"/>
  <c r="H99" i="11" s="1"/>
  <c r="H100" i="11" s="1"/>
  <c r="H101" i="11" s="1"/>
  <c r="H102" i="11" s="1"/>
  <c r="H103" i="11" s="1"/>
  <c r="H104" i="11" s="1"/>
  <c r="H105" i="11" s="1"/>
  <c r="H106" i="11" s="1"/>
  <c r="H107" i="11" s="1"/>
  <c r="H108" i="11" s="1"/>
  <c r="H109" i="11" s="1"/>
  <c r="H110" i="11" s="1"/>
  <c r="H111" i="11" s="1"/>
  <c r="H112" i="11" s="1"/>
  <c r="H113" i="11" s="1"/>
  <c r="H114" i="11" s="1"/>
  <c r="H115" i="11" s="1"/>
  <c r="H116" i="11" s="1"/>
  <c r="H117" i="11" s="1"/>
  <c r="H118" i="11" s="1"/>
  <c r="H119" i="11" s="1"/>
  <c r="H120" i="11" s="1"/>
  <c r="H121" i="11" s="1"/>
  <c r="H122" i="11" s="1"/>
  <c r="H123" i="11" s="1"/>
  <c r="H124" i="11" s="1"/>
  <c r="H125" i="11" s="1"/>
  <c r="H126" i="11" s="1"/>
  <c r="H127" i="11" s="1"/>
  <c r="H128" i="11" s="1"/>
  <c r="H129" i="11" s="1"/>
  <c r="H130" i="11" s="1"/>
  <c r="H131" i="11" s="1"/>
  <c r="H132" i="11" s="1"/>
  <c r="H133" i="11" s="1"/>
  <c r="H134" i="11" s="1"/>
  <c r="H135" i="11" s="1"/>
  <c r="H136" i="11" s="1"/>
  <c r="H137" i="11" s="1"/>
  <c r="H138" i="11" s="1"/>
  <c r="H139" i="11" s="1"/>
  <c r="H140" i="11" s="1"/>
  <c r="H141" i="11" s="1"/>
  <c r="H142" i="11" s="1"/>
  <c r="H143" i="11" s="1"/>
  <c r="H144" i="11" s="1"/>
  <c r="H145" i="11" s="1"/>
  <c r="H146" i="11" s="1"/>
  <c r="H147" i="11" s="1"/>
  <c r="H148" i="11" s="1"/>
  <c r="H149" i="11" s="1"/>
  <c r="H150" i="11" s="1"/>
  <c r="H151" i="11" s="1"/>
  <c r="H152" i="11" s="1"/>
  <c r="H153" i="11" s="1"/>
  <c r="H154" i="11" s="1"/>
  <c r="H155" i="11" s="1"/>
  <c r="H156" i="11" s="1"/>
  <c r="H157" i="11" s="1"/>
  <c r="H158" i="11" s="1"/>
  <c r="H159" i="11" s="1"/>
  <c r="H160" i="11" s="1"/>
  <c r="H161" i="11" s="1"/>
  <c r="H162" i="11" s="1"/>
  <c r="H163" i="11" s="1"/>
  <c r="H164" i="11" s="1"/>
  <c r="H165" i="11" s="1"/>
  <c r="H166" i="11" s="1"/>
  <c r="H167" i="11" s="1"/>
  <c r="H168" i="11" s="1"/>
  <c r="H169" i="11" s="1"/>
  <c r="H170" i="11" s="1"/>
  <c r="H171" i="11" s="1"/>
  <c r="H172" i="11" s="1"/>
  <c r="H173" i="11" s="1"/>
  <c r="H174" i="11" s="1"/>
  <c r="H175" i="11" s="1"/>
  <c r="H176" i="11" s="1"/>
  <c r="H177" i="11" s="1"/>
  <c r="H178" i="11" s="1"/>
  <c r="H179" i="11" s="1"/>
  <c r="H180" i="11" s="1"/>
  <c r="H181" i="11" s="1"/>
  <c r="H182" i="11" s="1"/>
  <c r="H183" i="11" s="1"/>
  <c r="H184" i="11" s="1"/>
  <c r="H185" i="11" s="1"/>
  <c r="H186" i="11" s="1"/>
  <c r="H187" i="11" s="1"/>
  <c r="H188" i="11" s="1"/>
  <c r="H189" i="11" s="1"/>
  <c r="H190" i="11" s="1"/>
  <c r="H191" i="11" s="1"/>
  <c r="H192" i="11" s="1"/>
  <c r="H193" i="11" s="1"/>
  <c r="H194" i="11" s="1"/>
  <c r="H195" i="11" s="1"/>
  <c r="H196" i="11" s="1"/>
  <c r="H197" i="11" s="1"/>
  <c r="H198" i="11" s="1"/>
  <c r="H199" i="11" s="1"/>
  <c r="H200" i="11" s="1"/>
  <c r="H201" i="11" s="1"/>
  <c r="H202" i="11" s="1"/>
  <c r="H203" i="11" s="1"/>
  <c r="H204" i="11" s="1"/>
  <c r="H205" i="11" s="1"/>
  <c r="H206" i="11" s="1"/>
  <c r="H207" i="11" s="1"/>
  <c r="H208" i="11" s="1"/>
  <c r="H209" i="11" s="1"/>
  <c r="H210" i="11" s="1"/>
  <c r="H211" i="11" s="1"/>
  <c r="H212" i="11" s="1"/>
  <c r="H213" i="11" s="1"/>
  <c r="H214" i="11" s="1"/>
  <c r="H215" i="11" s="1"/>
  <c r="H216" i="11" s="1"/>
  <c r="H217" i="11" s="1"/>
  <c r="H218" i="11" s="1"/>
  <c r="H219" i="11" s="1"/>
  <c r="H220" i="11" s="1"/>
  <c r="H221" i="11" s="1"/>
  <c r="H222" i="11" s="1"/>
  <c r="H223" i="11" s="1"/>
  <c r="H224" i="11" s="1"/>
  <c r="H225" i="11" s="1"/>
  <c r="H226" i="11" s="1"/>
  <c r="H227" i="11" s="1"/>
  <c r="H228" i="11" s="1"/>
  <c r="H229" i="11" s="1"/>
  <c r="H230" i="11" s="1"/>
  <c r="H231" i="11" s="1"/>
  <c r="H232" i="11" s="1"/>
  <c r="H233" i="11" s="1"/>
  <c r="H234" i="11" s="1"/>
  <c r="H235" i="11" s="1"/>
  <c r="H236" i="11" s="1"/>
  <c r="H237" i="11" s="1"/>
  <c r="H238" i="11" s="1"/>
  <c r="H239" i="11" s="1"/>
  <c r="H240" i="11" s="1"/>
  <c r="H241" i="11" s="1"/>
  <c r="H242" i="11" s="1"/>
  <c r="H243" i="11" s="1"/>
  <c r="H244" i="11" s="1"/>
  <c r="H245" i="11" s="1"/>
  <c r="H246" i="11" s="1"/>
  <c r="H247" i="11" s="1"/>
  <c r="H248" i="11" s="1"/>
  <c r="H249" i="11" s="1"/>
  <c r="H250" i="11" s="1"/>
  <c r="H251" i="11" s="1"/>
  <c r="H252" i="11" s="1"/>
  <c r="H253" i="11" s="1"/>
  <c r="H254" i="11" s="1"/>
  <c r="H255" i="11" s="1"/>
  <c r="H256" i="11" s="1"/>
  <c r="H257" i="11" s="1"/>
  <c r="H258" i="11" s="1"/>
  <c r="H259" i="11" s="1"/>
  <c r="H260" i="11" s="1"/>
  <c r="H261" i="11" s="1"/>
  <c r="H262" i="11" s="1"/>
  <c r="H263" i="11" s="1"/>
  <c r="H264" i="11" s="1"/>
  <c r="H265" i="11" s="1"/>
  <c r="H266" i="11" s="1"/>
  <c r="H267" i="11" s="1"/>
  <c r="H268" i="11" s="1"/>
  <c r="H269" i="11" s="1"/>
  <c r="H270" i="11" s="1"/>
  <c r="H271" i="11" s="1"/>
  <c r="H272" i="11" s="1"/>
  <c r="H273" i="11" s="1"/>
  <c r="H274" i="11" s="1"/>
  <c r="H275" i="11" s="1"/>
  <c r="H276" i="11" s="1"/>
  <c r="H277" i="11" s="1"/>
  <c r="H278" i="11" s="1"/>
  <c r="H279" i="11" s="1"/>
  <c r="H280" i="11" s="1"/>
  <c r="H281" i="11" s="1"/>
  <c r="H282" i="11" s="1"/>
  <c r="H283" i="11" s="1"/>
  <c r="H284" i="11" s="1"/>
  <c r="H285" i="11" s="1"/>
  <c r="H286" i="11" s="1"/>
  <c r="H287" i="11" s="1"/>
  <c r="H288" i="11" s="1"/>
  <c r="H289" i="11" s="1"/>
  <c r="H290" i="11" s="1"/>
  <c r="H291" i="11" s="1"/>
  <c r="H292" i="11" s="1"/>
  <c r="H293" i="11" s="1"/>
  <c r="H294" i="11" s="1"/>
  <c r="H295" i="11" s="1"/>
  <c r="H296" i="11" s="1"/>
  <c r="H297" i="11" s="1"/>
  <c r="H298" i="11" s="1"/>
  <c r="H299" i="11" s="1"/>
  <c r="H300" i="11" s="1"/>
  <c r="H301" i="11" s="1"/>
  <c r="H302" i="11" s="1"/>
  <c r="H303" i="11" s="1"/>
  <c r="H304" i="11" s="1"/>
  <c r="H305" i="11" s="1"/>
  <c r="H306" i="11" s="1"/>
  <c r="H307" i="11" s="1"/>
  <c r="H308" i="11" s="1"/>
  <c r="H309" i="11" s="1"/>
  <c r="H310" i="11" s="1"/>
  <c r="H311" i="11" s="1"/>
  <c r="H312" i="11" s="1"/>
  <c r="H313" i="11" s="1"/>
  <c r="H314" i="11" s="1"/>
  <c r="H315" i="11" s="1"/>
  <c r="H316" i="11" s="1"/>
  <c r="H317" i="11" s="1"/>
  <c r="H318" i="11" s="1"/>
  <c r="H319" i="11" s="1"/>
  <c r="H320" i="11" s="1"/>
  <c r="H321" i="11" s="1"/>
  <c r="H322" i="11" s="1"/>
  <c r="H323" i="11" s="1"/>
  <c r="H324" i="11" s="1"/>
  <c r="H325" i="11" s="1"/>
  <c r="H326" i="11" s="1"/>
  <c r="H327" i="11" s="1"/>
  <c r="H328" i="11" s="1"/>
  <c r="H329" i="11" s="1"/>
  <c r="H330" i="11" s="1"/>
  <c r="H331" i="11" s="1"/>
  <c r="H332" i="11" s="1"/>
  <c r="H333" i="11" s="1"/>
  <c r="H334" i="11" s="1"/>
  <c r="H335" i="11" s="1"/>
  <c r="H336" i="11" s="1"/>
  <c r="H337" i="11" s="1"/>
  <c r="H338" i="11" s="1"/>
  <c r="H339" i="11" s="1"/>
  <c r="H340" i="11" s="1"/>
  <c r="H341" i="11" s="1"/>
  <c r="H342" i="11" s="1"/>
  <c r="H343" i="11" s="1"/>
  <c r="H344" i="11" s="1"/>
  <c r="H345" i="11" s="1"/>
  <c r="H346" i="11" s="1"/>
  <c r="H347" i="11" s="1"/>
  <c r="H348" i="11" s="1"/>
  <c r="H349" i="11" s="1"/>
  <c r="H350" i="11" s="1"/>
  <c r="H351" i="11" s="1"/>
  <c r="H352" i="11" s="1"/>
  <c r="H353" i="11" s="1"/>
  <c r="H354" i="11" s="1"/>
  <c r="H355" i="11" s="1"/>
  <c r="H356" i="11" s="1"/>
  <c r="H357" i="11" s="1"/>
  <c r="H358" i="11" s="1"/>
  <c r="H359" i="11" s="1"/>
  <c r="H360" i="11" s="1"/>
  <c r="H361" i="11" s="1"/>
  <c r="H362" i="11" s="1"/>
  <c r="H363" i="11" s="1"/>
  <c r="H364" i="11" s="1"/>
  <c r="H365" i="11" s="1"/>
  <c r="H366" i="11" s="1"/>
  <c r="H367" i="11" s="1"/>
  <c r="H368" i="11" s="1"/>
  <c r="H369" i="11" s="1"/>
  <c r="H370" i="11" s="1"/>
  <c r="H371" i="11" s="1"/>
  <c r="H372" i="11" s="1"/>
  <c r="H373" i="11" s="1"/>
  <c r="H374" i="11" s="1"/>
  <c r="H375" i="11" s="1"/>
  <c r="H376" i="11" s="1"/>
  <c r="H377" i="11" s="1"/>
  <c r="H378" i="11" s="1"/>
  <c r="H379" i="11" s="1"/>
  <c r="H380" i="11" s="1"/>
  <c r="H381" i="11" s="1"/>
  <c r="H382" i="11" s="1"/>
  <c r="H383" i="11" s="1"/>
  <c r="H384" i="11" s="1"/>
  <c r="H385" i="11" s="1"/>
  <c r="H386" i="11" s="1"/>
  <c r="H387" i="11" s="1"/>
  <c r="H388" i="11" s="1"/>
  <c r="H389" i="11" s="1"/>
  <c r="H390" i="11" s="1"/>
  <c r="H391" i="11" s="1"/>
  <c r="H392" i="11" s="1"/>
  <c r="H393" i="11" s="1"/>
  <c r="H394" i="11" s="1"/>
  <c r="H395" i="11" s="1"/>
  <c r="H396" i="11" s="1"/>
  <c r="H397" i="11" s="1"/>
  <c r="H398" i="11" s="1"/>
  <c r="H399" i="11" s="1"/>
  <c r="H400" i="11" s="1"/>
  <c r="H401" i="11" s="1"/>
  <c r="H402" i="11" s="1"/>
  <c r="H403" i="11" s="1"/>
  <c r="H404" i="11" s="1"/>
  <c r="H405" i="11" s="1"/>
  <c r="H406" i="11" s="1"/>
  <c r="H407" i="11" s="1"/>
  <c r="H408" i="11" s="1"/>
  <c r="H409" i="11" s="1"/>
  <c r="H410" i="11" s="1"/>
  <c r="H411" i="11" s="1"/>
  <c r="H412" i="11" s="1"/>
  <c r="H413" i="11" s="1"/>
  <c r="H414" i="11" s="1"/>
  <c r="H415" i="11" s="1"/>
  <c r="H416" i="11" s="1"/>
  <c r="H417" i="11" s="1"/>
  <c r="H418" i="11" s="1"/>
  <c r="H419" i="11" s="1"/>
  <c r="H420" i="11" s="1"/>
  <c r="H421" i="11" s="1"/>
  <c r="H422" i="11" s="1"/>
  <c r="H423" i="11" s="1"/>
  <c r="H424" i="11" s="1"/>
  <c r="H425" i="11" s="1"/>
  <c r="H426" i="11" s="1"/>
  <c r="H427" i="11" s="1"/>
  <c r="H428" i="11" s="1"/>
  <c r="H429" i="11" s="1"/>
  <c r="H430" i="11" s="1"/>
  <c r="H431" i="11" s="1"/>
  <c r="H432" i="11" s="1"/>
  <c r="H433" i="11" s="1"/>
  <c r="H434" i="11" s="1"/>
  <c r="H435" i="11" s="1"/>
  <c r="H436" i="11" s="1"/>
  <c r="H437" i="11" s="1"/>
  <c r="H438" i="11" s="1"/>
  <c r="H439" i="11" s="1"/>
  <c r="H440" i="11" s="1"/>
  <c r="H441" i="11" s="1"/>
  <c r="H442" i="11" s="1"/>
  <c r="H443" i="11" s="1"/>
  <c r="H444" i="11" s="1"/>
  <c r="H445" i="11" s="1"/>
  <c r="H446" i="11" s="1"/>
  <c r="H447" i="11" s="1"/>
  <c r="H448" i="11" s="1"/>
  <c r="H449" i="11" s="1"/>
  <c r="H450" i="11" s="1"/>
  <c r="H451" i="11" s="1"/>
  <c r="H452" i="11" s="1"/>
  <c r="H453" i="11" s="1"/>
  <c r="H454" i="11" s="1"/>
  <c r="H455" i="11" s="1"/>
  <c r="H456" i="11" s="1"/>
  <c r="H457" i="11" s="1"/>
  <c r="H458" i="11" s="1"/>
  <c r="H459" i="11" s="1"/>
  <c r="H460" i="11" s="1"/>
  <c r="H461" i="11" s="1"/>
  <c r="H462" i="11" s="1"/>
  <c r="H463" i="11" s="1"/>
  <c r="H464" i="11" s="1"/>
  <c r="H465" i="11" s="1"/>
  <c r="H466" i="11" s="1"/>
  <c r="H467" i="11" s="1"/>
  <c r="H468" i="11" s="1"/>
  <c r="H469" i="11" s="1"/>
  <c r="H470" i="11" s="1"/>
  <c r="H471" i="11" s="1"/>
  <c r="H472" i="11" s="1"/>
  <c r="H473" i="11" s="1"/>
  <c r="H474" i="11" s="1"/>
  <c r="H475" i="11" s="1"/>
  <c r="H476" i="11" s="1"/>
  <c r="H477" i="11" s="1"/>
  <c r="H478" i="11" s="1"/>
  <c r="H479" i="11" s="1"/>
  <c r="H480" i="11" s="1"/>
  <c r="H481" i="11" s="1"/>
  <c r="H482" i="11" s="1"/>
  <c r="H483" i="11" s="1"/>
  <c r="H484" i="11" s="1"/>
  <c r="H485" i="11" s="1"/>
  <c r="H486" i="11" s="1"/>
  <c r="H487" i="11" s="1"/>
  <c r="H488" i="11" s="1"/>
  <c r="H489" i="11" s="1"/>
  <c r="H490" i="11" s="1"/>
  <c r="H491" i="11" s="1"/>
  <c r="H492" i="11" s="1"/>
  <c r="H493" i="11" s="1"/>
  <c r="H494" i="11" s="1"/>
  <c r="H495" i="11" s="1"/>
  <c r="H496" i="11" s="1"/>
  <c r="H497" i="11" s="1"/>
  <c r="H498" i="11" s="1"/>
  <c r="H499" i="11" s="1"/>
  <c r="H500" i="11" s="1"/>
  <c r="H501" i="11" s="1"/>
  <c r="H502" i="11" s="1"/>
  <c r="H503" i="11" s="1"/>
  <c r="H504" i="11" s="1"/>
  <c r="H505" i="11" s="1"/>
  <c r="H506" i="11" s="1"/>
  <c r="H507" i="11" s="1"/>
  <c r="H508" i="11" s="1"/>
  <c r="H509" i="11" s="1"/>
  <c r="H510" i="11" s="1"/>
  <c r="H511" i="11" s="1"/>
  <c r="H512" i="11" s="1"/>
  <c r="H513" i="11" s="1"/>
  <c r="H514" i="11" s="1"/>
  <c r="H515" i="11" s="1"/>
  <c r="H516" i="11" s="1"/>
  <c r="H517" i="11" s="1"/>
  <c r="H518" i="11" s="1"/>
  <c r="H519" i="11" s="1"/>
  <c r="H520" i="11" s="1"/>
  <c r="H521" i="11" s="1"/>
  <c r="H522" i="11" s="1"/>
  <c r="H523" i="11" s="1"/>
  <c r="H524" i="11" s="1"/>
  <c r="H525" i="11" s="1"/>
  <c r="H526" i="11" s="1"/>
  <c r="H527" i="11" s="1"/>
  <c r="H528" i="11" s="1"/>
  <c r="H529" i="11" s="1"/>
  <c r="H530" i="11" s="1"/>
  <c r="H531" i="11" s="1"/>
  <c r="H532" i="11" s="1"/>
  <c r="H533" i="11" s="1"/>
  <c r="H534" i="11" s="1"/>
  <c r="H535" i="11" s="1"/>
  <c r="H536" i="11" s="1"/>
  <c r="H537" i="11" s="1"/>
  <c r="H538" i="11" s="1"/>
  <c r="H539" i="11" s="1"/>
  <c r="H540" i="11" s="1"/>
  <c r="H541" i="11" s="1"/>
  <c r="H542" i="11" s="1"/>
  <c r="H543" i="11" s="1"/>
  <c r="H544" i="11" s="1"/>
  <c r="H545" i="11" s="1"/>
  <c r="H546" i="11" s="1"/>
  <c r="H547" i="11" s="1"/>
  <c r="H548" i="11" s="1"/>
  <c r="H549" i="11" s="1"/>
  <c r="H550" i="11" s="1"/>
  <c r="H551" i="11" s="1"/>
  <c r="H552" i="11" s="1"/>
  <c r="H553" i="11" s="1"/>
  <c r="H554" i="11" s="1"/>
  <c r="H555" i="11" s="1"/>
  <c r="H556" i="11" s="1"/>
  <c r="H557" i="11" s="1"/>
  <c r="H558" i="11" s="1"/>
  <c r="H559" i="11" s="1"/>
  <c r="H560" i="11" s="1"/>
  <c r="H561" i="11" s="1"/>
  <c r="H562" i="11" s="1"/>
  <c r="H563" i="11" s="1"/>
  <c r="H564" i="11" s="1"/>
  <c r="H565" i="11" s="1"/>
  <c r="H566" i="11" s="1"/>
  <c r="H567" i="11" s="1"/>
  <c r="H568" i="11" s="1"/>
  <c r="H569" i="11" s="1"/>
  <c r="H570" i="11" s="1"/>
  <c r="H571" i="11" s="1"/>
  <c r="H572" i="11" s="1"/>
  <c r="H573" i="11" s="1"/>
  <c r="H574" i="11" s="1"/>
  <c r="H575" i="11" s="1"/>
  <c r="H576" i="11" s="1"/>
  <c r="H577" i="11" s="1"/>
  <c r="H578" i="11" s="1"/>
  <c r="H579" i="11" s="1"/>
  <c r="H580" i="11" s="1"/>
  <c r="H581" i="11" s="1"/>
  <c r="H582" i="11" s="1"/>
  <c r="H583" i="11" s="1"/>
  <c r="H584" i="11" s="1"/>
  <c r="H585" i="11" s="1"/>
  <c r="H586" i="11" s="1"/>
  <c r="H587" i="11" s="1"/>
  <c r="H588" i="11" s="1"/>
  <c r="H589" i="11" s="1"/>
  <c r="H590" i="11" s="1"/>
  <c r="H591" i="11" s="1"/>
  <c r="H592" i="11" s="1"/>
  <c r="H593" i="11" s="1"/>
  <c r="H594" i="11" s="1"/>
  <c r="H595" i="11" s="1"/>
  <c r="H596" i="11" s="1"/>
  <c r="H597" i="11" s="1"/>
  <c r="H598" i="11" s="1"/>
  <c r="H599" i="11" s="1"/>
  <c r="H600" i="11" s="1"/>
  <c r="H601" i="11" s="1"/>
  <c r="H602" i="11" s="1"/>
  <c r="H603" i="11" s="1"/>
  <c r="H604" i="11" s="1"/>
  <c r="H605" i="11" s="1"/>
  <c r="H606" i="11" s="1"/>
  <c r="H607" i="11" s="1"/>
  <c r="H608" i="11" s="1"/>
  <c r="H609" i="11" s="1"/>
  <c r="H610" i="11" s="1"/>
  <c r="H611" i="11" s="1"/>
  <c r="H612" i="11" s="1"/>
  <c r="H613" i="11" s="1"/>
  <c r="H614" i="11" s="1"/>
  <c r="H615" i="11" s="1"/>
  <c r="H616" i="11" s="1"/>
  <c r="H617" i="11" s="1"/>
  <c r="H618" i="11" s="1"/>
  <c r="H619" i="11" s="1"/>
  <c r="H620" i="11" s="1"/>
  <c r="H621" i="11" s="1"/>
  <c r="H622" i="11" s="1"/>
  <c r="H623" i="11" s="1"/>
  <c r="H624" i="11" s="1"/>
  <c r="H625" i="11" s="1"/>
  <c r="H626" i="11" s="1"/>
  <c r="H627" i="11" s="1"/>
  <c r="H628" i="11" s="1"/>
  <c r="H629" i="11" s="1"/>
  <c r="H630" i="11" s="1"/>
  <c r="H631" i="11" s="1"/>
  <c r="H632" i="11" s="1"/>
  <c r="H633" i="11" s="1"/>
  <c r="H634" i="11" s="1"/>
  <c r="H635" i="11" s="1"/>
  <c r="H636" i="11" s="1"/>
  <c r="H637" i="11" s="1"/>
  <c r="H638" i="11" s="1"/>
  <c r="H639" i="11" s="1"/>
  <c r="H640" i="11" s="1"/>
  <c r="H641" i="11" s="1"/>
  <c r="H642" i="11" s="1"/>
  <c r="H643" i="11" s="1"/>
  <c r="H644" i="11" s="1"/>
  <c r="H645" i="11" s="1"/>
  <c r="H646" i="11" s="1"/>
  <c r="H647" i="11" s="1"/>
  <c r="H648" i="11" s="1"/>
  <c r="H649" i="11" s="1"/>
  <c r="H650" i="11" s="1"/>
  <c r="H651" i="11" s="1"/>
  <c r="H652" i="11" s="1"/>
  <c r="H653" i="11" s="1"/>
  <c r="H654" i="11" s="1"/>
  <c r="H655" i="11" s="1"/>
  <c r="H656" i="11" s="1"/>
  <c r="H657" i="11" s="1"/>
  <c r="H658" i="11" s="1"/>
  <c r="H659" i="11" s="1"/>
  <c r="H660" i="11" s="1"/>
  <c r="H661" i="11" s="1"/>
  <c r="H662" i="11" s="1"/>
  <c r="H663" i="11" s="1"/>
  <c r="H664" i="11" s="1"/>
  <c r="H665" i="11" s="1"/>
  <c r="H666" i="11" s="1"/>
  <c r="H667" i="11" s="1"/>
  <c r="H668" i="11" s="1"/>
  <c r="H669" i="11" s="1"/>
  <c r="H670" i="11" s="1"/>
  <c r="H671" i="11" s="1"/>
  <c r="H672" i="11" s="1"/>
  <c r="H673" i="11" s="1"/>
  <c r="H674" i="11" s="1"/>
  <c r="H675" i="11" s="1"/>
  <c r="H676" i="11" s="1"/>
  <c r="H677" i="11" s="1"/>
  <c r="H678" i="11" s="1"/>
  <c r="H679" i="11" s="1"/>
  <c r="H680" i="11" s="1"/>
  <c r="H681" i="11" s="1"/>
  <c r="H682" i="11" s="1"/>
  <c r="H683" i="11" s="1"/>
  <c r="H684" i="11" s="1"/>
  <c r="H685" i="11" s="1"/>
  <c r="H686" i="11" s="1"/>
  <c r="H687" i="11" s="1"/>
  <c r="H688" i="11" s="1"/>
  <c r="H689" i="11" s="1"/>
  <c r="H690" i="11" s="1"/>
  <c r="H691" i="11" s="1"/>
  <c r="H692" i="11" s="1"/>
  <c r="H693" i="11" s="1"/>
  <c r="H694" i="11" s="1"/>
  <c r="H695" i="11" s="1"/>
  <c r="H696" i="11" s="1"/>
  <c r="H697" i="11" s="1"/>
  <c r="H698" i="11" s="1"/>
  <c r="H699" i="11" s="1"/>
  <c r="H700" i="11" s="1"/>
  <c r="H701" i="11" s="1"/>
  <c r="H702" i="11" s="1"/>
  <c r="H703" i="11" s="1"/>
  <c r="H704" i="11" s="1"/>
  <c r="H705" i="11" s="1"/>
  <c r="H706" i="11" s="1"/>
  <c r="H707" i="11" s="1"/>
  <c r="H708" i="11" s="1"/>
  <c r="H709" i="11" s="1"/>
  <c r="H710" i="11" s="1"/>
  <c r="H711" i="11" s="1"/>
  <c r="H712" i="11" s="1"/>
  <c r="H713" i="11" s="1"/>
  <c r="H714" i="11" s="1"/>
  <c r="H715" i="11" s="1"/>
  <c r="H716" i="11" s="1"/>
  <c r="H717" i="11" s="1"/>
  <c r="H718" i="11" s="1"/>
  <c r="H719" i="11" s="1"/>
  <c r="H720" i="11" s="1"/>
  <c r="H721" i="11" s="1"/>
  <c r="H722" i="11" s="1"/>
  <c r="H723" i="11" s="1"/>
  <c r="H724" i="11" s="1"/>
  <c r="H725" i="11" s="1"/>
  <c r="H726" i="11" s="1"/>
  <c r="H727" i="11" s="1"/>
  <c r="H728" i="11" s="1"/>
  <c r="H729" i="11" s="1"/>
  <c r="H730" i="11" s="1"/>
  <c r="H731" i="11" s="1"/>
  <c r="H732" i="11" s="1"/>
  <c r="H733" i="11" s="1"/>
  <c r="H734" i="11" s="1"/>
  <c r="H735" i="11" s="1"/>
  <c r="H736" i="11" s="1"/>
  <c r="H737" i="11" s="1"/>
  <c r="H738" i="11" s="1"/>
  <c r="H739" i="11" s="1"/>
  <c r="H740" i="11" s="1"/>
  <c r="H741" i="11" s="1"/>
  <c r="H742" i="11" s="1"/>
  <c r="H743" i="11" s="1"/>
  <c r="H744" i="11" s="1"/>
  <c r="H745" i="11" s="1"/>
  <c r="H746" i="11" s="1"/>
  <c r="H747" i="11" s="1"/>
  <c r="H748" i="11" s="1"/>
  <c r="H749" i="11" s="1"/>
  <c r="H750" i="11" s="1"/>
  <c r="H751" i="11" s="1"/>
  <c r="H752" i="11" s="1"/>
  <c r="H753" i="11" s="1"/>
  <c r="H754" i="11" s="1"/>
  <c r="H755" i="11" s="1"/>
  <c r="H756" i="11" s="1"/>
  <c r="H757" i="11" s="1"/>
  <c r="H758" i="11" s="1"/>
  <c r="H759" i="11" s="1"/>
  <c r="H760" i="11" s="1"/>
  <c r="H761" i="11" s="1"/>
  <c r="H762" i="11" s="1"/>
  <c r="H763" i="11" s="1"/>
  <c r="H764" i="11" s="1"/>
  <c r="H765" i="11" s="1"/>
  <c r="H766" i="11" s="1"/>
  <c r="H767" i="11" s="1"/>
  <c r="H768" i="11" s="1"/>
  <c r="H769" i="11" s="1"/>
  <c r="H770" i="11" s="1"/>
  <c r="H771" i="11" s="1"/>
  <c r="H772" i="11" s="1"/>
  <c r="H773" i="11" s="1"/>
  <c r="H774" i="11" s="1"/>
  <c r="H775" i="11" s="1"/>
  <c r="H776" i="11" s="1"/>
  <c r="H777" i="11" s="1"/>
  <c r="H778" i="11" s="1"/>
  <c r="H779" i="11" s="1"/>
  <c r="H780" i="11" s="1"/>
  <c r="H781" i="11" s="1"/>
  <c r="H782" i="11" s="1"/>
  <c r="H783" i="11" s="1"/>
  <c r="H784" i="11" s="1"/>
  <c r="H785" i="11" s="1"/>
  <c r="H786" i="11" s="1"/>
  <c r="H787" i="11" s="1"/>
  <c r="H788" i="11" s="1"/>
  <c r="H789" i="11" s="1"/>
  <c r="H790" i="11" s="1"/>
  <c r="H791" i="11" s="1"/>
  <c r="H792" i="11" s="1"/>
  <c r="H793" i="11" s="1"/>
  <c r="H794" i="11" s="1"/>
  <c r="H795" i="11" s="1"/>
  <c r="H796" i="11" s="1"/>
  <c r="H797" i="11" s="1"/>
  <c r="H798" i="11" s="1"/>
  <c r="H799" i="11" s="1"/>
  <c r="H800" i="11" s="1"/>
  <c r="H801" i="11" s="1"/>
  <c r="H802" i="11" s="1"/>
  <c r="H803" i="11" s="1"/>
  <c r="H804" i="11" s="1"/>
  <c r="H805" i="11" s="1"/>
  <c r="H806" i="11" s="1"/>
  <c r="H807" i="11" s="1"/>
  <c r="H808" i="11" s="1"/>
  <c r="H809" i="11" s="1"/>
  <c r="H810" i="11" s="1"/>
  <c r="H811" i="11" s="1"/>
  <c r="H812" i="11" s="1"/>
  <c r="H813" i="11" s="1"/>
  <c r="H814" i="11" s="1"/>
  <c r="H815" i="11" s="1"/>
  <c r="H816" i="11" s="1"/>
  <c r="H817" i="11" s="1"/>
  <c r="H818" i="11" s="1"/>
  <c r="H819" i="11" s="1"/>
  <c r="H820" i="11" s="1"/>
  <c r="H821" i="11" s="1"/>
  <c r="H822" i="11" s="1"/>
  <c r="H823" i="11" s="1"/>
  <c r="H824" i="11" s="1"/>
  <c r="H825" i="11" s="1"/>
  <c r="H826" i="11" s="1"/>
  <c r="H827" i="11" s="1"/>
  <c r="H828" i="11" s="1"/>
  <c r="H829" i="11" s="1"/>
  <c r="H830" i="11" s="1"/>
  <c r="H831" i="11" s="1"/>
  <c r="H832" i="11" s="1"/>
  <c r="H833" i="11" s="1"/>
  <c r="H834" i="11" s="1"/>
  <c r="H835" i="11" s="1"/>
  <c r="H836" i="11" s="1"/>
  <c r="H837" i="11" s="1"/>
  <c r="H838" i="11" s="1"/>
  <c r="H839" i="11" s="1"/>
  <c r="H840" i="11" s="1"/>
  <c r="H841" i="11" s="1"/>
  <c r="H842" i="11" s="1"/>
  <c r="H843" i="11" s="1"/>
  <c r="H844" i="11" s="1"/>
  <c r="H845" i="11" s="1"/>
  <c r="H846" i="11" s="1"/>
  <c r="H847" i="11" s="1"/>
  <c r="H848" i="11" s="1"/>
  <c r="H849" i="11" s="1"/>
  <c r="H850" i="11" s="1"/>
  <c r="H851" i="11" s="1"/>
  <c r="H852" i="11" s="1"/>
  <c r="H853" i="11" s="1"/>
  <c r="H854" i="11" s="1"/>
  <c r="H855" i="11" s="1"/>
  <c r="H856" i="11" s="1"/>
  <c r="H857" i="11" s="1"/>
  <c r="H858" i="11" s="1"/>
  <c r="H859" i="11" s="1"/>
  <c r="H860" i="11" s="1"/>
  <c r="H861" i="11" s="1"/>
  <c r="H862" i="11" s="1"/>
  <c r="H863" i="11" s="1"/>
  <c r="H864" i="11" s="1"/>
  <c r="H865" i="11" s="1"/>
  <c r="H866" i="11" s="1"/>
  <c r="H867" i="11" s="1"/>
  <c r="H868" i="11" s="1"/>
  <c r="H869" i="11" s="1"/>
  <c r="H870" i="11" s="1"/>
  <c r="H871" i="11" s="1"/>
  <c r="H872" i="11" s="1"/>
  <c r="H873" i="11" s="1"/>
  <c r="H874" i="11" s="1"/>
  <c r="H875" i="11" s="1"/>
  <c r="H876" i="11" s="1"/>
  <c r="H877" i="11" s="1"/>
  <c r="H878" i="11" s="1"/>
  <c r="H879" i="11" s="1"/>
  <c r="H880" i="11" s="1"/>
  <c r="H881" i="11" s="1"/>
  <c r="H882" i="11" s="1"/>
  <c r="H883" i="11" s="1"/>
  <c r="H884" i="11" s="1"/>
  <c r="H885" i="11" s="1"/>
  <c r="H886" i="11" s="1"/>
  <c r="H887" i="11" s="1"/>
  <c r="H888" i="11" s="1"/>
  <c r="H889" i="11" s="1"/>
  <c r="H890" i="11" s="1"/>
  <c r="H891" i="11" s="1"/>
  <c r="H892" i="11" s="1"/>
  <c r="H893" i="11" s="1"/>
  <c r="H894" i="11" s="1"/>
  <c r="H895" i="11" s="1"/>
  <c r="H896" i="11" s="1"/>
  <c r="H897" i="11" s="1"/>
  <c r="H898" i="11" s="1"/>
  <c r="H899" i="11" s="1"/>
  <c r="H900" i="11" s="1"/>
  <c r="H901" i="11" s="1"/>
  <c r="H902" i="11" s="1"/>
  <c r="H903" i="11" s="1"/>
  <c r="H904" i="11" s="1"/>
  <c r="H905" i="11" s="1"/>
  <c r="H906" i="11" s="1"/>
  <c r="H907" i="11" s="1"/>
  <c r="H908" i="11" s="1"/>
  <c r="H909" i="11" s="1"/>
  <c r="H910" i="11" s="1"/>
  <c r="H911" i="11" s="1"/>
  <c r="H912" i="11" s="1"/>
  <c r="H913" i="11" s="1"/>
  <c r="H914" i="11" s="1"/>
  <c r="H915" i="11" s="1"/>
  <c r="H916" i="11" s="1"/>
  <c r="H917" i="11" s="1"/>
  <c r="H918" i="11" s="1"/>
  <c r="H919" i="11" s="1"/>
  <c r="H920" i="11" s="1"/>
  <c r="H921" i="11" s="1"/>
  <c r="H922" i="11" s="1"/>
  <c r="H923" i="11" s="1"/>
  <c r="H924" i="11" s="1"/>
  <c r="H925" i="11" s="1"/>
  <c r="H926" i="11" s="1"/>
  <c r="H927" i="11" s="1"/>
  <c r="H928" i="11" s="1"/>
  <c r="H929" i="11" s="1"/>
  <c r="C496" i="5"/>
  <c r="N3" i="5"/>
  <c r="E3" i="5"/>
  <c r="H3" i="5"/>
  <c r="K3" i="5"/>
  <c r="B3" i="5"/>
  <c r="N2" i="5"/>
  <c r="E2" i="5"/>
  <c r="H2" i="5"/>
  <c r="K2" i="5"/>
  <c r="B2"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6"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6" i="5"/>
  <c r="AG30" i="11" l="1"/>
  <c r="D25" i="11" a="1"/>
  <c r="D25" i="11" s="1"/>
  <c r="J31" i="11"/>
  <c r="L31" i="11" s="1"/>
  <c r="AH512" i="11"/>
  <c r="AH30" i="11" s="1" a="1"/>
  <c r="AH30" i="11" s="1"/>
  <c r="AH261" i="11"/>
  <c r="AH67" i="11"/>
  <c r="AH472" i="11"/>
  <c r="AH354" i="11"/>
  <c r="AH186" i="11"/>
  <c r="AH324" i="11"/>
  <c r="AH809" i="11"/>
  <c r="AH375" i="11"/>
  <c r="AH406" i="11"/>
  <c r="AH616" i="11"/>
  <c r="AH857" i="11"/>
  <c r="AH485" i="11"/>
  <c r="AH913" i="11"/>
  <c r="AH562" i="11"/>
  <c r="AH423" i="11"/>
  <c r="AH350" i="11"/>
  <c r="AH525" i="11"/>
  <c r="AH799" i="11"/>
  <c r="AH656" i="11"/>
  <c r="AH526" i="11"/>
  <c r="AH893" i="11"/>
  <c r="AH611" i="11"/>
  <c r="AH335" i="11"/>
  <c r="AH536" i="11"/>
  <c r="AH180" i="11"/>
  <c r="AH70" i="11"/>
  <c r="AH174" i="11"/>
  <c r="AH862" i="11"/>
  <c r="AH785" i="11"/>
  <c r="AH461" i="11"/>
  <c r="AH929" i="11"/>
  <c r="AH714" i="11"/>
  <c r="AH731" i="11"/>
  <c r="AH269" i="11"/>
  <c r="AH224" i="11"/>
  <c r="AH590" i="11"/>
  <c r="AH374" i="11"/>
  <c r="AH469" i="11"/>
  <c r="AH435" i="11"/>
  <c r="AH750" i="11"/>
  <c r="AH919" i="11"/>
  <c r="AH173" i="11"/>
  <c r="AH142" i="11"/>
  <c r="AH152" i="11"/>
  <c r="AH215" i="11"/>
  <c r="AH181" i="11"/>
  <c r="AH794" i="11"/>
  <c r="AH837" i="11"/>
  <c r="AH844" i="11"/>
  <c r="AH492" i="11"/>
  <c r="AH566" i="11"/>
  <c r="AH258" i="11"/>
  <c r="AH803" i="11"/>
  <c r="AH854" i="11"/>
  <c r="AH144" i="11"/>
  <c r="AH358" i="11"/>
  <c r="AH49" i="11"/>
  <c r="AH530" i="11"/>
  <c r="AH213" i="11"/>
  <c r="AH923" i="11"/>
  <c r="AH112" i="11"/>
  <c r="AH500" i="11"/>
  <c r="AH408" i="11"/>
  <c r="AH68" i="11"/>
  <c r="AH125" i="11"/>
  <c r="AH749" i="11"/>
  <c r="AH841" i="11"/>
  <c r="AH54" i="11"/>
  <c r="AH734" i="11"/>
  <c r="AH429" i="11"/>
  <c r="AH513" i="11"/>
  <c r="AH69" i="11"/>
  <c r="AH918" i="11"/>
  <c r="AH102" i="11"/>
  <c r="AH567" i="11"/>
  <c r="AH120" i="11"/>
  <c r="AH121" i="11"/>
  <c r="AH61" i="11"/>
  <c r="AH328" i="11"/>
  <c r="AH139" i="11"/>
  <c r="AH634" i="11"/>
  <c r="AH99" i="11"/>
  <c r="AH151" i="11"/>
  <c r="AH703" i="11"/>
  <c r="AH897" i="11"/>
  <c r="AH143" i="11"/>
  <c r="AH649" i="11"/>
  <c r="AH881" i="11"/>
  <c r="AH452" i="11"/>
  <c r="AH169" i="11"/>
  <c r="AH746" i="11"/>
  <c r="AH636" i="11"/>
  <c r="AH534" i="11"/>
  <c r="AH219" i="11"/>
  <c r="AH568" i="11"/>
  <c r="AH238" i="11"/>
  <c r="AH681" i="11"/>
  <c r="AH685" i="11"/>
  <c r="AH418" i="11"/>
  <c r="AH283" i="11"/>
  <c r="AH529" i="11"/>
  <c r="AH833" i="11"/>
  <c r="AH342" i="11"/>
  <c r="AH480" i="11"/>
  <c r="AH80" i="11"/>
  <c r="AH869" i="11"/>
  <c r="AH51" i="11"/>
  <c r="AH515" i="11"/>
  <c r="AH124" i="11"/>
  <c r="AH650" i="11"/>
  <c r="AH318" i="11"/>
  <c r="AH576" i="11"/>
  <c r="AH260" i="11"/>
  <c r="AH910" i="11"/>
  <c r="AH168" i="11"/>
  <c r="AH79" i="11"/>
  <c r="AH531" i="11"/>
  <c r="AH489" i="11"/>
  <c r="AH648" i="11"/>
  <c r="AH111" i="11"/>
  <c r="AH189" i="11"/>
  <c r="AH647" i="11"/>
  <c r="AH188" i="11"/>
  <c r="AH323" i="11"/>
  <c r="AH527" i="11"/>
  <c r="AH359" i="11"/>
  <c r="AH146" i="11"/>
  <c r="AH586" i="11"/>
  <c r="AH790" i="11"/>
  <c r="AH187" i="11"/>
  <c r="AH589" i="11"/>
  <c r="AH475" i="11"/>
  <c r="AH654" i="11"/>
  <c r="AH717" i="11"/>
  <c r="AH179" i="11"/>
  <c r="AH617" i="11"/>
  <c r="AH473" i="11"/>
  <c r="AH623" i="11"/>
  <c r="AH220" i="11"/>
  <c r="AH247" i="11"/>
  <c r="AH263" i="11"/>
  <c r="AH93" i="11"/>
  <c r="AH294" i="11"/>
  <c r="AH635" i="11"/>
  <c r="AH455" i="11"/>
  <c r="AH439" i="11"/>
  <c r="AH868" i="11"/>
  <c r="AH508" i="11"/>
  <c r="AH76" i="11"/>
  <c r="AH448" i="11"/>
  <c r="AH333" i="11"/>
  <c r="AH161" i="11"/>
  <c r="AH159" i="11"/>
  <c r="AH428" i="11"/>
  <c r="AH319" i="11"/>
  <c r="AH133" i="11"/>
  <c r="AH160" i="11"/>
  <c r="AH727" i="11"/>
  <c r="AH376" i="11"/>
  <c r="AH926" i="11"/>
  <c r="AH297" i="11"/>
  <c r="AH116" i="11"/>
  <c r="AH40" i="11"/>
  <c r="AH50" i="11"/>
  <c r="AH237" i="11"/>
  <c r="AH805" i="11"/>
  <c r="AH733" i="11"/>
  <c r="AH468" i="11"/>
  <c r="AH176" i="11"/>
  <c r="AH784" i="11"/>
  <c r="AH167" i="11"/>
  <c r="AH321" i="11"/>
  <c r="AH655" i="11"/>
  <c r="AH599" i="11"/>
  <c r="AH916" i="11"/>
  <c r="AH613" i="11"/>
  <c r="AH74" i="11"/>
  <c r="AH834" i="11"/>
  <c r="AH399" i="11"/>
  <c r="AH244" i="11"/>
  <c r="AH360" i="11"/>
  <c r="AH546" i="11"/>
  <c r="AH453" i="11"/>
  <c r="AH724" i="11"/>
  <c r="AH506" i="11"/>
  <c r="AH208" i="11"/>
  <c r="AH583" i="11"/>
  <c r="AH535" i="11"/>
  <c r="AH184" i="11"/>
  <c r="AH789" i="11"/>
  <c r="AH683" i="11"/>
  <c r="AH716" i="11"/>
  <c r="AH559" i="11"/>
  <c r="AH711" i="11"/>
  <c r="AH776" i="11"/>
  <c r="AH192" i="11"/>
  <c r="AH523" i="11"/>
  <c r="AH193" i="11"/>
  <c r="AH701" i="11"/>
  <c r="AH249" i="11"/>
  <c r="AH292" i="11"/>
  <c r="AH689" i="11"/>
  <c r="AH447" i="11"/>
  <c r="AH241" i="11"/>
  <c r="AH311" i="11"/>
  <c r="AH327" i="11"/>
  <c r="AH479" i="11"/>
  <c r="AH205" i="11"/>
  <c r="AH884" i="11"/>
  <c r="AH595" i="11"/>
  <c r="AH270" i="11"/>
  <c r="AH831" i="11"/>
  <c r="AH593" i="11"/>
  <c r="AH107" i="11"/>
  <c r="AH585" i="11"/>
  <c r="AH819" i="11"/>
  <c r="AH183" i="11"/>
  <c r="AH325" i="11"/>
  <c r="AH575" i="11"/>
  <c r="AH505" i="11"/>
  <c r="AH606" i="11"/>
  <c r="AH145" i="11"/>
  <c r="AH889" i="11"/>
  <c r="AH382" i="11"/>
  <c r="AH899" i="11"/>
  <c r="AH538" i="11"/>
  <c r="AH640" i="11"/>
  <c r="AH637" i="11"/>
  <c r="AH674" i="11"/>
  <c r="AH771" i="11"/>
  <c r="AH818" i="11"/>
  <c r="AH726" i="11"/>
  <c r="AH320" i="11"/>
  <c r="AH356" i="11"/>
  <c r="AH643" i="11"/>
  <c r="AH303" i="11"/>
  <c r="AH890" i="11"/>
  <c r="AH736" i="11"/>
  <c r="AH633" i="11"/>
  <c r="AH625" i="11"/>
  <c r="AH851" i="11"/>
  <c r="AH110" i="11"/>
  <c r="AH44" i="11"/>
  <c r="AH53" i="11"/>
  <c r="AH392" i="11"/>
  <c r="AH308" i="11"/>
  <c r="AH64" i="11"/>
  <c r="AH412" i="11"/>
  <c r="AH234" i="11"/>
  <c r="AH665" i="11"/>
  <c r="AH372" i="11"/>
  <c r="AH775" i="11"/>
  <c r="AH364" i="11"/>
  <c r="AH134" i="11"/>
  <c r="AH820" i="11"/>
  <c r="AH659" i="11"/>
  <c r="AH823" i="11"/>
  <c r="AH296" i="11"/>
  <c r="AH594" i="11"/>
  <c r="AH497" i="11"/>
  <c r="AH302" i="11"/>
  <c r="AH812" i="11"/>
  <c r="AH657" i="11"/>
  <c r="AH293" i="11"/>
  <c r="AH838" i="11"/>
  <c r="AH56" i="11"/>
  <c r="AH582" i="11"/>
  <c r="AH233" i="11"/>
  <c r="AH925" i="11"/>
  <c r="AH430" i="11"/>
  <c r="AH832" i="11"/>
  <c r="AH368" i="11"/>
  <c r="AH198" i="11"/>
  <c r="AH822" i="11"/>
  <c r="AH476" i="11"/>
  <c r="AH664" i="11"/>
  <c r="AH671" i="11"/>
  <c r="AH603" i="11"/>
  <c r="AH385" i="11"/>
  <c r="AH254" i="11"/>
  <c r="AH653" i="11"/>
  <c r="AH588" i="11"/>
  <c r="AH808" i="11"/>
  <c r="AH483" i="11"/>
  <c r="AH825" i="11"/>
  <c r="AH598" i="11"/>
  <c r="AH504" i="11"/>
  <c r="AH309" i="11"/>
  <c r="AH175" i="11"/>
  <c r="AH141" i="11"/>
  <c r="AH738" i="11"/>
  <c r="AH781" i="11"/>
  <c r="AH148" i="11"/>
  <c r="AH486" i="11"/>
  <c r="AH661" i="11"/>
  <c r="AH638" i="11"/>
  <c r="AH554" i="11"/>
  <c r="AH707" i="11"/>
  <c r="AH458" i="11"/>
  <c r="AH438" i="11"/>
  <c r="AH322" i="11"/>
  <c r="AH807" i="11"/>
  <c r="AH277" i="11"/>
  <c r="AH177" i="11"/>
  <c r="AH341" i="11"/>
  <c r="AH46" i="11"/>
  <c r="AH122" i="11"/>
  <c r="AH855" i="11"/>
  <c r="AH524" i="11"/>
  <c r="AH266" i="11"/>
  <c r="AH47" i="11"/>
  <c r="AH752" i="11"/>
  <c r="AH109" i="11"/>
  <c r="AH278" i="11"/>
  <c r="AH264" i="11"/>
  <c r="AH403" i="11"/>
  <c r="AH713" i="11"/>
  <c r="AH543" i="11"/>
  <c r="AH171" i="11"/>
  <c r="AH135" i="11"/>
  <c r="AH732" i="11"/>
  <c r="AH507" i="11"/>
  <c r="AH802" i="11"/>
  <c r="AH456" i="11"/>
  <c r="AH619" i="11"/>
  <c r="AH390" i="11"/>
  <c r="AH892" i="11"/>
  <c r="AH610" i="11"/>
  <c r="AH443" i="11"/>
  <c r="AH434" i="11"/>
  <c r="AH580" i="11"/>
  <c r="AH773" i="11"/>
  <c r="AH710" i="11"/>
  <c r="AH896" i="11"/>
  <c r="AH768" i="11"/>
  <c r="AH631" i="11"/>
  <c r="AH863" i="11"/>
  <c r="AH108" i="11"/>
  <c r="AH865" i="11"/>
  <c r="AH421" i="11"/>
  <c r="AH872" i="11"/>
  <c r="AH462" i="11"/>
  <c r="AH764" i="11"/>
  <c r="AH782" i="11"/>
  <c r="AH257" i="11"/>
  <c r="AH417" i="11"/>
  <c r="AH858" i="11"/>
  <c r="AH501" i="11"/>
  <c r="AH454" i="11"/>
  <c r="AH510" i="11"/>
  <c r="AH622" i="11"/>
  <c r="AH519" i="11"/>
  <c r="AH770" i="11"/>
  <c r="AH221" i="11"/>
  <c r="AH903" i="11"/>
  <c r="AH779" i="11"/>
  <c r="AH201" i="11"/>
  <c r="AH190" i="11"/>
  <c r="AH191" i="11"/>
  <c r="AH436" i="11"/>
  <c r="AH442" i="11"/>
  <c r="AH457" i="11"/>
  <c r="AH787" i="11"/>
  <c r="AH55" i="11"/>
  <c r="AH407" i="11"/>
  <c r="AH859" i="11"/>
  <c r="AH123" i="11"/>
  <c r="AH830" i="11"/>
  <c r="AH846" i="11"/>
  <c r="AH482" i="11"/>
  <c r="AH106" i="11"/>
  <c r="AH917" i="11"/>
  <c r="AH250" i="11"/>
  <c r="AH336" i="11"/>
  <c r="AH730" i="11"/>
  <c r="AH281" i="11"/>
  <c r="AH878" i="11"/>
  <c r="AH761" i="11"/>
  <c r="AH380" i="11"/>
  <c r="AH548" i="11"/>
  <c r="AH772" i="11"/>
  <c r="AH908" i="11"/>
  <c r="AH118" i="11"/>
  <c r="AH363" i="11"/>
  <c r="AH544" i="11"/>
  <c r="AH130" i="11"/>
  <c r="AH209" i="11"/>
  <c r="AH574" i="11"/>
  <c r="AH614" i="11"/>
  <c r="AH396" i="11"/>
  <c r="AH705" i="11"/>
  <c r="AH494" i="11"/>
  <c r="AH344" i="11"/>
  <c r="AH83" i="11"/>
  <c r="AH113" i="11"/>
  <c r="AH346" i="11"/>
  <c r="AH696" i="11"/>
  <c r="AH58" i="11"/>
  <c r="AH252" i="11"/>
  <c r="AH276" i="11"/>
  <c r="AH821" i="11"/>
  <c r="AH751" i="11"/>
  <c r="AH72" i="11"/>
  <c r="AH300" i="11"/>
  <c r="AH744" i="11"/>
  <c r="AH806" i="11"/>
  <c r="AH829" i="11"/>
  <c r="AH365" i="11"/>
  <c r="AH907" i="11"/>
  <c r="AH338" i="11"/>
  <c r="AH290" i="11"/>
  <c r="AH119" i="11"/>
  <c r="AH891" i="11"/>
  <c r="AH824" i="11"/>
  <c r="AH592" i="11"/>
  <c r="AH651" i="11"/>
  <c r="AH235" i="11"/>
  <c r="AH251" i="11"/>
  <c r="AH182" i="11"/>
  <c r="AH393" i="11"/>
  <c r="AH843" i="11"/>
  <c r="AH156" i="11"/>
  <c r="AH397" i="11"/>
  <c r="AH675" i="11"/>
  <c r="AH433" i="11"/>
  <c r="AH558" i="11"/>
  <c r="AH285" i="11"/>
  <c r="AH691" i="11"/>
  <c r="AH793" i="11"/>
  <c r="AH355" i="11"/>
  <c r="AH63" i="11"/>
  <c r="AH608" i="11"/>
  <c r="AH924" i="11"/>
  <c r="AH84" i="11"/>
  <c r="AH742" i="11"/>
  <c r="AH384" i="11"/>
  <c r="AH856" i="11"/>
  <c r="AH895" i="11"/>
  <c r="AH662" i="11"/>
  <c r="AH228" i="11"/>
  <c r="AH347" i="11"/>
  <c r="AH90" i="11"/>
  <c r="AH753" i="11"/>
  <c r="AH451" i="11"/>
  <c r="AH48" i="11"/>
  <c r="AH214" i="11"/>
  <c r="AH627" i="11"/>
  <c r="AH413" i="11"/>
  <c r="AH77" i="11"/>
  <c r="AH286" i="11"/>
  <c r="AH766" i="11"/>
  <c r="AH132" i="11"/>
  <c r="AH267" i="11"/>
  <c r="AH60" i="11"/>
  <c r="AH609" i="11"/>
  <c r="AH172" i="11"/>
  <c r="AH38" i="11"/>
  <c r="AH32" i="11"/>
  <c r="AH65" i="11"/>
  <c r="AH305" i="11"/>
  <c r="AH718" i="11"/>
  <c r="AH477" i="11"/>
  <c r="AH126" i="11"/>
  <c r="AH298" i="11"/>
  <c r="AH43" i="11"/>
  <c r="AH381" i="11"/>
  <c r="AH459" i="11"/>
  <c r="AH420" i="11"/>
  <c r="AH104" i="11"/>
  <c r="AH796" i="11"/>
  <c r="AH905" i="11"/>
  <c r="AH539" i="11"/>
  <c r="AH885" i="11"/>
  <c r="AH644" i="11"/>
  <c r="AH352" i="11"/>
  <c r="AH389" i="11"/>
  <c r="AH157" i="11"/>
  <c r="AH149" i="11"/>
  <c r="AH279" i="11"/>
  <c r="AH284" i="11"/>
  <c r="AH737" i="11"/>
  <c r="AH641" i="11"/>
  <c r="AH853" i="11"/>
  <c r="AH334" i="11"/>
  <c r="AH117" i="11"/>
  <c r="AH57" i="11"/>
  <c r="AH45" i="11"/>
  <c r="AH398" i="11"/>
  <c r="AH626" i="11"/>
  <c r="AH66" i="11"/>
  <c r="AH424" i="11"/>
  <c r="AH712" i="11"/>
  <c r="AH621" i="11"/>
  <c r="AH898" i="11"/>
  <c r="AH273" i="11"/>
  <c r="AH315" i="11"/>
  <c r="AH596" i="11"/>
  <c r="AH629" i="11"/>
  <c r="AH313" i="11"/>
  <c r="AH780" i="11"/>
  <c r="AH204" i="11"/>
  <c r="AH861" i="11"/>
  <c r="AH42" i="11"/>
  <c r="AH706" i="11"/>
  <c r="AH487" i="11"/>
  <c r="AH759" i="11"/>
  <c r="AH876" i="11"/>
  <c r="AH373" i="11"/>
  <c r="AH645" i="11"/>
  <c r="AH409" i="11"/>
  <c r="AH828" i="11"/>
  <c r="AH560" i="11"/>
  <c r="AH59" i="11"/>
  <c r="AH758" i="11"/>
  <c r="AH460" i="11"/>
  <c r="AH488" i="11"/>
  <c r="AH445" i="11"/>
  <c r="AH921" i="11"/>
  <c r="AH587" i="11"/>
  <c r="AH332" i="11"/>
  <c r="AH798" i="11"/>
  <c r="AH96" i="11"/>
  <c r="AH353" i="11"/>
  <c r="AH912" i="11"/>
  <c r="AH326" i="11"/>
  <c r="AH852" i="11"/>
  <c r="AH676" i="11"/>
  <c r="AH95" i="11"/>
  <c r="AH827" i="11"/>
  <c r="AH478" i="11"/>
  <c r="AH94" i="11"/>
  <c r="AH804" i="11"/>
  <c r="AH660" i="11"/>
  <c r="AH839" i="11"/>
  <c r="AH693" i="11"/>
  <c r="AH906" i="11"/>
  <c r="AH672" i="11"/>
  <c r="AH202" i="11"/>
  <c r="AH229" i="11"/>
  <c r="AH158" i="11"/>
  <c r="AH449" i="11"/>
  <c r="AH791" i="11"/>
  <c r="AH545" i="11"/>
  <c r="AH667" i="11"/>
  <c r="AH778" i="11"/>
  <c r="AH419" i="11"/>
  <c r="AH743" i="11"/>
  <c r="AH89" i="11"/>
  <c r="AH306" i="11"/>
  <c r="AH628" i="11"/>
  <c r="AH605" i="11"/>
  <c r="AH437" i="11"/>
  <c r="AH728" i="11"/>
  <c r="AH388" i="11"/>
  <c r="AH561" i="11"/>
  <c r="AH550" i="11"/>
  <c r="AH471" i="11"/>
  <c r="AH720" i="11"/>
  <c r="AH532" i="11"/>
  <c r="AH425" i="11"/>
  <c r="AH668" i="11"/>
  <c r="AH82" i="11"/>
  <c r="AH915" i="11"/>
  <c r="AH813" i="11"/>
  <c r="AH348" i="11"/>
  <c r="AH379" i="11"/>
  <c r="AH639" i="11"/>
  <c r="AH698" i="11"/>
  <c r="AH211" i="11"/>
  <c r="AH879" i="11"/>
  <c r="AH848" i="11"/>
  <c r="AH288" i="11"/>
  <c r="AH673" i="11"/>
  <c r="AH551" i="11"/>
  <c r="AH85" i="11"/>
  <c r="AH826" i="11"/>
  <c r="AH741" i="11"/>
  <c r="AH170" i="11"/>
  <c r="AH795" i="11"/>
  <c r="AH860" i="11"/>
  <c r="AH537" i="11"/>
  <c r="AH669" i="11"/>
  <c r="AH287" i="11"/>
  <c r="AH339" i="11"/>
  <c r="AH103" i="11"/>
  <c r="AH463" i="11"/>
  <c r="AH542" i="11"/>
  <c r="AH836" i="11"/>
  <c r="AH274" i="11"/>
  <c r="AH702" i="11"/>
  <c r="AH850" i="11"/>
  <c r="AH686" i="11"/>
  <c r="AH565" i="11"/>
  <c r="AH217" i="11"/>
  <c r="AH847" i="11"/>
  <c r="AH231" i="11"/>
  <c r="AH632" i="11"/>
  <c r="AH528" i="11"/>
  <c r="AH620" i="11"/>
  <c r="AH811" i="11"/>
  <c r="AH210" i="11"/>
  <c r="AH410" i="11"/>
  <c r="AH666" i="11"/>
  <c r="AH835" i="11"/>
  <c r="AH239" i="11"/>
  <c r="AH763" i="11"/>
  <c r="AH573" i="11"/>
  <c r="AH511" i="11"/>
  <c r="AH709" i="11"/>
  <c r="AH206" i="11"/>
  <c r="AH894" i="11"/>
  <c r="AH569" i="11"/>
  <c r="AH155" i="11"/>
  <c r="AH377" i="11"/>
  <c r="AH243" i="11"/>
  <c r="AH801" i="11"/>
  <c r="AH216" i="11"/>
  <c r="AH549" i="11"/>
  <c r="AH615" i="11"/>
  <c r="AH814" i="11"/>
  <c r="AH178" i="11"/>
  <c r="AH128" i="11"/>
  <c r="AH416" i="11"/>
  <c r="AH450" i="11"/>
  <c r="AH431" i="11"/>
  <c r="AH677" i="11"/>
  <c r="AH166" i="11"/>
  <c r="AH682" i="11"/>
  <c r="AH920" i="11"/>
  <c r="AH815" i="11"/>
  <c r="AH774" i="11"/>
  <c r="AH840" i="11"/>
  <c r="AH735" i="11"/>
  <c r="AH704" i="11"/>
  <c r="AH138" i="11"/>
  <c r="AH877" i="11"/>
  <c r="AH870" i="11"/>
  <c r="AH692" i="11"/>
  <c r="AH226" i="11"/>
  <c r="AH256" i="11"/>
  <c r="AH223" i="11"/>
  <c r="AH670" i="11"/>
  <c r="AH200" i="11"/>
  <c r="AH230" i="11"/>
  <c r="AH756" i="11"/>
  <c r="AH426" i="11"/>
  <c r="AH740" i="11"/>
  <c r="AH493" i="11"/>
  <c r="AH165" i="11"/>
  <c r="AH41" i="11"/>
  <c r="AH275" i="11"/>
  <c r="AH481" i="11"/>
  <c r="AH842" i="11"/>
  <c r="AH927" i="11"/>
  <c r="AH602" i="11"/>
  <c r="AH491" i="11"/>
  <c r="AH690" i="11"/>
  <c r="AH196" i="11"/>
  <c r="AH658" i="11"/>
  <c r="AH414" i="11"/>
  <c r="AH618" i="11"/>
  <c r="AH604" i="11"/>
  <c r="AH577" i="11"/>
  <c r="AH401" i="11"/>
  <c r="AH304" i="11"/>
  <c r="AH329" i="11"/>
  <c r="AH255" i="11"/>
  <c r="AH904" i="11"/>
  <c r="AH700" i="11"/>
  <c r="AH301" i="11"/>
  <c r="AH78" i="11"/>
  <c r="AH245" i="11"/>
  <c r="AH509" i="11"/>
  <c r="AH361" i="11"/>
  <c r="AH708" i="11"/>
  <c r="AH883" i="11"/>
  <c r="AH579" i="11"/>
  <c r="AH563" i="11"/>
  <c r="AH299" i="11"/>
  <c r="AH39" i="11"/>
  <c r="AH394" i="11"/>
  <c r="AH92" i="11"/>
  <c r="AH129" i="11"/>
  <c r="AH218" i="11"/>
  <c r="AH115" i="11"/>
  <c r="AH199" i="11"/>
  <c r="AH928" i="11"/>
  <c r="AH31" i="11"/>
  <c r="AH307" i="11"/>
  <c r="AH366" i="11"/>
  <c r="AH387" i="11"/>
  <c r="AH816" i="11"/>
  <c r="AH502" i="11"/>
  <c r="AH91" i="11"/>
  <c r="AH343" i="11"/>
  <c r="AH499" i="11"/>
  <c r="AH871" i="11"/>
  <c r="AH87" i="11"/>
  <c r="AH694" i="11"/>
  <c r="AH564" i="11"/>
  <c r="AH474" i="11"/>
  <c r="AH765" i="11"/>
  <c r="AH242" i="11"/>
  <c r="AH495" i="11"/>
  <c r="AH760" i="11"/>
  <c r="AH405" i="11"/>
  <c r="AH518" i="11"/>
  <c r="AH330" i="11"/>
  <c r="AH723" i="11"/>
  <c r="AH584" i="11"/>
  <c r="AH236" i="11"/>
  <c r="AH52" i="11"/>
  <c r="AH371" i="11"/>
  <c r="AH331" i="11"/>
  <c r="AH533" i="11"/>
  <c r="AH395" i="11"/>
  <c r="AH114" i="11"/>
  <c r="AH747" i="11"/>
  <c r="AH745" i="11"/>
  <c r="AH553" i="11"/>
  <c r="AH901" i="11"/>
  <c r="AH137" i="11"/>
  <c r="AH140" i="11"/>
  <c r="AH222" i="11"/>
  <c r="AH688" i="11"/>
  <c r="AH225" i="11"/>
  <c r="AH792" i="11"/>
  <c r="AH162" i="11"/>
  <c r="AH262" i="11"/>
  <c r="AH466" i="11"/>
  <c r="AH470" i="11"/>
  <c r="AH312" i="11"/>
  <c r="AH721" i="11"/>
  <c r="AH351" i="11"/>
  <c r="AH317" i="11"/>
  <c r="AH547" i="11"/>
  <c r="AH383" i="11"/>
  <c r="AH597" i="11"/>
  <c r="AH817" i="11"/>
  <c r="AH571" i="11"/>
  <c r="AH786" i="11"/>
  <c r="AH314" i="11"/>
  <c r="AH207" i="11"/>
  <c r="AH268" i="11"/>
  <c r="AH98" i="11"/>
  <c r="AH62" i="11"/>
  <c r="AH289" i="11"/>
  <c r="AH88" i="11"/>
  <c r="AH367" i="11"/>
  <c r="AH81" i="11"/>
  <c r="AH271" i="11"/>
  <c r="AH265" i="11"/>
  <c r="AH769" i="11"/>
  <c r="AH624" i="11"/>
  <c r="AH555" i="11"/>
  <c r="AH887" i="11"/>
  <c r="AH552" i="11"/>
  <c r="AH203" i="11"/>
  <c r="AH127" i="11"/>
  <c r="AH517" i="11"/>
  <c r="AH73" i="11"/>
  <c r="AH886" i="11"/>
  <c r="AH404" i="11"/>
  <c r="AH875" i="11"/>
  <c r="AH164" i="11"/>
  <c r="AH607" i="11"/>
  <c r="AH400" i="11"/>
  <c r="AH630" i="11"/>
  <c r="AH540" i="11"/>
  <c r="AH131" i="11"/>
  <c r="AH679" i="11"/>
  <c r="AH369" i="11"/>
  <c r="AH663" i="11"/>
  <c r="AH591" i="11"/>
  <c r="AH581" i="11"/>
  <c r="AH101" i="11"/>
  <c r="AH357" i="11"/>
  <c r="AH719" i="11"/>
  <c r="AH310" i="11"/>
  <c r="AH514" i="11"/>
  <c r="AH71" i="11"/>
  <c r="AH601" i="11"/>
  <c r="AH697" i="11"/>
  <c r="AH150" i="11"/>
  <c r="AH498" i="11"/>
  <c r="AH362" i="11"/>
  <c r="AH185" i="11"/>
  <c r="AH147" i="11"/>
  <c r="AH272" i="11"/>
  <c r="AH386" i="11"/>
  <c r="AH446" i="11"/>
  <c r="AH349" i="11"/>
  <c r="AH282" i="11"/>
  <c r="AH715" i="11"/>
  <c r="AH541" i="11"/>
  <c r="AH864" i="11"/>
  <c r="AH557" i="11"/>
  <c r="AH754" i="11"/>
  <c r="AH253" i="11"/>
  <c r="AH86" i="11"/>
  <c r="AH600" i="11"/>
  <c r="AH642" i="11"/>
  <c r="AH402" i="11"/>
  <c r="AH652" i="11"/>
  <c r="AH725" i="11"/>
  <c r="AH678" i="11"/>
  <c r="AH444" i="11"/>
  <c r="AH783" i="11"/>
  <c r="AH572" i="11"/>
  <c r="AH195" i="11"/>
  <c r="AH441" i="11"/>
  <c r="AH748" i="11"/>
  <c r="AH345" i="11"/>
  <c r="AH909" i="11"/>
  <c r="AH900" i="11"/>
  <c r="AH340" i="11"/>
  <c r="AH520" i="11"/>
  <c r="AH729" i="11"/>
  <c r="AH136" i="11"/>
  <c r="AH797" i="11"/>
  <c r="AH465" i="11"/>
  <c r="AH295" i="11"/>
  <c r="AH370" i="11"/>
  <c r="AH866" i="11"/>
  <c r="AH100" i="11"/>
  <c r="AH391" i="11"/>
  <c r="AH767" i="11"/>
  <c r="AH232" i="11"/>
  <c r="AH722" i="11"/>
  <c r="AH432" i="11"/>
  <c r="AH556" i="11"/>
  <c r="AH440" i="11"/>
  <c r="AH914" i="11"/>
  <c r="AH849" i="11"/>
  <c r="AH800" i="11"/>
  <c r="AH316" i="11"/>
  <c r="AH490" i="11"/>
  <c r="AH291" i="11"/>
  <c r="AH75" i="11"/>
  <c r="AH496" i="11"/>
  <c r="AH680" i="11"/>
  <c r="AH810" i="11"/>
  <c r="AH240" i="11"/>
  <c r="AH874" i="11"/>
  <c r="AH902" i="11"/>
  <c r="AH888" i="11"/>
  <c r="AH427" i="11"/>
  <c r="AH464" i="11"/>
  <c r="AH105" i="11"/>
  <c r="AH227" i="11"/>
  <c r="AH246" i="11"/>
  <c r="AH422" i="11"/>
  <c r="AH911" i="11"/>
  <c r="AH484" i="11"/>
  <c r="AH873" i="11"/>
  <c r="AH337" i="11"/>
  <c r="AH755" i="11"/>
  <c r="AH777" i="11"/>
  <c r="AH415" i="11"/>
  <c r="AH762" i="11"/>
  <c r="AH503" i="11"/>
  <c r="AH35" i="11"/>
  <c r="AH612" i="11"/>
  <c r="AH646" i="11"/>
  <c r="AH880" i="11"/>
  <c r="AH845" i="11"/>
  <c r="AH34" i="11"/>
  <c r="AH570" i="11"/>
  <c r="AH259" i="11"/>
  <c r="AH521" i="11"/>
  <c r="AH578" i="11"/>
  <c r="AH684" i="11"/>
  <c r="AH867" i="11"/>
  <c r="AH194" i="11"/>
  <c r="AH922" i="11"/>
  <c r="AH378" i="11"/>
  <c r="AH212" i="11"/>
  <c r="AH467" i="11"/>
  <c r="AH37" i="11"/>
  <c r="AH411" i="11"/>
  <c r="AH882" i="11"/>
  <c r="AH739" i="11"/>
  <c r="AH97" i="11"/>
  <c r="AH522" i="11"/>
  <c r="AH757" i="11"/>
  <c r="AH687" i="11"/>
  <c r="AH154" i="11"/>
  <c r="AH280" i="11"/>
  <c r="AH516" i="11"/>
  <c r="AH197" i="11"/>
  <c r="AH248" i="11"/>
  <c r="AH153" i="11"/>
  <c r="AH36" i="11"/>
  <c r="AH695" i="11"/>
  <c r="AH33" i="11"/>
  <c r="AH699" i="11"/>
  <c r="AH163" i="11"/>
  <c r="AH788" i="11"/>
  <c r="B32" i="11"/>
  <c r="B33" i="11" s="1"/>
  <c r="B34" i="11" s="1"/>
  <c r="B35" i="11" s="1"/>
  <c r="B36" i="11" s="1"/>
  <c r="B37" i="11" s="1"/>
  <c r="B38" i="11" s="1"/>
  <c r="B39" i="11" s="1"/>
  <c r="B40" i="11" s="1"/>
  <c r="B41" i="11" s="1"/>
  <c r="B42" i="11" s="1"/>
  <c r="B43" i="11" s="1"/>
  <c r="B44" i="11" s="1"/>
  <c r="B45" i="11" s="1"/>
  <c r="B46" i="11" s="1"/>
  <c r="B47" i="11" s="1"/>
  <c r="B48" i="11" s="1"/>
  <c r="B49" i="11" s="1"/>
  <c r="B50" i="11" s="1"/>
  <c r="B51" i="11" s="1"/>
  <c r="B52" i="11" s="1"/>
  <c r="B53" i="11" s="1"/>
  <c r="B54" i="11" s="1"/>
  <c r="B55" i="11" s="1"/>
  <c r="B56" i="11" s="1"/>
  <c r="B57" i="11" s="1"/>
  <c r="B58" i="11" s="1"/>
  <c r="B59" i="11" s="1"/>
  <c r="B60" i="11" s="1"/>
  <c r="B61" i="11" s="1"/>
  <c r="B62" i="11" s="1"/>
  <c r="B63" i="11" s="1"/>
  <c r="B64" i="11" s="1"/>
  <c r="B65" i="11" s="1"/>
  <c r="B66" i="11" s="1"/>
  <c r="B67" i="11" s="1"/>
  <c r="B68" i="11" s="1"/>
  <c r="B69" i="11" s="1"/>
  <c r="B70" i="11" s="1"/>
  <c r="B71" i="11" s="1"/>
  <c r="B72" i="11" s="1"/>
  <c r="B73" i="11" s="1"/>
  <c r="B74" i="11" s="1"/>
  <c r="B75" i="11" s="1"/>
  <c r="B76" i="11" s="1"/>
  <c r="B77" i="11" s="1"/>
  <c r="B78" i="11" s="1"/>
  <c r="B79" i="11" s="1"/>
  <c r="B80" i="11" s="1"/>
  <c r="B81" i="11" s="1"/>
  <c r="B82" i="11" s="1"/>
  <c r="B83" i="11" s="1"/>
  <c r="B84" i="11" s="1"/>
  <c r="B85" i="11" s="1"/>
  <c r="B86" i="11" s="1"/>
  <c r="B87" i="11" s="1"/>
  <c r="B88" i="11" s="1"/>
  <c r="B89" i="11" s="1"/>
  <c r="B90" i="11" s="1"/>
  <c r="B91" i="11" s="1"/>
  <c r="B92" i="11" s="1"/>
  <c r="B93" i="11" s="1"/>
  <c r="B94" i="11" s="1"/>
  <c r="B95" i="11" s="1"/>
  <c r="B96" i="11" s="1"/>
  <c r="B97" i="11" s="1"/>
  <c r="B98" i="11" s="1"/>
  <c r="B99" i="11" s="1"/>
  <c r="B100" i="11" s="1"/>
  <c r="B101" i="11" s="1"/>
  <c r="B102" i="11" s="1"/>
  <c r="B103" i="11" s="1"/>
  <c r="B104" i="11" s="1"/>
  <c r="B105" i="11" s="1"/>
  <c r="B106" i="11" s="1"/>
  <c r="B107" i="11" s="1"/>
  <c r="B108" i="11" s="1"/>
  <c r="B109" i="11" s="1"/>
  <c r="B110" i="11" s="1"/>
  <c r="B111" i="11" s="1"/>
  <c r="B112" i="11" s="1"/>
  <c r="B113" i="11" s="1"/>
  <c r="B114" i="11" s="1"/>
  <c r="B115" i="11" s="1"/>
  <c r="B116" i="11" s="1"/>
  <c r="B117" i="11" s="1"/>
  <c r="B118" i="11" s="1"/>
  <c r="B119" i="11" s="1"/>
  <c r="B120" i="11" s="1"/>
  <c r="B121" i="11" s="1"/>
  <c r="B122" i="11" s="1"/>
  <c r="B123" i="11" s="1"/>
  <c r="B124" i="11" s="1"/>
  <c r="B125" i="11" s="1"/>
  <c r="B126" i="11" s="1"/>
  <c r="B127" i="11" s="1"/>
  <c r="B128" i="11" s="1"/>
  <c r="B129" i="11" s="1"/>
  <c r="B130" i="11" s="1"/>
  <c r="B131" i="11" s="1"/>
  <c r="B132" i="11" s="1"/>
  <c r="B133" i="11" s="1"/>
  <c r="B134" i="11" s="1"/>
  <c r="B135" i="11" s="1"/>
  <c r="B136" i="11" s="1"/>
  <c r="B137" i="11" s="1"/>
  <c r="B138" i="11" s="1"/>
  <c r="B139" i="11" s="1"/>
  <c r="B140" i="11" s="1"/>
  <c r="B141" i="11" s="1"/>
  <c r="B142" i="11" s="1"/>
  <c r="B143" i="11" s="1"/>
  <c r="B144" i="11" s="1"/>
  <c r="B145" i="11" s="1"/>
  <c r="B146" i="11" s="1"/>
  <c r="B147" i="11" s="1"/>
  <c r="B148" i="11" s="1"/>
  <c r="B149" i="11" s="1"/>
  <c r="B150" i="11" s="1"/>
  <c r="B151" i="11" s="1"/>
  <c r="B152" i="11" s="1"/>
  <c r="B153" i="11" s="1"/>
  <c r="B154" i="11" s="1"/>
  <c r="B155" i="11" s="1"/>
  <c r="B156" i="11" s="1"/>
  <c r="B157" i="11" s="1"/>
  <c r="B158" i="11" s="1"/>
  <c r="B159" i="11" s="1"/>
  <c r="B160" i="11" s="1"/>
  <c r="B161" i="11" s="1"/>
  <c r="B162" i="11" s="1"/>
  <c r="B163" i="11" s="1"/>
  <c r="B164" i="11" s="1"/>
  <c r="B165" i="11" s="1"/>
  <c r="B166" i="11" s="1"/>
  <c r="B167" i="11" s="1"/>
  <c r="B168" i="11" s="1"/>
  <c r="B169" i="11" s="1"/>
  <c r="B170" i="11" s="1"/>
  <c r="B171" i="11" s="1"/>
  <c r="B172" i="11" s="1"/>
  <c r="B173" i="11" s="1"/>
  <c r="B174" i="11" s="1"/>
  <c r="B175" i="11" s="1"/>
  <c r="B176" i="11" s="1"/>
  <c r="B177" i="11" s="1"/>
  <c r="B178" i="11" s="1"/>
  <c r="B179" i="11" s="1"/>
  <c r="B180" i="11" s="1"/>
  <c r="B181" i="11" s="1"/>
  <c r="B182" i="11" s="1"/>
  <c r="B183" i="11" s="1"/>
  <c r="B184" i="11" s="1"/>
  <c r="B185" i="11" s="1"/>
  <c r="B186" i="11" s="1"/>
  <c r="B187" i="11" s="1"/>
  <c r="B188" i="11" s="1"/>
  <c r="B189" i="11" s="1"/>
  <c r="B190" i="11" s="1"/>
  <c r="B191" i="11" s="1"/>
  <c r="B192" i="11" s="1"/>
  <c r="B193" i="11" s="1"/>
  <c r="B194" i="11" s="1"/>
  <c r="B195" i="11" s="1"/>
  <c r="B196" i="11" s="1"/>
  <c r="B197" i="11" s="1"/>
  <c r="B198" i="11" s="1"/>
  <c r="B199" i="11" s="1"/>
  <c r="B200" i="11" s="1"/>
  <c r="B201" i="11" s="1"/>
  <c r="B202" i="11" s="1"/>
  <c r="B203" i="11" s="1"/>
  <c r="B204" i="11" s="1"/>
  <c r="B205" i="11" s="1"/>
  <c r="B206" i="11" s="1"/>
  <c r="B207" i="11" s="1"/>
  <c r="B208" i="11" s="1"/>
  <c r="B209" i="11" s="1"/>
  <c r="B210" i="11" s="1"/>
  <c r="B211" i="11" s="1"/>
  <c r="B212" i="11" s="1"/>
  <c r="B213" i="11" s="1"/>
  <c r="B214" i="11" s="1"/>
  <c r="B215" i="11" s="1"/>
  <c r="B216" i="11" s="1"/>
  <c r="B217" i="11" s="1"/>
  <c r="B218" i="11" s="1"/>
  <c r="B219" i="11" s="1"/>
  <c r="B220" i="11" s="1"/>
  <c r="B221" i="11" s="1"/>
  <c r="B222" i="11" s="1"/>
  <c r="B223" i="11" s="1"/>
  <c r="B224" i="11" s="1"/>
  <c r="B225" i="11" s="1"/>
  <c r="B226" i="11" s="1"/>
  <c r="B227" i="11" s="1"/>
  <c r="B228" i="11" s="1"/>
  <c r="B229" i="11" s="1"/>
  <c r="B230" i="11" s="1"/>
  <c r="B231" i="11" s="1"/>
  <c r="B232" i="11" s="1"/>
  <c r="B233" i="11" s="1"/>
  <c r="B234" i="11" s="1"/>
  <c r="B235" i="11" s="1"/>
  <c r="B236" i="11" s="1"/>
  <c r="B237" i="11" s="1"/>
  <c r="B238" i="11" s="1"/>
  <c r="B239" i="11" s="1"/>
  <c r="B240" i="11" s="1"/>
  <c r="B241" i="11" s="1"/>
  <c r="B242" i="11" s="1"/>
  <c r="B243" i="11" s="1"/>
  <c r="B244" i="11" s="1"/>
  <c r="B245" i="11" s="1"/>
  <c r="B246" i="11" s="1"/>
  <c r="B247" i="11" s="1"/>
  <c r="B248" i="11" s="1"/>
  <c r="B249" i="11" s="1"/>
  <c r="B250" i="11" s="1"/>
  <c r="B251" i="11" s="1"/>
  <c r="B252" i="11" s="1"/>
  <c r="B253" i="11" s="1"/>
  <c r="B254" i="11" s="1"/>
  <c r="B255" i="11" s="1"/>
  <c r="B256" i="11" s="1"/>
  <c r="B257" i="11" s="1"/>
  <c r="B258" i="11" s="1"/>
  <c r="B259" i="11" s="1"/>
  <c r="B260" i="11" s="1"/>
  <c r="B261" i="11" s="1"/>
  <c r="B262" i="11" s="1"/>
  <c r="B263" i="11" s="1"/>
  <c r="B264" i="11" s="1"/>
  <c r="B265" i="11" s="1"/>
  <c r="B266" i="11" s="1"/>
  <c r="B267" i="11" s="1"/>
  <c r="B268" i="11" s="1"/>
  <c r="B269" i="11" s="1"/>
  <c r="B270" i="11" s="1"/>
  <c r="B271" i="11" s="1"/>
  <c r="B272" i="11" s="1"/>
  <c r="B273" i="11" s="1"/>
  <c r="B274" i="11" s="1"/>
  <c r="B275" i="11" s="1"/>
  <c r="B276" i="11" s="1"/>
  <c r="B277" i="11" s="1"/>
  <c r="B278" i="11" s="1"/>
  <c r="B279" i="11" s="1"/>
  <c r="B280" i="11" s="1"/>
  <c r="B281" i="11" s="1"/>
  <c r="B282" i="11" s="1"/>
  <c r="B283" i="11" s="1"/>
  <c r="B284" i="11" s="1"/>
  <c r="B285" i="11" s="1"/>
  <c r="B286" i="11" s="1"/>
  <c r="B287" i="11" s="1"/>
  <c r="B288" i="11" s="1"/>
  <c r="B289" i="11" s="1"/>
  <c r="B290" i="11" s="1"/>
  <c r="B291" i="11" s="1"/>
  <c r="B292" i="11" s="1"/>
  <c r="B293" i="11" s="1"/>
  <c r="B294" i="11" s="1"/>
  <c r="B295" i="11" s="1"/>
  <c r="B296" i="11" s="1"/>
  <c r="B297" i="11" s="1"/>
  <c r="B298" i="11" s="1"/>
  <c r="B299" i="11" s="1"/>
  <c r="B300" i="11" s="1"/>
  <c r="B301" i="11" s="1"/>
  <c r="B302" i="11" s="1"/>
  <c r="B303" i="11" s="1"/>
  <c r="B304" i="11" s="1"/>
  <c r="B305" i="11" s="1"/>
  <c r="B306" i="11" s="1"/>
  <c r="B307" i="11" s="1"/>
  <c r="B308" i="11" s="1"/>
  <c r="B309" i="11" s="1"/>
  <c r="B310" i="11" s="1"/>
  <c r="B311" i="11" s="1"/>
  <c r="B312" i="11" s="1"/>
  <c r="B313" i="11" s="1"/>
  <c r="B314" i="11" s="1"/>
  <c r="B315" i="11" s="1"/>
  <c r="B316" i="11" s="1"/>
  <c r="B317" i="11" s="1"/>
  <c r="B318" i="11" s="1"/>
  <c r="B319" i="11" s="1"/>
  <c r="B320" i="11" s="1"/>
  <c r="B321" i="11" s="1"/>
  <c r="B322" i="11" s="1"/>
  <c r="B323" i="11" s="1"/>
  <c r="B324" i="11" s="1"/>
  <c r="B325" i="11" s="1"/>
  <c r="B326" i="11" s="1"/>
  <c r="B327" i="11" s="1"/>
  <c r="B328" i="11" s="1"/>
  <c r="B329" i="11" s="1"/>
  <c r="B330" i="11" s="1"/>
  <c r="B331" i="11" s="1"/>
  <c r="B332" i="11" s="1"/>
  <c r="B333" i="11" s="1"/>
  <c r="B334" i="11" s="1"/>
  <c r="B335" i="11" s="1"/>
  <c r="B336" i="11" s="1"/>
  <c r="B337" i="11" s="1"/>
  <c r="B338" i="11" s="1"/>
  <c r="B339" i="11" s="1"/>
  <c r="B340" i="11" s="1"/>
  <c r="B341" i="11" s="1"/>
  <c r="B342" i="11" s="1"/>
  <c r="B343" i="11" s="1"/>
  <c r="B344" i="11" s="1"/>
  <c r="B345" i="11" s="1"/>
  <c r="B346" i="11" s="1"/>
  <c r="B347" i="11" s="1"/>
  <c r="B348" i="11" s="1"/>
  <c r="B349" i="11" s="1"/>
  <c r="B350" i="11" s="1"/>
  <c r="B351" i="11" s="1"/>
  <c r="B352" i="11" s="1"/>
  <c r="B353" i="11" s="1"/>
  <c r="B354" i="11" s="1"/>
  <c r="B355" i="11" s="1"/>
  <c r="B356" i="11" s="1"/>
  <c r="B357" i="11" s="1"/>
  <c r="B358" i="11" s="1"/>
  <c r="B359" i="11" s="1"/>
  <c r="B360" i="11" s="1"/>
  <c r="B361" i="11" s="1"/>
  <c r="B362" i="11" s="1"/>
  <c r="B363" i="11" s="1"/>
  <c r="B364" i="11" s="1"/>
  <c r="B365" i="11" s="1"/>
  <c r="B366" i="11" s="1"/>
  <c r="B367" i="11" s="1"/>
  <c r="B368" i="11" s="1"/>
  <c r="B369" i="11" s="1"/>
  <c r="B370" i="11" s="1"/>
  <c r="B371" i="11" s="1"/>
  <c r="B372" i="11" s="1"/>
  <c r="B373" i="11" s="1"/>
  <c r="B374" i="11" s="1"/>
  <c r="B375" i="11" s="1"/>
  <c r="B376" i="11" s="1"/>
  <c r="B377" i="11" s="1"/>
  <c r="B378" i="11" s="1"/>
  <c r="B379" i="11" s="1"/>
  <c r="B380" i="11" s="1"/>
  <c r="B381" i="11" s="1"/>
  <c r="B382" i="11" s="1"/>
  <c r="B383" i="11" s="1"/>
  <c r="B384" i="11" s="1"/>
  <c r="B385" i="11" s="1"/>
  <c r="B386" i="11" s="1"/>
  <c r="B387" i="11" s="1"/>
  <c r="B388" i="11" s="1"/>
  <c r="B389" i="11" s="1"/>
  <c r="B390" i="11" s="1"/>
  <c r="B391" i="11" s="1"/>
  <c r="B392" i="11" s="1"/>
  <c r="B393" i="11" s="1"/>
  <c r="B394" i="11" s="1"/>
  <c r="B395" i="11" s="1"/>
  <c r="B396" i="11" s="1"/>
  <c r="B397" i="11" s="1"/>
  <c r="B398" i="11" s="1"/>
  <c r="B399" i="11" s="1"/>
  <c r="B400" i="11" s="1"/>
  <c r="B401" i="11" s="1"/>
  <c r="B402" i="11" s="1"/>
  <c r="B403" i="11" s="1"/>
  <c r="B404" i="11" s="1"/>
  <c r="B405" i="11" s="1"/>
  <c r="B406" i="11" s="1"/>
  <c r="B407" i="11" s="1"/>
  <c r="B408" i="11" s="1"/>
  <c r="B409" i="11" s="1"/>
  <c r="B410" i="11" s="1"/>
  <c r="B411" i="11" s="1"/>
  <c r="B412" i="11" s="1"/>
  <c r="B413" i="11" s="1"/>
  <c r="B414" i="11" s="1"/>
  <c r="B415" i="11" s="1"/>
  <c r="B416" i="11" s="1"/>
  <c r="B417" i="11" s="1"/>
  <c r="B418" i="11" s="1"/>
  <c r="B419" i="11" s="1"/>
  <c r="B420" i="11" s="1"/>
  <c r="B421" i="11" s="1"/>
  <c r="B422" i="11" s="1"/>
  <c r="B423" i="11" s="1"/>
  <c r="B424" i="11" s="1"/>
  <c r="B425" i="11" s="1"/>
  <c r="B426" i="11" s="1"/>
  <c r="B427" i="11" s="1"/>
  <c r="B428" i="11" s="1"/>
  <c r="B429" i="11" s="1"/>
  <c r="B430" i="11" s="1"/>
  <c r="B431" i="11" s="1"/>
  <c r="B432" i="11" s="1"/>
  <c r="B433" i="11" s="1"/>
  <c r="B434" i="11" s="1"/>
  <c r="B435" i="11" s="1"/>
  <c r="B436" i="11" s="1"/>
  <c r="B437" i="11" s="1"/>
  <c r="B438" i="11" s="1"/>
  <c r="B439" i="11" s="1"/>
  <c r="B440" i="11" s="1"/>
  <c r="B441" i="11" s="1"/>
  <c r="B442" i="11" s="1"/>
  <c r="B443" i="11" s="1"/>
  <c r="B444" i="11" s="1"/>
  <c r="B445" i="11" s="1"/>
  <c r="B446" i="11" s="1"/>
  <c r="B447" i="11" s="1"/>
  <c r="B448" i="11" s="1"/>
  <c r="B449" i="11" s="1"/>
  <c r="B450" i="11" s="1"/>
  <c r="B451" i="11" s="1"/>
  <c r="B452" i="11" s="1"/>
  <c r="B453" i="11" s="1"/>
  <c r="B454" i="11" s="1"/>
  <c r="B455" i="11" s="1"/>
  <c r="B456" i="11" s="1"/>
  <c r="B457" i="11" s="1"/>
  <c r="B458" i="11" s="1"/>
  <c r="B459" i="11" s="1"/>
  <c r="B460" i="11" s="1"/>
  <c r="B461" i="11" s="1"/>
  <c r="B462" i="11" s="1"/>
  <c r="B463" i="11" s="1"/>
  <c r="B464" i="11" s="1"/>
  <c r="B465" i="11" s="1"/>
  <c r="B466" i="11" s="1"/>
  <c r="B467" i="11" s="1"/>
  <c r="B468" i="11" s="1"/>
  <c r="B469" i="11" s="1"/>
  <c r="B470" i="11" s="1"/>
  <c r="B471" i="11" s="1"/>
  <c r="B472" i="11" s="1"/>
  <c r="B473" i="11" s="1"/>
  <c r="B474" i="11" s="1"/>
  <c r="B475" i="11" s="1"/>
  <c r="B476" i="11" s="1"/>
  <c r="B477" i="11" s="1"/>
  <c r="B478" i="11" s="1"/>
  <c r="B479" i="11" s="1"/>
  <c r="B480" i="11" s="1"/>
  <c r="B481" i="11" s="1"/>
  <c r="B482" i="11" s="1"/>
  <c r="B483" i="11" s="1"/>
  <c r="B484" i="11" s="1"/>
  <c r="B485" i="11" s="1"/>
  <c r="B486" i="11" s="1"/>
  <c r="B487" i="11" s="1"/>
  <c r="B488" i="11" s="1"/>
  <c r="B489" i="11" s="1"/>
  <c r="B490" i="11" s="1"/>
  <c r="B491" i="11" s="1"/>
  <c r="B492" i="11" s="1"/>
  <c r="B493" i="11" s="1"/>
  <c r="B494" i="11" s="1"/>
  <c r="B495" i="11" s="1"/>
  <c r="B496" i="11" s="1"/>
  <c r="B497" i="11" s="1"/>
  <c r="B498" i="11" s="1"/>
  <c r="B499" i="11" s="1"/>
  <c r="B500" i="11" s="1"/>
  <c r="B501" i="11" s="1"/>
  <c r="B502" i="11" s="1"/>
  <c r="B503" i="11" s="1"/>
  <c r="B504" i="11" s="1"/>
  <c r="B505" i="11" s="1"/>
  <c r="B506" i="11" s="1"/>
  <c r="B507" i="11" s="1"/>
  <c r="B508" i="11" s="1"/>
  <c r="B509" i="11" s="1"/>
  <c r="B510" i="11" s="1"/>
  <c r="B511" i="11" s="1"/>
  <c r="B512" i="11" s="1"/>
  <c r="B513" i="11" s="1"/>
  <c r="B514" i="11" s="1"/>
  <c r="B515" i="11" s="1"/>
  <c r="B516" i="11" s="1"/>
  <c r="B517" i="11" s="1"/>
  <c r="B518" i="11" s="1"/>
  <c r="B519" i="11" s="1"/>
  <c r="B520" i="11" s="1"/>
  <c r="B521" i="11" s="1"/>
  <c r="B522" i="11" s="1"/>
  <c r="B523" i="11" s="1"/>
  <c r="B524" i="11" s="1"/>
  <c r="B525" i="11" s="1"/>
  <c r="B526" i="11" s="1"/>
  <c r="B527" i="11" s="1"/>
  <c r="B528" i="11" s="1"/>
  <c r="B529" i="11" s="1"/>
  <c r="B530" i="11" s="1"/>
  <c r="B531" i="11" s="1"/>
  <c r="B532" i="11" s="1"/>
  <c r="B533" i="11" s="1"/>
  <c r="B534" i="11" s="1"/>
  <c r="B535" i="11" s="1"/>
  <c r="B536" i="11" s="1"/>
  <c r="B537" i="11" s="1"/>
  <c r="B538" i="11" s="1"/>
  <c r="B539" i="11" s="1"/>
  <c r="B540" i="11" s="1"/>
  <c r="B541" i="11" s="1"/>
  <c r="B542" i="11" s="1"/>
  <c r="B543" i="11" s="1"/>
  <c r="B544" i="11" s="1"/>
  <c r="B545" i="11" s="1"/>
  <c r="B546" i="11" s="1"/>
  <c r="B547" i="11" s="1"/>
  <c r="B548" i="11" s="1"/>
  <c r="B549" i="11" s="1"/>
  <c r="B550" i="11" s="1"/>
  <c r="B551" i="11" s="1"/>
  <c r="B552" i="11" s="1"/>
  <c r="B553" i="11" s="1"/>
  <c r="B554" i="11" s="1"/>
  <c r="B555" i="11" s="1"/>
  <c r="B556" i="11" s="1"/>
  <c r="B557" i="11" s="1"/>
  <c r="B558" i="11" s="1"/>
  <c r="B559" i="11" s="1"/>
  <c r="B560" i="11" s="1"/>
  <c r="B561" i="11" s="1"/>
  <c r="B562" i="11" s="1"/>
  <c r="B563" i="11" s="1"/>
  <c r="B564" i="11" s="1"/>
  <c r="B565" i="11" s="1"/>
  <c r="B566" i="11" s="1"/>
  <c r="B567" i="11" s="1"/>
  <c r="B568" i="11" s="1"/>
  <c r="B569" i="11" s="1"/>
  <c r="B570" i="11" s="1"/>
  <c r="B571" i="11" s="1"/>
  <c r="B572" i="11" s="1"/>
  <c r="B573" i="11" s="1"/>
  <c r="B574" i="11" s="1"/>
  <c r="B575" i="11" s="1"/>
  <c r="B576" i="11" s="1"/>
  <c r="B577" i="11" s="1"/>
  <c r="B578" i="11" s="1"/>
  <c r="B579" i="11" s="1"/>
  <c r="B580" i="11" s="1"/>
  <c r="B581" i="11" s="1"/>
  <c r="B582" i="11" s="1"/>
  <c r="B583" i="11" s="1"/>
  <c r="B584" i="11" s="1"/>
  <c r="B585" i="11" s="1"/>
  <c r="B586" i="11" s="1"/>
  <c r="B587" i="11" s="1"/>
  <c r="B588" i="11" s="1"/>
  <c r="B589" i="11" s="1"/>
  <c r="B590" i="11" s="1"/>
  <c r="B591" i="11" s="1"/>
  <c r="B592" i="11" s="1"/>
  <c r="B593" i="11" s="1"/>
  <c r="B594" i="11" s="1"/>
  <c r="B595" i="11" s="1"/>
  <c r="B596" i="11" s="1"/>
  <c r="B597" i="11" s="1"/>
  <c r="B598" i="11" s="1"/>
  <c r="B599" i="11" s="1"/>
  <c r="B600" i="11" s="1"/>
  <c r="B601" i="11" s="1"/>
  <c r="B602" i="11" s="1"/>
  <c r="B603" i="11" s="1"/>
  <c r="B604" i="11" s="1"/>
  <c r="B605" i="11" s="1"/>
  <c r="B606" i="11" s="1"/>
  <c r="B607" i="11" s="1"/>
  <c r="B608" i="11" s="1"/>
  <c r="B609" i="11" s="1"/>
  <c r="B610" i="11" s="1"/>
  <c r="B611" i="11" s="1"/>
  <c r="B612" i="11" s="1"/>
  <c r="B613" i="11" s="1"/>
  <c r="B614" i="11" s="1"/>
  <c r="B615" i="11" s="1"/>
  <c r="B616" i="11" s="1"/>
  <c r="B617" i="11" s="1"/>
  <c r="B618" i="11" s="1"/>
  <c r="B619" i="11" s="1"/>
  <c r="B620" i="11" s="1"/>
  <c r="B621" i="11" s="1"/>
  <c r="B622" i="11" s="1"/>
  <c r="B623" i="11" s="1"/>
  <c r="B624" i="11" s="1"/>
  <c r="B625" i="11" s="1"/>
  <c r="B626" i="11" s="1"/>
  <c r="B627" i="11" s="1"/>
  <c r="B628" i="11" s="1"/>
  <c r="B629" i="11" s="1"/>
  <c r="B630" i="11" s="1"/>
  <c r="B631" i="11" s="1"/>
  <c r="B632" i="11" s="1"/>
  <c r="B633" i="11" s="1"/>
  <c r="B634" i="11" s="1"/>
  <c r="B635" i="11" s="1"/>
  <c r="B636" i="11" s="1"/>
  <c r="B637" i="11" s="1"/>
  <c r="B638" i="11" s="1"/>
  <c r="B639" i="11" s="1"/>
  <c r="B640" i="11" s="1"/>
  <c r="B641" i="11" s="1"/>
  <c r="B642" i="11" s="1"/>
  <c r="B643" i="11" s="1"/>
  <c r="B644" i="11" s="1"/>
  <c r="B645" i="11" s="1"/>
  <c r="B646" i="11" s="1"/>
  <c r="B647" i="11" s="1"/>
  <c r="B648" i="11" s="1"/>
  <c r="B649" i="11" s="1"/>
  <c r="B650" i="11" s="1"/>
  <c r="B651" i="11" s="1"/>
  <c r="B652" i="11" s="1"/>
  <c r="B653" i="11" s="1"/>
  <c r="B654" i="11" s="1"/>
  <c r="B655" i="11" s="1"/>
  <c r="B656" i="11" s="1"/>
  <c r="B657" i="11" s="1"/>
  <c r="B658" i="11" s="1"/>
  <c r="B659" i="11" s="1"/>
  <c r="B660" i="11" s="1"/>
  <c r="B661" i="11" s="1"/>
  <c r="B662" i="11" s="1"/>
  <c r="B663" i="11" s="1"/>
  <c r="B664" i="11" s="1"/>
  <c r="B665" i="11" s="1"/>
  <c r="B666" i="11" s="1"/>
  <c r="B667" i="11" s="1"/>
  <c r="B668" i="11" s="1"/>
  <c r="B669" i="11" s="1"/>
  <c r="B670" i="11" s="1"/>
  <c r="B671" i="11" s="1"/>
  <c r="B672" i="11" s="1"/>
  <c r="B673" i="11" s="1"/>
  <c r="B674" i="11" s="1"/>
  <c r="B675" i="11" s="1"/>
  <c r="B676" i="11" s="1"/>
  <c r="B677" i="11" s="1"/>
  <c r="B678" i="11" s="1"/>
  <c r="B679" i="11" s="1"/>
  <c r="B680" i="11" s="1"/>
  <c r="B681" i="11" s="1"/>
  <c r="B682" i="11" s="1"/>
  <c r="B683" i="11" s="1"/>
  <c r="B684" i="11" s="1"/>
  <c r="B685" i="11" s="1"/>
  <c r="B686" i="11" s="1"/>
  <c r="B687" i="11" s="1"/>
  <c r="B688" i="11" s="1"/>
  <c r="B689" i="11" s="1"/>
  <c r="B690" i="11" s="1"/>
  <c r="B691" i="11" s="1"/>
  <c r="B692" i="11" s="1"/>
  <c r="B693" i="11" s="1"/>
  <c r="B694" i="11" s="1"/>
  <c r="B695" i="11" s="1"/>
  <c r="B696" i="11" s="1"/>
  <c r="B697" i="11" s="1"/>
  <c r="B698" i="11" s="1"/>
  <c r="B699" i="11" s="1"/>
  <c r="B700" i="11" s="1"/>
  <c r="B701" i="11" s="1"/>
  <c r="B702" i="11" s="1"/>
  <c r="B703" i="11" s="1"/>
  <c r="B704" i="11" s="1"/>
  <c r="B705" i="11" s="1"/>
  <c r="B706" i="11" s="1"/>
  <c r="B707" i="11" s="1"/>
  <c r="B708" i="11" s="1"/>
  <c r="B709" i="11" s="1"/>
  <c r="B710" i="11" s="1"/>
  <c r="B711" i="11" s="1"/>
  <c r="B712" i="11" s="1"/>
  <c r="B713" i="11" s="1"/>
  <c r="B714" i="11" s="1"/>
  <c r="B715" i="11" s="1"/>
  <c r="B716" i="11" s="1"/>
  <c r="B717" i="11" s="1"/>
  <c r="B718" i="11" s="1"/>
  <c r="B719" i="11" s="1"/>
  <c r="B720" i="11" s="1"/>
  <c r="B721" i="11" s="1"/>
  <c r="B722" i="11" s="1"/>
  <c r="B723" i="11" s="1"/>
  <c r="B724" i="11" s="1"/>
  <c r="B725" i="11" s="1"/>
  <c r="B726" i="11" s="1"/>
  <c r="B727" i="11" s="1"/>
  <c r="B728" i="11" s="1"/>
  <c r="B729" i="11" s="1"/>
  <c r="B730" i="11" s="1"/>
  <c r="B731" i="11" s="1"/>
  <c r="B732" i="11" s="1"/>
  <c r="B733" i="11" s="1"/>
  <c r="B734" i="11" s="1"/>
  <c r="B735" i="11" s="1"/>
  <c r="B736" i="11" s="1"/>
  <c r="B737" i="11" s="1"/>
  <c r="B738" i="11" s="1"/>
  <c r="B739" i="11" s="1"/>
  <c r="B740" i="11" s="1"/>
  <c r="B741" i="11" s="1"/>
  <c r="B742" i="11" s="1"/>
  <c r="B743" i="11" s="1"/>
  <c r="B744" i="11" s="1"/>
  <c r="B745" i="11" s="1"/>
  <c r="B746" i="11" s="1"/>
  <c r="B747" i="11" s="1"/>
  <c r="B748" i="11" s="1"/>
  <c r="B749" i="11" s="1"/>
  <c r="B750" i="11" s="1"/>
  <c r="B751" i="11" s="1"/>
  <c r="B752" i="11" s="1"/>
  <c r="B753" i="11" s="1"/>
  <c r="B754" i="11" s="1"/>
  <c r="B755" i="11" s="1"/>
  <c r="B756" i="11" s="1"/>
  <c r="B757" i="11" s="1"/>
  <c r="B758" i="11" s="1"/>
  <c r="B759" i="11" s="1"/>
  <c r="B760" i="11" s="1"/>
  <c r="B761" i="11" s="1"/>
  <c r="B762" i="11" s="1"/>
  <c r="B763" i="11" s="1"/>
  <c r="B764" i="11" s="1"/>
  <c r="B765" i="11" s="1"/>
  <c r="B766" i="11" s="1"/>
  <c r="B767" i="11" s="1"/>
  <c r="B768" i="11" s="1"/>
  <c r="B769" i="11" s="1"/>
  <c r="B770" i="11" s="1"/>
  <c r="B771" i="11" s="1"/>
  <c r="B772" i="11" s="1"/>
  <c r="B773" i="11" s="1"/>
  <c r="B774" i="11" s="1"/>
  <c r="B775" i="11" s="1"/>
  <c r="B776" i="11" s="1"/>
  <c r="B777" i="11" s="1"/>
  <c r="B778" i="11" s="1"/>
  <c r="B779" i="11" s="1"/>
  <c r="B780" i="11" s="1"/>
  <c r="B781" i="11" s="1"/>
  <c r="B782" i="11" s="1"/>
  <c r="B783" i="11" s="1"/>
  <c r="B784" i="11" s="1"/>
  <c r="B785" i="11" s="1"/>
  <c r="B786" i="11" s="1"/>
  <c r="B787" i="11" s="1"/>
  <c r="B788" i="11" s="1"/>
  <c r="B789" i="11" s="1"/>
  <c r="B790" i="11" s="1"/>
  <c r="B791" i="11" s="1"/>
  <c r="B792" i="11" s="1"/>
  <c r="B793" i="11" s="1"/>
  <c r="B794" i="11" s="1"/>
  <c r="B795" i="11" s="1"/>
  <c r="B796" i="11" s="1"/>
  <c r="B797" i="11" s="1"/>
  <c r="B798" i="11" s="1"/>
  <c r="B799" i="11" s="1"/>
  <c r="B800" i="11" s="1"/>
  <c r="B801" i="11" s="1"/>
  <c r="B802" i="11" s="1"/>
  <c r="B803" i="11" s="1"/>
  <c r="B804" i="11" s="1"/>
  <c r="B805" i="11" s="1"/>
  <c r="B806" i="11" s="1"/>
  <c r="B807" i="11" s="1"/>
  <c r="B808" i="11" s="1"/>
  <c r="B809" i="11" s="1"/>
  <c r="B810" i="11" s="1"/>
  <c r="B811" i="11" s="1"/>
  <c r="B812" i="11" s="1"/>
  <c r="B813" i="11" s="1"/>
  <c r="B814" i="11" s="1"/>
  <c r="B815" i="11" s="1"/>
  <c r="B816" i="11" s="1"/>
  <c r="B817" i="11" s="1"/>
  <c r="B818" i="11" s="1"/>
  <c r="B819" i="11" s="1"/>
  <c r="B820" i="11" s="1"/>
  <c r="B821" i="11" s="1"/>
  <c r="B822" i="11" s="1"/>
  <c r="B823" i="11" s="1"/>
  <c r="B824" i="11" s="1"/>
  <c r="B825" i="11" s="1"/>
  <c r="B826" i="11" s="1"/>
  <c r="B827" i="11" s="1"/>
  <c r="B828" i="11" s="1"/>
  <c r="B829" i="11" s="1"/>
  <c r="B830" i="11" s="1"/>
  <c r="B831" i="11" s="1"/>
  <c r="B832" i="11" s="1"/>
  <c r="B833" i="11" s="1"/>
  <c r="B834" i="11" s="1"/>
  <c r="B835" i="11" s="1"/>
  <c r="B836" i="11" s="1"/>
  <c r="B837" i="11" s="1"/>
  <c r="B838" i="11" s="1"/>
  <c r="B839" i="11" s="1"/>
  <c r="B840" i="11" s="1"/>
  <c r="B841" i="11" s="1"/>
  <c r="B842" i="11" s="1"/>
  <c r="B843" i="11" s="1"/>
  <c r="B844" i="11" s="1"/>
  <c r="B845" i="11" s="1"/>
  <c r="B846" i="11" s="1"/>
  <c r="B847" i="11" s="1"/>
  <c r="B848" i="11" s="1"/>
  <c r="B849" i="11" s="1"/>
  <c r="B850" i="11" s="1"/>
  <c r="B851" i="11" s="1"/>
  <c r="B852" i="11" s="1"/>
  <c r="B853" i="11" s="1"/>
  <c r="B854" i="11" s="1"/>
  <c r="B855" i="11" s="1"/>
  <c r="B856" i="11" s="1"/>
  <c r="B857" i="11" s="1"/>
  <c r="B858" i="11" s="1"/>
  <c r="B859" i="11" s="1"/>
  <c r="B860" i="11" s="1"/>
  <c r="B861" i="11" s="1"/>
  <c r="B862" i="11" s="1"/>
  <c r="B863" i="11" s="1"/>
  <c r="B864" i="11" s="1"/>
  <c r="B865" i="11" s="1"/>
  <c r="B866" i="11" s="1"/>
  <c r="B867" i="11" s="1"/>
  <c r="B868" i="11" s="1"/>
  <c r="B869" i="11" s="1"/>
  <c r="B870" i="11" s="1"/>
  <c r="B871" i="11" s="1"/>
  <c r="B872" i="11" s="1"/>
  <c r="B873" i="11" s="1"/>
  <c r="B874" i="11" s="1"/>
  <c r="B875" i="11" s="1"/>
  <c r="B876" i="11" s="1"/>
  <c r="B877" i="11" s="1"/>
  <c r="B878" i="11" s="1"/>
  <c r="B879" i="11" s="1"/>
  <c r="B880" i="11" s="1"/>
  <c r="B881" i="11" s="1"/>
  <c r="B882" i="11" s="1"/>
  <c r="B883" i="11" s="1"/>
  <c r="B884" i="11" s="1"/>
  <c r="B885" i="11" s="1"/>
  <c r="B886" i="11" s="1"/>
  <c r="B887" i="11" s="1"/>
  <c r="B888" i="11" s="1"/>
  <c r="B889" i="11" s="1"/>
  <c r="B890" i="11" s="1"/>
  <c r="B891" i="11" s="1"/>
  <c r="B892" i="11" s="1"/>
  <c r="B893" i="11" s="1"/>
  <c r="B894" i="11" s="1"/>
  <c r="B895" i="11" s="1"/>
  <c r="B896" i="11" s="1"/>
  <c r="B897" i="11" s="1"/>
  <c r="B898" i="11" s="1"/>
  <c r="B899" i="11" s="1"/>
  <c r="B900" i="11" s="1"/>
  <c r="B901" i="11" s="1"/>
  <c r="B902" i="11" s="1"/>
  <c r="B903" i="11" s="1"/>
  <c r="B904" i="11" s="1"/>
  <c r="B905" i="11" s="1"/>
  <c r="B906" i="11" s="1"/>
  <c r="B907" i="11" s="1"/>
  <c r="B908" i="11" s="1"/>
  <c r="B909" i="11" s="1"/>
  <c r="B910" i="11" s="1"/>
  <c r="B911" i="11" s="1"/>
  <c r="B912" i="11" s="1"/>
  <c r="B913" i="11" s="1"/>
  <c r="B914" i="11" s="1"/>
  <c r="B915" i="11" s="1"/>
  <c r="B916" i="11" s="1"/>
  <c r="B917" i="11" s="1"/>
  <c r="B918" i="11" s="1"/>
  <c r="B919" i="11" s="1"/>
  <c r="B920" i="11" s="1"/>
  <c r="B921" i="11" s="1"/>
  <c r="B922" i="11" s="1"/>
  <c r="B923" i="11" s="1"/>
  <c r="B924" i="11" s="1"/>
  <c r="B925" i="11" s="1"/>
  <c r="B926" i="11" s="1"/>
  <c r="B927" i="11" s="1"/>
  <c r="B928" i="11" s="1"/>
  <c r="B929" i="11" s="1"/>
  <c r="B930" i="11" s="1"/>
  <c r="E31" i="11"/>
  <c r="AI674" i="11" l="1"/>
  <c r="AI508" i="11"/>
  <c r="AI565" i="11"/>
  <c r="AI438" i="11"/>
  <c r="AI529" i="11"/>
  <c r="AI97" i="11"/>
  <c r="AI202" i="11"/>
  <c r="AI253" i="11"/>
  <c r="AI233" i="11"/>
  <c r="AI825" i="11"/>
  <c r="AI242" i="11"/>
  <c r="AI383" i="11"/>
  <c r="AI135" i="11"/>
  <c r="AI58" i="11"/>
  <c r="AI796" i="11"/>
  <c r="AI918" i="11"/>
  <c r="AI278" i="11"/>
  <c r="AI94" i="11"/>
  <c r="AI318" i="11"/>
  <c r="AI548" i="11"/>
  <c r="AI474" i="11"/>
  <c r="AI71" i="11"/>
  <c r="AI251" i="11"/>
  <c r="AI385" i="11"/>
  <c r="AI925" i="11"/>
  <c r="AI580" i="11"/>
  <c r="AI292" i="11"/>
  <c r="AI659" i="11"/>
  <c r="AI923" i="11"/>
  <c r="AI364" i="11"/>
  <c r="AI112" i="11"/>
  <c r="AI435" i="11"/>
  <c r="AI85" i="11"/>
  <c r="AI691" i="11"/>
  <c r="AI125" i="11"/>
  <c r="AI219" i="11"/>
  <c r="AI272" i="11"/>
  <c r="AI553" i="11"/>
  <c r="AI274" i="11"/>
  <c r="AI617" i="11"/>
  <c r="AI664" i="11"/>
  <c r="AI593" i="11"/>
  <c r="AI294" i="11"/>
  <c r="AI808" i="11"/>
  <c r="AI104" i="11"/>
  <c r="AI381" i="11"/>
  <c r="AI915" i="11"/>
  <c r="AI130" i="11"/>
  <c r="AI863" i="11"/>
  <c r="AI491" i="11"/>
  <c r="AI561" i="11"/>
  <c r="AI885" i="11"/>
  <c r="AI722" i="11"/>
  <c r="AI236" i="11"/>
  <c r="AI656" i="11"/>
  <c r="AI116" i="11"/>
  <c r="AI118" i="11"/>
  <c r="AI136" i="11"/>
  <c r="AI302" i="11"/>
  <c r="AI567" i="11"/>
  <c r="AI458" i="11"/>
  <c r="AI167" i="11"/>
  <c r="AI361" i="11"/>
  <c r="AI319" i="11"/>
  <c r="AI723" i="11"/>
  <c r="AI113" i="11"/>
  <c r="AI128" i="11"/>
  <c r="AI296" i="11"/>
  <c r="AI575" i="11"/>
  <c r="AI171" i="11"/>
  <c r="AI574" i="11"/>
  <c r="AI694" i="11"/>
  <c r="AI582" i="11"/>
  <c r="AI875" i="11"/>
  <c r="AI204" i="11"/>
  <c r="AI429" i="11"/>
  <c r="AI791" i="11"/>
  <c r="AI47" i="11"/>
  <c r="AI39" i="11"/>
  <c r="AI927" i="11"/>
  <c r="AI437" i="11"/>
  <c r="AI898" i="11"/>
  <c r="AI859" i="11"/>
  <c r="AI305" i="11"/>
  <c r="AI904" i="11"/>
  <c r="AI892" i="11"/>
  <c r="AI869" i="11"/>
  <c r="AI907" i="11"/>
  <c r="AI620" i="11"/>
  <c r="AI266" i="11"/>
  <c r="AI513" i="11"/>
  <c r="AI707" i="11"/>
  <c r="AI298" i="11"/>
  <c r="AI724" i="11"/>
  <c r="AI299" i="11"/>
  <c r="AI146" i="11"/>
  <c r="AI681" i="11"/>
  <c r="AI212" i="11"/>
  <c r="AI540" i="11"/>
  <c r="AI332" i="11"/>
  <c r="AI338" i="11"/>
  <c r="AI678" i="11"/>
  <c r="AI487" i="11"/>
  <c r="AI866" i="11"/>
  <c r="AI270" i="11"/>
  <c r="AI566" i="11"/>
  <c r="AI139" i="11"/>
  <c r="AI258" i="11"/>
  <c r="AI192" i="11"/>
  <c r="AI697" i="11"/>
  <c r="AI537" i="11"/>
  <c r="AI545" i="11"/>
  <c r="AI908" i="11"/>
  <c r="AI245" i="11"/>
  <c r="AI473" i="11"/>
  <c r="AI733" i="11"/>
  <c r="AI687" i="11"/>
  <c r="AI558" i="11"/>
  <c r="AI41" i="11"/>
  <c r="AI471" i="11"/>
  <c r="AI762" i="11"/>
  <c r="AI649" i="11"/>
  <c r="AI498" i="11"/>
  <c r="AI297" i="11"/>
  <c r="AI518" i="11"/>
  <c r="AI847" i="11"/>
  <c r="AI865" i="11"/>
  <c r="AI709" i="11"/>
  <c r="AI615" i="11"/>
  <c r="AI572" i="11"/>
  <c r="AI290" i="11"/>
  <c r="AI480" i="11"/>
  <c r="AI120" i="11"/>
  <c r="AI181" i="11"/>
  <c r="AI263" i="11"/>
  <c r="AI470" i="11"/>
  <c r="AI666" i="11"/>
  <c r="AI749" i="11"/>
  <c r="AI715" i="11"/>
  <c r="AI395" i="11"/>
  <c r="AI789" i="11"/>
  <c r="AI628" i="11"/>
  <c r="AI344" i="11"/>
  <c r="AI317" i="11"/>
  <c r="AI705" i="11"/>
  <c r="AI889" i="11"/>
  <c r="AI775" i="11"/>
  <c r="AI420" i="11"/>
  <c r="AI818" i="11"/>
  <c r="AI660" i="11"/>
  <c r="AI221" i="11"/>
  <c r="AI119" i="11"/>
  <c r="AI399" i="11"/>
  <c r="AI557" i="11"/>
  <c r="AI176" i="11"/>
  <c r="AI40" i="11"/>
  <c r="AI378" i="11"/>
  <c r="AI692" i="11"/>
  <c r="AI421" i="11"/>
  <c r="AI658" i="11"/>
  <c r="AI57" i="11"/>
  <c r="AI291" i="11"/>
  <c r="AI174" i="11"/>
  <c r="AI861" i="11"/>
  <c r="AI32" i="11"/>
  <c r="AI543" i="11"/>
  <c r="AI837" i="11"/>
  <c r="AI394" i="11"/>
  <c r="AI698" i="11"/>
  <c r="AI416" i="11"/>
  <c r="AI606" i="11"/>
  <c r="AI411" i="11"/>
  <c r="AI916" i="11"/>
  <c r="AI730" i="11"/>
  <c r="AI699" i="11"/>
  <c r="AI69" i="11"/>
  <c r="AI211" i="11"/>
  <c r="AI159" i="11"/>
  <c r="AI497" i="11"/>
  <c r="AI122" i="11"/>
  <c r="AI591" i="11"/>
  <c r="AI451" i="11"/>
  <c r="AI311" i="11"/>
  <c r="AI442" i="11"/>
  <c r="AI767" i="11"/>
  <c r="AI184" i="11"/>
  <c r="AI743" i="11"/>
  <c r="AI316" i="11"/>
  <c r="AI55" i="11"/>
  <c r="AI879" i="11"/>
  <c r="AI583" i="11"/>
  <c r="AI428" i="11"/>
  <c r="AI347" i="11"/>
  <c r="AI436" i="11"/>
  <c r="AI673" i="11"/>
  <c r="AI169" i="11"/>
  <c r="AI439" i="11"/>
  <c r="AI538" i="11"/>
  <c r="AI886" i="11"/>
  <c r="AI900" i="11"/>
  <c r="AI542" i="11"/>
  <c r="AI588" i="11"/>
  <c r="AI31" i="11"/>
  <c r="AI713" i="11"/>
  <c r="AI500" i="11"/>
  <c r="AI313" i="11"/>
  <c r="AI138" i="11"/>
  <c r="AI402" i="11"/>
  <c r="AI65" i="11"/>
  <c r="AI524" i="11"/>
  <c r="AI376" i="11"/>
  <c r="AI614" i="11"/>
  <c r="AI828" i="11"/>
  <c r="AI878" i="11"/>
  <c r="AI340" i="11"/>
  <c r="AI783" i="11"/>
  <c r="AI536" i="11"/>
  <c r="AI845" i="11"/>
  <c r="AI230" i="11"/>
  <c r="AI322" i="11"/>
  <c r="AI804" i="11"/>
  <c r="AI346" i="11"/>
  <c r="AI631" i="11"/>
  <c r="AI735" i="11"/>
  <c r="AI632" i="11"/>
  <c r="AI134" i="11"/>
  <c r="AI368" i="11"/>
  <c r="AI324" i="11"/>
  <c r="AI472" i="11"/>
  <c r="AI228" i="11"/>
  <c r="AI714" i="11"/>
  <c r="AI502" i="11"/>
  <c r="AI213" i="11"/>
  <c r="AI514" i="11"/>
  <c r="AI262" i="11"/>
  <c r="AI708" i="11"/>
  <c r="AI223" i="11"/>
  <c r="AI111" i="11"/>
  <c r="AI195" i="11"/>
  <c r="AI862" i="11"/>
  <c r="AI671" i="11"/>
  <c r="AI646" i="11"/>
  <c r="AI838" i="11"/>
  <c r="AI607" i="11"/>
  <c r="AI906" i="11"/>
  <c r="AI510" i="11"/>
  <c r="AI753" i="11"/>
  <c r="AI798" i="11"/>
  <c r="AI335" i="11"/>
  <c r="AI549" i="11"/>
  <c r="AI362" i="11"/>
  <c r="AI443" i="11"/>
  <c r="AI525" i="11"/>
  <c r="AI830" i="11"/>
  <c r="AI448" i="11"/>
  <c r="AI587" i="11"/>
  <c r="AI884" i="11"/>
  <c r="AI657" i="11"/>
  <c r="AI308" i="11"/>
  <c r="AI896" i="11"/>
  <c r="AI802" i="11"/>
  <c r="AI314" i="11"/>
  <c r="AI255" i="11"/>
  <c r="AI756" i="11"/>
  <c r="AI774" i="11"/>
  <c r="AI74" i="11"/>
  <c r="AI404" i="11"/>
  <c r="AI78" i="11"/>
  <c r="AI331" i="11"/>
  <c r="AI265" i="11"/>
  <c r="AI303" i="11"/>
  <c r="AI731" i="11"/>
  <c r="AI777" i="11"/>
  <c r="AI460" i="11"/>
  <c r="AI852" i="11"/>
  <c r="AI663" i="11"/>
  <c r="AI520" i="11"/>
  <c r="AI264" i="11"/>
  <c r="AI578" i="11"/>
  <c r="AI806" i="11"/>
  <c r="AI62" i="11"/>
  <c r="AI434" i="11"/>
  <c r="AI63" i="11"/>
  <c r="AI555" i="11"/>
  <c r="AI333" i="11"/>
  <c r="AI447" i="11"/>
  <c r="AI64" i="11"/>
  <c r="AI46" i="11"/>
  <c r="AI38" i="11"/>
  <c r="AI260" i="11"/>
  <c r="AI392" i="11"/>
  <c r="AI133" i="11"/>
  <c r="AI554" i="11"/>
  <c r="AI533" i="11"/>
  <c r="AI375" i="11"/>
  <c r="AI281" i="11"/>
  <c r="AI206" i="11"/>
  <c r="AI732" i="11"/>
  <c r="AI304" i="11"/>
  <c r="AI241" i="11"/>
  <c r="AI131" i="11"/>
  <c r="AI596" i="11"/>
  <c r="AI350" i="11"/>
  <c r="AI648" i="11"/>
  <c r="AI541" i="11"/>
  <c r="AI310" i="11"/>
  <c r="AI351" i="11"/>
  <c r="AI814" i="11"/>
  <c r="AI373" i="11"/>
  <c r="AI911" i="11"/>
  <c r="AI90" i="11"/>
  <c r="AI795" i="11"/>
  <c r="AI745" i="11"/>
  <c r="AI737" i="11"/>
  <c r="AI786" i="11"/>
  <c r="AI427" i="11"/>
  <c r="AI642" i="11"/>
  <c r="AI194" i="11"/>
  <c r="AI512" i="11"/>
  <c r="AI599" i="11"/>
  <c r="AI43" i="11"/>
  <c r="AI384" i="11"/>
  <c r="AI689" i="11"/>
  <c r="AI76" i="11"/>
  <c r="AI846" i="11"/>
  <c r="AI665" i="11"/>
  <c r="AI355" i="11"/>
  <c r="AI101" i="11"/>
  <c r="AI670" i="11"/>
  <c r="AI772" i="11"/>
  <c r="AI199" i="11"/>
  <c r="AI372" i="11"/>
  <c r="AI794" i="11"/>
  <c r="AI341" i="11"/>
  <c r="AI374" i="11"/>
  <c r="AI89" i="11"/>
  <c r="AI300" i="11"/>
  <c r="AI182" i="11"/>
  <c r="AI872" i="11"/>
  <c r="AI817" i="11"/>
  <c r="AI785" i="11"/>
  <c r="AI88" i="11"/>
  <c r="AI409" i="11"/>
  <c r="AI829" i="11"/>
  <c r="AI645" i="11"/>
  <c r="AI770" i="11"/>
  <c r="AI495" i="11"/>
  <c r="AI353" i="11"/>
  <c r="AI423" i="11"/>
  <c r="AI273" i="11"/>
  <c r="AI53" i="11"/>
  <c r="AI858" i="11"/>
  <c r="AI50" i="11"/>
  <c r="AI60" i="11"/>
  <c r="AI478" i="11"/>
  <c r="AI188" i="11"/>
  <c r="AI721" i="11"/>
  <c r="AI647" i="11"/>
  <c r="AI522" i="11"/>
  <c r="AI824" i="11"/>
  <c r="AI624" i="11"/>
  <c r="AI144" i="11"/>
  <c r="AI562" i="11"/>
  <c r="AI790" i="11"/>
  <c r="AI569" i="11"/>
  <c r="AI391" i="11"/>
  <c r="AI679" i="11"/>
  <c r="AI154" i="11"/>
  <c r="AI137" i="11"/>
  <c r="AI200" i="11"/>
  <c r="AI371" i="11"/>
  <c r="AI598" i="11"/>
  <c r="AI710" i="11"/>
  <c r="AI400" i="11"/>
  <c r="AI768" i="11"/>
  <c r="AI854" i="11"/>
  <c r="AI546" i="11"/>
  <c r="AI398" i="11"/>
  <c r="AI781" i="11"/>
  <c r="AI327" i="11"/>
  <c r="AI890" i="11"/>
  <c r="AI539" i="11"/>
  <c r="AI684" i="11"/>
  <c r="AI842" i="11"/>
  <c r="AI758" i="11"/>
  <c r="AI325" i="11"/>
  <c r="AI464" i="11"/>
  <c r="AI682" i="11"/>
  <c r="AI225" i="11"/>
  <c r="AI476" i="11"/>
  <c r="AI535" i="11"/>
  <c r="AI704" i="11"/>
  <c r="AI776" i="11"/>
  <c r="AI466" i="11"/>
  <c r="AI315" i="11"/>
  <c r="AI610" i="11"/>
  <c r="AI432" i="11"/>
  <c r="AI816" i="11"/>
  <c r="AI693" i="11"/>
  <c r="AI902" i="11"/>
  <c r="AI479" i="11"/>
  <c r="AI576" i="11"/>
  <c r="AI720" i="11"/>
  <c r="AI356" i="11"/>
  <c r="AI820" i="11"/>
  <c r="AI467" i="11"/>
  <c r="AI363" i="11"/>
  <c r="AI822" i="11"/>
  <c r="AI864" i="11"/>
  <c r="AI307" i="11"/>
  <c r="AI754" i="11"/>
  <c r="AI177" i="11"/>
  <c r="AI605" i="11"/>
  <c r="AI446" i="11"/>
  <c r="AI635" i="11"/>
  <c r="AI850" i="11"/>
  <c r="AI509" i="11"/>
  <c r="AI91" i="11"/>
  <c r="AI267" i="11"/>
  <c r="AI217" i="11"/>
  <c r="AI269" i="11"/>
  <c r="AI612" i="11"/>
  <c r="AI823" i="11"/>
  <c r="AI912" i="11"/>
  <c r="AI285" i="11"/>
  <c r="AI929" i="11"/>
  <c r="AI629" i="11"/>
  <c r="AI494" i="11"/>
  <c r="AI496" i="11"/>
  <c r="AI579" i="11"/>
  <c r="AI849" i="11"/>
  <c r="AI644" i="11"/>
  <c r="AI468" i="11"/>
  <c r="AI359" i="11"/>
  <c r="AI80" i="11"/>
  <c r="AI259" i="11"/>
  <c r="AI718" i="11"/>
  <c r="AI826" i="11"/>
  <c r="AI454" i="11"/>
  <c r="AI702" i="11"/>
  <c r="AI873" i="11"/>
  <c r="AI504" i="11"/>
  <c r="AI654" i="11"/>
  <c r="AI531" i="11"/>
  <c r="AI35" i="11"/>
  <c r="AI590" i="11"/>
  <c r="AI102" i="11"/>
  <c r="AI490" i="11"/>
  <c r="AI887" i="11"/>
  <c r="AI390" i="11"/>
  <c r="AI201" i="11"/>
  <c r="AI161" i="11"/>
  <c r="AI757" i="11"/>
  <c r="AI769" i="11"/>
  <c r="AI288" i="11"/>
  <c r="AI603" i="11"/>
  <c r="AI748" i="11"/>
  <c r="AI210" i="11"/>
  <c r="AI92" i="11"/>
  <c r="AI328" i="11"/>
  <c r="AI727" i="11"/>
  <c r="AI738" i="11"/>
  <c r="AI652" i="11"/>
  <c r="AI205" i="11"/>
  <c r="AI189" i="11"/>
  <c r="AI143" i="11"/>
  <c r="AI613" i="11"/>
  <c r="AI882" i="11"/>
  <c r="AI521" i="11"/>
  <c r="AI455" i="11"/>
  <c r="AI683" i="11"/>
  <c r="AI860" i="11"/>
  <c r="AI339" i="11"/>
  <c r="AI348" i="11"/>
  <c r="AI592" i="11"/>
  <c r="AI405" i="11"/>
  <c r="AI515" i="11"/>
  <c r="AI45" i="11"/>
  <c r="AI492" i="11"/>
  <c r="AI602" i="11"/>
  <c r="AI668" i="11"/>
  <c r="AI835" i="11"/>
  <c r="AI919" i="11"/>
  <c r="AI179" i="11"/>
  <c r="AI173" i="11"/>
  <c r="AI407" i="11"/>
  <c r="AI780" i="11"/>
  <c r="AI800" i="11"/>
  <c r="AI190" i="11"/>
  <c r="AI903" i="11"/>
  <c r="AI282" i="11"/>
  <c r="AI481" i="11"/>
  <c r="AI871" i="11"/>
  <c r="AI807" i="11"/>
  <c r="AI773" i="11"/>
  <c r="AI784" i="11"/>
  <c r="AI799" i="11"/>
  <c r="AI157" i="11"/>
  <c r="AI740" i="11"/>
  <c r="AI853" i="11"/>
  <c r="AI771" i="11"/>
  <c r="AI72" i="11"/>
  <c r="AI422" i="11"/>
  <c r="AI84" i="11"/>
  <c r="AI507" i="11"/>
  <c r="AI220" i="11"/>
  <c r="AI695" i="11"/>
  <c r="AI352" i="11"/>
  <c r="AI547" i="11"/>
  <c r="AI690" i="11"/>
  <c r="AI232" i="11"/>
  <c r="AI93" i="11"/>
  <c r="AI516" i="11"/>
  <c r="AI901" i="11"/>
  <c r="AI706" i="11"/>
  <c r="AI787" i="11"/>
  <c r="AI527" i="11"/>
  <c r="AI208" i="11"/>
  <c r="AI170" i="11"/>
  <c r="AI185" i="11"/>
  <c r="AI403" i="11"/>
  <c r="AI917" i="11"/>
  <c r="AI586" i="11"/>
  <c r="AI611" i="11"/>
  <c r="AI810" i="11"/>
  <c r="AI108" i="11"/>
  <c r="AI145" i="11"/>
  <c r="AI501" i="11"/>
  <c r="AI493" i="11"/>
  <c r="AI868" i="11"/>
  <c r="AI370" i="11"/>
  <c r="AI581" i="11"/>
  <c r="AI164" i="11"/>
  <c r="AI151" i="11"/>
  <c r="AI34" i="11"/>
  <c r="AI728" i="11"/>
  <c r="AI321" i="11"/>
  <c r="AI577" i="11"/>
  <c r="AI254" i="11"/>
  <c r="AI114" i="11"/>
  <c r="AI386" i="11"/>
  <c r="AI600" i="11"/>
  <c r="AI209" i="11"/>
  <c r="AI227" i="11"/>
  <c r="AI677" i="11"/>
  <c r="AI293" i="11"/>
  <c r="AI49" i="11"/>
  <c r="AI196" i="11"/>
  <c r="AI833" i="11"/>
  <c r="AI621" i="11"/>
  <c r="AI876" i="11"/>
  <c r="AI382" i="11"/>
  <c r="AI640" i="11"/>
  <c r="AI87" i="11"/>
  <c r="AI336" i="11"/>
  <c r="AI419" i="11"/>
  <c r="AI703" i="11"/>
  <c r="AI337" i="11"/>
  <c r="AI33" i="11"/>
  <c r="AI532" i="11"/>
  <c r="AI765" i="11"/>
  <c r="AI920" i="11"/>
  <c r="AI66" i="11"/>
  <c r="AI148" i="11"/>
  <c r="AI141" i="11"/>
  <c r="AI231" i="11"/>
  <c r="AI809" i="11"/>
  <c r="AI867" i="11"/>
  <c r="AI630" i="11"/>
  <c r="AI342" i="11"/>
  <c r="AI661" i="11"/>
  <c r="AI207" i="11"/>
  <c r="AI445" i="11"/>
  <c r="AI42" i="11"/>
  <c r="AI229" i="11"/>
  <c r="AI680" i="11"/>
  <c r="AI910" i="11"/>
  <c r="AI700" i="11"/>
  <c r="AI752" i="11"/>
  <c r="AI393" i="11"/>
  <c r="AI874" i="11"/>
  <c r="AI851" i="11"/>
  <c r="AI51" i="11"/>
  <c r="AI380" i="11"/>
  <c r="AI462" i="11"/>
  <c r="AI279" i="11"/>
  <c r="AI249" i="11"/>
  <c r="AI526" i="11"/>
  <c r="AI751" i="11"/>
  <c r="AI921" i="11"/>
  <c r="AI563" i="11"/>
  <c r="AI711" i="11"/>
  <c r="AI544" i="11"/>
  <c r="AI686" i="11"/>
  <c r="AI793" i="11"/>
  <c r="AI222" i="11"/>
  <c r="AI444" i="11"/>
  <c r="AI172" i="11"/>
  <c r="AI870" i="11"/>
  <c r="AI638" i="11"/>
  <c r="AI452" i="11"/>
  <c r="AI412" i="11"/>
  <c r="AI237" i="11"/>
  <c r="AI110" i="11"/>
  <c r="AI551" i="11"/>
  <c r="AI123" i="11"/>
  <c r="AI517" i="11"/>
  <c r="AI739" i="11"/>
  <c r="AI389" i="11"/>
  <c r="AI895" i="11"/>
  <c r="AI877" i="11"/>
  <c r="AI99" i="11"/>
  <c r="AI909" i="11"/>
  <c r="AI401" i="11"/>
  <c r="AI505" i="11"/>
  <c r="AI827" i="11"/>
  <c r="AI345" i="11"/>
  <c r="AI247" i="11"/>
  <c r="AI326" i="11"/>
  <c r="AI257" i="11"/>
  <c r="AI106" i="11"/>
  <c r="AI283" i="11"/>
  <c r="AI77" i="11"/>
  <c r="AI180" i="11"/>
  <c r="AI477" i="11"/>
  <c r="AI534" i="11"/>
  <c r="AI408" i="11"/>
  <c r="AI905" i="11"/>
  <c r="AI193" i="11"/>
  <c r="AI68" i="11"/>
  <c r="AI634" i="11"/>
  <c r="AI637" i="11"/>
  <c r="AI461" i="11"/>
  <c r="AI379" i="11"/>
  <c r="AI669" i="11"/>
  <c r="AI415" i="11"/>
  <c r="AI160" i="11"/>
  <c r="AI601" i="11"/>
  <c r="AI349" i="11"/>
  <c r="AI636" i="11"/>
  <c r="AI926" i="11"/>
  <c r="AI410" i="11"/>
  <c r="AI424" i="11"/>
  <c r="AI449" i="11"/>
  <c r="AI414" i="11"/>
  <c r="AI523" i="11"/>
  <c r="AI86" i="11"/>
  <c r="AI499" i="11"/>
  <c r="AI59" i="11"/>
  <c r="AI655" i="11"/>
  <c r="AI153" i="11"/>
  <c r="AI183" i="11"/>
  <c r="AI488" i="11"/>
  <c r="AI244" i="11"/>
  <c r="AI107" i="11"/>
  <c r="AI760" i="11"/>
  <c r="AI366" i="11"/>
  <c r="AI54" i="11"/>
  <c r="AI357" i="11"/>
  <c r="AI662" i="11"/>
  <c r="AI163" i="11"/>
  <c r="AI271" i="11"/>
  <c r="AI914" i="11"/>
  <c r="AI330" i="11"/>
  <c r="AI570" i="11"/>
  <c r="AI369" i="11"/>
  <c r="AI792" i="11"/>
  <c r="AI832" i="11"/>
  <c r="AI73" i="11"/>
  <c r="AI744" i="11"/>
  <c r="AI639" i="11"/>
  <c r="AI140" i="11"/>
  <c r="AI559" i="11"/>
  <c r="AI528" i="11"/>
  <c r="AI594" i="11"/>
  <c r="AI312" i="11"/>
  <c r="AI672" i="11"/>
  <c r="AI506" i="11"/>
  <c r="AI276" i="11"/>
  <c r="AI560" i="11"/>
  <c r="AI759" i="11"/>
  <c r="AI216" i="11"/>
  <c r="AI320" i="11"/>
  <c r="AI152" i="11"/>
  <c r="AI178" i="11"/>
  <c r="AI788" i="11"/>
  <c r="AI150" i="11"/>
  <c r="AI413" i="11"/>
  <c r="AI425" i="11"/>
  <c r="AI162" i="11"/>
  <c r="AI115" i="11"/>
  <c r="AI604" i="11"/>
  <c r="AI224" i="11"/>
  <c r="AI121" i="11"/>
  <c r="AI426" i="11"/>
  <c r="AI573" i="11"/>
  <c r="AI746" i="11"/>
  <c r="AI550" i="11"/>
  <c r="AI755" i="11"/>
  <c r="AI701" i="11"/>
  <c r="AI83" i="11"/>
  <c r="AI608" i="11"/>
  <c r="AI240" i="11"/>
  <c r="AI226" i="11"/>
  <c r="AI618" i="11"/>
  <c r="AI354" i="11"/>
  <c r="AI440" i="11"/>
  <c r="AI329" i="11"/>
  <c r="AI736" i="11"/>
  <c r="AI475" i="11"/>
  <c r="AI124" i="11"/>
  <c r="AI651" i="11"/>
  <c r="AI503" i="11"/>
  <c r="AI584" i="11"/>
  <c r="AI667" i="11"/>
  <c r="AI712" i="11"/>
  <c r="AI126" i="11"/>
  <c r="AI883" i="11"/>
  <c r="AI779" i="11"/>
  <c r="AI676" i="11"/>
  <c r="AI729" i="11"/>
  <c r="AI214" i="11"/>
  <c r="AI277" i="11"/>
  <c r="AI741" i="11"/>
  <c r="AI286" i="11"/>
  <c r="AI165" i="11"/>
  <c r="AI95" i="11"/>
  <c r="AI132" i="11"/>
  <c r="AI893" i="11"/>
  <c r="AI37" i="11"/>
  <c r="AI839" i="11"/>
  <c r="AI643" i="11"/>
  <c r="AI716" i="11"/>
  <c r="AI899" i="11"/>
  <c r="AI805" i="11"/>
  <c r="AI417" i="11"/>
  <c r="AI309" i="11"/>
  <c r="AI52" i="11"/>
  <c r="AI56" i="11"/>
  <c r="AI719" i="11"/>
  <c r="AI831" i="11"/>
  <c r="AI360" i="11"/>
  <c r="AI70" i="11"/>
  <c r="AI218" i="11"/>
  <c r="AI801" i="11"/>
  <c r="AI186" i="11"/>
  <c r="AI261" i="11"/>
  <c r="L32" i="11"/>
  <c r="U31" i="11"/>
  <c r="AI252" i="11"/>
  <c r="AI556" i="11"/>
  <c r="AI284" i="11"/>
  <c r="AI778" i="11"/>
  <c r="AI734" i="11"/>
  <c r="AI928" i="11"/>
  <c r="AI619" i="11"/>
  <c r="AI197" i="11"/>
  <c r="AI82" i="11"/>
  <c r="AI894" i="11"/>
  <c r="AI843" i="11"/>
  <c r="AI198" i="11"/>
  <c r="AI156" i="11"/>
  <c r="AI742" i="11"/>
  <c r="AI811" i="11"/>
  <c r="AI623" i="11"/>
  <c r="AI696" i="11"/>
  <c r="AI44" i="11"/>
  <c r="AI268" i="11"/>
  <c r="AI797" i="11"/>
  <c r="AI280" i="11"/>
  <c r="AI433" i="11"/>
  <c r="AI67" i="11"/>
  <c r="AI841" i="11"/>
  <c r="AI166" i="11"/>
  <c r="AI483" i="11"/>
  <c r="AI295" i="11"/>
  <c r="AI766" i="11"/>
  <c r="AI641" i="11"/>
  <c r="AI235" i="11"/>
  <c r="AI287" i="11"/>
  <c r="AI627" i="11"/>
  <c r="AI191" i="11"/>
  <c r="AI857" i="11"/>
  <c r="AI595" i="11"/>
  <c r="AI396" i="11"/>
  <c r="AI622" i="11"/>
  <c r="AI256" i="11"/>
  <c r="AI855" i="11"/>
  <c r="AI175" i="11"/>
  <c r="AI482" i="11"/>
  <c r="AI519" i="11"/>
  <c r="AI149" i="11"/>
  <c r="AI215" i="11"/>
  <c r="AI511" i="11"/>
  <c r="AI100" i="11"/>
  <c r="AI750" i="11"/>
  <c r="AI626" i="11"/>
  <c r="AI653" i="11"/>
  <c r="AI625" i="11"/>
  <c r="AI289" i="11"/>
  <c r="AI168" i="11"/>
  <c r="AI675" i="11"/>
  <c r="AI848" i="11"/>
  <c r="AI489" i="11"/>
  <c r="AI117" i="11"/>
  <c r="AI246" i="11"/>
  <c r="AI187" i="11"/>
  <c r="AI358" i="11"/>
  <c r="AI367" i="11"/>
  <c r="AI36" i="11"/>
  <c r="AI821" i="11"/>
  <c r="AI323" i="11"/>
  <c r="AI456" i="11"/>
  <c r="AI103" i="11"/>
  <c r="AI633" i="11"/>
  <c r="AI388" i="11"/>
  <c r="AI203" i="11"/>
  <c r="AI897" i="11"/>
  <c r="AI238" i="11"/>
  <c r="AI530" i="11"/>
  <c r="AI387" i="11"/>
  <c r="AI761" i="11"/>
  <c r="AI812" i="11"/>
  <c r="AI109" i="11"/>
  <c r="AI418" i="11"/>
  <c r="AI815" i="11"/>
  <c r="AI597" i="11"/>
  <c r="AI688" i="11"/>
  <c r="AI301" i="11"/>
  <c r="AI250" i="11"/>
  <c r="AI813" i="11"/>
  <c r="AI564" i="11"/>
  <c r="AI441" i="11"/>
  <c r="AI142" i="11"/>
  <c r="AI243" i="11"/>
  <c r="AI881" i="11"/>
  <c r="AI484" i="11"/>
  <c r="AI306" i="11"/>
  <c r="AI922" i="11"/>
  <c r="AI552" i="11"/>
  <c r="AI377" i="11"/>
  <c r="AI485" i="11"/>
  <c r="AI406" i="11"/>
  <c r="AI158" i="11"/>
  <c r="AI763" i="11"/>
  <c r="AI782" i="11"/>
  <c r="AI239" i="11"/>
  <c r="AI397" i="11"/>
  <c r="AI365" i="11"/>
  <c r="AI81" i="11"/>
  <c r="AI431" i="11"/>
  <c r="AI61" i="11"/>
  <c r="AI248" i="11"/>
  <c r="AI725" i="11"/>
  <c r="AI888" i="11"/>
  <c r="AI463" i="11"/>
  <c r="AI726" i="11"/>
  <c r="AI834" i="11"/>
  <c r="AI891" i="11"/>
  <c r="AI343" i="11"/>
  <c r="AI469" i="11"/>
  <c r="AI764" i="11"/>
  <c r="AI609" i="11"/>
  <c r="AI589" i="11"/>
  <c r="AI880" i="11"/>
  <c r="AI571" i="11"/>
  <c r="AI717" i="11"/>
  <c r="AI75" i="11"/>
  <c r="AI457" i="11"/>
  <c r="AI155" i="11"/>
  <c r="AI568" i="11"/>
  <c r="AI616" i="11"/>
  <c r="AI129" i="11"/>
  <c r="AI453" i="11"/>
  <c r="AI96" i="11"/>
  <c r="AI585" i="11"/>
  <c r="AI459" i="11"/>
  <c r="AI147" i="11"/>
  <c r="AI819" i="11"/>
  <c r="AI836" i="11"/>
  <c r="AI98" i="11"/>
  <c r="AI924" i="11"/>
  <c r="AI334" i="11"/>
  <c r="AI127" i="11"/>
  <c r="AI275" i="11"/>
  <c r="AI465" i="11"/>
  <c r="AI844" i="11"/>
  <c r="AI650" i="11"/>
  <c r="AI840" i="11"/>
  <c r="AI234" i="11"/>
  <c r="AI803" i="11"/>
  <c r="AI450" i="11"/>
  <c r="AI105" i="11"/>
  <c r="AI747" i="11"/>
  <c r="AI856" i="11"/>
  <c r="AI48" i="11"/>
  <c r="AI79" i="11"/>
  <c r="AI685" i="11"/>
  <c r="AI486" i="11"/>
  <c r="AI913" i="11"/>
  <c r="AI430" i="11"/>
  <c r="T31" i="11"/>
  <c r="T32" i="11" s="1"/>
  <c r="T33" i="11" s="1"/>
  <c r="T34" i="11" s="1"/>
  <c r="T35" i="11" s="1"/>
  <c r="T36" i="11" s="1"/>
  <c r="T37" i="11" s="1"/>
  <c r="T38" i="11" s="1"/>
  <c r="T39" i="11" s="1"/>
  <c r="T40" i="11" s="1"/>
  <c r="T41" i="11" s="1"/>
  <c r="T42" i="11" s="1"/>
  <c r="T43" i="11" s="1"/>
  <c r="T44" i="11" s="1"/>
  <c r="T45" i="11" s="1"/>
  <c r="T46" i="11" s="1"/>
  <c r="T47" i="11" s="1"/>
  <c r="T48" i="11" s="1"/>
  <c r="T49" i="11" s="1"/>
  <c r="T50" i="11" s="1"/>
  <c r="T51" i="11" s="1"/>
  <c r="T52" i="11" s="1"/>
  <c r="T53" i="11" s="1"/>
  <c r="T54" i="11" s="1"/>
  <c r="T55" i="11" s="1"/>
  <c r="T56" i="11" s="1"/>
  <c r="T57" i="11" s="1"/>
  <c r="T58" i="11" s="1"/>
  <c r="T59" i="11" s="1"/>
  <c r="T60" i="11" s="1"/>
  <c r="T61" i="11" s="1"/>
  <c r="T62" i="11" s="1"/>
  <c r="T63" i="11" s="1"/>
  <c r="T64" i="11" s="1"/>
  <c r="T65" i="11" s="1"/>
  <c r="T66" i="11" s="1"/>
  <c r="T67" i="11" s="1"/>
  <c r="T68" i="11" s="1"/>
  <c r="T69" i="11" s="1"/>
  <c r="T70" i="11" s="1"/>
  <c r="T71" i="11" s="1"/>
  <c r="T72" i="11" s="1"/>
  <c r="T73" i="11" s="1"/>
  <c r="T74" i="11" s="1"/>
  <c r="T75" i="11" s="1"/>
  <c r="T76" i="11" s="1"/>
  <c r="T77" i="11" s="1"/>
  <c r="T78" i="11" s="1"/>
  <c r="T79" i="11" s="1"/>
  <c r="T80" i="11" s="1"/>
  <c r="T81" i="11" s="1"/>
  <c r="T82" i="11" s="1"/>
  <c r="T83" i="11" s="1"/>
  <c r="T84" i="11" s="1"/>
  <c r="T85" i="11" s="1"/>
  <c r="T86" i="11" s="1"/>
  <c r="T87" i="11" s="1"/>
  <c r="T88" i="11" s="1"/>
  <c r="T89" i="11" s="1"/>
  <c r="T90" i="11" s="1"/>
  <c r="T91" i="11" s="1"/>
  <c r="T92" i="11" s="1"/>
  <c r="T93" i="11" s="1"/>
  <c r="T94" i="11" s="1"/>
  <c r="T95" i="11" s="1"/>
  <c r="T96" i="11" s="1"/>
  <c r="T97" i="11" s="1"/>
  <c r="T98" i="11" s="1"/>
  <c r="T99" i="11" s="1"/>
  <c r="T100" i="11" s="1"/>
  <c r="T101" i="11" s="1"/>
  <c r="T102" i="11" s="1"/>
  <c r="T103" i="11" s="1"/>
  <c r="T104" i="11" s="1"/>
  <c r="T105" i="11" s="1"/>
  <c r="T106" i="11" s="1"/>
  <c r="T107" i="11" s="1"/>
  <c r="T108" i="11" s="1"/>
  <c r="T109" i="11" s="1"/>
  <c r="T110" i="11" s="1"/>
  <c r="T111" i="11" s="1"/>
  <c r="T112" i="11" s="1"/>
  <c r="T113" i="11" s="1"/>
  <c r="T114" i="11" s="1"/>
  <c r="T115" i="11" s="1"/>
  <c r="T116" i="11" s="1"/>
  <c r="T117" i="11" s="1"/>
  <c r="T118" i="11" s="1"/>
  <c r="T119" i="11" s="1"/>
  <c r="T120" i="11" s="1"/>
  <c r="T121" i="11" s="1"/>
  <c r="T122" i="11" s="1"/>
  <c r="T123" i="11" s="1"/>
  <c r="T124" i="11" s="1"/>
  <c r="T125" i="11" s="1"/>
  <c r="T126" i="11" s="1"/>
  <c r="T127" i="11" s="1"/>
  <c r="T128" i="11" s="1"/>
  <c r="T129" i="11" s="1"/>
  <c r="T130" i="11" s="1"/>
  <c r="T131" i="11" s="1"/>
  <c r="T132" i="11" s="1"/>
  <c r="T133" i="11" s="1"/>
  <c r="T134" i="11" s="1"/>
  <c r="T135" i="11" s="1"/>
  <c r="T136" i="11" s="1"/>
  <c r="T137" i="11" s="1"/>
  <c r="T138" i="11" s="1"/>
  <c r="T139" i="11" s="1"/>
  <c r="T140" i="11" s="1"/>
  <c r="T141" i="11" s="1"/>
  <c r="T142" i="11" s="1"/>
  <c r="T143" i="11" s="1"/>
  <c r="T144" i="11" s="1"/>
  <c r="T145" i="11" s="1"/>
  <c r="T146" i="11" s="1"/>
  <c r="T147" i="11" s="1"/>
  <c r="T148" i="11" s="1"/>
  <c r="T149" i="11" s="1"/>
  <c r="T150" i="11" s="1"/>
  <c r="T151" i="11" s="1"/>
  <c r="T152" i="11" s="1"/>
  <c r="T153" i="11" s="1"/>
  <c r="T154" i="11" s="1"/>
  <c r="T155" i="11" s="1"/>
  <c r="T156" i="11" s="1"/>
  <c r="T157" i="11" s="1"/>
  <c r="T158" i="11" s="1"/>
  <c r="T159" i="11" s="1"/>
  <c r="T160" i="11" s="1"/>
  <c r="T161" i="11" s="1"/>
  <c r="T162" i="11" s="1"/>
  <c r="T163" i="11" s="1"/>
  <c r="T164" i="11" s="1"/>
  <c r="T165" i="11" s="1"/>
  <c r="T166" i="11" s="1"/>
  <c r="T167" i="11" s="1"/>
  <c r="T168" i="11" s="1"/>
  <c r="T169" i="11" s="1"/>
  <c r="T170" i="11" s="1"/>
  <c r="T171" i="11" s="1"/>
  <c r="T172" i="11" s="1"/>
  <c r="T173" i="11" s="1"/>
  <c r="T174" i="11" s="1"/>
  <c r="T175" i="11" s="1"/>
  <c r="T176" i="11" s="1"/>
  <c r="T177" i="11" s="1"/>
  <c r="T178" i="11" s="1"/>
  <c r="T179" i="11" s="1"/>
  <c r="T180" i="11" s="1"/>
  <c r="T181" i="11" s="1"/>
  <c r="T182" i="11" s="1"/>
  <c r="T183" i="11" s="1"/>
  <c r="T184" i="11" s="1"/>
  <c r="T185" i="11" s="1"/>
  <c r="T186" i="11" s="1"/>
  <c r="T187" i="11" s="1"/>
  <c r="T188" i="11" s="1"/>
  <c r="T189" i="11" s="1"/>
  <c r="T190" i="11" s="1"/>
  <c r="T191" i="11" s="1"/>
  <c r="T192" i="11" s="1"/>
  <c r="T193" i="11" s="1"/>
  <c r="T194" i="11" s="1"/>
  <c r="T195" i="11" s="1"/>
  <c r="T196" i="11" s="1"/>
  <c r="T197" i="11" s="1"/>
  <c r="T198" i="11" s="1"/>
  <c r="T199" i="11" s="1"/>
  <c r="T200" i="11" s="1"/>
  <c r="T201" i="11" s="1"/>
  <c r="T202" i="11" s="1"/>
  <c r="T203" i="11" s="1"/>
  <c r="T204" i="11" s="1"/>
  <c r="T205" i="11" s="1"/>
  <c r="T206" i="11" s="1"/>
  <c r="T207" i="11" s="1"/>
  <c r="T208" i="11" s="1"/>
  <c r="T209" i="11" s="1"/>
  <c r="T210" i="11" s="1"/>
  <c r="T211" i="11" s="1"/>
  <c r="T212" i="11" s="1"/>
  <c r="T213" i="11" s="1"/>
  <c r="T214" i="11" s="1"/>
  <c r="T215" i="11" s="1"/>
  <c r="T216" i="11" s="1"/>
  <c r="T217" i="11" s="1"/>
  <c r="T218" i="11" s="1"/>
  <c r="T219" i="11" s="1"/>
  <c r="T220" i="11" s="1"/>
  <c r="T221" i="11" s="1"/>
  <c r="T222" i="11" s="1"/>
  <c r="T223" i="11" s="1"/>
  <c r="T224" i="11" s="1"/>
  <c r="T225" i="11" s="1"/>
  <c r="T226" i="11" s="1"/>
  <c r="T227" i="11" s="1"/>
  <c r="T228" i="11" s="1"/>
  <c r="T229" i="11" s="1"/>
  <c r="T230" i="11" s="1"/>
  <c r="T231" i="11" s="1"/>
  <c r="T232" i="11" s="1"/>
  <c r="T233" i="11" s="1"/>
  <c r="T234" i="11" s="1"/>
  <c r="T235" i="11" s="1"/>
  <c r="T236" i="11" s="1"/>
  <c r="T237" i="11" s="1"/>
  <c r="T238" i="11" s="1"/>
  <c r="T239" i="11" s="1"/>
  <c r="T240" i="11" s="1"/>
  <c r="T241" i="11" s="1"/>
  <c r="T242" i="11" s="1"/>
  <c r="T243" i="11" s="1"/>
  <c r="T244" i="11" s="1"/>
  <c r="T245" i="11" s="1"/>
  <c r="T246" i="11" s="1"/>
  <c r="T247" i="11" s="1"/>
  <c r="T248" i="11" s="1"/>
  <c r="T249" i="11" s="1"/>
  <c r="T250" i="11" s="1"/>
  <c r="T251" i="11" s="1"/>
  <c r="T252" i="11" s="1"/>
  <c r="T253" i="11" s="1"/>
  <c r="T254" i="11" s="1"/>
  <c r="T255" i="11" s="1"/>
  <c r="T256" i="11" s="1"/>
  <c r="T257" i="11" s="1"/>
  <c r="T258" i="11" s="1"/>
  <c r="T259" i="11" s="1"/>
  <c r="T260" i="11" s="1"/>
  <c r="T261" i="11" s="1"/>
  <c r="T262" i="11" s="1"/>
  <c r="T263" i="11" s="1"/>
  <c r="T264" i="11" s="1"/>
  <c r="T265" i="11" s="1"/>
  <c r="T266" i="11" s="1"/>
  <c r="T267" i="11" s="1"/>
  <c r="T268" i="11" s="1"/>
  <c r="T269" i="11" s="1"/>
  <c r="T270" i="11" s="1"/>
  <c r="T271" i="11" s="1"/>
  <c r="T272" i="11" s="1"/>
  <c r="T273" i="11" s="1"/>
  <c r="T274" i="11" s="1"/>
  <c r="T275" i="11" s="1"/>
  <c r="T276" i="11" s="1"/>
  <c r="T277" i="11" s="1"/>
  <c r="T278" i="11" s="1"/>
  <c r="T279" i="11" s="1"/>
  <c r="T280" i="11" s="1"/>
  <c r="T281" i="11" s="1"/>
  <c r="T282" i="11" s="1"/>
  <c r="T283" i="11" s="1"/>
  <c r="T284" i="11" s="1"/>
  <c r="T285" i="11" s="1"/>
  <c r="T286" i="11" s="1"/>
  <c r="T287" i="11" s="1"/>
  <c r="T288" i="11" s="1"/>
  <c r="T289" i="11" s="1"/>
  <c r="T290" i="11" s="1"/>
  <c r="T291" i="11" s="1"/>
  <c r="T292" i="11" s="1"/>
  <c r="T293" i="11" s="1"/>
  <c r="T294" i="11" s="1"/>
  <c r="T295" i="11" s="1"/>
  <c r="T296" i="11" s="1"/>
  <c r="T297" i="11" s="1"/>
  <c r="T298" i="11" s="1"/>
  <c r="T299" i="11" s="1"/>
  <c r="T300" i="11" s="1"/>
  <c r="T301" i="11" s="1"/>
  <c r="T302" i="11" s="1"/>
  <c r="T303" i="11" s="1"/>
  <c r="T304" i="11" s="1"/>
  <c r="T305" i="11" s="1"/>
  <c r="T306" i="11" s="1"/>
  <c r="T307" i="11" s="1"/>
  <c r="T308" i="11" s="1"/>
  <c r="T309" i="11" s="1"/>
  <c r="T310" i="11" s="1"/>
  <c r="T311" i="11" s="1"/>
  <c r="T312" i="11" s="1"/>
  <c r="T313" i="11" s="1"/>
  <c r="T314" i="11" s="1"/>
  <c r="T315" i="11" s="1"/>
  <c r="T316" i="11" s="1"/>
  <c r="T317" i="11" s="1"/>
  <c r="T318" i="11" s="1"/>
  <c r="T319" i="11" s="1"/>
  <c r="T320" i="11" s="1"/>
  <c r="T321" i="11" s="1"/>
  <c r="T322" i="11" s="1"/>
  <c r="T323" i="11" s="1"/>
  <c r="T324" i="11" s="1"/>
  <c r="T325" i="11" s="1"/>
  <c r="T326" i="11" s="1"/>
  <c r="T327" i="11" s="1"/>
  <c r="T328" i="11" s="1"/>
  <c r="T329" i="11" s="1"/>
  <c r="T330" i="11" s="1"/>
  <c r="T331" i="11" s="1"/>
  <c r="T332" i="11" s="1"/>
  <c r="T333" i="11" s="1"/>
  <c r="T334" i="11" s="1"/>
  <c r="T335" i="11" s="1"/>
  <c r="T336" i="11" s="1"/>
  <c r="T337" i="11" s="1"/>
  <c r="T338" i="11" s="1"/>
  <c r="T339" i="11" s="1"/>
  <c r="T340" i="11" s="1"/>
  <c r="T341" i="11" s="1"/>
  <c r="T342" i="11" s="1"/>
  <c r="T343" i="11" s="1"/>
  <c r="T344" i="11" s="1"/>
  <c r="T345" i="11" s="1"/>
  <c r="T346" i="11" s="1"/>
  <c r="T347" i="11" s="1"/>
  <c r="T348" i="11" s="1"/>
  <c r="T349" i="11" s="1"/>
  <c r="T350" i="11" s="1"/>
  <c r="T351" i="11" s="1"/>
  <c r="T352" i="11" s="1"/>
  <c r="T353" i="11" s="1"/>
  <c r="T354" i="11" s="1"/>
  <c r="T355" i="11" s="1"/>
  <c r="T356" i="11" s="1"/>
  <c r="T357" i="11" s="1"/>
  <c r="T358" i="11" s="1"/>
  <c r="T359" i="11" s="1"/>
  <c r="T360" i="11" s="1"/>
  <c r="T361" i="11" s="1"/>
  <c r="T362" i="11" s="1"/>
  <c r="T363" i="11" s="1"/>
  <c r="T364" i="11" s="1"/>
  <c r="T365" i="11" s="1"/>
  <c r="T366" i="11" s="1"/>
  <c r="T367" i="11" s="1"/>
  <c r="T368" i="11" s="1"/>
  <c r="T369" i="11" s="1"/>
  <c r="T370" i="11" s="1"/>
  <c r="T371" i="11" s="1"/>
  <c r="T372" i="11" s="1"/>
  <c r="T373" i="11" s="1"/>
  <c r="T374" i="11" s="1"/>
  <c r="T375" i="11" s="1"/>
  <c r="T376" i="11" s="1"/>
  <c r="T377" i="11" s="1"/>
  <c r="T378" i="11" s="1"/>
  <c r="T379" i="11" s="1"/>
  <c r="T380" i="11" s="1"/>
  <c r="T381" i="11" s="1"/>
  <c r="T382" i="11" s="1"/>
  <c r="T383" i="11" s="1"/>
  <c r="T384" i="11" s="1"/>
  <c r="T385" i="11" s="1"/>
  <c r="T386" i="11" s="1"/>
  <c r="T387" i="11" s="1"/>
  <c r="T388" i="11" s="1"/>
  <c r="T389" i="11" s="1"/>
  <c r="T390" i="11" s="1"/>
  <c r="T391" i="11" s="1"/>
  <c r="T392" i="11" s="1"/>
  <c r="T393" i="11" s="1"/>
  <c r="T394" i="11" s="1"/>
  <c r="T395" i="11" s="1"/>
  <c r="T396" i="11" s="1"/>
  <c r="T397" i="11" s="1"/>
  <c r="T398" i="11" s="1"/>
  <c r="T399" i="11" s="1"/>
  <c r="T400" i="11" s="1"/>
  <c r="T401" i="11" s="1"/>
  <c r="T402" i="11" s="1"/>
  <c r="T403" i="11" s="1"/>
  <c r="T404" i="11" s="1"/>
  <c r="T405" i="11" s="1"/>
  <c r="T406" i="11" s="1"/>
  <c r="T407" i="11" s="1"/>
  <c r="T408" i="11" s="1"/>
  <c r="T409" i="11" s="1"/>
  <c r="T410" i="11" s="1"/>
  <c r="T411" i="11" s="1"/>
  <c r="T412" i="11" s="1"/>
  <c r="T413" i="11" s="1"/>
  <c r="T414" i="11" s="1"/>
  <c r="T415" i="11" s="1"/>
  <c r="T416" i="11" s="1"/>
  <c r="T417" i="11" s="1"/>
  <c r="T418" i="11" s="1"/>
  <c r="T419" i="11" s="1"/>
  <c r="T420" i="11" s="1"/>
  <c r="T421" i="11" s="1"/>
  <c r="T422" i="11" s="1"/>
  <c r="T423" i="11" s="1"/>
  <c r="T424" i="11" s="1"/>
  <c r="T425" i="11" s="1"/>
  <c r="T426" i="11" s="1"/>
  <c r="T427" i="11" s="1"/>
  <c r="T428" i="11" s="1"/>
  <c r="T429" i="11" s="1"/>
  <c r="T430" i="11" s="1"/>
  <c r="T431" i="11" s="1"/>
  <c r="T432" i="11" s="1"/>
  <c r="T433" i="11" s="1"/>
  <c r="T434" i="11" s="1"/>
  <c r="T435" i="11" s="1"/>
  <c r="T436" i="11" s="1"/>
  <c r="T437" i="11" s="1"/>
  <c r="T438" i="11" s="1"/>
  <c r="T439" i="11" s="1"/>
  <c r="T440" i="11" s="1"/>
  <c r="T441" i="11" s="1"/>
  <c r="T442" i="11" s="1"/>
  <c r="T443" i="11" s="1"/>
  <c r="T444" i="11" s="1"/>
  <c r="T445" i="11" s="1"/>
  <c r="T446" i="11" s="1"/>
  <c r="T447" i="11" s="1"/>
  <c r="T448" i="11" s="1"/>
  <c r="T449" i="11" s="1"/>
  <c r="T450" i="11" s="1"/>
  <c r="T451" i="11" s="1"/>
  <c r="T452" i="11" s="1"/>
  <c r="T453" i="11" s="1"/>
  <c r="T454" i="11" s="1"/>
  <c r="T455" i="11" s="1"/>
  <c r="T456" i="11" s="1"/>
  <c r="T457" i="11" s="1"/>
  <c r="T458" i="11" s="1"/>
  <c r="T459" i="11" s="1"/>
  <c r="T460" i="11" s="1"/>
  <c r="T461" i="11" s="1"/>
  <c r="T462" i="11" s="1"/>
  <c r="T463" i="11" s="1"/>
  <c r="T464" i="11" s="1"/>
  <c r="T465" i="11" s="1"/>
  <c r="T466" i="11" s="1"/>
  <c r="T467" i="11" s="1"/>
  <c r="T468" i="11" s="1"/>
  <c r="T469" i="11" s="1"/>
  <c r="T470" i="11" s="1"/>
  <c r="T471" i="11" s="1"/>
  <c r="T472" i="11" s="1"/>
  <c r="T473" i="11" s="1"/>
  <c r="T474" i="11" s="1"/>
  <c r="T475" i="11" s="1"/>
  <c r="T476" i="11" s="1"/>
  <c r="T477" i="11" s="1"/>
  <c r="T478" i="11" s="1"/>
  <c r="T479" i="11" s="1"/>
  <c r="T480" i="11" s="1"/>
  <c r="T481" i="11" s="1"/>
  <c r="T482" i="11" s="1"/>
  <c r="T483" i="11" s="1"/>
  <c r="T484" i="11" s="1"/>
  <c r="T485" i="11" s="1"/>
  <c r="T486" i="11" s="1"/>
  <c r="T487" i="11" s="1"/>
  <c r="T488" i="11" s="1"/>
  <c r="T489" i="11" s="1"/>
  <c r="T490" i="11" s="1"/>
  <c r="T491" i="11" s="1"/>
  <c r="T492" i="11" s="1"/>
  <c r="T493" i="11" s="1"/>
  <c r="T494" i="11" s="1"/>
  <c r="T495" i="11" s="1"/>
  <c r="T496" i="11" s="1"/>
  <c r="T497" i="11" s="1"/>
  <c r="T498" i="11" s="1"/>
  <c r="T499" i="11" s="1"/>
  <c r="T500" i="11" s="1"/>
  <c r="T501" i="11" s="1"/>
  <c r="T502" i="11" s="1"/>
  <c r="T503" i="11" s="1"/>
  <c r="T504" i="11" s="1"/>
  <c r="T505" i="11" s="1"/>
  <c r="T506" i="11" s="1"/>
  <c r="T507" i="11" s="1"/>
  <c r="T508" i="11" s="1"/>
  <c r="T509" i="11" s="1"/>
  <c r="T510" i="11" s="1"/>
  <c r="T511" i="11" s="1"/>
  <c r="T512" i="11" s="1"/>
  <c r="N31" i="11"/>
  <c r="O31" i="11" s="1"/>
  <c r="AK633" i="11" l="1"/>
  <c r="AK226" i="11"/>
  <c r="AK711" i="11"/>
  <c r="AK93" i="11"/>
  <c r="AK842" i="11"/>
  <c r="AK648" i="11"/>
  <c r="AK735" i="11"/>
  <c r="AK317" i="11"/>
  <c r="AK319" i="11"/>
  <c r="AK764" i="11"/>
  <c r="AK252" i="11"/>
  <c r="AK107" i="11"/>
  <c r="AK33" i="11"/>
  <c r="AK652" i="11"/>
  <c r="AK679" i="11"/>
  <c r="AK303" i="11"/>
  <c r="AK583" i="11"/>
  <c r="AK112" i="11"/>
  <c r="AK469" i="11"/>
  <c r="AK623" i="11"/>
  <c r="AK244" i="11"/>
  <c r="AK600" i="11"/>
  <c r="AK590" i="11"/>
  <c r="AK341" i="11"/>
  <c r="AK111" i="11"/>
  <c r="AK692" i="11"/>
  <c r="AK167" i="11"/>
  <c r="AK343" i="11"/>
  <c r="AK716" i="11"/>
  <c r="AK160" i="11"/>
  <c r="AK810" i="11"/>
  <c r="AK35" i="11"/>
  <c r="AK423" i="11"/>
  <c r="AK331" i="11"/>
  <c r="AK916" i="11"/>
  <c r="AK458" i="11"/>
  <c r="AK597" i="11"/>
  <c r="AK712" i="11"/>
  <c r="AK207" i="11"/>
  <c r="AK531" i="11"/>
  <c r="AK427" i="11"/>
  <c r="AK713" i="11"/>
  <c r="AK297" i="11"/>
  <c r="AK567" i="11"/>
  <c r="AK815" i="11"/>
  <c r="AK839" i="11"/>
  <c r="AK326" i="11"/>
  <c r="AK592" i="11"/>
  <c r="AK315" i="11"/>
  <c r="AK63" i="11"/>
  <c r="AK31" i="11"/>
  <c r="AK498" i="11"/>
  <c r="AK513" i="11"/>
  <c r="AK418" i="11"/>
  <c r="AK198" i="11"/>
  <c r="AK37" i="11"/>
  <c r="AK216" i="11"/>
  <c r="AK655" i="11"/>
  <c r="AK379" i="11"/>
  <c r="AK412" i="11"/>
  <c r="AK342" i="11"/>
  <c r="AK577" i="11"/>
  <c r="AK220" i="11"/>
  <c r="AK348" i="11"/>
  <c r="AK929" i="11"/>
  <c r="AK398" i="11"/>
  <c r="AK770" i="11"/>
  <c r="AK732" i="11"/>
  <c r="AK74" i="11"/>
  <c r="AK514" i="11"/>
  <c r="AK588" i="11"/>
  <c r="AK416" i="11"/>
  <c r="AK557" i="11"/>
  <c r="AK749" i="11"/>
  <c r="AK649" i="11"/>
  <c r="AK566" i="11"/>
  <c r="AK266" i="11"/>
  <c r="AK875" i="11"/>
  <c r="AK136" i="11"/>
  <c r="AK593" i="11"/>
  <c r="AK825" i="11"/>
  <c r="AK813" i="11"/>
  <c r="AK676" i="11"/>
  <c r="AK680" i="11"/>
  <c r="AK602" i="11"/>
  <c r="AK858" i="11"/>
  <c r="AK731" i="11"/>
  <c r="AK402" i="11"/>
  <c r="AK130" i="11"/>
  <c r="AK782" i="11"/>
  <c r="AK779" i="11"/>
  <c r="AK517" i="11"/>
  <c r="AK773" i="11"/>
  <c r="AK635" i="11"/>
  <c r="AK350" i="11"/>
  <c r="AK138" i="11"/>
  <c r="AK796" i="11"/>
  <c r="AK627" i="11"/>
  <c r="AK788" i="11"/>
  <c r="AK337" i="11"/>
  <c r="AK738" i="11"/>
  <c r="AK391" i="11"/>
  <c r="AK265" i="11"/>
  <c r="AK879" i="11"/>
  <c r="AK381" i="11"/>
  <c r="AK158" i="11"/>
  <c r="AK126" i="11"/>
  <c r="AK551" i="11"/>
  <c r="AK547" i="11"/>
  <c r="AK432" i="11"/>
  <c r="AK333" i="11"/>
  <c r="AK500" i="11"/>
  <c r="AK923" i="11"/>
  <c r="AK821" i="11"/>
  <c r="AK152" i="11"/>
  <c r="AK526" i="11"/>
  <c r="AK328" i="11"/>
  <c r="AK353" i="11"/>
  <c r="AK443" i="11"/>
  <c r="AK316" i="11"/>
  <c r="AK659" i="11"/>
  <c r="AK511" i="11"/>
  <c r="AK320" i="11"/>
  <c r="AK237" i="11"/>
  <c r="AK282" i="11"/>
  <c r="AK754" i="11"/>
  <c r="AK786" i="11"/>
  <c r="AK230" i="11"/>
  <c r="AK176" i="11"/>
  <c r="AK204" i="11"/>
  <c r="AK840" i="11"/>
  <c r="AK367" i="11"/>
  <c r="AK186" i="11"/>
  <c r="AK584" i="11"/>
  <c r="AK550" i="11"/>
  <c r="AK369" i="11"/>
  <c r="AK247" i="11"/>
  <c r="AK279" i="11"/>
  <c r="AK87" i="11"/>
  <c r="AK917" i="11"/>
  <c r="AK903" i="11"/>
  <c r="AK210" i="11"/>
  <c r="AK504" i="11"/>
  <c r="AK307" i="11"/>
  <c r="AK466" i="11"/>
  <c r="AK144" i="11"/>
  <c r="AK772" i="11"/>
  <c r="AK737" i="11"/>
  <c r="AK434" i="11"/>
  <c r="AK549" i="11"/>
  <c r="AK845" i="11"/>
  <c r="AK184" i="11"/>
  <c r="AK580" i="11"/>
  <c r="AF31" i="11"/>
  <c r="AJ31" i="11" s="1"/>
  <c r="Q31" i="11"/>
  <c r="X31" i="11"/>
  <c r="AK650" i="11"/>
  <c r="AK616" i="11"/>
  <c r="AK463" i="11"/>
  <c r="AK552" i="11"/>
  <c r="AK109" i="11"/>
  <c r="AK358" i="11"/>
  <c r="AK149" i="11"/>
  <c r="AK295" i="11"/>
  <c r="AK843" i="11"/>
  <c r="AK801" i="11"/>
  <c r="AK893" i="11"/>
  <c r="AK503" i="11"/>
  <c r="AK746" i="11"/>
  <c r="AK759" i="11"/>
  <c r="AK570" i="11"/>
  <c r="AK59" i="11"/>
  <c r="AK461" i="11"/>
  <c r="AK345" i="11"/>
  <c r="AK452" i="11"/>
  <c r="AK462" i="11"/>
  <c r="AK630" i="11"/>
  <c r="AK640" i="11"/>
  <c r="AK321" i="11"/>
  <c r="AK403" i="11"/>
  <c r="AK507" i="11"/>
  <c r="AK190" i="11"/>
  <c r="AK339" i="11"/>
  <c r="AK748" i="11"/>
  <c r="AK873" i="11"/>
  <c r="AK285" i="11"/>
  <c r="AK864" i="11"/>
  <c r="AK776" i="11"/>
  <c r="AK546" i="11"/>
  <c r="AK624" i="11"/>
  <c r="AK645" i="11"/>
  <c r="AK670" i="11"/>
  <c r="AK745" i="11"/>
  <c r="AK206" i="11"/>
  <c r="AK62" i="11"/>
  <c r="AK774" i="11"/>
  <c r="AK335" i="11"/>
  <c r="AK213" i="11"/>
  <c r="AK536" i="11"/>
  <c r="AK542" i="11"/>
  <c r="AK767" i="11"/>
  <c r="AK698" i="11"/>
  <c r="AK399" i="11"/>
  <c r="AK666" i="11"/>
  <c r="AK762" i="11"/>
  <c r="AK270" i="11"/>
  <c r="AK620" i="11"/>
  <c r="AK582" i="11"/>
  <c r="AK118" i="11"/>
  <c r="AK664" i="11"/>
  <c r="AK925" i="11"/>
  <c r="AK233" i="11"/>
  <c r="T513" i="11"/>
  <c r="T514" i="11" s="1"/>
  <c r="T515" i="11" s="1"/>
  <c r="T516" i="11" s="1"/>
  <c r="T517" i="11" s="1"/>
  <c r="T518" i="11" s="1"/>
  <c r="T519" i="11" s="1"/>
  <c r="T520" i="11" s="1"/>
  <c r="T521" i="11" s="1"/>
  <c r="T522" i="11" s="1"/>
  <c r="T523" i="11" s="1"/>
  <c r="T524" i="11" s="1"/>
  <c r="T525" i="11" s="1"/>
  <c r="T526" i="11" s="1"/>
  <c r="T527" i="11" s="1"/>
  <c r="T528" i="11" s="1"/>
  <c r="T529" i="11" s="1"/>
  <c r="T530" i="11" s="1"/>
  <c r="T531" i="11" s="1"/>
  <c r="T532" i="11" s="1"/>
  <c r="T533" i="11" s="1"/>
  <c r="T534" i="11" s="1"/>
  <c r="T535" i="11" s="1"/>
  <c r="T536" i="11" s="1"/>
  <c r="T537" i="11" s="1"/>
  <c r="T538" i="11" s="1"/>
  <c r="T539" i="11" s="1"/>
  <c r="T540" i="11" s="1"/>
  <c r="T541" i="11" s="1"/>
  <c r="T542" i="11" s="1"/>
  <c r="T543" i="11" s="1"/>
  <c r="T544" i="11" s="1"/>
  <c r="T545" i="11" s="1"/>
  <c r="T546" i="11" s="1"/>
  <c r="T547" i="11" s="1"/>
  <c r="T548" i="11" s="1"/>
  <c r="T549" i="11" s="1"/>
  <c r="T550" i="11" s="1"/>
  <c r="T551" i="11" s="1"/>
  <c r="T552" i="11" s="1"/>
  <c r="T553" i="11" s="1"/>
  <c r="T554" i="11" s="1"/>
  <c r="T555" i="11" s="1"/>
  <c r="T556" i="11" s="1"/>
  <c r="T557" i="11" s="1"/>
  <c r="T558" i="11" s="1"/>
  <c r="T559" i="11" s="1"/>
  <c r="T560" i="11" s="1"/>
  <c r="T561" i="11" s="1"/>
  <c r="T562" i="11" s="1"/>
  <c r="T563" i="11" s="1"/>
  <c r="T564" i="11" s="1"/>
  <c r="T565" i="11" s="1"/>
  <c r="T566" i="11" s="1"/>
  <c r="T567" i="11" s="1"/>
  <c r="T568" i="11" s="1"/>
  <c r="T569" i="11" s="1"/>
  <c r="T570" i="11" s="1"/>
  <c r="T571" i="11" s="1"/>
  <c r="T572" i="11" s="1"/>
  <c r="T573" i="11" s="1"/>
  <c r="T574" i="11" s="1"/>
  <c r="T575" i="11" s="1"/>
  <c r="T576" i="11" s="1"/>
  <c r="T577" i="11" s="1"/>
  <c r="T578" i="11" s="1"/>
  <c r="T579" i="11" s="1"/>
  <c r="T580" i="11" s="1"/>
  <c r="T581" i="11" s="1"/>
  <c r="T582" i="11" s="1"/>
  <c r="T583" i="11" s="1"/>
  <c r="T584" i="11" s="1"/>
  <c r="T585" i="11" s="1"/>
  <c r="T586" i="11" s="1"/>
  <c r="T587" i="11" s="1"/>
  <c r="T588" i="11" s="1"/>
  <c r="T589" i="11" s="1"/>
  <c r="T590" i="11" s="1"/>
  <c r="T591" i="11" s="1"/>
  <c r="T592" i="11" s="1"/>
  <c r="T593" i="11" s="1"/>
  <c r="T594" i="11" s="1"/>
  <c r="T595" i="11" s="1"/>
  <c r="T596" i="11" s="1"/>
  <c r="T597" i="11" s="1"/>
  <c r="T598" i="11" s="1"/>
  <c r="T599" i="11" s="1"/>
  <c r="T600" i="11" s="1"/>
  <c r="T601" i="11" s="1"/>
  <c r="T602" i="11" s="1"/>
  <c r="T603" i="11" s="1"/>
  <c r="T604" i="11" s="1"/>
  <c r="T605" i="11" s="1"/>
  <c r="T606" i="11" s="1"/>
  <c r="T607" i="11" s="1"/>
  <c r="T608" i="11" s="1"/>
  <c r="T609" i="11" s="1"/>
  <c r="T610" i="11" s="1"/>
  <c r="T611" i="11" s="1"/>
  <c r="T612" i="11" s="1"/>
  <c r="T613" i="11" s="1"/>
  <c r="T614" i="11" s="1"/>
  <c r="T615" i="11" s="1"/>
  <c r="T616" i="11" s="1"/>
  <c r="T617" i="11" s="1"/>
  <c r="T618" i="11" s="1"/>
  <c r="T619" i="11" s="1"/>
  <c r="T620" i="11" s="1"/>
  <c r="T621" i="11" s="1"/>
  <c r="T622" i="11" s="1"/>
  <c r="T623" i="11" s="1"/>
  <c r="T624" i="11" s="1"/>
  <c r="T625" i="11" s="1"/>
  <c r="T626" i="11" s="1"/>
  <c r="T627" i="11" s="1"/>
  <c r="T628" i="11" s="1"/>
  <c r="T629" i="11" s="1"/>
  <c r="T630" i="11" s="1"/>
  <c r="T631" i="11" s="1"/>
  <c r="T632" i="11" s="1"/>
  <c r="T633" i="11" s="1"/>
  <c r="T634" i="11" s="1"/>
  <c r="T635" i="11" s="1"/>
  <c r="T636" i="11" s="1"/>
  <c r="T637" i="11" s="1"/>
  <c r="T638" i="11" s="1"/>
  <c r="T639" i="11" s="1"/>
  <c r="T640" i="11" s="1"/>
  <c r="T641" i="11" s="1"/>
  <c r="T642" i="11" s="1"/>
  <c r="T643" i="11" s="1"/>
  <c r="T644" i="11" s="1"/>
  <c r="T645" i="11" s="1"/>
  <c r="T646" i="11" s="1"/>
  <c r="T647" i="11" s="1"/>
  <c r="T648" i="11" s="1"/>
  <c r="T649" i="11" s="1"/>
  <c r="T650" i="11" s="1"/>
  <c r="T651" i="11" s="1"/>
  <c r="T652" i="11" s="1"/>
  <c r="T653" i="11" s="1"/>
  <c r="T654" i="11" s="1"/>
  <c r="T655" i="11" s="1"/>
  <c r="T656" i="11" s="1"/>
  <c r="T657" i="11" s="1"/>
  <c r="T658" i="11" s="1"/>
  <c r="T659" i="11" s="1"/>
  <c r="T660" i="11" s="1"/>
  <c r="T661" i="11" s="1"/>
  <c r="T662" i="11" s="1"/>
  <c r="T663" i="11" s="1"/>
  <c r="T664" i="11" s="1"/>
  <c r="T665" i="11" s="1"/>
  <c r="T666" i="11" s="1"/>
  <c r="T667" i="11" s="1"/>
  <c r="T668" i="11" s="1"/>
  <c r="T669" i="11" s="1"/>
  <c r="T670" i="11" s="1"/>
  <c r="T671" i="11" s="1"/>
  <c r="T672" i="11" s="1"/>
  <c r="T673" i="11" s="1"/>
  <c r="T674" i="11" s="1"/>
  <c r="T675" i="11" s="1"/>
  <c r="T676" i="11" s="1"/>
  <c r="T677" i="11" s="1"/>
  <c r="T678" i="11" s="1"/>
  <c r="T679" i="11" s="1"/>
  <c r="T680" i="11" s="1"/>
  <c r="T681" i="11" s="1"/>
  <c r="T682" i="11" s="1"/>
  <c r="T683" i="11" s="1"/>
  <c r="T684" i="11" s="1"/>
  <c r="T685" i="11" s="1"/>
  <c r="T686" i="11" s="1"/>
  <c r="T687" i="11" s="1"/>
  <c r="T688" i="11" s="1"/>
  <c r="T689" i="11" s="1"/>
  <c r="T690" i="11" s="1"/>
  <c r="T691" i="11" s="1"/>
  <c r="T692" i="11" s="1"/>
  <c r="T693" i="11" s="1"/>
  <c r="T694" i="11" s="1"/>
  <c r="T695" i="11" s="1"/>
  <c r="T696" i="11" s="1"/>
  <c r="T697" i="11" s="1"/>
  <c r="T698" i="11" s="1"/>
  <c r="T699" i="11" s="1"/>
  <c r="T700" i="11" s="1"/>
  <c r="T701" i="11" s="1"/>
  <c r="T702" i="11" s="1"/>
  <c r="T703" i="11" s="1"/>
  <c r="T704" i="11" s="1"/>
  <c r="T705" i="11" s="1"/>
  <c r="T706" i="11" s="1"/>
  <c r="T707" i="11" s="1"/>
  <c r="T708" i="11" s="1"/>
  <c r="T709" i="11" s="1"/>
  <c r="T710" i="11" s="1"/>
  <c r="T711" i="11" s="1"/>
  <c r="T712" i="11" s="1"/>
  <c r="T713" i="11" s="1"/>
  <c r="T714" i="11" s="1"/>
  <c r="T715" i="11" s="1"/>
  <c r="T716" i="11" s="1"/>
  <c r="T717" i="11" s="1"/>
  <c r="T718" i="11" s="1"/>
  <c r="T719" i="11" s="1"/>
  <c r="T720" i="11" s="1"/>
  <c r="T721" i="11" s="1"/>
  <c r="T722" i="11" s="1"/>
  <c r="T723" i="11" s="1"/>
  <c r="T724" i="11" s="1"/>
  <c r="T725" i="11" s="1"/>
  <c r="T726" i="11" s="1"/>
  <c r="T727" i="11" s="1"/>
  <c r="T728" i="11" s="1"/>
  <c r="T729" i="11" s="1"/>
  <c r="T730" i="11" s="1"/>
  <c r="T731" i="11" s="1"/>
  <c r="T732" i="11" s="1"/>
  <c r="T733" i="11" s="1"/>
  <c r="T734" i="11" s="1"/>
  <c r="T735" i="11" s="1"/>
  <c r="T736" i="11" s="1"/>
  <c r="T737" i="11" s="1"/>
  <c r="T738" i="11" s="1"/>
  <c r="T739" i="11" s="1"/>
  <c r="T740" i="11" s="1"/>
  <c r="T741" i="11" s="1"/>
  <c r="T742" i="11" s="1"/>
  <c r="T743" i="11" s="1"/>
  <c r="T744" i="11" s="1"/>
  <c r="T745" i="11" s="1"/>
  <c r="T746" i="11" s="1"/>
  <c r="T747" i="11" s="1"/>
  <c r="T748" i="11" s="1"/>
  <c r="T749" i="11" s="1"/>
  <c r="T750" i="11" s="1"/>
  <c r="T751" i="11" s="1"/>
  <c r="T752" i="11" s="1"/>
  <c r="T753" i="11" s="1"/>
  <c r="T754" i="11" s="1"/>
  <c r="T755" i="11" s="1"/>
  <c r="T756" i="11" s="1"/>
  <c r="T757" i="11" s="1"/>
  <c r="T758" i="11" s="1"/>
  <c r="T759" i="11" s="1"/>
  <c r="T760" i="11" s="1"/>
  <c r="T761" i="11" s="1"/>
  <c r="T762" i="11" s="1"/>
  <c r="T763" i="11" s="1"/>
  <c r="T764" i="11" s="1"/>
  <c r="T765" i="11" s="1"/>
  <c r="T766" i="11" s="1"/>
  <c r="T767" i="11" s="1"/>
  <c r="T768" i="11" s="1"/>
  <c r="T769" i="11" s="1"/>
  <c r="T770" i="11" s="1"/>
  <c r="T771" i="11" s="1"/>
  <c r="T772" i="11" s="1"/>
  <c r="T773" i="11" s="1"/>
  <c r="T774" i="11" s="1"/>
  <c r="T775" i="11" s="1"/>
  <c r="T776" i="11" s="1"/>
  <c r="T777" i="11" s="1"/>
  <c r="T778" i="11" s="1"/>
  <c r="T779" i="11" s="1"/>
  <c r="T780" i="11" s="1"/>
  <c r="T781" i="11" s="1"/>
  <c r="T782" i="11" s="1"/>
  <c r="T783" i="11" s="1"/>
  <c r="T784" i="11" s="1"/>
  <c r="T785" i="11" s="1"/>
  <c r="T786" i="11" s="1"/>
  <c r="T787" i="11" s="1"/>
  <c r="T788" i="11" s="1"/>
  <c r="T789" i="11" s="1"/>
  <c r="T790" i="11" s="1"/>
  <c r="T791" i="11" s="1"/>
  <c r="T792" i="11" s="1"/>
  <c r="T793" i="11" s="1"/>
  <c r="T794" i="11" s="1"/>
  <c r="T795" i="11" s="1"/>
  <c r="T796" i="11" s="1"/>
  <c r="T797" i="11" s="1"/>
  <c r="T798" i="11" s="1"/>
  <c r="T799" i="11" s="1"/>
  <c r="T800" i="11" s="1"/>
  <c r="T801" i="11" s="1"/>
  <c r="T802" i="11" s="1"/>
  <c r="T803" i="11" s="1"/>
  <c r="T804" i="11" s="1"/>
  <c r="T805" i="11" s="1"/>
  <c r="T806" i="11" s="1"/>
  <c r="T807" i="11" s="1"/>
  <c r="T808" i="11" s="1"/>
  <c r="T809" i="11" s="1"/>
  <c r="T810" i="11" s="1"/>
  <c r="T811" i="11" s="1"/>
  <c r="T812" i="11" s="1"/>
  <c r="T813" i="11" s="1"/>
  <c r="T814" i="11" s="1"/>
  <c r="T815" i="11" s="1"/>
  <c r="T816" i="11" s="1"/>
  <c r="T817" i="11" s="1"/>
  <c r="T818" i="11" s="1"/>
  <c r="T819" i="11" s="1"/>
  <c r="T820" i="11" s="1"/>
  <c r="T821" i="11" s="1"/>
  <c r="T822" i="11" s="1"/>
  <c r="T823" i="11" s="1"/>
  <c r="T824" i="11" s="1"/>
  <c r="T825" i="11" s="1"/>
  <c r="T826" i="11" s="1"/>
  <c r="T827" i="11" s="1"/>
  <c r="T828" i="11" s="1"/>
  <c r="T829" i="11" s="1"/>
  <c r="T830" i="11" s="1"/>
  <c r="T831" i="11" s="1"/>
  <c r="T832" i="11" s="1"/>
  <c r="T833" i="11" s="1"/>
  <c r="T834" i="11" s="1"/>
  <c r="T835" i="11" s="1"/>
  <c r="T836" i="11" s="1"/>
  <c r="T837" i="11" s="1"/>
  <c r="T838" i="11" s="1"/>
  <c r="T839" i="11" s="1"/>
  <c r="T840" i="11" s="1"/>
  <c r="T841" i="11" s="1"/>
  <c r="T842" i="11" s="1"/>
  <c r="T843" i="11" s="1"/>
  <c r="T844" i="11" s="1"/>
  <c r="T845" i="11" s="1"/>
  <c r="T846" i="11" s="1"/>
  <c r="T847" i="11" s="1"/>
  <c r="T848" i="11" s="1"/>
  <c r="T849" i="11" s="1"/>
  <c r="T850" i="11" s="1"/>
  <c r="T851" i="11" s="1"/>
  <c r="T852" i="11" s="1"/>
  <c r="T853" i="11" s="1"/>
  <c r="T854" i="11" s="1"/>
  <c r="T855" i="11" s="1"/>
  <c r="T856" i="11" s="1"/>
  <c r="T857" i="11" s="1"/>
  <c r="T858" i="11" s="1"/>
  <c r="T859" i="11" s="1"/>
  <c r="T860" i="11" s="1"/>
  <c r="T861" i="11" s="1"/>
  <c r="T862" i="11" s="1"/>
  <c r="T863" i="11" s="1"/>
  <c r="T864" i="11" s="1"/>
  <c r="T865" i="11" s="1"/>
  <c r="T866" i="11" s="1"/>
  <c r="T867" i="11" s="1"/>
  <c r="T868" i="11" s="1"/>
  <c r="T869" i="11" s="1"/>
  <c r="T870" i="11" s="1"/>
  <c r="T871" i="11" s="1"/>
  <c r="T872" i="11" s="1"/>
  <c r="T873" i="11" s="1"/>
  <c r="T874" i="11" s="1"/>
  <c r="T875" i="11" s="1"/>
  <c r="T876" i="11" s="1"/>
  <c r="T877" i="11" s="1"/>
  <c r="T878" i="11" s="1"/>
  <c r="T879" i="11" s="1"/>
  <c r="T880" i="11" s="1"/>
  <c r="T881" i="11" s="1"/>
  <c r="T882" i="11" s="1"/>
  <c r="T883" i="11" s="1"/>
  <c r="T884" i="11" s="1"/>
  <c r="T885" i="11" s="1"/>
  <c r="T886" i="11" s="1"/>
  <c r="T887" i="11" s="1"/>
  <c r="T888" i="11" s="1"/>
  <c r="T889" i="11" s="1"/>
  <c r="T890" i="11" s="1"/>
  <c r="T891" i="11" s="1"/>
  <c r="T892" i="11" s="1"/>
  <c r="T893" i="11" s="1"/>
  <c r="T894" i="11" s="1"/>
  <c r="T895" i="11" s="1"/>
  <c r="T896" i="11" s="1"/>
  <c r="T897" i="11" s="1"/>
  <c r="T898" i="11" s="1"/>
  <c r="T899" i="11" s="1"/>
  <c r="T900" i="11" s="1"/>
  <c r="T901" i="11" s="1"/>
  <c r="T902" i="11" s="1"/>
  <c r="T903" i="11" s="1"/>
  <c r="T904" i="11" s="1"/>
  <c r="T905" i="11" s="1"/>
  <c r="T906" i="11" s="1"/>
  <c r="T907" i="11" s="1"/>
  <c r="T908" i="11" s="1"/>
  <c r="T909" i="11" s="1"/>
  <c r="T910" i="11" s="1"/>
  <c r="T911" i="11" s="1"/>
  <c r="T912" i="11" s="1"/>
  <c r="T913" i="11" s="1"/>
  <c r="T914" i="11" s="1"/>
  <c r="T915" i="11" s="1"/>
  <c r="T916" i="11" s="1"/>
  <c r="T917" i="11" s="1"/>
  <c r="T918" i="11" s="1"/>
  <c r="T919" i="11" s="1"/>
  <c r="T920" i="11" s="1"/>
  <c r="T921" i="11" s="1"/>
  <c r="T922" i="11" s="1"/>
  <c r="T923" i="11" s="1"/>
  <c r="T924" i="11" s="1"/>
  <c r="T925" i="11" s="1"/>
  <c r="T926" i="11" s="1"/>
  <c r="T927" i="11" s="1"/>
  <c r="T928" i="11" s="1"/>
  <c r="T929" i="11" s="1"/>
  <c r="AK465" i="11"/>
  <c r="AK155" i="11"/>
  <c r="AK725" i="11"/>
  <c r="AK306" i="11"/>
  <c r="AK761" i="11"/>
  <c r="AK246" i="11"/>
  <c r="AK482" i="11"/>
  <c r="AK166" i="11"/>
  <c r="AK82" i="11"/>
  <c r="AK70" i="11"/>
  <c r="AK95" i="11"/>
  <c r="AK124" i="11"/>
  <c r="AK426" i="11"/>
  <c r="AK276" i="11"/>
  <c r="AK914" i="11"/>
  <c r="AK86" i="11"/>
  <c r="AK634" i="11"/>
  <c r="AK505" i="11"/>
  <c r="AK870" i="11"/>
  <c r="AK51" i="11"/>
  <c r="AK809" i="11"/>
  <c r="AK876" i="11"/>
  <c r="AK34" i="11"/>
  <c r="AK170" i="11"/>
  <c r="AK422" i="11"/>
  <c r="AK780" i="11"/>
  <c r="AK683" i="11"/>
  <c r="AK288" i="11"/>
  <c r="AK454" i="11"/>
  <c r="AK823" i="11"/>
  <c r="AK363" i="11"/>
  <c r="AK535" i="11"/>
  <c r="AK768" i="11"/>
  <c r="AK522" i="11"/>
  <c r="AK409" i="11"/>
  <c r="AK355" i="11"/>
  <c r="AK90" i="11"/>
  <c r="AK375" i="11"/>
  <c r="AK578" i="11"/>
  <c r="AK255" i="11"/>
  <c r="AK753" i="11"/>
  <c r="AK714" i="11"/>
  <c r="AK340" i="11"/>
  <c r="AK886" i="11"/>
  <c r="AK311" i="11"/>
  <c r="AK837" i="11"/>
  <c r="AK221" i="11"/>
  <c r="AK263" i="11"/>
  <c r="AK41" i="11"/>
  <c r="AK487" i="11"/>
  <c r="AK869" i="11"/>
  <c r="AK574" i="11"/>
  <c r="AK656" i="11"/>
  <c r="AK274" i="11"/>
  <c r="AK251" i="11"/>
  <c r="AK202" i="11"/>
  <c r="AK857" i="11"/>
  <c r="AK784" i="11"/>
  <c r="AK709" i="11"/>
  <c r="AK653" i="11"/>
  <c r="AK232" i="11"/>
  <c r="AK865" i="11"/>
  <c r="AK601" i="11"/>
  <c r="AK847" i="11"/>
  <c r="AK83" i="11"/>
  <c r="AK518" i="11"/>
  <c r="AK891" i="11"/>
  <c r="AK832" i="11"/>
  <c r="AK610" i="11"/>
  <c r="AK404" i="11"/>
  <c r="AK621" i="11"/>
  <c r="AK826" i="11"/>
  <c r="AK476" i="11"/>
  <c r="AK400" i="11"/>
  <c r="AK88" i="11"/>
  <c r="AK665" i="11"/>
  <c r="AK911" i="11"/>
  <c r="AK533" i="11"/>
  <c r="AK264" i="11"/>
  <c r="AK314" i="11"/>
  <c r="AK510" i="11"/>
  <c r="AK228" i="11"/>
  <c r="AK878" i="11"/>
  <c r="AK538" i="11"/>
  <c r="AK451" i="11"/>
  <c r="AK543" i="11"/>
  <c r="AK660" i="11"/>
  <c r="AK181" i="11"/>
  <c r="AK558" i="11"/>
  <c r="AK678" i="11"/>
  <c r="AK892" i="11"/>
  <c r="AK171" i="11"/>
  <c r="AK236" i="11"/>
  <c r="AK553" i="11"/>
  <c r="AK71" i="11"/>
  <c r="AK97" i="11"/>
  <c r="AK819" i="11"/>
  <c r="AK417" i="11"/>
  <c r="AK760" i="11"/>
  <c r="AK227" i="11"/>
  <c r="AK490" i="11"/>
  <c r="AK89" i="11"/>
  <c r="AK587" i="11"/>
  <c r="AK428" i="11"/>
  <c r="AK435" i="11"/>
  <c r="AK103" i="11"/>
  <c r="AK240" i="11"/>
  <c r="AK563" i="11"/>
  <c r="AK492" i="11"/>
  <c r="AK693" i="11"/>
  <c r="AK64" i="11"/>
  <c r="AK631" i="11"/>
  <c r="AK344" i="11"/>
  <c r="AK39" i="11"/>
  <c r="AK105" i="11"/>
  <c r="AK626" i="11"/>
  <c r="AK608" i="11"/>
  <c r="AK42" i="11"/>
  <c r="AK45" i="11"/>
  <c r="AK816" i="11"/>
  <c r="AK447" i="11"/>
  <c r="AK313" i="11"/>
  <c r="AK364" i="11"/>
  <c r="AK750" i="11"/>
  <c r="AK178" i="11"/>
  <c r="AK703" i="11"/>
  <c r="AK515" i="11"/>
  <c r="AK569" i="11"/>
  <c r="AK131" i="11"/>
  <c r="AK804" i="11"/>
  <c r="AK789" i="11"/>
  <c r="AK791" i="11"/>
  <c r="AK96" i="11"/>
  <c r="AK235" i="11"/>
  <c r="AK257" i="11"/>
  <c r="AK481" i="11"/>
  <c r="AK177" i="11"/>
  <c r="AK78" i="11"/>
  <c r="AK411" i="11"/>
  <c r="AK383" i="11"/>
  <c r="AK641" i="11"/>
  <c r="AK153" i="11"/>
  <c r="AK336" i="11"/>
  <c r="AK629" i="11"/>
  <c r="AK304" i="11"/>
  <c r="AK743" i="11"/>
  <c r="AK242" i="11"/>
  <c r="AK922" i="11"/>
  <c r="AK894" i="11"/>
  <c r="AK573" i="11"/>
  <c r="AK637" i="11"/>
  <c r="AK867" i="11"/>
  <c r="AK84" i="11"/>
  <c r="AK702" i="11"/>
  <c r="AK854" i="11"/>
  <c r="AK281" i="11"/>
  <c r="AK502" i="11"/>
  <c r="AK394" i="11"/>
  <c r="AK471" i="11"/>
  <c r="AK116" i="11"/>
  <c r="AK117" i="11"/>
  <c r="AK475" i="11"/>
  <c r="AK401" i="11"/>
  <c r="AK151" i="11"/>
  <c r="AK769" i="11"/>
  <c r="AK647" i="11"/>
  <c r="AK913" i="11"/>
  <c r="AK127" i="11"/>
  <c r="AK75" i="11"/>
  <c r="AK61" i="11"/>
  <c r="AK881" i="11"/>
  <c r="AK530" i="11"/>
  <c r="AK489" i="11"/>
  <c r="AK855" i="11"/>
  <c r="AK67" i="11"/>
  <c r="AK619" i="11"/>
  <c r="AK831" i="11"/>
  <c r="AK286" i="11"/>
  <c r="AK736" i="11"/>
  <c r="AK224" i="11"/>
  <c r="AK672" i="11"/>
  <c r="AK163" i="11"/>
  <c r="AK414" i="11"/>
  <c r="AK193" i="11"/>
  <c r="AK909" i="11"/>
  <c r="AK444" i="11"/>
  <c r="AK874" i="11"/>
  <c r="AK141" i="11"/>
  <c r="AK833" i="11"/>
  <c r="AK164" i="11"/>
  <c r="AK527" i="11"/>
  <c r="AK771" i="11"/>
  <c r="AK173" i="11"/>
  <c r="AK521" i="11"/>
  <c r="AK757" i="11"/>
  <c r="AK718" i="11"/>
  <c r="AK269" i="11"/>
  <c r="AK820" i="11"/>
  <c r="AK225" i="11"/>
  <c r="AK710" i="11"/>
  <c r="AK721" i="11"/>
  <c r="AK785" i="11"/>
  <c r="AK846" i="11"/>
  <c r="AK373" i="11"/>
  <c r="AK554" i="11"/>
  <c r="AK520" i="11"/>
  <c r="AK802" i="11"/>
  <c r="AK906" i="11"/>
  <c r="AK472" i="11"/>
  <c r="AK828" i="11"/>
  <c r="AK439" i="11"/>
  <c r="AK591" i="11"/>
  <c r="AK32" i="11"/>
  <c r="AK818" i="11"/>
  <c r="AK120" i="11"/>
  <c r="AK687" i="11"/>
  <c r="AK338" i="11"/>
  <c r="AK904" i="11"/>
  <c r="AK575" i="11"/>
  <c r="AK722" i="11"/>
  <c r="AK272" i="11"/>
  <c r="AK474" i="11"/>
  <c r="AK529" i="11"/>
  <c r="AK625" i="11"/>
  <c r="AK739" i="11"/>
  <c r="AK902" i="11"/>
  <c r="AK146" i="11"/>
  <c r="AK191" i="11"/>
  <c r="AK229" i="11"/>
  <c r="AK374" i="11"/>
  <c r="AK299" i="11"/>
  <c r="AK883" i="11"/>
  <c r="AK807" i="11"/>
  <c r="AK194" i="11"/>
  <c r="AK724" i="11"/>
  <c r="AK287" i="11"/>
  <c r="AK751" i="11"/>
  <c r="AK890" i="11"/>
  <c r="AK298" i="11"/>
  <c r="AK742" i="11"/>
  <c r="AK419" i="11"/>
  <c r="AK790" i="11"/>
  <c r="AK258" i="11"/>
  <c r="AK234" i="11"/>
  <c r="AK667" i="11"/>
  <c r="AK254" i="11"/>
  <c r="AK562" i="11"/>
  <c r="AK139" i="11"/>
  <c r="AK844" i="11"/>
  <c r="AK132" i="11"/>
  <c r="AK380" i="11"/>
  <c r="AK860" i="11"/>
  <c r="AK101" i="11"/>
  <c r="AK617" i="11"/>
  <c r="AK275" i="11"/>
  <c r="AK841" i="11"/>
  <c r="AK523" i="11"/>
  <c r="AK455" i="11"/>
  <c r="AK238" i="11"/>
  <c r="AK433" i="11"/>
  <c r="AK741" i="11"/>
  <c r="AK329" i="11"/>
  <c r="AK604" i="11"/>
  <c r="AK312" i="11"/>
  <c r="AK662" i="11"/>
  <c r="AK449" i="11"/>
  <c r="AK905" i="11"/>
  <c r="AK99" i="11"/>
  <c r="AK222" i="11"/>
  <c r="AK393" i="11"/>
  <c r="AK148" i="11"/>
  <c r="AK196" i="11"/>
  <c r="AK581" i="11"/>
  <c r="AK787" i="11"/>
  <c r="AK853" i="11"/>
  <c r="AK179" i="11"/>
  <c r="AK882" i="11"/>
  <c r="AK161" i="11"/>
  <c r="AK259" i="11"/>
  <c r="AK217" i="11"/>
  <c r="AK356" i="11"/>
  <c r="AK682" i="11"/>
  <c r="AK598" i="11"/>
  <c r="AK188" i="11"/>
  <c r="AK817" i="11"/>
  <c r="AK76" i="11"/>
  <c r="AK814" i="11"/>
  <c r="AK133" i="11"/>
  <c r="AK663" i="11"/>
  <c r="AK896" i="11"/>
  <c r="AK607" i="11"/>
  <c r="AK324" i="11"/>
  <c r="AK614" i="11"/>
  <c r="AK169" i="11"/>
  <c r="AK122" i="11"/>
  <c r="AK861" i="11"/>
  <c r="AK420" i="11"/>
  <c r="AK480" i="11"/>
  <c r="AK733" i="11"/>
  <c r="AK332" i="11"/>
  <c r="AK305" i="11"/>
  <c r="AK296" i="11"/>
  <c r="AK885" i="11"/>
  <c r="AK219" i="11"/>
  <c r="AK548" i="11"/>
  <c r="AK438" i="11"/>
  <c r="AK239" i="11"/>
  <c r="AK556" i="11"/>
  <c r="AK413" i="11"/>
  <c r="AK180" i="11"/>
  <c r="AK532" i="11"/>
  <c r="AK205" i="11"/>
  <c r="AK154" i="11"/>
  <c r="AK46" i="11"/>
  <c r="AK69" i="11"/>
  <c r="AK918" i="11"/>
  <c r="AK250" i="11"/>
  <c r="AK805" i="11"/>
  <c r="AK150" i="11"/>
  <c r="AK77" i="11"/>
  <c r="AK145" i="11"/>
  <c r="AK102" i="11"/>
  <c r="AK53" i="11"/>
  <c r="AK448" i="11"/>
  <c r="AK699" i="11"/>
  <c r="AK915" i="11"/>
  <c r="AK459" i="11"/>
  <c r="AK456" i="11"/>
  <c r="Y31" i="11"/>
  <c r="V31" i="11"/>
  <c r="W31" i="11"/>
  <c r="AK744" i="11"/>
  <c r="AK921" i="11"/>
  <c r="AK108" i="11"/>
  <c r="AK579" i="11"/>
  <c r="AK273" i="11"/>
  <c r="AK830" i="11"/>
  <c r="AK730" i="11"/>
  <c r="AK58" i="11"/>
  <c r="AK585" i="11"/>
  <c r="AK323" i="11"/>
  <c r="L33" i="11"/>
  <c r="N32" i="11"/>
  <c r="O32" i="11" s="1"/>
  <c r="U32" i="11"/>
  <c r="AK73" i="11"/>
  <c r="AK445" i="11"/>
  <c r="AK871" i="11"/>
  <c r="AK496" i="11"/>
  <c r="AK642" i="11"/>
  <c r="AK223" i="11"/>
  <c r="AK378" i="11"/>
  <c r="AK135" i="11"/>
  <c r="AK406" i="11"/>
  <c r="AK100" i="11"/>
  <c r="AK643" i="11"/>
  <c r="AK183" i="11"/>
  <c r="AK110" i="11"/>
  <c r="AK114" i="11"/>
  <c r="AK405" i="11"/>
  <c r="AK327" i="11"/>
  <c r="AK555" i="11"/>
  <c r="AK708" i="11"/>
  <c r="AK40" i="11"/>
  <c r="AK808" i="11"/>
  <c r="AK453" i="11"/>
  <c r="AK36" i="11"/>
  <c r="AK156" i="11"/>
  <c r="AK792" i="11"/>
  <c r="AK249" i="11"/>
  <c r="AK695" i="11"/>
  <c r="AK654" i="11"/>
  <c r="AK495" i="11"/>
  <c r="AK262" i="11"/>
  <c r="AK715" i="11"/>
  <c r="AK292" i="11"/>
  <c r="AK377" i="11"/>
  <c r="AK766" i="11"/>
  <c r="AK568" i="11"/>
  <c r="AK812" i="11"/>
  <c r="AK483" i="11"/>
  <c r="AK651" i="11"/>
  <c r="AK330" i="11"/>
  <c r="AK827" i="11"/>
  <c r="AK382" i="11"/>
  <c r="AK800" i="11"/>
  <c r="AK912" i="11"/>
  <c r="AK824" i="11"/>
  <c r="AK795" i="11"/>
  <c r="AK798" i="11"/>
  <c r="AK900" i="11"/>
  <c r="AK470" i="11"/>
  <c r="AK253" i="11"/>
  <c r="AK248" i="11"/>
  <c r="AK387" i="11"/>
  <c r="AK197" i="11"/>
  <c r="AK121" i="11"/>
  <c r="AK271" i="11"/>
  <c r="AK851" i="11"/>
  <c r="AK612" i="11"/>
  <c r="AK486" i="11"/>
  <c r="AK717" i="11"/>
  <c r="AK243" i="11"/>
  <c r="AK256" i="11"/>
  <c r="AK928" i="11"/>
  <c r="AK924" i="11"/>
  <c r="AK81" i="11"/>
  <c r="AK142" i="11"/>
  <c r="AK897" i="11"/>
  <c r="AK675" i="11"/>
  <c r="AK622" i="11"/>
  <c r="AK280" i="11"/>
  <c r="AK734" i="11"/>
  <c r="AK56" i="11"/>
  <c r="AK277" i="11"/>
  <c r="AK440" i="11"/>
  <c r="AK115" i="11"/>
  <c r="AK594" i="11"/>
  <c r="AK357" i="11"/>
  <c r="AK424" i="11"/>
  <c r="AK408" i="11"/>
  <c r="AK877" i="11"/>
  <c r="AK793" i="11"/>
  <c r="AK752" i="11"/>
  <c r="AK66" i="11"/>
  <c r="AK49" i="11"/>
  <c r="AK370" i="11"/>
  <c r="AK706" i="11"/>
  <c r="AK740" i="11"/>
  <c r="AK919" i="11"/>
  <c r="AK613" i="11"/>
  <c r="AK201" i="11"/>
  <c r="AK80" i="11"/>
  <c r="AK267" i="11"/>
  <c r="AK720" i="11"/>
  <c r="AK464" i="11"/>
  <c r="AK371" i="11"/>
  <c r="AK478" i="11"/>
  <c r="AK872" i="11"/>
  <c r="AK689" i="11"/>
  <c r="AK351" i="11"/>
  <c r="AK392" i="11"/>
  <c r="AK852" i="11"/>
  <c r="AK308" i="11"/>
  <c r="AK838" i="11"/>
  <c r="AK368" i="11"/>
  <c r="AK376" i="11"/>
  <c r="AK673" i="11"/>
  <c r="AK497" i="11"/>
  <c r="AK174" i="11"/>
  <c r="AK775" i="11"/>
  <c r="AK290" i="11"/>
  <c r="AK473" i="11"/>
  <c r="AK540" i="11"/>
  <c r="AK859" i="11"/>
  <c r="AK128" i="11"/>
  <c r="AK561" i="11"/>
  <c r="AK125" i="11"/>
  <c r="AK318" i="11"/>
  <c r="AK565" i="11"/>
  <c r="AK856" i="11"/>
  <c r="AK44" i="11"/>
  <c r="AK140" i="11"/>
  <c r="AK501" i="11"/>
  <c r="AK644" i="11"/>
  <c r="AK599" i="11"/>
  <c r="AK862" i="11"/>
  <c r="AK658" i="11"/>
  <c r="AK927" i="11"/>
  <c r="AK747" i="11"/>
  <c r="AK696" i="11"/>
  <c r="AK639" i="11"/>
  <c r="AK209" i="11"/>
  <c r="AK849" i="11"/>
  <c r="AK512" i="11"/>
  <c r="AK195" i="11"/>
  <c r="AK421" i="11"/>
  <c r="AK361" i="11"/>
  <c r="AK763" i="11"/>
  <c r="AK899" i="11"/>
  <c r="AK283" i="11"/>
  <c r="AK690" i="11"/>
  <c r="AK446" i="11"/>
  <c r="AK596" i="11"/>
  <c r="AK346" i="11"/>
  <c r="AK628" i="11"/>
  <c r="AK47" i="11"/>
  <c r="AK450" i="11"/>
  <c r="AK811" i="11"/>
  <c r="AK488" i="11"/>
  <c r="AK386" i="11"/>
  <c r="AK727" i="11"/>
  <c r="AK794" i="11"/>
  <c r="AK525" i="11"/>
  <c r="AK55" i="11"/>
  <c r="AK104" i="11"/>
  <c r="AK415" i="11"/>
  <c r="AK611" i="11"/>
  <c r="AK494" i="11"/>
  <c r="AK241" i="11"/>
  <c r="AK322" i="11"/>
  <c r="AK395" i="11"/>
  <c r="AK429" i="11"/>
  <c r="AK485" i="11"/>
  <c r="AK261" i="11"/>
  <c r="AK669" i="11"/>
  <c r="AK661" i="11"/>
  <c r="AK92" i="11"/>
  <c r="AK781" i="11"/>
  <c r="AK362" i="11"/>
  <c r="AK606" i="11"/>
  <c r="AK302" i="11"/>
  <c r="AK129" i="11"/>
  <c r="AK215" i="11"/>
  <c r="AK888" i="11"/>
  <c r="AK187" i="11"/>
  <c r="AK218" i="11"/>
  <c r="AK560" i="11"/>
  <c r="AK638" i="11"/>
  <c r="AK728" i="11"/>
  <c r="AK603" i="11"/>
  <c r="AK822" i="11"/>
  <c r="AK829" i="11"/>
  <c r="AK806" i="11"/>
  <c r="AK783" i="11"/>
  <c r="AK442" i="11"/>
  <c r="AK119" i="11"/>
  <c r="AK866" i="11"/>
  <c r="AK907" i="11"/>
  <c r="AK385" i="11"/>
  <c r="AK430" i="11"/>
  <c r="AK484" i="11"/>
  <c r="AK175" i="11"/>
  <c r="AK165" i="11"/>
  <c r="AK506" i="11"/>
  <c r="AK68" i="11"/>
  <c r="AK172" i="11"/>
  <c r="AK231" i="11"/>
  <c r="AK208" i="11"/>
  <c r="AK72" i="11"/>
  <c r="AK407" i="11"/>
  <c r="AK467" i="11"/>
  <c r="AK334" i="11"/>
  <c r="AK431" i="11"/>
  <c r="AK848" i="11"/>
  <c r="AK719" i="11"/>
  <c r="AK685" i="11"/>
  <c r="AK571" i="11"/>
  <c r="AK79" i="11"/>
  <c r="AK98" i="11"/>
  <c r="AK880" i="11"/>
  <c r="AK365" i="11"/>
  <c r="AK441" i="11"/>
  <c r="AK203" i="11"/>
  <c r="AK168" i="11"/>
  <c r="AK396" i="11"/>
  <c r="AK797" i="11"/>
  <c r="AK778" i="11"/>
  <c r="AK52" i="11"/>
  <c r="AK214" i="11"/>
  <c r="AK354" i="11"/>
  <c r="AK162" i="11"/>
  <c r="AK528" i="11"/>
  <c r="AK54" i="11"/>
  <c r="AK410" i="11"/>
  <c r="AK534" i="11"/>
  <c r="AK895" i="11"/>
  <c r="AK686" i="11"/>
  <c r="AK700" i="11"/>
  <c r="AK920" i="11"/>
  <c r="AK293" i="11"/>
  <c r="AK868" i="11"/>
  <c r="AK901" i="11"/>
  <c r="AK157" i="11"/>
  <c r="AK835" i="11"/>
  <c r="AK143" i="11"/>
  <c r="AK390" i="11"/>
  <c r="AK359" i="11"/>
  <c r="AK91" i="11"/>
  <c r="AK576" i="11"/>
  <c r="AK325" i="11"/>
  <c r="AK200" i="11"/>
  <c r="AK60" i="11"/>
  <c r="AK182" i="11"/>
  <c r="AK384" i="11"/>
  <c r="AK310" i="11"/>
  <c r="AK260" i="11"/>
  <c r="AK460" i="11"/>
  <c r="AK657" i="11"/>
  <c r="AK646" i="11"/>
  <c r="AK134" i="11"/>
  <c r="AK524" i="11"/>
  <c r="AK436" i="11"/>
  <c r="AK159" i="11"/>
  <c r="AK291" i="11"/>
  <c r="AK889" i="11"/>
  <c r="AK572" i="11"/>
  <c r="AK245" i="11"/>
  <c r="AK212" i="11"/>
  <c r="AK898" i="11"/>
  <c r="AK113" i="11"/>
  <c r="AK491" i="11"/>
  <c r="AK691" i="11"/>
  <c r="AK94" i="11"/>
  <c r="AK508" i="11"/>
  <c r="AK609" i="11"/>
  <c r="AK636" i="11"/>
  <c r="AK850" i="11"/>
  <c r="AK545" i="11"/>
  <c r="AK147" i="11"/>
  <c r="AK349" i="11"/>
  <c r="AK684" i="11"/>
  <c r="AK537" i="11"/>
  <c r="AK301" i="11"/>
  <c r="AK123" i="11"/>
  <c r="AK539" i="11"/>
  <c r="AK697" i="11"/>
  <c r="AK688" i="11"/>
  <c r="AK106" i="11"/>
  <c r="AK605" i="11"/>
  <c r="AK192" i="11"/>
  <c r="AK803" i="11"/>
  <c r="AK701" i="11"/>
  <c r="AK352" i="11"/>
  <c r="AK372" i="11"/>
  <c r="AK707" i="11"/>
  <c r="AK834" i="11"/>
  <c r="AK755" i="11"/>
  <c r="AK586" i="11"/>
  <c r="AK199" i="11"/>
  <c r="AK294" i="11"/>
  <c r="AK726" i="11"/>
  <c r="AK519" i="11"/>
  <c r="AK499" i="11"/>
  <c r="AK185" i="11"/>
  <c r="AK704" i="11"/>
  <c r="AK756" i="11"/>
  <c r="AK694" i="11"/>
  <c r="AK457" i="11"/>
  <c r="AK360" i="11"/>
  <c r="AK48" i="11"/>
  <c r="AK836" i="11"/>
  <c r="AK589" i="11"/>
  <c r="AK397" i="11"/>
  <c r="AK564" i="11"/>
  <c r="AK388" i="11"/>
  <c r="AK289" i="11"/>
  <c r="AK595" i="11"/>
  <c r="AK268" i="11"/>
  <c r="AK284" i="11"/>
  <c r="AK309" i="11"/>
  <c r="AK729" i="11"/>
  <c r="AK618" i="11"/>
  <c r="AK425" i="11"/>
  <c r="AK559" i="11"/>
  <c r="AK366" i="11"/>
  <c r="AK926" i="11"/>
  <c r="AK477" i="11"/>
  <c r="AK389" i="11"/>
  <c r="AK544" i="11"/>
  <c r="AK910" i="11"/>
  <c r="AK765" i="11"/>
  <c r="AK677" i="11"/>
  <c r="AK493" i="11"/>
  <c r="AK516" i="11"/>
  <c r="AK799" i="11"/>
  <c r="AK668" i="11"/>
  <c r="AK189" i="11"/>
  <c r="AK887" i="11"/>
  <c r="AK468" i="11"/>
  <c r="AK509" i="11"/>
  <c r="AK479" i="11"/>
  <c r="AK758" i="11"/>
  <c r="AK137" i="11"/>
  <c r="AK50" i="11"/>
  <c r="AK300" i="11"/>
  <c r="AK43" i="11"/>
  <c r="AK541" i="11"/>
  <c r="AK38" i="11"/>
  <c r="AK777" i="11"/>
  <c r="AK884" i="11"/>
  <c r="AK671" i="11"/>
  <c r="AK632" i="11"/>
  <c r="AK65" i="11"/>
  <c r="AK347" i="11"/>
  <c r="AK211" i="11"/>
  <c r="AK57" i="11"/>
  <c r="AK705" i="11"/>
  <c r="AK615" i="11"/>
  <c r="AK908" i="11"/>
  <c r="AK681" i="11"/>
  <c r="AK437" i="11"/>
  <c r="AK723" i="11"/>
  <c r="AK863" i="11"/>
  <c r="AK85" i="11"/>
  <c r="AK278" i="11"/>
  <c r="AK674" i="11"/>
  <c r="T30" i="11" l="1" a="1"/>
  <c r="T30" i="11" s="1"/>
  <c r="AK30" i="11"/>
  <c r="U33" i="11"/>
  <c r="N33" i="11"/>
  <c r="O33" i="11" s="1"/>
  <c r="L34" i="11"/>
  <c r="R31" i="11"/>
  <c r="AA31" i="11"/>
  <c r="V32" i="11"/>
  <c r="W32" i="11"/>
  <c r="P32" i="11"/>
  <c r="P33" i="11" s="1"/>
  <c r="X32" i="11"/>
  <c r="Y32" i="11" s="1"/>
  <c r="Q32" i="11"/>
  <c r="AF32" i="11"/>
  <c r="AJ32" i="11" s="1"/>
  <c r="N34" i="11" l="1"/>
  <c r="O34" i="11" s="1"/>
  <c r="L35" i="11"/>
  <c r="U34" i="11"/>
  <c r="AB31" i="11"/>
  <c r="S31" i="11"/>
  <c r="AF33" i="11"/>
  <c r="Q33" i="11"/>
  <c r="X33" i="11"/>
  <c r="Y33" i="11" s="1"/>
  <c r="W33" i="11"/>
  <c r="V33" i="11"/>
  <c r="R32" i="11"/>
  <c r="AA32" i="11"/>
  <c r="AJ33" i="11" l="1"/>
  <c r="X34" i="11"/>
  <c r="Y34" i="11" s="1"/>
  <c r="Q34" i="11"/>
  <c r="AF34" i="11"/>
  <c r="AJ34" i="11" s="1"/>
  <c r="AB32" i="11"/>
  <c r="S32" i="11"/>
  <c r="AC31" i="11"/>
  <c r="AD31" i="11"/>
  <c r="U35" i="11"/>
  <c r="L36" i="11"/>
  <c r="N35" i="11"/>
  <c r="O35" i="11" s="1"/>
  <c r="P34" i="11"/>
  <c r="R33" i="11"/>
  <c r="AA33" i="11"/>
  <c r="W34" i="11"/>
  <c r="V34" i="11"/>
  <c r="P35" i="11" l="1"/>
  <c r="X35" i="11"/>
  <c r="AF35" i="11"/>
  <c r="AJ35" i="11" s="1"/>
  <c r="Q35" i="11"/>
  <c r="AD32" i="11"/>
  <c r="AC32" i="11"/>
  <c r="U36" i="11"/>
  <c r="N36" i="11"/>
  <c r="O36" i="11" s="1"/>
  <c r="L37" i="11"/>
  <c r="W35" i="11"/>
  <c r="V35" i="11"/>
  <c r="Y35" i="11"/>
  <c r="R34" i="11"/>
  <c r="AA34" i="11"/>
  <c r="S33" i="11"/>
  <c r="AB33" i="11"/>
  <c r="X36" i="11" l="1"/>
  <c r="Q36" i="11"/>
  <c r="AF36" i="11"/>
  <c r="AJ36" i="11" s="1"/>
  <c r="U37" i="11"/>
  <c r="N37" i="11"/>
  <c r="O37" i="11" s="1"/>
  <c r="L38" i="11"/>
  <c r="W36" i="11"/>
  <c r="V36" i="11"/>
  <c r="Y36" i="11"/>
  <c r="P36" i="11"/>
  <c r="P37" i="11" s="1"/>
  <c r="AC33" i="11"/>
  <c r="AD33" i="11"/>
  <c r="R35" i="11"/>
  <c r="AA35" i="11"/>
  <c r="S34" i="11"/>
  <c r="AB34" i="11"/>
  <c r="N38" i="11" l="1"/>
  <c r="O38" i="11" s="1"/>
  <c r="L39" i="11"/>
  <c r="U38" i="11"/>
  <c r="AD34" i="11"/>
  <c r="AC34" i="11"/>
  <c r="R36" i="11"/>
  <c r="AA36" i="11"/>
  <c r="S35" i="11"/>
  <c r="AB35" i="11"/>
  <c r="X37" i="11"/>
  <c r="AF37" i="11"/>
  <c r="Q37" i="11"/>
  <c r="Y37" i="11"/>
  <c r="W37" i="11"/>
  <c r="V37" i="11"/>
  <c r="W38" i="11" l="1"/>
  <c r="V38" i="11"/>
  <c r="R37" i="11"/>
  <c r="AA37" i="11"/>
  <c r="AD35" i="11"/>
  <c r="AC35" i="11"/>
  <c r="AB36" i="11"/>
  <c r="S36" i="11"/>
  <c r="N39" i="11"/>
  <c r="O39" i="11" s="1"/>
  <c r="L40" i="11"/>
  <c r="U39" i="11"/>
  <c r="AJ37" i="11"/>
  <c r="AF38" i="11"/>
  <c r="AJ38" i="11" s="1"/>
  <c r="Q38" i="11"/>
  <c r="X38" i="11"/>
  <c r="Y38" i="11" s="1"/>
  <c r="P38" i="11"/>
  <c r="X39" i="11" l="1"/>
  <c r="AF39" i="11"/>
  <c r="AJ39" i="11" s="1"/>
  <c r="Q39" i="11"/>
  <c r="AC36" i="11"/>
  <c r="AD36" i="11"/>
  <c r="S37" i="11"/>
  <c r="AB37" i="11"/>
  <c r="W39" i="11"/>
  <c r="V39" i="11"/>
  <c r="Y39" i="11"/>
  <c r="N40" i="11"/>
  <c r="O40" i="11" s="1"/>
  <c r="L41" i="11"/>
  <c r="U40" i="11"/>
  <c r="P39" i="11"/>
  <c r="P40" i="11" s="1"/>
  <c r="R38" i="11"/>
  <c r="AA38" i="11"/>
  <c r="N41" i="11" l="1"/>
  <c r="O41" i="11" s="1"/>
  <c r="P41" i="11" s="1"/>
  <c r="L42" i="11"/>
  <c r="U41" i="11"/>
  <c r="W40" i="11"/>
  <c r="V40" i="11"/>
  <c r="AF40" i="11"/>
  <c r="AJ40" i="11" s="1"/>
  <c r="Q40" i="11"/>
  <c r="X40" i="11"/>
  <c r="Y40" i="11" s="1"/>
  <c r="AC37" i="11"/>
  <c r="AD37" i="11"/>
  <c r="R39" i="11"/>
  <c r="AA39" i="11"/>
  <c r="AB38" i="11"/>
  <c r="S38" i="11"/>
  <c r="AC38" i="11" l="1"/>
  <c r="AD38" i="11"/>
  <c r="AB39" i="11"/>
  <c r="S39" i="11"/>
  <c r="V41" i="11"/>
  <c r="W41" i="11"/>
  <c r="L43" i="11"/>
  <c r="N42" i="11"/>
  <c r="O42" i="11" s="1"/>
  <c r="U42" i="11"/>
  <c r="R40" i="11"/>
  <c r="AA40" i="11"/>
  <c r="X41" i="11"/>
  <c r="Y41" i="11" s="1"/>
  <c r="Q41" i="11"/>
  <c r="AF41" i="11"/>
  <c r="AJ41" i="11" s="1"/>
  <c r="AB40" i="11" l="1"/>
  <c r="S40" i="11"/>
  <c r="L44" i="11"/>
  <c r="U43" i="11"/>
  <c r="N43" i="11"/>
  <c r="O43" i="11" s="1"/>
  <c r="X42" i="11"/>
  <c r="Q42" i="11"/>
  <c r="AF42" i="11"/>
  <c r="AJ42" i="11" s="1"/>
  <c r="P42" i="11"/>
  <c r="P43" i="11" s="1"/>
  <c r="Y42" i="11"/>
  <c r="V42" i="11"/>
  <c r="W42" i="11"/>
  <c r="AD39" i="11"/>
  <c r="AC39" i="11"/>
  <c r="R41" i="11"/>
  <c r="AA41" i="11"/>
  <c r="AF43" i="11" l="1"/>
  <c r="AJ43" i="11" s="1"/>
  <c r="Q43" i="11"/>
  <c r="X43" i="11"/>
  <c r="AD40" i="11"/>
  <c r="AC40" i="11"/>
  <c r="R42" i="11"/>
  <c r="AA42" i="11"/>
  <c r="W43" i="11"/>
  <c r="V43" i="11"/>
  <c r="Y43" i="11"/>
  <c r="AB41" i="11"/>
  <c r="S41" i="11"/>
  <c r="L45" i="11"/>
  <c r="U44" i="11"/>
  <c r="N44" i="11"/>
  <c r="O44" i="11" s="1"/>
  <c r="AB42" i="11" l="1"/>
  <c r="S42" i="11"/>
  <c r="U45" i="11"/>
  <c r="N45" i="11"/>
  <c r="O45" i="11" s="1"/>
  <c r="L46" i="11"/>
  <c r="R43" i="11"/>
  <c r="AA43" i="11"/>
  <c r="AD41" i="11"/>
  <c r="AC41" i="11"/>
  <c r="Q44" i="11"/>
  <c r="X44" i="11"/>
  <c r="Y44" i="11" s="1"/>
  <c r="AF44" i="11"/>
  <c r="AJ44" i="11" s="1"/>
  <c r="V44" i="11"/>
  <c r="W44" i="11"/>
  <c r="P44" i="11"/>
  <c r="P45" i="11" s="1"/>
  <c r="AC42" i="11" l="1"/>
  <c r="AD42" i="11"/>
  <c r="S43" i="11"/>
  <c r="AB43" i="11"/>
  <c r="U46" i="11"/>
  <c r="L47" i="11"/>
  <c r="N46" i="11"/>
  <c r="O46" i="11" s="1"/>
  <c r="W45" i="11"/>
  <c r="V45" i="11"/>
  <c r="P46" i="11"/>
  <c r="AA44" i="11"/>
  <c r="R44" i="11"/>
  <c r="AF45" i="11"/>
  <c r="AJ45" i="11" s="1"/>
  <c r="X45" i="11"/>
  <c r="Y45" i="11" s="1"/>
  <c r="Q45" i="11"/>
  <c r="R45" i="11" l="1"/>
  <c r="AA45" i="11"/>
  <c r="AF46" i="11"/>
  <c r="AJ46" i="11" s="1"/>
  <c r="Q46" i="11"/>
  <c r="X46" i="11"/>
  <c r="W46" i="11"/>
  <c r="Y46" i="11"/>
  <c r="V46" i="11"/>
  <c r="AD43" i="11"/>
  <c r="AC43" i="11"/>
  <c r="AB44" i="11"/>
  <c r="S44" i="11"/>
  <c r="N47" i="11"/>
  <c r="O47" i="11" s="1"/>
  <c r="U47" i="11"/>
  <c r="L48" i="11"/>
  <c r="W47" i="11" l="1"/>
  <c r="V47" i="11"/>
  <c r="AA46" i="11"/>
  <c r="R46" i="11"/>
  <c r="N48" i="11"/>
  <c r="O48" i="11" s="1"/>
  <c r="U48" i="11"/>
  <c r="L49" i="11"/>
  <c r="X47" i="11"/>
  <c r="Y47" i="11" s="1"/>
  <c r="AF47" i="11"/>
  <c r="AJ47" i="11" s="1"/>
  <c r="Q47" i="11"/>
  <c r="AD44" i="11"/>
  <c r="AC44" i="11"/>
  <c r="P47" i="11"/>
  <c r="P48" i="11" s="1"/>
  <c r="AB45" i="11"/>
  <c r="S45" i="11"/>
  <c r="X48" i="11" l="1"/>
  <c r="Q48" i="11"/>
  <c r="AF48" i="11"/>
  <c r="AJ48" i="11" s="1"/>
  <c r="AB46" i="11"/>
  <c r="S46" i="11"/>
  <c r="R47" i="11"/>
  <c r="AA47" i="11"/>
  <c r="U49" i="11"/>
  <c r="N49" i="11"/>
  <c r="O49" i="11" s="1"/>
  <c r="L50" i="11"/>
  <c r="Y48" i="11"/>
  <c r="V48" i="11"/>
  <c r="W48" i="11"/>
  <c r="AD45" i="11"/>
  <c r="AC45" i="11"/>
  <c r="U50" i="11" l="1"/>
  <c r="N50" i="11"/>
  <c r="O50" i="11" s="1"/>
  <c r="L51" i="11"/>
  <c r="W49" i="11"/>
  <c r="V49" i="11"/>
  <c r="AB47" i="11"/>
  <c r="S47" i="11"/>
  <c r="AA48" i="11"/>
  <c r="R48" i="11"/>
  <c r="AF49" i="11"/>
  <c r="AJ49" i="11" s="1"/>
  <c r="Q49" i="11"/>
  <c r="X49" i="11"/>
  <c r="Y49" i="11" s="1"/>
  <c r="AD46" i="11"/>
  <c r="AC46" i="11"/>
  <c r="P49" i="11"/>
  <c r="R49" i="11" l="1"/>
  <c r="AA49" i="11"/>
  <c r="AB48" i="11"/>
  <c r="S48" i="11"/>
  <c r="AC47" i="11"/>
  <c r="AD47" i="11"/>
  <c r="N51" i="11"/>
  <c r="O51" i="11" s="1"/>
  <c r="U51" i="11"/>
  <c r="L52" i="11"/>
  <c r="X50" i="11"/>
  <c r="Y50" i="11" s="1"/>
  <c r="Q50" i="11"/>
  <c r="AF50" i="11"/>
  <c r="AJ50" i="11" s="1"/>
  <c r="P50" i="11"/>
  <c r="P51" i="11" s="1"/>
  <c r="V50" i="11"/>
  <c r="W50" i="11"/>
  <c r="R50" i="11" l="1"/>
  <c r="AA50" i="11"/>
  <c r="X51" i="11"/>
  <c r="Q51" i="11"/>
  <c r="AF51" i="11"/>
  <c r="AJ51" i="11" s="1"/>
  <c r="N52" i="11"/>
  <c r="O52" i="11" s="1"/>
  <c r="P52" i="11" s="1"/>
  <c r="L53" i="11"/>
  <c r="U52" i="11"/>
  <c r="Y51" i="11"/>
  <c r="W51" i="11"/>
  <c r="V51" i="11"/>
  <c r="AC48" i="11"/>
  <c r="AD48" i="11"/>
  <c r="AB49" i="11"/>
  <c r="S49" i="11"/>
  <c r="R51" i="11" l="1"/>
  <c r="AA51" i="11"/>
  <c r="V52" i="11"/>
  <c r="W52" i="11"/>
  <c r="U53" i="11"/>
  <c r="L54" i="11"/>
  <c r="N53" i="11"/>
  <c r="O53" i="11" s="1"/>
  <c r="X52" i="11"/>
  <c r="Y52" i="11" s="1"/>
  <c r="AF52" i="11"/>
  <c r="AJ52" i="11" s="1"/>
  <c r="Q52" i="11"/>
  <c r="AC49" i="11"/>
  <c r="AD49" i="11"/>
  <c r="AB50" i="11"/>
  <c r="S50" i="11"/>
  <c r="W53" i="11" l="1"/>
  <c r="V53" i="11"/>
  <c r="R52" i="11"/>
  <c r="AA52" i="11"/>
  <c r="AF53" i="11"/>
  <c r="AJ53" i="11" s="1"/>
  <c r="Q53" i="11"/>
  <c r="X53" i="11"/>
  <c r="Y53" i="11" s="1"/>
  <c r="S51" i="11"/>
  <c r="AB51" i="11"/>
  <c r="N54" i="11"/>
  <c r="O54" i="11" s="1"/>
  <c r="L55" i="11"/>
  <c r="U54" i="11"/>
  <c r="AD50" i="11"/>
  <c r="AC50" i="11"/>
  <c r="P53" i="11"/>
  <c r="X54" i="11" l="1"/>
  <c r="AF54" i="11"/>
  <c r="AJ54" i="11" s="1"/>
  <c r="Q54" i="11"/>
  <c r="R53" i="11"/>
  <c r="AA53" i="11"/>
  <c r="S52" i="11"/>
  <c r="AB52" i="11"/>
  <c r="W54" i="11"/>
  <c r="V54" i="11"/>
  <c r="Y54" i="11"/>
  <c r="AD51" i="11"/>
  <c r="AC51" i="11"/>
  <c r="U55" i="11"/>
  <c r="L56" i="11"/>
  <c r="N55" i="11"/>
  <c r="O55" i="11" s="1"/>
  <c r="P54" i="11"/>
  <c r="U56" i="11" l="1"/>
  <c r="L57" i="11"/>
  <c r="N56" i="11"/>
  <c r="O56" i="11" s="1"/>
  <c r="AC52" i="11"/>
  <c r="AD52" i="11"/>
  <c r="AB53" i="11"/>
  <c r="S53" i="11"/>
  <c r="R54" i="11"/>
  <c r="AA54" i="11"/>
  <c r="AF55" i="11"/>
  <c r="AJ55" i="11" s="1"/>
  <c r="Q55" i="11"/>
  <c r="X55" i="11"/>
  <c r="Y55" i="11" s="1"/>
  <c r="W55" i="11"/>
  <c r="V55" i="11"/>
  <c r="P55" i="11"/>
  <c r="P56" i="11" s="1"/>
  <c r="S54" i="11" l="1"/>
  <c r="AB54" i="11"/>
  <c r="AD53" i="11"/>
  <c r="AC53" i="11"/>
  <c r="AF56" i="11"/>
  <c r="AJ56" i="11" s="1"/>
  <c r="Q56" i="11"/>
  <c r="X56" i="11"/>
  <c r="Y56" i="11" s="1"/>
  <c r="R55" i="11"/>
  <c r="AA55" i="11"/>
  <c r="U57" i="11"/>
  <c r="L58" i="11"/>
  <c r="N57" i="11"/>
  <c r="O57" i="11" s="1"/>
  <c r="W56" i="11"/>
  <c r="V56" i="11"/>
  <c r="Q57" i="11" l="1"/>
  <c r="X57" i="11"/>
  <c r="Y57" i="11" s="1"/>
  <c r="AF57" i="11"/>
  <c r="AJ57" i="11" s="1"/>
  <c r="W57" i="11"/>
  <c r="V57" i="11"/>
  <c r="R56" i="11"/>
  <c r="AA56" i="11"/>
  <c r="AC54" i="11"/>
  <c r="AD54" i="11"/>
  <c r="L59" i="11"/>
  <c r="N58" i="11"/>
  <c r="O58" i="11" s="1"/>
  <c r="U58" i="11"/>
  <c r="P57" i="11"/>
  <c r="AB55" i="11"/>
  <c r="S55" i="11"/>
  <c r="W58" i="11" l="1"/>
  <c r="V58" i="11"/>
  <c r="S56" i="11"/>
  <c r="AB56" i="11"/>
  <c r="AF58" i="11"/>
  <c r="AJ58" i="11" s="1"/>
  <c r="Q58" i="11"/>
  <c r="X58" i="11"/>
  <c r="Y58" i="11" s="1"/>
  <c r="P58" i="11"/>
  <c r="L60" i="11"/>
  <c r="U59" i="11"/>
  <c r="N59" i="11"/>
  <c r="O59" i="11" s="1"/>
  <c r="AD55" i="11"/>
  <c r="AC55" i="11"/>
  <c r="R57" i="11"/>
  <c r="AA57" i="11"/>
  <c r="W59" i="11" l="1"/>
  <c r="V59" i="11"/>
  <c r="L61" i="11"/>
  <c r="U60" i="11"/>
  <c r="N60" i="11"/>
  <c r="O60" i="11" s="1"/>
  <c r="R58" i="11"/>
  <c r="AA58" i="11"/>
  <c r="Q59" i="11"/>
  <c r="AF59" i="11"/>
  <c r="AJ59" i="11" s="1"/>
  <c r="X59" i="11"/>
  <c r="Y59" i="11" s="1"/>
  <c r="P59" i="11"/>
  <c r="P60" i="11" s="1"/>
  <c r="AC56" i="11"/>
  <c r="AD56" i="11"/>
  <c r="AB57" i="11"/>
  <c r="S57" i="11"/>
  <c r="R59" i="11" l="1"/>
  <c r="AA59" i="11"/>
  <c r="S58" i="11"/>
  <c r="AB58" i="11"/>
  <c r="V60" i="11"/>
  <c r="W60" i="11"/>
  <c r="L62" i="11"/>
  <c r="N61" i="11"/>
  <c r="O61" i="11" s="1"/>
  <c r="U61" i="11"/>
  <c r="Q60" i="11"/>
  <c r="X60" i="11"/>
  <c r="Y60" i="11" s="1"/>
  <c r="AF60" i="11"/>
  <c r="AJ60" i="11" s="1"/>
  <c r="AC57" i="11"/>
  <c r="AD57" i="11"/>
  <c r="X61" i="11" l="1"/>
  <c r="Q61" i="11"/>
  <c r="AF61" i="11"/>
  <c r="AJ61" i="11" s="1"/>
  <c r="AD58" i="11"/>
  <c r="AC58" i="11"/>
  <c r="R60" i="11"/>
  <c r="AA60" i="11"/>
  <c r="N62" i="11"/>
  <c r="O62" i="11" s="1"/>
  <c r="U62" i="11"/>
  <c r="L63" i="11"/>
  <c r="Y61" i="11"/>
  <c r="W61" i="11"/>
  <c r="V61" i="11"/>
  <c r="S59" i="11"/>
  <c r="AB59" i="11"/>
  <c r="P61" i="11"/>
  <c r="U63" i="11" l="1"/>
  <c r="N63" i="11"/>
  <c r="O63" i="11" s="1"/>
  <c r="L64" i="11"/>
  <c r="V62" i="11"/>
  <c r="W62" i="11"/>
  <c r="P62" i="11"/>
  <c r="P63" i="11" s="1"/>
  <c r="R61" i="11"/>
  <c r="AA61" i="11"/>
  <c r="Q62" i="11"/>
  <c r="X62" i="11"/>
  <c r="Y62" i="11" s="1"/>
  <c r="AF62" i="11"/>
  <c r="AJ62" i="11" s="1"/>
  <c r="S60" i="11"/>
  <c r="AB60" i="11"/>
  <c r="AD59" i="11"/>
  <c r="AC59" i="11"/>
  <c r="AB61" i="11" l="1"/>
  <c r="S61" i="11"/>
  <c r="R62" i="11"/>
  <c r="AA62" i="11"/>
  <c r="N64" i="11"/>
  <c r="O64" i="11" s="1"/>
  <c r="P64" i="11" s="1"/>
  <c r="U64" i="11"/>
  <c r="L65" i="11"/>
  <c r="W63" i="11"/>
  <c r="V63" i="11"/>
  <c r="AD60" i="11"/>
  <c r="AC60" i="11"/>
  <c r="X63" i="11"/>
  <c r="Y63" i="11" s="1"/>
  <c r="Q63" i="11"/>
  <c r="AF63" i="11"/>
  <c r="AJ63" i="11" s="1"/>
  <c r="U65" i="11" l="1"/>
  <c r="N65" i="11"/>
  <c r="O65" i="11" s="1"/>
  <c r="L66" i="11"/>
  <c r="X64" i="11"/>
  <c r="AF64" i="11"/>
  <c r="AJ64" i="11" s="1"/>
  <c r="Q64" i="11"/>
  <c r="AB62" i="11"/>
  <c r="S62" i="11"/>
  <c r="Y64" i="11"/>
  <c r="W64" i="11"/>
  <c r="V64" i="11"/>
  <c r="AA63" i="11"/>
  <c r="R63" i="11"/>
  <c r="AD61" i="11"/>
  <c r="AC61" i="11"/>
  <c r="R64" i="11" l="1"/>
  <c r="AA64" i="11"/>
  <c r="U66" i="11"/>
  <c r="N66" i="11"/>
  <c r="O66" i="11" s="1"/>
  <c r="L67" i="11"/>
  <c r="S63" i="11"/>
  <c r="AB63" i="11"/>
  <c r="AF65" i="11"/>
  <c r="AJ65" i="11" s="1"/>
  <c r="X65" i="11"/>
  <c r="Q65" i="11"/>
  <c r="AC62" i="11"/>
  <c r="AD62" i="11"/>
  <c r="V65" i="11"/>
  <c r="Y65" i="11"/>
  <c r="W65" i="11"/>
  <c r="P65" i="11"/>
  <c r="X66" i="11" l="1"/>
  <c r="Q66" i="11"/>
  <c r="AF66" i="11"/>
  <c r="AJ66" i="11" s="1"/>
  <c r="R65" i="11"/>
  <c r="AA65" i="11"/>
  <c r="N67" i="11"/>
  <c r="O67" i="11" s="1"/>
  <c r="U67" i="11"/>
  <c r="L68" i="11"/>
  <c r="W66" i="11"/>
  <c r="V66" i="11"/>
  <c r="Y66" i="11"/>
  <c r="AD63" i="11"/>
  <c r="AC63" i="11"/>
  <c r="P66" i="11"/>
  <c r="P67" i="11" s="1"/>
  <c r="AB64" i="11"/>
  <c r="S64" i="11"/>
  <c r="AF67" i="11" l="1"/>
  <c r="AJ67" i="11" s="1"/>
  <c r="Q67" i="11"/>
  <c r="X67" i="11"/>
  <c r="AB65" i="11"/>
  <c r="S65" i="11"/>
  <c r="U68" i="11"/>
  <c r="N68" i="11"/>
  <c r="O68" i="11" s="1"/>
  <c r="L69" i="11"/>
  <c r="W67" i="11"/>
  <c r="V67" i="11"/>
  <c r="Y67" i="11"/>
  <c r="R66" i="11"/>
  <c r="AA66" i="11"/>
  <c r="AC64" i="11"/>
  <c r="AD64" i="11"/>
  <c r="X68" i="11" l="1"/>
  <c r="Q68" i="11"/>
  <c r="AF68" i="11"/>
  <c r="AJ68" i="11" s="1"/>
  <c r="AB66" i="11"/>
  <c r="S66" i="11"/>
  <c r="P68" i="11"/>
  <c r="N69" i="11"/>
  <c r="O69" i="11" s="1"/>
  <c r="L70" i="11"/>
  <c r="U69" i="11"/>
  <c r="V68" i="11"/>
  <c r="Y68" i="11"/>
  <c r="W68" i="11"/>
  <c r="AD65" i="11"/>
  <c r="AC65" i="11"/>
  <c r="R67" i="11"/>
  <c r="AA67" i="11"/>
  <c r="V69" i="11" l="1"/>
  <c r="W69" i="11"/>
  <c r="N70" i="11"/>
  <c r="O70" i="11" s="1"/>
  <c r="L71" i="11"/>
  <c r="U70" i="11"/>
  <c r="P69" i="11"/>
  <c r="P70" i="11" s="1"/>
  <c r="AD66" i="11"/>
  <c r="AC66" i="11"/>
  <c r="AF69" i="11"/>
  <c r="AJ69" i="11" s="1"/>
  <c r="Q69" i="11"/>
  <c r="X69" i="11"/>
  <c r="Y69" i="11" s="1"/>
  <c r="R68" i="11"/>
  <c r="AA68" i="11"/>
  <c r="AB67" i="11"/>
  <c r="S67" i="11"/>
  <c r="R69" i="11" l="1"/>
  <c r="AA69" i="11"/>
  <c r="V70" i="11"/>
  <c r="W70" i="11"/>
  <c r="AD67" i="11"/>
  <c r="AC67" i="11"/>
  <c r="S68" i="11"/>
  <c r="AB68" i="11"/>
  <c r="Q70" i="11"/>
  <c r="AF70" i="11"/>
  <c r="AJ70" i="11" s="1"/>
  <c r="X70" i="11"/>
  <c r="Y70" i="11" s="1"/>
  <c r="U71" i="11"/>
  <c r="L72" i="11"/>
  <c r="N71" i="11"/>
  <c r="O71" i="11" s="1"/>
  <c r="P71" i="11" s="1"/>
  <c r="W71" i="11" l="1"/>
  <c r="V71" i="11"/>
  <c r="L73" i="11"/>
  <c r="N72" i="11"/>
  <c r="O72" i="11" s="1"/>
  <c r="U72" i="11"/>
  <c r="AD68" i="11"/>
  <c r="AC68" i="11"/>
  <c r="AA70" i="11"/>
  <c r="R70" i="11"/>
  <c r="Q71" i="11"/>
  <c r="AF71" i="11"/>
  <c r="AJ71" i="11" s="1"/>
  <c r="X71" i="11"/>
  <c r="Y71" i="11" s="1"/>
  <c r="AB69" i="11"/>
  <c r="S69" i="11"/>
  <c r="AF72" i="11" l="1"/>
  <c r="AJ72" i="11" s="1"/>
  <c r="X72" i="11"/>
  <c r="Q72" i="11"/>
  <c r="AB70" i="11"/>
  <c r="S70" i="11"/>
  <c r="R71" i="11"/>
  <c r="AA71" i="11"/>
  <c r="V72" i="11"/>
  <c r="W72" i="11"/>
  <c r="Y72" i="11"/>
  <c r="N73" i="11"/>
  <c r="O73" i="11" s="1"/>
  <c r="L74" i="11"/>
  <c r="U73" i="11"/>
  <c r="P72" i="11"/>
  <c r="AD69" i="11"/>
  <c r="AC69" i="11"/>
  <c r="P73" i="11" l="1"/>
  <c r="X73" i="11"/>
  <c r="AF73" i="11"/>
  <c r="AJ73" i="11" s="1"/>
  <c r="Q73" i="11"/>
  <c r="AC70" i="11"/>
  <c r="AD70" i="11"/>
  <c r="W73" i="11"/>
  <c r="V73" i="11"/>
  <c r="Y73" i="11"/>
  <c r="L75" i="11"/>
  <c r="N74" i="11"/>
  <c r="O74" i="11" s="1"/>
  <c r="U74" i="11"/>
  <c r="S71" i="11"/>
  <c r="AB71" i="11"/>
  <c r="R72" i="11"/>
  <c r="AA72" i="11"/>
  <c r="Q74" i="11" l="1"/>
  <c r="X74" i="11"/>
  <c r="AF74" i="11"/>
  <c r="AJ74" i="11" s="1"/>
  <c r="L76" i="11"/>
  <c r="N75" i="11"/>
  <c r="O75" i="11" s="1"/>
  <c r="U75" i="11"/>
  <c r="AA73" i="11"/>
  <c r="R73" i="11"/>
  <c r="AD71" i="11"/>
  <c r="AC71" i="11"/>
  <c r="W74" i="11"/>
  <c r="Y74" i="11"/>
  <c r="V74" i="11"/>
  <c r="S72" i="11"/>
  <c r="AB72" i="11"/>
  <c r="P74" i="11"/>
  <c r="Q75" i="11" l="1"/>
  <c r="X75" i="11"/>
  <c r="AF75" i="11"/>
  <c r="AJ75" i="11" s="1"/>
  <c r="L77" i="11"/>
  <c r="N76" i="11"/>
  <c r="O76" i="11" s="1"/>
  <c r="U76" i="11"/>
  <c r="S73" i="11"/>
  <c r="AB73" i="11"/>
  <c r="V75" i="11"/>
  <c r="Y75" i="11"/>
  <c r="W75" i="11"/>
  <c r="P75" i="11"/>
  <c r="P76" i="11" s="1"/>
  <c r="AD72" i="11"/>
  <c r="AC72" i="11"/>
  <c r="R74" i="11"/>
  <c r="AA74" i="11"/>
  <c r="AF76" i="11" l="1"/>
  <c r="AJ76" i="11" s="1"/>
  <c r="X76" i="11"/>
  <c r="Q76" i="11"/>
  <c r="U77" i="11"/>
  <c r="N77" i="11"/>
  <c r="O77" i="11" s="1"/>
  <c r="L78" i="11"/>
  <c r="AD73" i="11"/>
  <c r="AC73" i="11"/>
  <c r="P77" i="11"/>
  <c r="Y76" i="11"/>
  <c r="W76" i="11"/>
  <c r="V76" i="11"/>
  <c r="S74" i="11"/>
  <c r="AB74" i="11"/>
  <c r="AA75" i="11"/>
  <c r="R75" i="11"/>
  <c r="AC74" i="11" l="1"/>
  <c r="AD74" i="11"/>
  <c r="Q77" i="11"/>
  <c r="X77" i="11"/>
  <c r="AF77" i="11"/>
  <c r="AJ77" i="11" s="1"/>
  <c r="V77" i="11"/>
  <c r="Y77" i="11"/>
  <c r="W77" i="11"/>
  <c r="U78" i="11"/>
  <c r="L79" i="11"/>
  <c r="N78" i="11"/>
  <c r="O78" i="11" s="1"/>
  <c r="P78" i="11" s="1"/>
  <c r="R76" i="11"/>
  <c r="AA76" i="11"/>
  <c r="S75" i="11"/>
  <c r="AB75" i="11"/>
  <c r="V78" i="11" l="1"/>
  <c r="W78" i="11"/>
  <c r="S76" i="11"/>
  <c r="AB76" i="11"/>
  <c r="U79" i="11"/>
  <c r="N79" i="11"/>
  <c r="O79" i="11" s="1"/>
  <c r="P79" i="11" s="1"/>
  <c r="L80" i="11"/>
  <c r="Q78" i="11"/>
  <c r="AF78" i="11"/>
  <c r="AJ78" i="11" s="1"/>
  <c r="X78" i="11"/>
  <c r="Y78" i="11" s="1"/>
  <c r="AA77" i="11"/>
  <c r="R77" i="11"/>
  <c r="AC75" i="11"/>
  <c r="AD75" i="11"/>
  <c r="AB77" i="11" l="1"/>
  <c r="S77" i="11"/>
  <c r="N80" i="11"/>
  <c r="O80" i="11" s="1"/>
  <c r="U80" i="11"/>
  <c r="L81" i="11"/>
  <c r="R78" i="11"/>
  <c r="AA78" i="11"/>
  <c r="X79" i="11"/>
  <c r="AF79" i="11"/>
  <c r="AJ79" i="11" s="1"/>
  <c r="Q79" i="11"/>
  <c r="V79" i="11"/>
  <c r="W79" i="11"/>
  <c r="Y79" i="11"/>
  <c r="AC76" i="11"/>
  <c r="AD76" i="11"/>
  <c r="R79" i="11" l="1"/>
  <c r="AA79" i="11"/>
  <c r="U81" i="11"/>
  <c r="L82" i="11"/>
  <c r="N81" i="11"/>
  <c r="O81" i="11" s="1"/>
  <c r="W80" i="11"/>
  <c r="V80" i="11"/>
  <c r="Q80" i="11"/>
  <c r="X80" i="11"/>
  <c r="Y80" i="11" s="1"/>
  <c r="AF80" i="11"/>
  <c r="AJ80" i="11" s="1"/>
  <c r="S78" i="11"/>
  <c r="AB78" i="11"/>
  <c r="P80" i="11"/>
  <c r="P81" i="11" s="1"/>
  <c r="AD77" i="11"/>
  <c r="AC77" i="11"/>
  <c r="AC78" i="11" l="1"/>
  <c r="AD78" i="11"/>
  <c r="AA80" i="11"/>
  <c r="R80" i="11"/>
  <c r="N82" i="11"/>
  <c r="O82" i="11" s="1"/>
  <c r="P82" i="11" s="1"/>
  <c r="U82" i="11"/>
  <c r="L83" i="11"/>
  <c r="W81" i="11"/>
  <c r="V81" i="11"/>
  <c r="S79" i="11"/>
  <c r="AB79" i="11"/>
  <c r="AF81" i="11"/>
  <c r="AJ81" i="11" s="1"/>
  <c r="X81" i="11"/>
  <c r="Y81" i="11" s="1"/>
  <c r="Q81" i="11"/>
  <c r="R81" i="11" l="1"/>
  <c r="AA81" i="11"/>
  <c r="V82" i="11"/>
  <c r="W82" i="11"/>
  <c r="AF82" i="11"/>
  <c r="AJ82" i="11" s="1"/>
  <c r="X82" i="11"/>
  <c r="Y82" i="11" s="1"/>
  <c r="Q82" i="11"/>
  <c r="S80" i="11"/>
  <c r="AB80" i="11"/>
  <c r="AC79" i="11"/>
  <c r="AD79" i="11"/>
  <c r="U83" i="11"/>
  <c r="N83" i="11"/>
  <c r="O83" i="11" s="1"/>
  <c r="L84" i="11"/>
  <c r="AF83" i="11" l="1"/>
  <c r="AJ83" i="11" s="1"/>
  <c r="Q83" i="11"/>
  <c r="X83" i="11"/>
  <c r="AC80" i="11"/>
  <c r="AD80" i="11"/>
  <c r="U84" i="11"/>
  <c r="L85" i="11"/>
  <c r="N84" i="11"/>
  <c r="O84" i="11" s="1"/>
  <c r="R82" i="11"/>
  <c r="AA82" i="11"/>
  <c r="V83" i="11"/>
  <c r="W83" i="11"/>
  <c r="Y83" i="11"/>
  <c r="P83" i="11"/>
  <c r="P84" i="11" s="1"/>
  <c r="AB81" i="11"/>
  <c r="S81" i="11"/>
  <c r="U85" i="11" l="1"/>
  <c r="N85" i="11"/>
  <c r="O85" i="11" s="1"/>
  <c r="P85" i="11" s="1"/>
  <c r="L86" i="11"/>
  <c r="S82" i="11"/>
  <c r="AB82" i="11"/>
  <c r="W84" i="11"/>
  <c r="V84" i="11"/>
  <c r="X84" i="11"/>
  <c r="Y84" i="11" s="1"/>
  <c r="AF84" i="11"/>
  <c r="AJ84" i="11" s="1"/>
  <c r="Q84" i="11"/>
  <c r="R83" i="11"/>
  <c r="AA83" i="11"/>
  <c r="AC81" i="11"/>
  <c r="AD81" i="11"/>
  <c r="AA84" i="11" l="1"/>
  <c r="R84" i="11"/>
  <c r="U86" i="11"/>
  <c r="N86" i="11"/>
  <c r="O86" i="11" s="1"/>
  <c r="L87" i="11"/>
  <c r="AB83" i="11"/>
  <c r="S83" i="11"/>
  <c r="AD82" i="11"/>
  <c r="AC82" i="11"/>
  <c r="X85" i="11"/>
  <c r="Y85" i="11" s="1"/>
  <c r="AF85" i="11"/>
  <c r="AJ85" i="11" s="1"/>
  <c r="Q85" i="11"/>
  <c r="V85" i="11"/>
  <c r="W85" i="11"/>
  <c r="R85" i="11" l="1"/>
  <c r="AA85" i="11"/>
  <c r="AF86" i="11"/>
  <c r="AJ86" i="11" s="1"/>
  <c r="X86" i="11"/>
  <c r="Q86" i="11"/>
  <c r="Y86" i="11"/>
  <c r="V86" i="11"/>
  <c r="W86" i="11"/>
  <c r="AC83" i="11"/>
  <c r="AD83" i="11"/>
  <c r="N87" i="11"/>
  <c r="O87" i="11" s="1"/>
  <c r="L88" i="11"/>
  <c r="U87" i="11"/>
  <c r="P86" i="11"/>
  <c r="S84" i="11"/>
  <c r="AB84" i="11"/>
  <c r="P87" i="11" l="1"/>
  <c r="L89" i="11"/>
  <c r="U88" i="11"/>
  <c r="N88" i="11"/>
  <c r="O88" i="11" s="1"/>
  <c r="W87" i="11"/>
  <c r="V87" i="11"/>
  <c r="X87" i="11"/>
  <c r="Y87" i="11" s="1"/>
  <c r="AF87" i="11"/>
  <c r="AJ87" i="11" s="1"/>
  <c r="Q87" i="11"/>
  <c r="R86" i="11"/>
  <c r="AA86" i="11"/>
  <c r="AD84" i="11"/>
  <c r="AC84" i="11"/>
  <c r="AB85" i="11"/>
  <c r="S85" i="11"/>
  <c r="V88" i="11" l="1"/>
  <c r="W88" i="11"/>
  <c r="R87" i="11"/>
  <c r="AA87" i="11"/>
  <c r="AB86" i="11"/>
  <c r="S86" i="11"/>
  <c r="AF88" i="11"/>
  <c r="AJ88" i="11" s="1"/>
  <c r="Q88" i="11"/>
  <c r="X88" i="11"/>
  <c r="Y88" i="11" s="1"/>
  <c r="U89" i="11"/>
  <c r="L90" i="11"/>
  <c r="N89" i="11"/>
  <c r="O89" i="11" s="1"/>
  <c r="AD85" i="11"/>
  <c r="AC85" i="11"/>
  <c r="P88" i="11"/>
  <c r="Q89" i="11" l="1"/>
  <c r="X89" i="11"/>
  <c r="Y89" i="11" s="1"/>
  <c r="AF89" i="11"/>
  <c r="AJ89" i="11" s="1"/>
  <c r="L91" i="11"/>
  <c r="U90" i="11"/>
  <c r="N90" i="11"/>
  <c r="O90" i="11" s="1"/>
  <c r="R88" i="11"/>
  <c r="AA88" i="11"/>
  <c r="V89" i="11"/>
  <c r="W89" i="11"/>
  <c r="AD86" i="11"/>
  <c r="AC86" i="11"/>
  <c r="S87" i="11"/>
  <c r="AB87" i="11"/>
  <c r="P89" i="11"/>
  <c r="X90" i="11" l="1"/>
  <c r="Q90" i="11"/>
  <c r="AF90" i="11"/>
  <c r="AJ90" i="11" s="1"/>
  <c r="L92" i="11"/>
  <c r="U91" i="11"/>
  <c r="N91" i="11"/>
  <c r="O91" i="11" s="1"/>
  <c r="S88" i="11"/>
  <c r="AB88" i="11"/>
  <c r="Y90" i="11"/>
  <c r="V90" i="11"/>
  <c r="W90" i="11"/>
  <c r="P90" i="11"/>
  <c r="P91" i="11" s="1"/>
  <c r="AD87" i="11"/>
  <c r="AC87" i="11"/>
  <c r="R89" i="11"/>
  <c r="AA89" i="11"/>
  <c r="Q91" i="11" l="1"/>
  <c r="X91" i="11"/>
  <c r="AF91" i="11"/>
  <c r="AJ91" i="11" s="1"/>
  <c r="L93" i="11"/>
  <c r="N92" i="11"/>
  <c r="O92" i="11" s="1"/>
  <c r="P92" i="11" s="1"/>
  <c r="U92" i="11"/>
  <c r="AD88" i="11"/>
  <c r="AC88" i="11"/>
  <c r="W91" i="11"/>
  <c r="V91" i="11"/>
  <c r="Y91" i="11"/>
  <c r="R90" i="11"/>
  <c r="AA90" i="11"/>
  <c r="S89" i="11"/>
  <c r="AB89" i="11"/>
  <c r="L94" i="11" l="1"/>
  <c r="U93" i="11"/>
  <c r="N93" i="11"/>
  <c r="O93" i="11" s="1"/>
  <c r="W92" i="11"/>
  <c r="V92" i="11"/>
  <c r="AB90" i="11"/>
  <c r="S90" i="11"/>
  <c r="Q92" i="11"/>
  <c r="AF92" i="11"/>
  <c r="AJ92" i="11" s="1"/>
  <c r="X92" i="11"/>
  <c r="Y92" i="11" s="1"/>
  <c r="AC89" i="11"/>
  <c r="AD89" i="11"/>
  <c r="R91" i="11"/>
  <c r="AA91" i="11"/>
  <c r="AD90" i="11" l="1"/>
  <c r="AC90" i="11"/>
  <c r="Q93" i="11"/>
  <c r="X93" i="11"/>
  <c r="AF93" i="11"/>
  <c r="AJ93" i="11" s="1"/>
  <c r="R92" i="11"/>
  <c r="AA92" i="11"/>
  <c r="W93" i="11"/>
  <c r="V93" i="11"/>
  <c r="Y93" i="11"/>
  <c r="U94" i="11"/>
  <c r="N94" i="11"/>
  <c r="O94" i="11" s="1"/>
  <c r="L95" i="11"/>
  <c r="AB91" i="11"/>
  <c r="S91" i="11"/>
  <c r="P93" i="11"/>
  <c r="N95" i="11" l="1"/>
  <c r="O95" i="11" s="1"/>
  <c r="U95" i="11"/>
  <c r="L96" i="11"/>
  <c r="AD91" i="11"/>
  <c r="AC91" i="11"/>
  <c r="S92" i="11"/>
  <c r="AB92" i="11"/>
  <c r="AF94" i="11"/>
  <c r="AJ94" i="11" s="1"/>
  <c r="X94" i="11"/>
  <c r="Y94" i="11" s="1"/>
  <c r="Q94" i="11"/>
  <c r="W94" i="11"/>
  <c r="V94" i="11"/>
  <c r="AA93" i="11"/>
  <c r="R93" i="11"/>
  <c r="P94" i="11"/>
  <c r="P95" i="11" s="1"/>
  <c r="U96" i="11" l="1"/>
  <c r="N96" i="11"/>
  <c r="O96" i="11" s="1"/>
  <c r="L97" i="11"/>
  <c r="W95" i="11"/>
  <c r="V95" i="11"/>
  <c r="P96" i="11"/>
  <c r="Q95" i="11"/>
  <c r="AF95" i="11"/>
  <c r="AJ95" i="11" s="1"/>
  <c r="X95" i="11"/>
  <c r="Y95" i="11" s="1"/>
  <c r="AA94" i="11"/>
  <c r="R94" i="11"/>
  <c r="AD92" i="11"/>
  <c r="AC92" i="11"/>
  <c r="AB93" i="11"/>
  <c r="S93" i="11"/>
  <c r="R95" i="11" l="1"/>
  <c r="AA95" i="11"/>
  <c r="U97" i="11"/>
  <c r="N97" i="11"/>
  <c r="O97" i="11" s="1"/>
  <c r="L98" i="11"/>
  <c r="Q96" i="11"/>
  <c r="X96" i="11"/>
  <c r="AF96" i="11"/>
  <c r="AJ96" i="11" s="1"/>
  <c r="AB94" i="11"/>
  <c r="S94" i="11"/>
  <c r="P97" i="11"/>
  <c r="Y96" i="11"/>
  <c r="W96" i="11"/>
  <c r="V96" i="11"/>
  <c r="AC93" i="11"/>
  <c r="AD93" i="11"/>
  <c r="AD94" i="11" l="1"/>
  <c r="AC94" i="11"/>
  <c r="R96" i="11"/>
  <c r="AA96" i="11"/>
  <c r="U98" i="11"/>
  <c r="L99" i="11"/>
  <c r="N98" i="11"/>
  <c r="O98" i="11" s="1"/>
  <c r="P98" i="11" s="1"/>
  <c r="W97" i="11"/>
  <c r="V97" i="11"/>
  <c r="AF97" i="11"/>
  <c r="AJ97" i="11" s="1"/>
  <c r="X97" i="11"/>
  <c r="Y97" i="11" s="1"/>
  <c r="Q97" i="11"/>
  <c r="AB95" i="11"/>
  <c r="S95" i="11"/>
  <c r="X98" i="11" l="1"/>
  <c r="Q98" i="11"/>
  <c r="AF98" i="11"/>
  <c r="AJ98" i="11" s="1"/>
  <c r="N99" i="11"/>
  <c r="O99" i="11" s="1"/>
  <c r="U99" i="11"/>
  <c r="L100" i="11"/>
  <c r="V98" i="11"/>
  <c r="W98" i="11"/>
  <c r="Y98" i="11"/>
  <c r="AB96" i="11"/>
  <c r="S96" i="11"/>
  <c r="R97" i="11"/>
  <c r="AA97" i="11"/>
  <c r="P99" i="11"/>
  <c r="AC95" i="11"/>
  <c r="AD95" i="11"/>
  <c r="N100" i="11" l="1"/>
  <c r="O100" i="11" s="1"/>
  <c r="U100" i="11"/>
  <c r="L101" i="11"/>
  <c r="W99" i="11"/>
  <c r="V99" i="11"/>
  <c r="R98" i="11"/>
  <c r="AA98" i="11"/>
  <c r="P100" i="11"/>
  <c r="S97" i="11"/>
  <c r="AB97" i="11"/>
  <c r="AC96" i="11"/>
  <c r="AD96" i="11"/>
  <c r="AF99" i="11"/>
  <c r="AJ99" i="11" s="1"/>
  <c r="Q99" i="11"/>
  <c r="X99" i="11"/>
  <c r="Y99" i="11" s="1"/>
  <c r="N101" i="11" l="1"/>
  <c r="O101" i="11" s="1"/>
  <c r="L102" i="11"/>
  <c r="U101" i="11"/>
  <c r="AC97" i="11"/>
  <c r="AD97" i="11"/>
  <c r="W100" i="11"/>
  <c r="V100" i="11"/>
  <c r="P101" i="11"/>
  <c r="S98" i="11"/>
  <c r="AB98" i="11"/>
  <c r="R99" i="11"/>
  <c r="AA99" i="11"/>
  <c r="Q100" i="11"/>
  <c r="AF100" i="11"/>
  <c r="AJ100" i="11" s="1"/>
  <c r="X100" i="11"/>
  <c r="Y100" i="11" s="1"/>
  <c r="S99" i="11" l="1"/>
  <c r="AB99" i="11"/>
  <c r="AC98" i="11"/>
  <c r="AD98" i="11"/>
  <c r="AA100" i="11"/>
  <c r="R100" i="11"/>
  <c r="W101" i="11"/>
  <c r="V101" i="11"/>
  <c r="N102" i="11"/>
  <c r="O102" i="11" s="1"/>
  <c r="L103" i="11"/>
  <c r="U102" i="11"/>
  <c r="X101" i="11"/>
  <c r="Y101" i="11" s="1"/>
  <c r="AF101" i="11"/>
  <c r="AJ101" i="11" s="1"/>
  <c r="Q101" i="11"/>
  <c r="X102" i="11" l="1"/>
  <c r="Y102" i="11" s="1"/>
  <c r="AF102" i="11"/>
  <c r="AJ102" i="11" s="1"/>
  <c r="Q102" i="11"/>
  <c r="AC99" i="11"/>
  <c r="AD99" i="11"/>
  <c r="V102" i="11"/>
  <c r="W102" i="11"/>
  <c r="U103" i="11"/>
  <c r="L104" i="11"/>
  <c r="N103" i="11"/>
  <c r="O103" i="11" s="1"/>
  <c r="P102" i="11"/>
  <c r="AB100" i="11"/>
  <c r="S100" i="11"/>
  <c r="R101" i="11"/>
  <c r="AA101" i="11"/>
  <c r="P103" i="11" l="1"/>
  <c r="X103" i="11"/>
  <c r="Q103" i="11"/>
  <c r="AF103" i="11"/>
  <c r="AJ103" i="11" s="1"/>
  <c r="V103" i="11"/>
  <c r="W103" i="11"/>
  <c r="Y103" i="11"/>
  <c r="L105" i="11"/>
  <c r="U104" i="11"/>
  <c r="N104" i="11"/>
  <c r="O104" i="11" s="1"/>
  <c r="P104" i="11" s="1"/>
  <c r="R102" i="11"/>
  <c r="AA102" i="11"/>
  <c r="AC100" i="11"/>
  <c r="AD100" i="11"/>
  <c r="AB101" i="11"/>
  <c r="S101" i="11"/>
  <c r="S102" i="11" l="1"/>
  <c r="AB102" i="11"/>
  <c r="X104" i="11"/>
  <c r="AF104" i="11"/>
  <c r="AJ104" i="11" s="1"/>
  <c r="Q104" i="11"/>
  <c r="U105" i="11"/>
  <c r="L106" i="11"/>
  <c r="N105" i="11"/>
  <c r="O105" i="11" s="1"/>
  <c r="R103" i="11"/>
  <c r="AA103" i="11"/>
  <c r="V104" i="11"/>
  <c r="W104" i="11"/>
  <c r="Y104" i="11"/>
  <c r="AD101" i="11"/>
  <c r="AC101" i="11"/>
  <c r="Q105" i="11" l="1"/>
  <c r="X105" i="11"/>
  <c r="AF105" i="11"/>
  <c r="AJ105" i="11" s="1"/>
  <c r="L107" i="11"/>
  <c r="N106" i="11"/>
  <c r="O106" i="11" s="1"/>
  <c r="U106" i="11"/>
  <c r="R104" i="11"/>
  <c r="AA104" i="11"/>
  <c r="S103" i="11"/>
  <c r="AB103" i="11"/>
  <c r="V105" i="11"/>
  <c r="W105" i="11"/>
  <c r="Y105" i="11"/>
  <c r="AD102" i="11"/>
  <c r="AC102" i="11"/>
  <c r="P105" i="11"/>
  <c r="Q106" i="11" l="1"/>
  <c r="X106" i="11"/>
  <c r="AF106" i="11"/>
  <c r="AJ106" i="11" s="1"/>
  <c r="L108" i="11"/>
  <c r="U107" i="11"/>
  <c r="N107" i="11"/>
  <c r="O107" i="11" s="1"/>
  <c r="AD103" i="11"/>
  <c r="AC103" i="11"/>
  <c r="AB104" i="11"/>
  <c r="S104" i="11"/>
  <c r="W106" i="11"/>
  <c r="V106" i="11"/>
  <c r="Y106" i="11"/>
  <c r="P106" i="11"/>
  <c r="P107" i="11" s="1"/>
  <c r="R105" i="11"/>
  <c r="AA105" i="11"/>
  <c r="W107" i="11" l="1"/>
  <c r="V107" i="11"/>
  <c r="L109" i="11"/>
  <c r="N108" i="11"/>
  <c r="O108" i="11" s="1"/>
  <c r="U108" i="11"/>
  <c r="X107" i="11"/>
  <c r="Y107" i="11" s="1"/>
  <c r="Q107" i="11"/>
  <c r="AF107" i="11"/>
  <c r="AJ107" i="11" s="1"/>
  <c r="P108" i="11"/>
  <c r="AD104" i="11"/>
  <c r="AC104" i="11"/>
  <c r="S105" i="11"/>
  <c r="AB105" i="11"/>
  <c r="R106" i="11"/>
  <c r="AA106" i="11"/>
  <c r="AD105" i="11" l="1"/>
  <c r="AC105" i="11"/>
  <c r="W108" i="11"/>
  <c r="V108" i="11"/>
  <c r="Q108" i="11"/>
  <c r="AF108" i="11"/>
  <c r="AJ108" i="11" s="1"/>
  <c r="X108" i="11"/>
  <c r="Y108" i="11" s="1"/>
  <c r="N109" i="11"/>
  <c r="O109" i="11" s="1"/>
  <c r="P109" i="11" s="1"/>
  <c r="U109" i="11"/>
  <c r="L110" i="11"/>
  <c r="R107" i="11"/>
  <c r="AA107" i="11"/>
  <c r="AB106" i="11"/>
  <c r="S106" i="11"/>
  <c r="S107" i="11" l="1"/>
  <c r="AB107" i="11"/>
  <c r="W109" i="11"/>
  <c r="V109" i="11"/>
  <c r="U110" i="11"/>
  <c r="N110" i="11"/>
  <c r="O110" i="11" s="1"/>
  <c r="L111" i="11"/>
  <c r="R108" i="11"/>
  <c r="AA108" i="11"/>
  <c r="Q109" i="11"/>
  <c r="X109" i="11"/>
  <c r="Y109" i="11" s="1"/>
  <c r="AF109" i="11"/>
  <c r="AJ109" i="11" s="1"/>
  <c r="AC106" i="11"/>
  <c r="AD106" i="11"/>
  <c r="Q110" i="11" l="1"/>
  <c r="X110" i="11"/>
  <c r="AF110" i="11"/>
  <c r="AJ110" i="11" s="1"/>
  <c r="AB108" i="11"/>
  <c r="S108" i="11"/>
  <c r="AA109" i="11"/>
  <c r="R109" i="11"/>
  <c r="N111" i="11"/>
  <c r="O111" i="11" s="1"/>
  <c r="L112" i="11"/>
  <c r="U111" i="11"/>
  <c r="W110" i="11"/>
  <c r="V110" i="11"/>
  <c r="Y110" i="11"/>
  <c r="AC107" i="11"/>
  <c r="AD107" i="11"/>
  <c r="P110" i="11"/>
  <c r="V111" i="11" l="1"/>
  <c r="W111" i="11"/>
  <c r="U112" i="11"/>
  <c r="N112" i="11"/>
  <c r="O112" i="11" s="1"/>
  <c r="L113" i="11"/>
  <c r="Q111" i="11"/>
  <c r="AF111" i="11"/>
  <c r="AJ111" i="11" s="1"/>
  <c r="X111" i="11"/>
  <c r="Y111" i="11" s="1"/>
  <c r="S109" i="11"/>
  <c r="AB109" i="11"/>
  <c r="AC108" i="11"/>
  <c r="AD108" i="11"/>
  <c r="P111" i="11"/>
  <c r="P112" i="11" s="1"/>
  <c r="AA110" i="11"/>
  <c r="R110" i="11"/>
  <c r="AC109" i="11" l="1"/>
  <c r="AD109" i="11"/>
  <c r="AA111" i="11"/>
  <c r="R111" i="11"/>
  <c r="U113" i="11"/>
  <c r="L114" i="11"/>
  <c r="N113" i="11"/>
  <c r="O113" i="11" s="1"/>
  <c r="P113" i="11" s="1"/>
  <c r="V112" i="11"/>
  <c r="W112" i="11"/>
  <c r="AF112" i="11"/>
  <c r="AJ112" i="11" s="1"/>
  <c r="X112" i="11"/>
  <c r="Y112" i="11" s="1"/>
  <c r="Q112" i="11"/>
  <c r="AB110" i="11"/>
  <c r="S110" i="11"/>
  <c r="R112" i="11" l="1"/>
  <c r="AA112" i="11"/>
  <c r="Q113" i="11"/>
  <c r="X113" i="11"/>
  <c r="AF113" i="11"/>
  <c r="AJ113" i="11" s="1"/>
  <c r="U114" i="11"/>
  <c r="N114" i="11"/>
  <c r="O114" i="11" s="1"/>
  <c r="L115" i="11"/>
  <c r="W113" i="11"/>
  <c r="V113" i="11"/>
  <c r="Y113" i="11"/>
  <c r="S111" i="11"/>
  <c r="AB111" i="11"/>
  <c r="AD110" i="11"/>
  <c r="AC110" i="11"/>
  <c r="S112" i="11" l="1"/>
  <c r="AB112" i="11"/>
  <c r="N115" i="11"/>
  <c r="O115" i="11" s="1"/>
  <c r="U115" i="11"/>
  <c r="L116" i="11"/>
  <c r="W114" i="11"/>
  <c r="V114" i="11"/>
  <c r="R113" i="11"/>
  <c r="AA113" i="11"/>
  <c r="AC111" i="11"/>
  <c r="AD111" i="11"/>
  <c r="X114" i="11"/>
  <c r="Y114" i="11" s="1"/>
  <c r="AF114" i="11"/>
  <c r="AJ114" i="11" s="1"/>
  <c r="Q114" i="11"/>
  <c r="P114" i="11"/>
  <c r="P115" i="11" s="1"/>
  <c r="U116" i="11" l="1"/>
  <c r="N116" i="11"/>
  <c r="O116" i="11" s="1"/>
  <c r="L117" i="11"/>
  <c r="W115" i="11"/>
  <c r="V115" i="11"/>
  <c r="X115" i="11"/>
  <c r="Y115" i="11" s="1"/>
  <c r="Q115" i="11"/>
  <c r="AF115" i="11"/>
  <c r="AJ115" i="11" s="1"/>
  <c r="AB113" i="11"/>
  <c r="S113" i="11"/>
  <c r="P116" i="11"/>
  <c r="AC112" i="11"/>
  <c r="AD112" i="11"/>
  <c r="R114" i="11"/>
  <c r="AA114" i="11"/>
  <c r="AC113" i="11" l="1"/>
  <c r="AD113" i="11"/>
  <c r="L118" i="11"/>
  <c r="U117" i="11"/>
  <c r="N117" i="11"/>
  <c r="O117" i="11" s="1"/>
  <c r="R115" i="11"/>
  <c r="AA115" i="11"/>
  <c r="Q116" i="11"/>
  <c r="AF116" i="11"/>
  <c r="AJ116" i="11" s="1"/>
  <c r="X116" i="11"/>
  <c r="AB114" i="11"/>
  <c r="S114" i="11"/>
  <c r="Y116" i="11"/>
  <c r="V116" i="11"/>
  <c r="W116" i="11"/>
  <c r="R116" i="11" l="1"/>
  <c r="AA116" i="11"/>
  <c r="X117" i="11"/>
  <c r="Q117" i="11"/>
  <c r="AF117" i="11"/>
  <c r="AJ117" i="11" s="1"/>
  <c r="P117" i="11"/>
  <c r="AC114" i="11"/>
  <c r="AD114" i="11"/>
  <c r="AB115" i="11"/>
  <c r="S115" i="11"/>
  <c r="V117" i="11"/>
  <c r="W117" i="11"/>
  <c r="Y117" i="11"/>
  <c r="U118" i="11"/>
  <c r="L119" i="11"/>
  <c r="N118" i="11"/>
  <c r="O118" i="11" s="1"/>
  <c r="P118" i="11" l="1"/>
  <c r="N119" i="11"/>
  <c r="O119" i="11" s="1"/>
  <c r="L120" i="11"/>
  <c r="U119" i="11"/>
  <c r="AC115" i="11"/>
  <c r="AD115" i="11"/>
  <c r="W118" i="11"/>
  <c r="V118" i="11"/>
  <c r="P119" i="11"/>
  <c r="R117" i="11"/>
  <c r="AA117" i="11"/>
  <c r="Q118" i="11"/>
  <c r="AF118" i="11"/>
  <c r="AJ118" i="11" s="1"/>
  <c r="X118" i="11"/>
  <c r="Y118" i="11" s="1"/>
  <c r="S116" i="11"/>
  <c r="AB116" i="11"/>
  <c r="W119" i="11" l="1"/>
  <c r="V119" i="11"/>
  <c r="R118" i="11"/>
  <c r="AA118" i="11"/>
  <c r="S117" i="11"/>
  <c r="AB117" i="11"/>
  <c r="AD116" i="11"/>
  <c r="AC116" i="11"/>
  <c r="N120" i="11"/>
  <c r="O120" i="11" s="1"/>
  <c r="L121" i="11"/>
  <c r="U120" i="11"/>
  <c r="X119" i="11"/>
  <c r="Y119" i="11" s="1"/>
  <c r="AF119" i="11"/>
  <c r="AJ119" i="11" s="1"/>
  <c r="Q119" i="11"/>
  <c r="W120" i="11" l="1"/>
  <c r="V120" i="11"/>
  <c r="AF120" i="11"/>
  <c r="AJ120" i="11" s="1"/>
  <c r="Q120" i="11"/>
  <c r="X120" i="11"/>
  <c r="Y120" i="11" s="1"/>
  <c r="AD117" i="11"/>
  <c r="AC117" i="11"/>
  <c r="S118" i="11"/>
  <c r="AB118" i="11"/>
  <c r="L122" i="11"/>
  <c r="U121" i="11"/>
  <c r="N121" i="11"/>
  <c r="O121" i="11" s="1"/>
  <c r="R119" i="11"/>
  <c r="AA119" i="11"/>
  <c r="P120" i="11"/>
  <c r="P121" i="11" s="1"/>
  <c r="Q121" i="11" l="1"/>
  <c r="AF121" i="11"/>
  <c r="AJ121" i="11" s="1"/>
  <c r="X121" i="11"/>
  <c r="AD118" i="11"/>
  <c r="AC118" i="11"/>
  <c r="R120" i="11"/>
  <c r="AA120" i="11"/>
  <c r="AB119" i="11"/>
  <c r="S119" i="11"/>
  <c r="V121" i="11"/>
  <c r="Y121" i="11"/>
  <c r="W121" i="11"/>
  <c r="L123" i="11"/>
  <c r="U122" i="11"/>
  <c r="N122" i="11"/>
  <c r="O122" i="11" s="1"/>
  <c r="P122" i="11" s="1"/>
  <c r="W122" i="11" l="1"/>
  <c r="V122" i="11"/>
  <c r="L124" i="11"/>
  <c r="U123" i="11"/>
  <c r="N123" i="11"/>
  <c r="O123" i="11" s="1"/>
  <c r="AC119" i="11"/>
  <c r="AD119" i="11"/>
  <c r="S120" i="11"/>
  <c r="AB120" i="11"/>
  <c r="Q122" i="11"/>
  <c r="AF122" i="11"/>
  <c r="AJ122" i="11" s="1"/>
  <c r="X122" i="11"/>
  <c r="Y122" i="11" s="1"/>
  <c r="AA121" i="11"/>
  <c r="R121" i="11"/>
  <c r="AC120" i="11" l="1"/>
  <c r="AD120" i="11"/>
  <c r="L125" i="11"/>
  <c r="U124" i="11"/>
  <c r="N124" i="11"/>
  <c r="O124" i="11" s="1"/>
  <c r="R122" i="11"/>
  <c r="AA122" i="11"/>
  <c r="X123" i="11"/>
  <c r="Q123" i="11"/>
  <c r="AF123" i="11"/>
  <c r="AJ123" i="11" s="1"/>
  <c r="W123" i="11"/>
  <c r="Y123" i="11"/>
  <c r="V123" i="11"/>
  <c r="AB121" i="11"/>
  <c r="S121" i="11"/>
  <c r="P123" i="11"/>
  <c r="AC121" i="11" l="1"/>
  <c r="AD121" i="11"/>
  <c r="R123" i="11"/>
  <c r="AA123" i="11"/>
  <c r="S122" i="11"/>
  <c r="AB122" i="11"/>
  <c r="V124" i="11"/>
  <c r="W124" i="11"/>
  <c r="Q124" i="11"/>
  <c r="AF124" i="11"/>
  <c r="AJ124" i="11" s="1"/>
  <c r="X124" i="11"/>
  <c r="Y124" i="11" s="1"/>
  <c r="N125" i="11"/>
  <c r="O125" i="11" s="1"/>
  <c r="L126" i="11"/>
  <c r="U125" i="11"/>
  <c r="P124" i="11"/>
  <c r="P125" i="11" s="1"/>
  <c r="AF125" i="11" l="1"/>
  <c r="AJ125" i="11" s="1"/>
  <c r="Q125" i="11"/>
  <c r="X125" i="11"/>
  <c r="Y125" i="11" s="1"/>
  <c r="V125" i="11"/>
  <c r="W125" i="11"/>
  <c r="U126" i="11"/>
  <c r="N126" i="11"/>
  <c r="O126" i="11" s="1"/>
  <c r="L127" i="11"/>
  <c r="AC122" i="11"/>
  <c r="AD122" i="11"/>
  <c r="P126" i="11"/>
  <c r="R124" i="11"/>
  <c r="AA124" i="11"/>
  <c r="S123" i="11"/>
  <c r="AB123" i="11"/>
  <c r="S124" i="11" l="1"/>
  <c r="AB124" i="11"/>
  <c r="W126" i="11"/>
  <c r="V126" i="11"/>
  <c r="R125" i="11"/>
  <c r="AA125" i="11"/>
  <c r="N127" i="11"/>
  <c r="O127" i="11" s="1"/>
  <c r="U127" i="11"/>
  <c r="L128" i="11"/>
  <c r="AD123" i="11"/>
  <c r="AC123" i="11"/>
  <c r="Q126" i="11"/>
  <c r="X126" i="11"/>
  <c r="Y126" i="11" s="1"/>
  <c r="AF126" i="11"/>
  <c r="AJ126" i="11" s="1"/>
  <c r="AF127" i="11" l="1"/>
  <c r="AJ127" i="11" s="1"/>
  <c r="X127" i="11"/>
  <c r="Q127" i="11"/>
  <c r="U128" i="11"/>
  <c r="N128" i="11"/>
  <c r="O128" i="11" s="1"/>
  <c r="L129" i="11"/>
  <c r="P127" i="11"/>
  <c r="P128" i="11" s="1"/>
  <c r="AB125" i="11"/>
  <c r="S125" i="11"/>
  <c r="R126" i="11"/>
  <c r="AA126" i="11"/>
  <c r="Y127" i="11"/>
  <c r="V127" i="11"/>
  <c r="W127" i="11"/>
  <c r="AC124" i="11"/>
  <c r="AD124" i="11"/>
  <c r="AF128" i="11" l="1"/>
  <c r="AJ128" i="11" s="1"/>
  <c r="X128" i="11"/>
  <c r="Q128" i="11"/>
  <c r="W128" i="11"/>
  <c r="V128" i="11"/>
  <c r="Y128" i="11"/>
  <c r="AB126" i="11"/>
  <c r="S126" i="11"/>
  <c r="AD125" i="11"/>
  <c r="AC125" i="11"/>
  <c r="U129" i="11"/>
  <c r="L130" i="11"/>
  <c r="N129" i="11"/>
  <c r="O129" i="11" s="1"/>
  <c r="P129" i="11" s="1"/>
  <c r="AA127" i="11"/>
  <c r="R127" i="11"/>
  <c r="W129" i="11" l="1"/>
  <c r="V129" i="11"/>
  <c r="AC126" i="11"/>
  <c r="AD126" i="11"/>
  <c r="R128" i="11"/>
  <c r="AA128" i="11"/>
  <c r="AF129" i="11"/>
  <c r="AJ129" i="11" s="1"/>
  <c r="X129" i="11"/>
  <c r="Y129" i="11" s="1"/>
  <c r="Q129" i="11"/>
  <c r="N130" i="11"/>
  <c r="O130" i="11" s="1"/>
  <c r="L131" i="11"/>
  <c r="U130" i="11"/>
  <c r="S127" i="11"/>
  <c r="AB127" i="11"/>
  <c r="R129" i="11" l="1"/>
  <c r="AA129" i="11"/>
  <c r="AB128" i="11"/>
  <c r="S128" i="11"/>
  <c r="V130" i="11"/>
  <c r="W130" i="11"/>
  <c r="N131" i="11"/>
  <c r="O131" i="11" s="1"/>
  <c r="U131" i="11"/>
  <c r="L132" i="11"/>
  <c r="AF130" i="11"/>
  <c r="AJ130" i="11" s="1"/>
  <c r="X130" i="11"/>
  <c r="Y130" i="11" s="1"/>
  <c r="Q130" i="11"/>
  <c r="AC127" i="11"/>
  <c r="AD127" i="11"/>
  <c r="P130" i="11"/>
  <c r="W131" i="11" l="1"/>
  <c r="V131" i="11"/>
  <c r="AC128" i="11"/>
  <c r="AD128" i="11"/>
  <c r="X131" i="11"/>
  <c r="Y131" i="11" s="1"/>
  <c r="Q131" i="11"/>
  <c r="AF131" i="11"/>
  <c r="AJ131" i="11" s="1"/>
  <c r="R130" i="11"/>
  <c r="AA130" i="11"/>
  <c r="U132" i="11"/>
  <c r="N132" i="11"/>
  <c r="O132" i="11" s="1"/>
  <c r="L133" i="11"/>
  <c r="P131" i="11"/>
  <c r="AB129" i="11"/>
  <c r="S129" i="11"/>
  <c r="P132" i="11" l="1"/>
  <c r="X132" i="11"/>
  <c r="AF132" i="11"/>
  <c r="AJ132" i="11" s="1"/>
  <c r="Q132" i="11"/>
  <c r="V132" i="11"/>
  <c r="Y132" i="11"/>
  <c r="W132" i="11"/>
  <c r="U133" i="11"/>
  <c r="N133" i="11"/>
  <c r="O133" i="11" s="1"/>
  <c r="L134" i="11"/>
  <c r="S130" i="11"/>
  <c r="AB130" i="11"/>
  <c r="R131" i="11"/>
  <c r="AA131" i="11"/>
  <c r="AD129" i="11"/>
  <c r="AC129" i="11"/>
  <c r="AB131" i="11" l="1"/>
  <c r="S131" i="11"/>
  <c r="N134" i="11"/>
  <c r="O134" i="11" s="1"/>
  <c r="L135" i="11"/>
  <c r="U134" i="11"/>
  <c r="X133" i="11"/>
  <c r="Y133" i="11" s="1"/>
  <c r="AF133" i="11"/>
  <c r="AJ133" i="11" s="1"/>
  <c r="Q133" i="11"/>
  <c r="W133" i="11"/>
  <c r="V133" i="11"/>
  <c r="AD130" i="11"/>
  <c r="AC130" i="11"/>
  <c r="AA132" i="11"/>
  <c r="R132" i="11"/>
  <c r="P133" i="11"/>
  <c r="U135" i="11" l="1"/>
  <c r="L136" i="11"/>
  <c r="N135" i="11"/>
  <c r="O135" i="11" s="1"/>
  <c r="R133" i="11"/>
  <c r="AA133" i="11"/>
  <c r="X134" i="11"/>
  <c r="Q134" i="11"/>
  <c r="AF134" i="11"/>
  <c r="AJ134" i="11" s="1"/>
  <c r="Y134" i="11"/>
  <c r="W134" i="11"/>
  <c r="V134" i="11"/>
  <c r="P134" i="11"/>
  <c r="P135" i="11" s="1"/>
  <c r="AB132" i="11"/>
  <c r="S132" i="11"/>
  <c r="AC131" i="11"/>
  <c r="AD131" i="11"/>
  <c r="AD132" i="11" l="1"/>
  <c r="AC132" i="11"/>
  <c r="R134" i="11"/>
  <c r="AA134" i="11"/>
  <c r="AB133" i="11"/>
  <c r="S133" i="11"/>
  <c r="Q135" i="11"/>
  <c r="AF135" i="11"/>
  <c r="AJ135" i="11" s="1"/>
  <c r="X135" i="11"/>
  <c r="Y135" i="11" s="1"/>
  <c r="L137" i="11"/>
  <c r="U136" i="11"/>
  <c r="N136" i="11"/>
  <c r="O136" i="11" s="1"/>
  <c r="P136" i="11" s="1"/>
  <c r="W135" i="11"/>
  <c r="V135" i="11"/>
  <c r="W136" i="11" l="1"/>
  <c r="V136" i="11"/>
  <c r="AC133" i="11"/>
  <c r="AD133" i="11"/>
  <c r="AF136" i="11"/>
  <c r="AJ136" i="11" s="1"/>
  <c r="Q136" i="11"/>
  <c r="X136" i="11"/>
  <c r="Y136" i="11" s="1"/>
  <c r="L138" i="11"/>
  <c r="N137" i="11"/>
  <c r="O137" i="11" s="1"/>
  <c r="U137" i="11"/>
  <c r="R135" i="11"/>
  <c r="AA135" i="11"/>
  <c r="AB134" i="11"/>
  <c r="S134" i="11"/>
  <c r="Q137" i="11" l="1"/>
  <c r="X137" i="11"/>
  <c r="AF137" i="11"/>
  <c r="AJ137" i="11" s="1"/>
  <c r="L139" i="11"/>
  <c r="N138" i="11"/>
  <c r="O138" i="11" s="1"/>
  <c r="U138" i="11"/>
  <c r="AB135" i="11"/>
  <c r="S135" i="11"/>
  <c r="Y137" i="11"/>
  <c r="V137" i="11"/>
  <c r="W137" i="11"/>
  <c r="R136" i="11"/>
  <c r="AA136" i="11"/>
  <c r="AC134" i="11"/>
  <c r="AD134" i="11"/>
  <c r="P137" i="11"/>
  <c r="Q138" i="11" l="1"/>
  <c r="X138" i="11"/>
  <c r="AF138" i="11"/>
  <c r="AJ138" i="11" s="1"/>
  <c r="L140" i="11"/>
  <c r="N139" i="11"/>
  <c r="O139" i="11" s="1"/>
  <c r="U139" i="11"/>
  <c r="S136" i="11"/>
  <c r="AB136" i="11"/>
  <c r="AD135" i="11"/>
  <c r="AC135" i="11"/>
  <c r="Y138" i="11"/>
  <c r="W138" i="11"/>
  <c r="V138" i="11"/>
  <c r="P138" i="11"/>
  <c r="P139" i="11" s="1"/>
  <c r="AA137" i="11"/>
  <c r="R137" i="11"/>
  <c r="V139" i="11" l="1"/>
  <c r="W139" i="11"/>
  <c r="AD136" i="11"/>
  <c r="AC136" i="11"/>
  <c r="L141" i="11"/>
  <c r="U140" i="11"/>
  <c r="N140" i="11"/>
  <c r="O140" i="11" s="1"/>
  <c r="Q139" i="11"/>
  <c r="X139" i="11"/>
  <c r="Y139" i="11" s="1"/>
  <c r="AF139" i="11"/>
  <c r="AJ139" i="11" s="1"/>
  <c r="AB137" i="11"/>
  <c r="S137" i="11"/>
  <c r="R138" i="11"/>
  <c r="AA138" i="11"/>
  <c r="AD137" i="11" l="1"/>
  <c r="AC137" i="11"/>
  <c r="R139" i="11"/>
  <c r="AA139" i="11"/>
  <c r="X140" i="11"/>
  <c r="Q140" i="11"/>
  <c r="AF140" i="11"/>
  <c r="AJ140" i="11" s="1"/>
  <c r="V140" i="11"/>
  <c r="Y140" i="11"/>
  <c r="W140" i="11"/>
  <c r="N141" i="11"/>
  <c r="O141" i="11" s="1"/>
  <c r="U141" i="11"/>
  <c r="L142" i="11"/>
  <c r="P140" i="11"/>
  <c r="AB138" i="11"/>
  <c r="S138" i="11"/>
  <c r="P141" i="11" l="1"/>
  <c r="Q141" i="11"/>
  <c r="X141" i="11"/>
  <c r="AF141" i="11"/>
  <c r="AJ141" i="11" s="1"/>
  <c r="R140" i="11"/>
  <c r="AA140" i="11"/>
  <c r="AB139" i="11"/>
  <c r="S139" i="11"/>
  <c r="N142" i="11"/>
  <c r="O142" i="11" s="1"/>
  <c r="U142" i="11"/>
  <c r="L143" i="11"/>
  <c r="Y141" i="11"/>
  <c r="W141" i="11"/>
  <c r="V141" i="11"/>
  <c r="AD138" i="11"/>
  <c r="AC138" i="11"/>
  <c r="X142" i="11" l="1"/>
  <c r="Y142" i="11" s="1"/>
  <c r="Q142" i="11"/>
  <c r="AF142" i="11"/>
  <c r="AJ142" i="11" s="1"/>
  <c r="S140" i="11"/>
  <c r="AB140" i="11"/>
  <c r="U143" i="11"/>
  <c r="N143" i="11"/>
  <c r="O143" i="11" s="1"/>
  <c r="L144" i="11"/>
  <c r="V142" i="11"/>
  <c r="W142" i="11"/>
  <c r="P142" i="11"/>
  <c r="AC139" i="11"/>
  <c r="AD139" i="11"/>
  <c r="R141" i="11"/>
  <c r="AA141" i="11"/>
  <c r="P143" i="11" l="1"/>
  <c r="AB141" i="11"/>
  <c r="S141" i="11"/>
  <c r="U144" i="11"/>
  <c r="N144" i="11"/>
  <c r="O144" i="11" s="1"/>
  <c r="P144" i="11" s="1"/>
  <c r="L145" i="11"/>
  <c r="AA142" i="11"/>
  <c r="R142" i="11"/>
  <c r="AF143" i="11"/>
  <c r="AJ143" i="11" s="1"/>
  <c r="Q143" i="11"/>
  <c r="X143" i="11"/>
  <c r="V143" i="11"/>
  <c r="W143" i="11"/>
  <c r="Y143" i="11"/>
  <c r="AD140" i="11"/>
  <c r="AC140" i="11"/>
  <c r="S142" i="11" l="1"/>
  <c r="AB142" i="11"/>
  <c r="AD141" i="11"/>
  <c r="AC141" i="11"/>
  <c r="R143" i="11"/>
  <c r="AA143" i="11"/>
  <c r="U145" i="11"/>
  <c r="L146" i="11"/>
  <c r="N145" i="11"/>
  <c r="O145" i="11" s="1"/>
  <c r="X144" i="11"/>
  <c r="Q144" i="11"/>
  <c r="AF144" i="11"/>
  <c r="AJ144" i="11" s="1"/>
  <c r="W144" i="11"/>
  <c r="V144" i="11"/>
  <c r="Y144" i="11"/>
  <c r="R144" i="11" l="1"/>
  <c r="AA144" i="11"/>
  <c r="U146" i="11"/>
  <c r="N146" i="11"/>
  <c r="O146" i="11" s="1"/>
  <c r="L147" i="11"/>
  <c r="V145" i="11"/>
  <c r="W145" i="11"/>
  <c r="AD142" i="11"/>
  <c r="AC142" i="11"/>
  <c r="AF145" i="11"/>
  <c r="AJ145" i="11" s="1"/>
  <c r="X145" i="11"/>
  <c r="Y145" i="11" s="1"/>
  <c r="Q145" i="11"/>
  <c r="P145" i="11"/>
  <c r="P146" i="11" s="1"/>
  <c r="AB143" i="11"/>
  <c r="S143" i="11"/>
  <c r="W146" i="11" l="1"/>
  <c r="V146" i="11"/>
  <c r="R145" i="11"/>
  <c r="AA145" i="11"/>
  <c r="U147" i="11"/>
  <c r="N147" i="11"/>
  <c r="O147" i="11" s="1"/>
  <c r="P147" i="11" s="1"/>
  <c r="L148" i="11"/>
  <c r="X146" i="11"/>
  <c r="Y146" i="11" s="1"/>
  <c r="AF146" i="11"/>
  <c r="AJ146" i="11" s="1"/>
  <c r="Q146" i="11"/>
  <c r="AC143" i="11"/>
  <c r="AD143" i="11"/>
  <c r="AB144" i="11"/>
  <c r="S144" i="11"/>
  <c r="U148" i="11" l="1"/>
  <c r="N148" i="11"/>
  <c r="O148" i="11" s="1"/>
  <c r="L149" i="11"/>
  <c r="AC144" i="11"/>
  <c r="AD144" i="11"/>
  <c r="R146" i="11"/>
  <c r="AA146" i="11"/>
  <c r="AF147" i="11"/>
  <c r="AJ147" i="11" s="1"/>
  <c r="X147" i="11"/>
  <c r="Y147" i="11" s="1"/>
  <c r="Q147" i="11"/>
  <c r="W147" i="11"/>
  <c r="V147" i="11"/>
  <c r="AB145" i="11"/>
  <c r="S145" i="11"/>
  <c r="P148" i="11"/>
  <c r="AB146" i="11" l="1"/>
  <c r="S146" i="11"/>
  <c r="N149" i="11"/>
  <c r="O149" i="11" s="1"/>
  <c r="U149" i="11"/>
  <c r="L150" i="11"/>
  <c r="AD145" i="11"/>
  <c r="AC145" i="11"/>
  <c r="R147" i="11"/>
  <c r="AA147" i="11"/>
  <c r="P149" i="11"/>
  <c r="X148" i="11"/>
  <c r="Y148" i="11" s="1"/>
  <c r="Q148" i="11"/>
  <c r="AF148" i="11"/>
  <c r="AJ148" i="11" s="1"/>
  <c r="V148" i="11"/>
  <c r="W148" i="11"/>
  <c r="R148" i="11" l="1"/>
  <c r="AA148" i="11"/>
  <c r="AB147" i="11"/>
  <c r="S147" i="11"/>
  <c r="V149" i="11"/>
  <c r="W149" i="11"/>
  <c r="X149" i="11"/>
  <c r="Y149" i="11" s="1"/>
  <c r="AF149" i="11"/>
  <c r="AJ149" i="11" s="1"/>
  <c r="Q149" i="11"/>
  <c r="U150" i="11"/>
  <c r="N150" i="11"/>
  <c r="O150" i="11" s="1"/>
  <c r="L151" i="11"/>
  <c r="AD146" i="11"/>
  <c r="AC146" i="11"/>
  <c r="L152" i="11" l="1"/>
  <c r="N151" i="11"/>
  <c r="O151" i="11" s="1"/>
  <c r="U151" i="11"/>
  <c r="AF150" i="11"/>
  <c r="AJ150" i="11" s="1"/>
  <c r="X150" i="11"/>
  <c r="Y150" i="11" s="1"/>
  <c r="Q150" i="11"/>
  <c r="W150" i="11"/>
  <c r="V150" i="11"/>
  <c r="R149" i="11"/>
  <c r="AA149" i="11"/>
  <c r="AC147" i="11"/>
  <c r="AD147" i="11"/>
  <c r="P150" i="11"/>
  <c r="P151" i="11" s="1"/>
  <c r="AB148" i="11"/>
  <c r="S148" i="11"/>
  <c r="V151" i="11" l="1"/>
  <c r="W151" i="11"/>
  <c r="X151" i="11"/>
  <c r="Y151" i="11" s="1"/>
  <c r="AF151" i="11"/>
  <c r="AJ151" i="11" s="1"/>
  <c r="Q151" i="11"/>
  <c r="S149" i="11"/>
  <c r="AB149" i="11"/>
  <c r="R150" i="11"/>
  <c r="AA150" i="11"/>
  <c r="AD148" i="11"/>
  <c r="AC148" i="11"/>
  <c r="U152" i="11"/>
  <c r="L153" i="11"/>
  <c r="N152" i="11"/>
  <c r="O152" i="11" s="1"/>
  <c r="U153" i="11" l="1"/>
  <c r="L154" i="11"/>
  <c r="N153" i="11"/>
  <c r="O153" i="11" s="1"/>
  <c r="V152" i="11"/>
  <c r="W152" i="11"/>
  <c r="AB150" i="11"/>
  <c r="S150" i="11"/>
  <c r="AC149" i="11"/>
  <c r="AD149" i="11"/>
  <c r="AA151" i="11"/>
  <c r="R151" i="11"/>
  <c r="X152" i="11"/>
  <c r="Y152" i="11" s="1"/>
  <c r="AF152" i="11"/>
  <c r="AJ152" i="11" s="1"/>
  <c r="Q152" i="11"/>
  <c r="P152" i="11"/>
  <c r="P153" i="11" s="1"/>
  <c r="L155" i="11" l="1"/>
  <c r="U154" i="11"/>
  <c r="N154" i="11"/>
  <c r="O154" i="11" s="1"/>
  <c r="AB151" i="11"/>
  <c r="S151" i="11"/>
  <c r="AD150" i="11"/>
  <c r="AC150" i="11"/>
  <c r="Q153" i="11"/>
  <c r="AF153" i="11"/>
  <c r="AJ153" i="11" s="1"/>
  <c r="X153" i="11"/>
  <c r="P154" i="11"/>
  <c r="AA152" i="11"/>
  <c r="R152" i="11"/>
  <c r="W153" i="11"/>
  <c r="V153" i="11"/>
  <c r="Y153" i="11"/>
  <c r="AA153" i="11" l="1"/>
  <c r="R153" i="11"/>
  <c r="AD151" i="11"/>
  <c r="AC151" i="11"/>
  <c r="W154" i="11"/>
  <c r="V154" i="11"/>
  <c r="L156" i="11"/>
  <c r="U155" i="11"/>
  <c r="N155" i="11"/>
  <c r="O155" i="11" s="1"/>
  <c r="AB152" i="11"/>
  <c r="S152" i="11"/>
  <c r="Q154" i="11"/>
  <c r="AF154" i="11"/>
  <c r="AJ154" i="11" s="1"/>
  <c r="X154" i="11"/>
  <c r="Y154" i="11" s="1"/>
  <c r="Q155" i="11" l="1"/>
  <c r="X155" i="11"/>
  <c r="Y155" i="11" s="1"/>
  <c r="AF155" i="11"/>
  <c r="AJ155" i="11" s="1"/>
  <c r="S153" i="11"/>
  <c r="AB153" i="11"/>
  <c r="R154" i="11"/>
  <c r="AA154" i="11"/>
  <c r="AD152" i="11"/>
  <c r="AC152" i="11"/>
  <c r="W155" i="11"/>
  <c r="V155" i="11"/>
  <c r="L157" i="11"/>
  <c r="U156" i="11"/>
  <c r="N156" i="11"/>
  <c r="O156" i="11" s="1"/>
  <c r="P155" i="11"/>
  <c r="P156" i="11" l="1"/>
  <c r="R155" i="11"/>
  <c r="AA155" i="11"/>
  <c r="W156" i="11"/>
  <c r="V156" i="11"/>
  <c r="L158" i="11"/>
  <c r="N157" i="11"/>
  <c r="O157" i="11" s="1"/>
  <c r="P157" i="11" s="1"/>
  <c r="U157" i="11"/>
  <c r="Q156" i="11"/>
  <c r="X156" i="11"/>
  <c r="Y156" i="11" s="1"/>
  <c r="AF156" i="11"/>
  <c r="AJ156" i="11" s="1"/>
  <c r="S154" i="11"/>
  <c r="AB154" i="11"/>
  <c r="AC153" i="11"/>
  <c r="AD153" i="11"/>
  <c r="AB155" i="11" l="1"/>
  <c r="S155" i="11"/>
  <c r="AC154" i="11"/>
  <c r="AD154" i="11"/>
  <c r="AF157" i="11"/>
  <c r="AJ157" i="11" s="1"/>
  <c r="Q157" i="11"/>
  <c r="X157" i="11"/>
  <c r="R156" i="11"/>
  <c r="AA156" i="11"/>
  <c r="Y157" i="11"/>
  <c r="V157" i="11"/>
  <c r="W157" i="11"/>
  <c r="N158" i="11"/>
  <c r="O158" i="11" s="1"/>
  <c r="P158" i="11" s="1"/>
  <c r="U158" i="11"/>
  <c r="L159" i="11"/>
  <c r="AA157" i="11" l="1"/>
  <c r="R157" i="11"/>
  <c r="AF158" i="11"/>
  <c r="AJ158" i="11" s="1"/>
  <c r="X158" i="11"/>
  <c r="Q158" i="11"/>
  <c r="AB156" i="11"/>
  <c r="S156" i="11"/>
  <c r="U159" i="11"/>
  <c r="N159" i="11"/>
  <c r="O159" i="11" s="1"/>
  <c r="L160" i="11"/>
  <c r="Y158" i="11"/>
  <c r="V158" i="11"/>
  <c r="W158" i="11"/>
  <c r="AC155" i="11"/>
  <c r="AD155" i="11"/>
  <c r="N160" i="11" l="1"/>
  <c r="O160" i="11" s="1"/>
  <c r="U160" i="11"/>
  <c r="L161" i="11"/>
  <c r="X159" i="11"/>
  <c r="AF159" i="11"/>
  <c r="AJ159" i="11" s="1"/>
  <c r="Q159" i="11"/>
  <c r="AB157" i="11"/>
  <c r="S157" i="11"/>
  <c r="Y159" i="11"/>
  <c r="W159" i="11"/>
  <c r="V159" i="11"/>
  <c r="AD156" i="11"/>
  <c r="AC156" i="11"/>
  <c r="R158" i="11"/>
  <c r="AA158" i="11"/>
  <c r="P159" i="11"/>
  <c r="P160" i="11" l="1"/>
  <c r="S158" i="11"/>
  <c r="AB158" i="11"/>
  <c r="N161" i="11"/>
  <c r="O161" i="11" s="1"/>
  <c r="U161" i="11"/>
  <c r="L162" i="11"/>
  <c r="W160" i="11"/>
  <c r="V160" i="11"/>
  <c r="AC157" i="11"/>
  <c r="AD157" i="11"/>
  <c r="AA159" i="11"/>
  <c r="R159" i="11"/>
  <c r="P161" i="11"/>
  <c r="AF160" i="11"/>
  <c r="AJ160" i="11" s="1"/>
  <c r="X160" i="11"/>
  <c r="Y160" i="11" s="1"/>
  <c r="Q160" i="11"/>
  <c r="V161" i="11" l="1"/>
  <c r="W161" i="11"/>
  <c r="AF161" i="11"/>
  <c r="AJ161" i="11" s="1"/>
  <c r="Q161" i="11"/>
  <c r="X161" i="11"/>
  <c r="Y161" i="11" s="1"/>
  <c r="AD158" i="11"/>
  <c r="AC158" i="11"/>
  <c r="S159" i="11"/>
  <c r="AB159" i="11"/>
  <c r="U162" i="11"/>
  <c r="N162" i="11"/>
  <c r="O162" i="11" s="1"/>
  <c r="L163" i="11"/>
  <c r="R160" i="11"/>
  <c r="AA160" i="11"/>
  <c r="Q162" i="11" l="1"/>
  <c r="X162" i="11"/>
  <c r="Y162" i="11" s="1"/>
  <c r="AF162" i="11"/>
  <c r="AJ162" i="11" s="1"/>
  <c r="N163" i="11"/>
  <c r="O163" i="11" s="1"/>
  <c r="L164" i="11"/>
  <c r="U163" i="11"/>
  <c r="W162" i="11"/>
  <c r="V162" i="11"/>
  <c r="AD159" i="11"/>
  <c r="AC159" i="11"/>
  <c r="R161" i="11"/>
  <c r="AA161" i="11"/>
  <c r="AB160" i="11"/>
  <c r="S160" i="11"/>
  <c r="P162" i="11"/>
  <c r="P163" i="11" s="1"/>
  <c r="AD160" i="11" l="1"/>
  <c r="AC160" i="11"/>
  <c r="AB161" i="11"/>
  <c r="S161" i="11"/>
  <c r="V163" i="11"/>
  <c r="W163" i="11"/>
  <c r="L165" i="11"/>
  <c r="U164" i="11"/>
  <c r="N164" i="11"/>
  <c r="O164" i="11" s="1"/>
  <c r="X163" i="11"/>
  <c r="Y163" i="11" s="1"/>
  <c r="Q163" i="11"/>
  <c r="AF163" i="11"/>
  <c r="AJ163" i="11" s="1"/>
  <c r="P164" i="11"/>
  <c r="R162" i="11"/>
  <c r="AA162" i="11"/>
  <c r="U165" i="11" l="1"/>
  <c r="N165" i="11"/>
  <c r="O165" i="11" s="1"/>
  <c r="L166" i="11"/>
  <c r="AD161" i="11"/>
  <c r="AC161" i="11"/>
  <c r="P165" i="11"/>
  <c r="R163" i="11"/>
  <c r="AA163" i="11"/>
  <c r="AF164" i="11"/>
  <c r="AJ164" i="11" s="1"/>
  <c r="Q164" i="11"/>
  <c r="X164" i="11"/>
  <c r="V164" i="11"/>
  <c r="Y164" i="11"/>
  <c r="W164" i="11"/>
  <c r="S162" i="11"/>
  <c r="AB162" i="11"/>
  <c r="AB163" i="11" l="1"/>
  <c r="S163" i="11"/>
  <c r="U166" i="11"/>
  <c r="L167" i="11"/>
  <c r="N166" i="11"/>
  <c r="O166" i="11" s="1"/>
  <c r="X165" i="11"/>
  <c r="AF165" i="11"/>
  <c r="AJ165" i="11" s="1"/>
  <c r="Q165" i="11"/>
  <c r="AA164" i="11"/>
  <c r="R164" i="11"/>
  <c r="P166" i="11"/>
  <c r="AD162" i="11"/>
  <c r="AC162" i="11"/>
  <c r="V165" i="11"/>
  <c r="W165" i="11"/>
  <c r="Y165" i="11"/>
  <c r="AC163" i="11" l="1"/>
  <c r="AD163" i="11"/>
  <c r="S164" i="11"/>
  <c r="AB164" i="11"/>
  <c r="L168" i="11"/>
  <c r="U167" i="11"/>
  <c r="N167" i="11"/>
  <c r="O167" i="11" s="1"/>
  <c r="P167" i="11" s="1"/>
  <c r="R165" i="11"/>
  <c r="AA165" i="11"/>
  <c r="Q166" i="11"/>
  <c r="X166" i="11"/>
  <c r="Y166" i="11" s="1"/>
  <c r="AF166" i="11"/>
  <c r="AJ166" i="11" s="1"/>
  <c r="V166" i="11"/>
  <c r="W166" i="11"/>
  <c r="R166" i="11" l="1"/>
  <c r="AA166" i="11"/>
  <c r="AF167" i="11"/>
  <c r="AJ167" i="11" s="1"/>
  <c r="X167" i="11"/>
  <c r="Q167" i="11"/>
  <c r="V167" i="11"/>
  <c r="W167" i="11"/>
  <c r="Y167" i="11"/>
  <c r="L169" i="11"/>
  <c r="U168" i="11"/>
  <c r="N168" i="11"/>
  <c r="O168" i="11" s="1"/>
  <c r="AC164" i="11"/>
  <c r="AD164" i="11"/>
  <c r="AB165" i="11"/>
  <c r="S165" i="11"/>
  <c r="Q168" i="11" l="1"/>
  <c r="AF168" i="11"/>
  <c r="AJ168" i="11" s="1"/>
  <c r="X168" i="11"/>
  <c r="Y168" i="11" s="1"/>
  <c r="V168" i="11"/>
  <c r="W168" i="11"/>
  <c r="AA167" i="11"/>
  <c r="R167" i="11"/>
  <c r="P168" i="11"/>
  <c r="L170" i="11"/>
  <c r="U169" i="11"/>
  <c r="N169" i="11"/>
  <c r="O169" i="11" s="1"/>
  <c r="AD165" i="11"/>
  <c r="AC165" i="11"/>
  <c r="AB166" i="11"/>
  <c r="S166" i="11"/>
  <c r="Q169" i="11" l="1"/>
  <c r="X169" i="11"/>
  <c r="AF169" i="11"/>
  <c r="AJ169" i="11" s="1"/>
  <c r="P169" i="11"/>
  <c r="U170" i="11"/>
  <c r="N170" i="11"/>
  <c r="O170" i="11" s="1"/>
  <c r="L171" i="11"/>
  <c r="AB167" i="11"/>
  <c r="S167" i="11"/>
  <c r="Y169" i="11"/>
  <c r="W169" i="11"/>
  <c r="V169" i="11"/>
  <c r="AC166" i="11"/>
  <c r="AD166" i="11"/>
  <c r="R168" i="11"/>
  <c r="AA168" i="11"/>
  <c r="N171" i="11" l="1"/>
  <c r="O171" i="11" s="1"/>
  <c r="U171" i="11"/>
  <c r="L172" i="11"/>
  <c r="W170" i="11"/>
  <c r="V170" i="11"/>
  <c r="P170" i="11"/>
  <c r="P171" i="11" s="1"/>
  <c r="AD167" i="11"/>
  <c r="AC167" i="11"/>
  <c r="X170" i="11"/>
  <c r="Y170" i="11" s="1"/>
  <c r="AF170" i="11"/>
  <c r="AJ170" i="11" s="1"/>
  <c r="Q170" i="11"/>
  <c r="S168" i="11"/>
  <c r="AB168" i="11"/>
  <c r="R169" i="11"/>
  <c r="AA169" i="11"/>
  <c r="AD168" i="11" l="1"/>
  <c r="AC168" i="11"/>
  <c r="R170" i="11"/>
  <c r="AA170" i="11"/>
  <c r="U172" i="11"/>
  <c r="N172" i="11"/>
  <c r="O172" i="11" s="1"/>
  <c r="L173" i="11"/>
  <c r="P172" i="11"/>
  <c r="W171" i="11"/>
  <c r="V171" i="11"/>
  <c r="AF171" i="11"/>
  <c r="AJ171" i="11" s="1"/>
  <c r="X171" i="11"/>
  <c r="Y171" i="11" s="1"/>
  <c r="Q171" i="11"/>
  <c r="S169" i="11"/>
  <c r="AB169" i="11"/>
  <c r="N173" i="11" l="1"/>
  <c r="O173" i="11" s="1"/>
  <c r="U173" i="11"/>
  <c r="L174" i="11"/>
  <c r="AF172" i="11"/>
  <c r="AJ172" i="11" s="1"/>
  <c r="Q172" i="11"/>
  <c r="X172" i="11"/>
  <c r="Y172" i="11" s="1"/>
  <c r="V172" i="11"/>
  <c r="W172" i="11"/>
  <c r="R171" i="11"/>
  <c r="AA171" i="11"/>
  <c r="AB170" i="11"/>
  <c r="S170" i="11"/>
  <c r="P173" i="11"/>
  <c r="AD169" i="11"/>
  <c r="AC169" i="11"/>
  <c r="AC170" i="11" l="1"/>
  <c r="AD170" i="11"/>
  <c r="S171" i="11"/>
  <c r="AB171" i="11"/>
  <c r="N174" i="11"/>
  <c r="O174" i="11" s="1"/>
  <c r="U174" i="11"/>
  <c r="L175" i="11"/>
  <c r="W173" i="11"/>
  <c r="V173" i="11"/>
  <c r="P174" i="11"/>
  <c r="R172" i="11"/>
  <c r="AA172" i="11"/>
  <c r="AF173" i="11"/>
  <c r="AJ173" i="11" s="1"/>
  <c r="Q173" i="11"/>
  <c r="X173" i="11"/>
  <c r="Y173" i="11" s="1"/>
  <c r="S172" i="11" l="1"/>
  <c r="AB172" i="11"/>
  <c r="X174" i="11"/>
  <c r="Q174" i="11"/>
  <c r="AF174" i="11"/>
  <c r="AJ174" i="11" s="1"/>
  <c r="U175" i="11"/>
  <c r="N175" i="11"/>
  <c r="O175" i="11" s="1"/>
  <c r="P175" i="11" s="1"/>
  <c r="L176" i="11"/>
  <c r="V174" i="11"/>
  <c r="W174" i="11"/>
  <c r="Y174" i="11"/>
  <c r="AC171" i="11"/>
  <c r="AD171" i="11"/>
  <c r="R173" i="11"/>
  <c r="AA173" i="11"/>
  <c r="U176" i="11" l="1"/>
  <c r="N176" i="11"/>
  <c r="O176" i="11" s="1"/>
  <c r="L177" i="11"/>
  <c r="R174" i="11"/>
  <c r="AA174" i="11"/>
  <c r="AF175" i="11"/>
  <c r="AJ175" i="11" s="1"/>
  <c r="Q175" i="11"/>
  <c r="X175" i="11"/>
  <c r="V175" i="11"/>
  <c r="W175" i="11"/>
  <c r="Y175" i="11"/>
  <c r="AC172" i="11"/>
  <c r="AD172" i="11"/>
  <c r="S173" i="11"/>
  <c r="AB173" i="11"/>
  <c r="R175" i="11" l="1"/>
  <c r="AA175" i="11"/>
  <c r="S174" i="11"/>
  <c r="AB174" i="11"/>
  <c r="N177" i="11"/>
  <c r="O177" i="11" s="1"/>
  <c r="U177" i="11"/>
  <c r="L178" i="11"/>
  <c r="AF176" i="11"/>
  <c r="AJ176" i="11" s="1"/>
  <c r="X176" i="11"/>
  <c r="Q176" i="11"/>
  <c r="AC173" i="11"/>
  <c r="AD173" i="11"/>
  <c r="Y176" i="11"/>
  <c r="W176" i="11"/>
  <c r="V176" i="11"/>
  <c r="P176" i="11"/>
  <c r="R176" i="11" l="1"/>
  <c r="AA176" i="11"/>
  <c r="W177" i="11"/>
  <c r="V177" i="11"/>
  <c r="AD174" i="11"/>
  <c r="AC174" i="11"/>
  <c r="U178" i="11"/>
  <c r="L179" i="11"/>
  <c r="N178" i="11"/>
  <c r="O178" i="11" s="1"/>
  <c r="X177" i="11"/>
  <c r="Y177" i="11" s="1"/>
  <c r="AF177" i="11"/>
  <c r="AJ177" i="11" s="1"/>
  <c r="Q177" i="11"/>
  <c r="P177" i="11"/>
  <c r="P178" i="11" s="1"/>
  <c r="S175" i="11"/>
  <c r="AB175" i="11"/>
  <c r="L180" i="11" l="1"/>
  <c r="U179" i="11"/>
  <c r="N179" i="11"/>
  <c r="O179" i="11" s="1"/>
  <c r="P179" i="11" s="1"/>
  <c r="R177" i="11"/>
  <c r="AA177" i="11"/>
  <c r="Q178" i="11"/>
  <c r="X178" i="11"/>
  <c r="AF178" i="11"/>
  <c r="AJ178" i="11" s="1"/>
  <c r="V178" i="11"/>
  <c r="W178" i="11"/>
  <c r="Y178" i="11"/>
  <c r="AC175" i="11"/>
  <c r="AD175" i="11"/>
  <c r="AB176" i="11"/>
  <c r="S176" i="11"/>
  <c r="R178" i="11" l="1"/>
  <c r="AA178" i="11"/>
  <c r="AB177" i="11"/>
  <c r="S177" i="11"/>
  <c r="Q179" i="11"/>
  <c r="X179" i="11"/>
  <c r="AF179" i="11"/>
  <c r="AJ179" i="11" s="1"/>
  <c r="W179" i="11"/>
  <c r="V179" i="11"/>
  <c r="Y179" i="11"/>
  <c r="AC176" i="11"/>
  <c r="AD176" i="11"/>
  <c r="L181" i="11"/>
  <c r="N180" i="11"/>
  <c r="O180" i="11" s="1"/>
  <c r="P180" i="11" s="1"/>
  <c r="U180" i="11"/>
  <c r="AB178" i="11" l="1"/>
  <c r="S178" i="11"/>
  <c r="Q180" i="11"/>
  <c r="AF180" i="11"/>
  <c r="AJ180" i="11" s="1"/>
  <c r="X180" i="11"/>
  <c r="Y180" i="11" s="1"/>
  <c r="V180" i="11"/>
  <c r="W180" i="11"/>
  <c r="L182" i="11"/>
  <c r="U181" i="11"/>
  <c r="N181" i="11"/>
  <c r="O181" i="11" s="1"/>
  <c r="R179" i="11"/>
  <c r="AA179" i="11"/>
  <c r="AD177" i="11"/>
  <c r="AC177" i="11"/>
  <c r="AF181" i="11" l="1"/>
  <c r="AJ181" i="11" s="1"/>
  <c r="Q181" i="11"/>
  <c r="X181" i="11"/>
  <c r="L183" i="11"/>
  <c r="U182" i="11"/>
  <c r="N182" i="11"/>
  <c r="O182" i="11" s="1"/>
  <c r="R180" i="11"/>
  <c r="AA180" i="11"/>
  <c r="S179" i="11"/>
  <c r="AB179" i="11"/>
  <c r="W181" i="11"/>
  <c r="V181" i="11"/>
  <c r="Y181" i="11"/>
  <c r="AC178" i="11"/>
  <c r="AD178" i="11"/>
  <c r="P181" i="11"/>
  <c r="AD179" i="11" l="1"/>
  <c r="AC179" i="11"/>
  <c r="Q182" i="11"/>
  <c r="X182" i="11"/>
  <c r="AF182" i="11"/>
  <c r="AJ182" i="11" s="1"/>
  <c r="U183" i="11"/>
  <c r="L184" i="11"/>
  <c r="N183" i="11"/>
  <c r="O183" i="11" s="1"/>
  <c r="S180" i="11"/>
  <c r="AB180" i="11"/>
  <c r="W182" i="11"/>
  <c r="V182" i="11"/>
  <c r="Y182" i="11"/>
  <c r="P182" i="11"/>
  <c r="P183" i="11" s="1"/>
  <c r="R181" i="11"/>
  <c r="AA181" i="11"/>
  <c r="AC180" i="11" l="1"/>
  <c r="AD180" i="11"/>
  <c r="V183" i="11"/>
  <c r="W183" i="11"/>
  <c r="R182" i="11"/>
  <c r="AA182" i="11"/>
  <c r="Q183" i="11"/>
  <c r="X183" i="11"/>
  <c r="Y183" i="11" s="1"/>
  <c r="AF183" i="11"/>
  <c r="AJ183" i="11" s="1"/>
  <c r="L185" i="11"/>
  <c r="N184" i="11"/>
  <c r="O184" i="11" s="1"/>
  <c r="U184" i="11"/>
  <c r="S181" i="11"/>
  <c r="AB181" i="11"/>
  <c r="X184" i="11" l="1"/>
  <c r="Q184" i="11"/>
  <c r="AF184" i="11"/>
  <c r="AJ184" i="11" s="1"/>
  <c r="L186" i="11"/>
  <c r="N185" i="11"/>
  <c r="O185" i="11" s="1"/>
  <c r="U185" i="11"/>
  <c r="R183" i="11"/>
  <c r="AA183" i="11"/>
  <c r="S182" i="11"/>
  <c r="AB182" i="11"/>
  <c r="V184" i="11"/>
  <c r="W184" i="11"/>
  <c r="Y184" i="11"/>
  <c r="AC181" i="11"/>
  <c r="AD181" i="11"/>
  <c r="P184" i="11"/>
  <c r="Q185" i="11" l="1"/>
  <c r="X185" i="11"/>
  <c r="AF185" i="11"/>
  <c r="AJ185" i="11" s="1"/>
  <c r="L187" i="11"/>
  <c r="U186" i="11"/>
  <c r="N186" i="11"/>
  <c r="O186" i="11" s="1"/>
  <c r="AD182" i="11"/>
  <c r="AC182" i="11"/>
  <c r="S183" i="11"/>
  <c r="AB183" i="11"/>
  <c r="Y185" i="11"/>
  <c r="W185" i="11"/>
  <c r="V185" i="11"/>
  <c r="P185" i="11"/>
  <c r="P186" i="11" s="1"/>
  <c r="R184" i="11"/>
  <c r="AA184" i="11"/>
  <c r="AC183" i="11" l="1"/>
  <c r="AD183" i="11"/>
  <c r="U187" i="11"/>
  <c r="N187" i="11"/>
  <c r="O187" i="11" s="1"/>
  <c r="L188" i="11"/>
  <c r="P187" i="11"/>
  <c r="V186" i="11"/>
  <c r="W186" i="11"/>
  <c r="Q186" i="11"/>
  <c r="X186" i="11"/>
  <c r="Y186" i="11" s="1"/>
  <c r="AF186" i="11"/>
  <c r="AJ186" i="11" s="1"/>
  <c r="AB184" i="11"/>
  <c r="S184" i="11"/>
  <c r="R185" i="11"/>
  <c r="AA185" i="11"/>
  <c r="AB185" i="11" l="1"/>
  <c r="S185" i="11"/>
  <c r="AC184" i="11"/>
  <c r="AD184" i="11"/>
  <c r="AA186" i="11"/>
  <c r="R186" i="11"/>
  <c r="N188" i="11"/>
  <c r="O188" i="11" s="1"/>
  <c r="U188" i="11"/>
  <c r="L189" i="11"/>
  <c r="AF187" i="11"/>
  <c r="AJ187" i="11" s="1"/>
  <c r="X187" i="11"/>
  <c r="Q187" i="11"/>
  <c r="W187" i="11"/>
  <c r="V187" i="11"/>
  <c r="Y187" i="11"/>
  <c r="P188" i="11"/>
  <c r="AA187" i="11" l="1"/>
  <c r="R187" i="11"/>
  <c r="U189" i="11"/>
  <c r="N189" i="11"/>
  <c r="O189" i="11" s="1"/>
  <c r="L190" i="11"/>
  <c r="V188" i="11"/>
  <c r="W188" i="11"/>
  <c r="AF188" i="11"/>
  <c r="AJ188" i="11" s="1"/>
  <c r="X188" i="11"/>
  <c r="Y188" i="11" s="1"/>
  <c r="Q188" i="11"/>
  <c r="AB186" i="11"/>
  <c r="S186" i="11"/>
  <c r="P189" i="11"/>
  <c r="AC185" i="11"/>
  <c r="AD185" i="11"/>
  <c r="AA188" i="11" l="1"/>
  <c r="R188" i="11"/>
  <c r="AF189" i="11"/>
  <c r="AJ189" i="11" s="1"/>
  <c r="X189" i="11"/>
  <c r="Q189" i="11"/>
  <c r="U190" i="11"/>
  <c r="N190" i="11"/>
  <c r="O190" i="11" s="1"/>
  <c r="L191" i="11"/>
  <c r="W189" i="11"/>
  <c r="V189" i="11"/>
  <c r="Y189" i="11"/>
  <c r="P190" i="11"/>
  <c r="AC186" i="11"/>
  <c r="AD186" i="11"/>
  <c r="S187" i="11"/>
  <c r="AB187" i="11"/>
  <c r="U191" i="11" l="1"/>
  <c r="N191" i="11"/>
  <c r="O191" i="11" s="1"/>
  <c r="P191" i="11" s="1"/>
  <c r="L192" i="11"/>
  <c r="Q190" i="11"/>
  <c r="AF190" i="11"/>
  <c r="AJ190" i="11" s="1"/>
  <c r="X190" i="11"/>
  <c r="R189" i="11"/>
  <c r="AA189" i="11"/>
  <c r="AC187" i="11"/>
  <c r="AD187" i="11"/>
  <c r="S188" i="11"/>
  <c r="AB188" i="11"/>
  <c r="W190" i="11"/>
  <c r="Y190" i="11"/>
  <c r="V190" i="11"/>
  <c r="AD188" i="11" l="1"/>
  <c r="AC188" i="11"/>
  <c r="AB189" i="11"/>
  <c r="S189" i="11"/>
  <c r="R190" i="11"/>
  <c r="AA190" i="11"/>
  <c r="U192" i="11"/>
  <c r="N192" i="11"/>
  <c r="O192" i="11" s="1"/>
  <c r="L193" i="11"/>
  <c r="Q191" i="11"/>
  <c r="X191" i="11"/>
  <c r="AF191" i="11"/>
  <c r="AJ191" i="11" s="1"/>
  <c r="Y191" i="11"/>
  <c r="V191" i="11"/>
  <c r="W191" i="11"/>
  <c r="AF192" i="11" l="1"/>
  <c r="AJ192" i="11" s="1"/>
  <c r="Q192" i="11"/>
  <c r="X192" i="11"/>
  <c r="AD189" i="11"/>
  <c r="AC189" i="11"/>
  <c r="U193" i="11"/>
  <c r="N193" i="11"/>
  <c r="O193" i="11" s="1"/>
  <c r="L194" i="11"/>
  <c r="AA191" i="11"/>
  <c r="R191" i="11"/>
  <c r="Y192" i="11"/>
  <c r="W192" i="11"/>
  <c r="V192" i="11"/>
  <c r="S190" i="11"/>
  <c r="AB190" i="11"/>
  <c r="P192" i="11"/>
  <c r="S191" i="11" l="1"/>
  <c r="AB191" i="11"/>
  <c r="AF193" i="11"/>
  <c r="AJ193" i="11" s="1"/>
  <c r="X193" i="11"/>
  <c r="Q193" i="11"/>
  <c r="V193" i="11"/>
  <c r="W193" i="11"/>
  <c r="Y193" i="11"/>
  <c r="U194" i="11"/>
  <c r="N194" i="11"/>
  <c r="O194" i="11" s="1"/>
  <c r="L195" i="11"/>
  <c r="P193" i="11"/>
  <c r="R192" i="11"/>
  <c r="AA192" i="11"/>
  <c r="AC190" i="11"/>
  <c r="AD190" i="11"/>
  <c r="P194" i="11" l="1"/>
  <c r="N195" i="11"/>
  <c r="O195" i="11" s="1"/>
  <c r="U195" i="11"/>
  <c r="L196" i="11"/>
  <c r="W194" i="11"/>
  <c r="V194" i="11"/>
  <c r="R193" i="11"/>
  <c r="AA193" i="11"/>
  <c r="P195" i="11"/>
  <c r="S192" i="11"/>
  <c r="AB192" i="11"/>
  <c r="AF194" i="11"/>
  <c r="AJ194" i="11" s="1"/>
  <c r="X194" i="11"/>
  <c r="Y194" i="11" s="1"/>
  <c r="Q194" i="11"/>
  <c r="AC191" i="11"/>
  <c r="AD191" i="11"/>
  <c r="AA194" i="11" l="1"/>
  <c r="R194" i="11"/>
  <c r="AD192" i="11"/>
  <c r="AC192" i="11"/>
  <c r="S193" i="11"/>
  <c r="AB193" i="11"/>
  <c r="V195" i="11"/>
  <c r="W195" i="11"/>
  <c r="L197" i="11"/>
  <c r="U196" i="11"/>
  <c r="N196" i="11"/>
  <c r="O196" i="11" s="1"/>
  <c r="AF195" i="11"/>
  <c r="AJ195" i="11" s="1"/>
  <c r="Q195" i="11"/>
  <c r="X195" i="11"/>
  <c r="Y195" i="11" s="1"/>
  <c r="AF196" i="11" l="1"/>
  <c r="AJ196" i="11" s="1"/>
  <c r="Q196" i="11"/>
  <c r="X196" i="11"/>
  <c r="N197" i="11"/>
  <c r="O197" i="11" s="1"/>
  <c r="L198" i="11"/>
  <c r="U197" i="11"/>
  <c r="P196" i="11"/>
  <c r="P197" i="11" s="1"/>
  <c r="V196" i="11"/>
  <c r="W196" i="11"/>
  <c r="Y196" i="11"/>
  <c r="AD193" i="11"/>
  <c r="AC193" i="11"/>
  <c r="AB194" i="11"/>
  <c r="S194" i="11"/>
  <c r="R195" i="11"/>
  <c r="AA195" i="11"/>
  <c r="V197" i="11" l="1"/>
  <c r="W197" i="11"/>
  <c r="N198" i="11"/>
  <c r="O198" i="11" s="1"/>
  <c r="L199" i="11"/>
  <c r="U198" i="11"/>
  <c r="AC194" i="11"/>
  <c r="AD194" i="11"/>
  <c r="P198" i="11"/>
  <c r="AF197" i="11"/>
  <c r="AJ197" i="11" s="1"/>
  <c r="Q197" i="11"/>
  <c r="X197" i="11"/>
  <c r="Y197" i="11" s="1"/>
  <c r="R196" i="11"/>
  <c r="AA196" i="11"/>
  <c r="AB195" i="11"/>
  <c r="S195" i="11"/>
  <c r="AB196" i="11" l="1"/>
  <c r="S196" i="11"/>
  <c r="V198" i="11"/>
  <c r="W198" i="11"/>
  <c r="AF198" i="11"/>
  <c r="AJ198" i="11" s="1"/>
  <c r="Q198" i="11"/>
  <c r="X198" i="11"/>
  <c r="Y198" i="11" s="1"/>
  <c r="R197" i="11"/>
  <c r="AA197" i="11"/>
  <c r="L200" i="11"/>
  <c r="N199" i="11"/>
  <c r="O199" i="11" s="1"/>
  <c r="U199" i="11"/>
  <c r="AD195" i="11"/>
  <c r="AC195" i="11"/>
  <c r="X199" i="11" l="1"/>
  <c r="Q199" i="11"/>
  <c r="AF199" i="11"/>
  <c r="AJ199" i="11" s="1"/>
  <c r="AB197" i="11"/>
  <c r="S197" i="11"/>
  <c r="L201" i="11"/>
  <c r="U200" i="11"/>
  <c r="N200" i="11"/>
  <c r="O200" i="11" s="1"/>
  <c r="P199" i="11"/>
  <c r="P200" i="11" s="1"/>
  <c r="Y199" i="11"/>
  <c r="W199" i="11"/>
  <c r="V199" i="11"/>
  <c r="R198" i="11"/>
  <c r="AA198" i="11"/>
  <c r="AD196" i="11"/>
  <c r="AC196" i="11"/>
  <c r="V200" i="11" l="1"/>
  <c r="W200" i="11"/>
  <c r="S198" i="11"/>
  <c r="AB198" i="11"/>
  <c r="AF200" i="11"/>
  <c r="AJ200" i="11" s="1"/>
  <c r="Q200" i="11"/>
  <c r="X200" i="11"/>
  <c r="Y200" i="11" s="1"/>
  <c r="L202" i="11"/>
  <c r="U201" i="11"/>
  <c r="N201" i="11"/>
  <c r="O201" i="11" s="1"/>
  <c r="AD197" i="11"/>
  <c r="AC197" i="11"/>
  <c r="R199" i="11"/>
  <c r="AA199" i="11"/>
  <c r="R200" i="11" l="1"/>
  <c r="AA200" i="11"/>
  <c r="Q201" i="11"/>
  <c r="AF201" i="11"/>
  <c r="AJ201" i="11" s="1"/>
  <c r="X201" i="11"/>
  <c r="V201" i="11"/>
  <c r="W201" i="11"/>
  <c r="Y201" i="11"/>
  <c r="N202" i="11"/>
  <c r="O202" i="11" s="1"/>
  <c r="U202" i="11"/>
  <c r="L203" i="11"/>
  <c r="AD198" i="11"/>
  <c r="AC198" i="11"/>
  <c r="S199" i="11"/>
  <c r="AB199" i="11"/>
  <c r="P201" i="11"/>
  <c r="U203" i="11" l="1"/>
  <c r="L204" i="11"/>
  <c r="N203" i="11"/>
  <c r="O203" i="11" s="1"/>
  <c r="V202" i="11"/>
  <c r="W202" i="11"/>
  <c r="Q202" i="11"/>
  <c r="AF202" i="11"/>
  <c r="AJ202" i="11" s="1"/>
  <c r="X202" i="11"/>
  <c r="Y202" i="11" s="1"/>
  <c r="R201" i="11"/>
  <c r="AA201" i="11"/>
  <c r="P202" i="11"/>
  <c r="P203" i="11" s="1"/>
  <c r="AD199" i="11"/>
  <c r="AC199" i="11"/>
  <c r="S200" i="11"/>
  <c r="AB200" i="11"/>
  <c r="Q203" i="11" l="1"/>
  <c r="AF203" i="11"/>
  <c r="AJ203" i="11" s="1"/>
  <c r="X203" i="11"/>
  <c r="U204" i="11"/>
  <c r="N204" i="11"/>
  <c r="O204" i="11" s="1"/>
  <c r="L205" i="11"/>
  <c r="V203" i="11"/>
  <c r="W203" i="11"/>
  <c r="Y203" i="11"/>
  <c r="AC200" i="11"/>
  <c r="AD200" i="11"/>
  <c r="S201" i="11"/>
  <c r="AB201" i="11"/>
  <c r="AA202" i="11"/>
  <c r="R202" i="11"/>
  <c r="AD201" i="11" l="1"/>
  <c r="AC201" i="11"/>
  <c r="U205" i="11"/>
  <c r="N205" i="11"/>
  <c r="O205" i="11" s="1"/>
  <c r="L206" i="11"/>
  <c r="AF204" i="11"/>
  <c r="AJ204" i="11" s="1"/>
  <c r="X204" i="11"/>
  <c r="Y204" i="11" s="1"/>
  <c r="Q204" i="11"/>
  <c r="V204" i="11"/>
  <c r="W204" i="11"/>
  <c r="S202" i="11"/>
  <c r="AB202" i="11"/>
  <c r="R203" i="11"/>
  <c r="AA203" i="11"/>
  <c r="P204" i="11"/>
  <c r="R204" i="11" l="1"/>
  <c r="AA204" i="11"/>
  <c r="AF205" i="11"/>
  <c r="AJ205" i="11" s="1"/>
  <c r="X205" i="11"/>
  <c r="Y205" i="11" s="1"/>
  <c r="Q205" i="11"/>
  <c r="W205" i="11"/>
  <c r="V205" i="11"/>
  <c r="S203" i="11"/>
  <c r="AB203" i="11"/>
  <c r="AC202" i="11"/>
  <c r="AD202" i="11"/>
  <c r="U206" i="11"/>
  <c r="N206" i="11"/>
  <c r="O206" i="11" s="1"/>
  <c r="L207" i="11"/>
  <c r="P205" i="11"/>
  <c r="W206" i="11" l="1"/>
  <c r="V206" i="11"/>
  <c r="AA205" i="11"/>
  <c r="R205" i="11"/>
  <c r="N207" i="11"/>
  <c r="O207" i="11" s="1"/>
  <c r="U207" i="11"/>
  <c r="L208" i="11"/>
  <c r="Q206" i="11"/>
  <c r="AF206" i="11"/>
  <c r="AJ206" i="11" s="1"/>
  <c r="X206" i="11"/>
  <c r="Y206" i="11" s="1"/>
  <c r="AD203" i="11"/>
  <c r="AC203" i="11"/>
  <c r="P206" i="11"/>
  <c r="P207" i="11" s="1"/>
  <c r="S204" i="11"/>
  <c r="AB204" i="11"/>
  <c r="N208" i="11" l="1"/>
  <c r="O208" i="11" s="1"/>
  <c r="U208" i="11"/>
  <c r="L209" i="11"/>
  <c r="V207" i="11"/>
  <c r="W207" i="11"/>
  <c r="R206" i="11"/>
  <c r="AA206" i="11"/>
  <c r="AF207" i="11"/>
  <c r="AJ207" i="11" s="1"/>
  <c r="Q207" i="11"/>
  <c r="X207" i="11"/>
  <c r="Y207" i="11" s="1"/>
  <c r="AB205" i="11"/>
  <c r="S205" i="11"/>
  <c r="AD204" i="11"/>
  <c r="AC204" i="11"/>
  <c r="AC205" i="11" l="1"/>
  <c r="AD205" i="11"/>
  <c r="R207" i="11"/>
  <c r="AA207" i="11"/>
  <c r="S206" i="11"/>
  <c r="AB206" i="11"/>
  <c r="N209" i="11"/>
  <c r="O209" i="11" s="1"/>
  <c r="U209" i="11"/>
  <c r="L210" i="11"/>
  <c r="V208" i="11"/>
  <c r="W208" i="11"/>
  <c r="AF208" i="11"/>
  <c r="AJ208" i="11" s="1"/>
  <c r="Q208" i="11"/>
  <c r="X208" i="11"/>
  <c r="Y208" i="11" s="1"/>
  <c r="P208" i="11"/>
  <c r="P209" i="11" s="1"/>
  <c r="AF209" i="11" l="1"/>
  <c r="AJ209" i="11" s="1"/>
  <c r="X209" i="11"/>
  <c r="Y209" i="11" s="1"/>
  <c r="Q209" i="11"/>
  <c r="R208" i="11"/>
  <c r="AA208" i="11"/>
  <c r="N210" i="11"/>
  <c r="O210" i="11" s="1"/>
  <c r="U210" i="11"/>
  <c r="L211" i="11"/>
  <c r="V209" i="11"/>
  <c r="W209" i="11"/>
  <c r="AC206" i="11"/>
  <c r="AD206" i="11"/>
  <c r="S207" i="11"/>
  <c r="AB207" i="11"/>
  <c r="X210" i="11" l="1"/>
  <c r="AF210" i="11"/>
  <c r="AJ210" i="11" s="1"/>
  <c r="Q210" i="11"/>
  <c r="AB208" i="11"/>
  <c r="S208" i="11"/>
  <c r="Y210" i="11"/>
  <c r="W210" i="11"/>
  <c r="V210" i="11"/>
  <c r="P210" i="11"/>
  <c r="R209" i="11"/>
  <c r="AA209" i="11"/>
  <c r="U211" i="11"/>
  <c r="N211" i="11"/>
  <c r="O211" i="11" s="1"/>
  <c r="L212" i="11"/>
  <c r="AC207" i="11"/>
  <c r="AD207" i="11"/>
  <c r="N212" i="11" l="1"/>
  <c r="O212" i="11" s="1"/>
  <c r="L213" i="11"/>
  <c r="U212" i="11"/>
  <c r="P211" i="11"/>
  <c r="AF211" i="11"/>
  <c r="AJ211" i="11" s="1"/>
  <c r="X211" i="11"/>
  <c r="Y211" i="11" s="1"/>
  <c r="Q211" i="11"/>
  <c r="W211" i="11"/>
  <c r="V211" i="11"/>
  <c r="AB209" i="11"/>
  <c r="S209" i="11"/>
  <c r="AD208" i="11"/>
  <c r="AC208" i="11"/>
  <c r="R210" i="11"/>
  <c r="AA210" i="11"/>
  <c r="R211" i="11" l="1"/>
  <c r="AA211" i="11"/>
  <c r="P212" i="11"/>
  <c r="W212" i="11"/>
  <c r="V212" i="11"/>
  <c r="AD209" i="11"/>
  <c r="AC209" i="11"/>
  <c r="L214" i="11"/>
  <c r="N213" i="11"/>
  <c r="O213" i="11" s="1"/>
  <c r="U213" i="11"/>
  <c r="AB210" i="11"/>
  <c r="S210" i="11"/>
  <c r="X212" i="11"/>
  <c r="Y212" i="11" s="1"/>
  <c r="AF212" i="11"/>
  <c r="AJ212" i="11" s="1"/>
  <c r="Q212" i="11"/>
  <c r="AB211" i="11" l="1"/>
  <c r="S211" i="11"/>
  <c r="Q213" i="11"/>
  <c r="X213" i="11"/>
  <c r="AF213" i="11"/>
  <c r="AJ213" i="11" s="1"/>
  <c r="L215" i="11"/>
  <c r="U214" i="11"/>
  <c r="N214" i="11"/>
  <c r="O214" i="11" s="1"/>
  <c r="R212" i="11"/>
  <c r="AA212" i="11"/>
  <c r="AC210" i="11"/>
  <c r="AD210" i="11"/>
  <c r="W213" i="11"/>
  <c r="Y213" i="11"/>
  <c r="V213" i="11"/>
  <c r="P213" i="11"/>
  <c r="AB212" i="11" l="1"/>
  <c r="S212" i="11"/>
  <c r="V214" i="11"/>
  <c r="W214" i="11"/>
  <c r="R213" i="11"/>
  <c r="AA213" i="11"/>
  <c r="X214" i="11"/>
  <c r="Y214" i="11" s="1"/>
  <c r="Q214" i="11"/>
  <c r="AF214" i="11"/>
  <c r="AJ214" i="11" s="1"/>
  <c r="L216" i="11"/>
  <c r="U215" i="11"/>
  <c r="N215" i="11"/>
  <c r="O215" i="11" s="1"/>
  <c r="P214" i="11"/>
  <c r="AD211" i="11"/>
  <c r="AC211" i="11"/>
  <c r="P215" i="11" l="1"/>
  <c r="AA214" i="11"/>
  <c r="R214" i="11"/>
  <c r="X215" i="11"/>
  <c r="Q215" i="11"/>
  <c r="AF215" i="11"/>
  <c r="AJ215" i="11" s="1"/>
  <c r="W215" i="11"/>
  <c r="V215" i="11"/>
  <c r="Y215" i="11"/>
  <c r="L217" i="11"/>
  <c r="U216" i="11"/>
  <c r="N216" i="11"/>
  <c r="O216" i="11" s="1"/>
  <c r="AB213" i="11"/>
  <c r="S213" i="11"/>
  <c r="AD212" i="11"/>
  <c r="AC212" i="11"/>
  <c r="P216" i="11" l="1"/>
  <c r="AF216" i="11"/>
  <c r="AJ216" i="11" s="1"/>
  <c r="X216" i="11"/>
  <c r="Q216" i="11"/>
  <c r="R215" i="11"/>
  <c r="AA215" i="11"/>
  <c r="AC213" i="11"/>
  <c r="AD213" i="11"/>
  <c r="Y216" i="11"/>
  <c r="W216" i="11"/>
  <c r="V216" i="11"/>
  <c r="N217" i="11"/>
  <c r="O217" i="11" s="1"/>
  <c r="L218" i="11"/>
  <c r="U217" i="11"/>
  <c r="AB214" i="11"/>
  <c r="S214" i="11"/>
  <c r="AD214" i="11" l="1"/>
  <c r="AC214" i="11"/>
  <c r="N218" i="11"/>
  <c r="O218" i="11" s="1"/>
  <c r="U218" i="11"/>
  <c r="L219" i="11"/>
  <c r="S215" i="11"/>
  <c r="AB215" i="11"/>
  <c r="R216" i="11"/>
  <c r="AA216" i="11"/>
  <c r="V217" i="11"/>
  <c r="W217" i="11"/>
  <c r="X217" i="11"/>
  <c r="Y217" i="11" s="1"/>
  <c r="AF217" i="11"/>
  <c r="AJ217" i="11" s="1"/>
  <c r="Q217" i="11"/>
  <c r="P217" i="11"/>
  <c r="AB216" i="11" l="1"/>
  <c r="S216" i="11"/>
  <c r="X218" i="11"/>
  <c r="AF218" i="11"/>
  <c r="AJ218" i="11" s="1"/>
  <c r="Q218" i="11"/>
  <c r="AD215" i="11"/>
  <c r="AC215" i="11"/>
  <c r="N219" i="11"/>
  <c r="O219" i="11" s="1"/>
  <c r="L220" i="11"/>
  <c r="U219" i="11"/>
  <c r="V218" i="11"/>
  <c r="Y218" i="11"/>
  <c r="W218" i="11"/>
  <c r="P218" i="11"/>
  <c r="P219" i="11" s="1"/>
  <c r="R217" i="11"/>
  <c r="AA217" i="11"/>
  <c r="U220" i="11" l="1"/>
  <c r="N220" i="11"/>
  <c r="O220" i="11" s="1"/>
  <c r="L221" i="11"/>
  <c r="R218" i="11"/>
  <c r="AA218" i="11"/>
  <c r="W219" i="11"/>
  <c r="V219" i="11"/>
  <c r="P220" i="11"/>
  <c r="X219" i="11"/>
  <c r="Y219" i="11" s="1"/>
  <c r="AF219" i="11"/>
  <c r="AJ219" i="11" s="1"/>
  <c r="Q219" i="11"/>
  <c r="AB217" i="11"/>
  <c r="S217" i="11"/>
  <c r="AC216" i="11"/>
  <c r="AD216" i="11"/>
  <c r="AC217" i="11" l="1"/>
  <c r="AD217" i="11"/>
  <c r="R219" i="11"/>
  <c r="AA219" i="11"/>
  <c r="S218" i="11"/>
  <c r="AB218" i="11"/>
  <c r="U221" i="11"/>
  <c r="N221" i="11"/>
  <c r="O221" i="11" s="1"/>
  <c r="L222" i="11"/>
  <c r="X220" i="11"/>
  <c r="Y220" i="11" s="1"/>
  <c r="Q220" i="11"/>
  <c r="AF220" i="11"/>
  <c r="AJ220" i="11" s="1"/>
  <c r="W220" i="11"/>
  <c r="V220" i="11"/>
  <c r="N222" i="11" l="1"/>
  <c r="O222" i="11" s="1"/>
  <c r="U222" i="11"/>
  <c r="L223" i="11"/>
  <c r="R220" i="11"/>
  <c r="AA220" i="11"/>
  <c r="Q221" i="11"/>
  <c r="AF221" i="11"/>
  <c r="AJ221" i="11" s="1"/>
  <c r="X221" i="11"/>
  <c r="Y221" i="11" s="1"/>
  <c r="V221" i="11"/>
  <c r="W221" i="11"/>
  <c r="AD218" i="11"/>
  <c r="AC218" i="11"/>
  <c r="P221" i="11"/>
  <c r="P222" i="11" s="1"/>
  <c r="S219" i="11"/>
  <c r="AB219" i="11"/>
  <c r="L224" i="11" l="1"/>
  <c r="N223" i="11"/>
  <c r="O223" i="11" s="1"/>
  <c r="P223" i="11" s="1"/>
  <c r="U223" i="11"/>
  <c r="AA221" i="11"/>
  <c r="R221" i="11"/>
  <c r="S220" i="11"/>
  <c r="AB220" i="11"/>
  <c r="V222" i="11"/>
  <c r="W222" i="11"/>
  <c r="AD219" i="11"/>
  <c r="AC219" i="11"/>
  <c r="AF222" i="11"/>
  <c r="AJ222" i="11" s="1"/>
  <c r="Q222" i="11"/>
  <c r="X222" i="11"/>
  <c r="Y222" i="11" s="1"/>
  <c r="AC220" i="11" l="1"/>
  <c r="AD220" i="11"/>
  <c r="S221" i="11"/>
  <c r="AB221" i="11"/>
  <c r="W223" i="11"/>
  <c r="V223" i="11"/>
  <c r="X223" i="11"/>
  <c r="Y223" i="11" s="1"/>
  <c r="Q223" i="11"/>
  <c r="AF223" i="11"/>
  <c r="AJ223" i="11" s="1"/>
  <c r="R222" i="11"/>
  <c r="AA222" i="11"/>
  <c r="L225" i="11"/>
  <c r="U224" i="11"/>
  <c r="N224" i="11"/>
  <c r="O224" i="11" s="1"/>
  <c r="AD221" i="11" l="1"/>
  <c r="AC221" i="11"/>
  <c r="L226" i="11"/>
  <c r="U225" i="11"/>
  <c r="N225" i="11"/>
  <c r="O225" i="11" s="1"/>
  <c r="R223" i="11"/>
  <c r="AA223" i="11"/>
  <c r="S222" i="11"/>
  <c r="AB222" i="11"/>
  <c r="AF224" i="11"/>
  <c r="AJ224" i="11" s="1"/>
  <c r="Q224" i="11"/>
  <c r="X224" i="11"/>
  <c r="Y224" i="11" s="1"/>
  <c r="W224" i="11"/>
  <c r="V224" i="11"/>
  <c r="P224" i="11"/>
  <c r="R224" i="11" l="1"/>
  <c r="AA224" i="11"/>
  <c r="S223" i="11"/>
  <c r="AB223" i="11"/>
  <c r="AF225" i="11"/>
  <c r="AJ225" i="11" s="1"/>
  <c r="X225" i="11"/>
  <c r="Q225" i="11"/>
  <c r="N226" i="11"/>
  <c r="O226" i="11" s="1"/>
  <c r="U226" i="11"/>
  <c r="L227" i="11"/>
  <c r="AC222" i="11"/>
  <c r="AD222" i="11"/>
  <c r="V225" i="11"/>
  <c r="Y225" i="11"/>
  <c r="W225" i="11"/>
  <c r="P225" i="11"/>
  <c r="N227" i="11" l="1"/>
  <c r="O227" i="11" s="1"/>
  <c r="U227" i="11"/>
  <c r="L228" i="11"/>
  <c r="V226" i="11"/>
  <c r="W226" i="11"/>
  <c r="R225" i="11"/>
  <c r="AA225" i="11"/>
  <c r="AD223" i="11"/>
  <c r="AC223" i="11"/>
  <c r="Q226" i="11"/>
  <c r="X226" i="11"/>
  <c r="Y226" i="11" s="1"/>
  <c r="AF226" i="11"/>
  <c r="AJ226" i="11" s="1"/>
  <c r="P226" i="11"/>
  <c r="P227" i="11" s="1"/>
  <c r="S224" i="11"/>
  <c r="AB224" i="11"/>
  <c r="S225" i="11" l="1"/>
  <c r="AB225" i="11"/>
  <c r="L229" i="11"/>
  <c r="N228" i="11"/>
  <c r="O228" i="11" s="1"/>
  <c r="U228" i="11"/>
  <c r="R226" i="11"/>
  <c r="AA226" i="11"/>
  <c r="V227" i="11"/>
  <c r="W227" i="11"/>
  <c r="AD224" i="11"/>
  <c r="AC224" i="11"/>
  <c r="AF227" i="11"/>
  <c r="AJ227" i="11" s="1"/>
  <c r="Q227" i="11"/>
  <c r="X227" i="11"/>
  <c r="Y227" i="11" s="1"/>
  <c r="AB226" i="11" l="1"/>
  <c r="S226" i="11"/>
  <c r="V228" i="11"/>
  <c r="W228" i="11"/>
  <c r="N229" i="11"/>
  <c r="O229" i="11" s="1"/>
  <c r="U229" i="11"/>
  <c r="L230" i="11"/>
  <c r="AF228" i="11"/>
  <c r="AJ228" i="11" s="1"/>
  <c r="X228" i="11"/>
  <c r="Y228" i="11" s="1"/>
  <c r="Q228" i="11"/>
  <c r="P228" i="11"/>
  <c r="P229" i="11" s="1"/>
  <c r="AD225" i="11"/>
  <c r="AC225" i="11"/>
  <c r="AA227" i="11"/>
  <c r="R227" i="11"/>
  <c r="R228" i="11" l="1"/>
  <c r="AA228" i="11"/>
  <c r="Q229" i="11"/>
  <c r="X229" i="11"/>
  <c r="AF229" i="11"/>
  <c r="AJ229" i="11" s="1"/>
  <c r="U230" i="11"/>
  <c r="N230" i="11"/>
  <c r="O230" i="11" s="1"/>
  <c r="L231" i="11"/>
  <c r="W229" i="11"/>
  <c r="Y229" i="11"/>
  <c r="V229" i="11"/>
  <c r="S227" i="11"/>
  <c r="AB227" i="11"/>
  <c r="AD226" i="11"/>
  <c r="AC226" i="11"/>
  <c r="AB228" i="11" l="1"/>
  <c r="S228" i="11"/>
  <c r="U231" i="11"/>
  <c r="N231" i="11"/>
  <c r="O231" i="11" s="1"/>
  <c r="L232" i="11"/>
  <c r="AD227" i="11"/>
  <c r="AC227" i="11"/>
  <c r="AF230" i="11"/>
  <c r="AJ230" i="11" s="1"/>
  <c r="X230" i="11"/>
  <c r="Q230" i="11"/>
  <c r="P230" i="11"/>
  <c r="P231" i="11" s="1"/>
  <c r="W230" i="11"/>
  <c r="Y230" i="11"/>
  <c r="V230" i="11"/>
  <c r="AA229" i="11"/>
  <c r="R229" i="11"/>
  <c r="AF231" i="11" l="1"/>
  <c r="AJ231" i="11" s="1"/>
  <c r="Q231" i="11"/>
  <c r="X231" i="11"/>
  <c r="R230" i="11"/>
  <c r="AA230" i="11"/>
  <c r="N232" i="11"/>
  <c r="O232" i="11" s="1"/>
  <c r="U232" i="11"/>
  <c r="L233" i="11"/>
  <c r="V231" i="11"/>
  <c r="W231" i="11"/>
  <c r="Y231" i="11"/>
  <c r="S229" i="11"/>
  <c r="AB229" i="11"/>
  <c r="AD228" i="11"/>
  <c r="AC228" i="11"/>
  <c r="AF232" i="11" l="1"/>
  <c r="AJ232" i="11" s="1"/>
  <c r="Q232" i="11"/>
  <c r="X232" i="11"/>
  <c r="Y232" i="11" s="1"/>
  <c r="S230" i="11"/>
  <c r="AB230" i="11"/>
  <c r="AC229" i="11"/>
  <c r="AD229" i="11"/>
  <c r="V232" i="11"/>
  <c r="W232" i="11"/>
  <c r="R231" i="11"/>
  <c r="AA231" i="11"/>
  <c r="N233" i="11"/>
  <c r="O233" i="11" s="1"/>
  <c r="L234" i="11"/>
  <c r="U233" i="11"/>
  <c r="P232" i="11"/>
  <c r="S231" i="11" l="1"/>
  <c r="AB231" i="11"/>
  <c r="U234" i="11"/>
  <c r="N234" i="11"/>
  <c r="O234" i="11" s="1"/>
  <c r="L235" i="11"/>
  <c r="Q233" i="11"/>
  <c r="X233" i="11"/>
  <c r="AF233" i="11"/>
  <c r="AJ233" i="11" s="1"/>
  <c r="AC230" i="11"/>
  <c r="AD230" i="11"/>
  <c r="P233" i="11"/>
  <c r="P234" i="11" s="1"/>
  <c r="R232" i="11"/>
  <c r="AA232" i="11"/>
  <c r="Y233" i="11"/>
  <c r="V233" i="11"/>
  <c r="W233" i="11"/>
  <c r="X234" i="11" l="1"/>
  <c r="Y234" i="11" s="1"/>
  <c r="Q234" i="11"/>
  <c r="AF234" i="11"/>
  <c r="AJ234" i="11" s="1"/>
  <c r="S232" i="11"/>
  <c r="AB232" i="11"/>
  <c r="N235" i="11"/>
  <c r="O235" i="11" s="1"/>
  <c r="P235" i="11" s="1"/>
  <c r="L236" i="11"/>
  <c r="U235" i="11"/>
  <c r="V234" i="11"/>
  <c r="W234" i="11"/>
  <c r="R233" i="11"/>
  <c r="AA233" i="11"/>
  <c r="AD231" i="11"/>
  <c r="AC231" i="11"/>
  <c r="S233" i="11" l="1"/>
  <c r="AB233" i="11"/>
  <c r="W235" i="11"/>
  <c r="V235" i="11"/>
  <c r="AF235" i="11"/>
  <c r="AJ235" i="11" s="1"/>
  <c r="X235" i="11"/>
  <c r="Y235" i="11" s="1"/>
  <c r="Q235" i="11"/>
  <c r="AD232" i="11"/>
  <c r="AC232" i="11"/>
  <c r="L237" i="11"/>
  <c r="N236" i="11"/>
  <c r="O236" i="11" s="1"/>
  <c r="P236" i="11" s="1"/>
  <c r="U236" i="11"/>
  <c r="AA234" i="11"/>
  <c r="R234" i="11"/>
  <c r="Q236" i="11" l="1"/>
  <c r="AF236" i="11"/>
  <c r="AJ236" i="11" s="1"/>
  <c r="X236" i="11"/>
  <c r="S234" i="11"/>
  <c r="AB234" i="11"/>
  <c r="W236" i="11"/>
  <c r="Y236" i="11"/>
  <c r="V236" i="11"/>
  <c r="U237" i="11"/>
  <c r="N237" i="11"/>
  <c r="O237" i="11" s="1"/>
  <c r="P237" i="11" s="1"/>
  <c r="L238" i="11"/>
  <c r="R235" i="11"/>
  <c r="AA235" i="11"/>
  <c r="AC233" i="11"/>
  <c r="AD233" i="11"/>
  <c r="R236" i="11" l="1"/>
  <c r="AA236" i="11"/>
  <c r="S235" i="11"/>
  <c r="AB235" i="11"/>
  <c r="U238" i="11"/>
  <c r="L239" i="11"/>
  <c r="N238" i="11"/>
  <c r="O238" i="11" s="1"/>
  <c r="P238" i="11" s="1"/>
  <c r="AF237" i="11"/>
  <c r="AJ237" i="11" s="1"/>
  <c r="X237" i="11"/>
  <c r="Y237" i="11" s="1"/>
  <c r="Q237" i="11"/>
  <c r="W237" i="11"/>
  <c r="V237" i="11"/>
  <c r="AD234" i="11"/>
  <c r="AC234" i="11"/>
  <c r="Q238" i="11" l="1"/>
  <c r="X238" i="11"/>
  <c r="AF238" i="11"/>
  <c r="AJ238" i="11" s="1"/>
  <c r="L240" i="11"/>
  <c r="N239" i="11"/>
  <c r="O239" i="11" s="1"/>
  <c r="P239" i="11" s="1"/>
  <c r="U239" i="11"/>
  <c r="W238" i="11"/>
  <c r="V238" i="11"/>
  <c r="Y238" i="11"/>
  <c r="AD235" i="11"/>
  <c r="AC235" i="11"/>
  <c r="R237" i="11"/>
  <c r="AA237" i="11"/>
  <c r="AB236" i="11"/>
  <c r="S236" i="11"/>
  <c r="R238" i="11" l="1"/>
  <c r="AA238" i="11"/>
  <c r="AB237" i="11"/>
  <c r="S237" i="11"/>
  <c r="W239" i="11"/>
  <c r="V239" i="11"/>
  <c r="Q239" i="11"/>
  <c r="X239" i="11"/>
  <c r="Y239" i="11" s="1"/>
  <c r="AF239" i="11"/>
  <c r="AJ239" i="11" s="1"/>
  <c r="AD236" i="11"/>
  <c r="AC236" i="11"/>
  <c r="U240" i="11"/>
  <c r="L241" i="11"/>
  <c r="N240" i="11"/>
  <c r="O240" i="11" s="1"/>
  <c r="P240" i="11" s="1"/>
  <c r="AA239" i="11" l="1"/>
  <c r="R239" i="11"/>
  <c r="AC237" i="11"/>
  <c r="AD237" i="11"/>
  <c r="L242" i="11"/>
  <c r="N241" i="11"/>
  <c r="O241" i="11" s="1"/>
  <c r="P241" i="11" s="1"/>
  <c r="U241" i="11"/>
  <c r="W240" i="11"/>
  <c r="V240" i="11"/>
  <c r="AF240" i="11"/>
  <c r="AJ240" i="11" s="1"/>
  <c r="X240" i="11"/>
  <c r="Y240" i="11" s="1"/>
  <c r="Q240" i="11"/>
  <c r="S238" i="11"/>
  <c r="AB238" i="11"/>
  <c r="R240" i="11" l="1"/>
  <c r="AA240" i="11"/>
  <c r="V241" i="11"/>
  <c r="W241" i="11"/>
  <c r="AD238" i="11"/>
  <c r="AC238" i="11"/>
  <c r="AF241" i="11"/>
  <c r="AJ241" i="11" s="1"/>
  <c r="X241" i="11"/>
  <c r="Y241" i="11" s="1"/>
  <c r="Q241" i="11"/>
  <c r="U242" i="11"/>
  <c r="N242" i="11"/>
  <c r="O242" i="11" s="1"/>
  <c r="L243" i="11"/>
  <c r="S239" i="11"/>
  <c r="AB239" i="11"/>
  <c r="AD239" i="11" l="1"/>
  <c r="AC239" i="11"/>
  <c r="L244" i="11"/>
  <c r="N243" i="11"/>
  <c r="O243" i="11" s="1"/>
  <c r="U243" i="11"/>
  <c r="W242" i="11"/>
  <c r="V242" i="11"/>
  <c r="AB240" i="11"/>
  <c r="S240" i="11"/>
  <c r="Q242" i="11"/>
  <c r="X242" i="11"/>
  <c r="Y242" i="11" s="1"/>
  <c r="AF242" i="11"/>
  <c r="AJ242" i="11" s="1"/>
  <c r="R241" i="11"/>
  <c r="AA241" i="11"/>
  <c r="P242" i="11"/>
  <c r="AC240" i="11" l="1"/>
  <c r="AD240" i="11"/>
  <c r="X243" i="11"/>
  <c r="Y243" i="11" s="1"/>
  <c r="Q243" i="11"/>
  <c r="AF243" i="11"/>
  <c r="AJ243" i="11" s="1"/>
  <c r="U244" i="11"/>
  <c r="N244" i="11"/>
  <c r="O244" i="11" s="1"/>
  <c r="L245" i="11"/>
  <c r="S241" i="11"/>
  <c r="AB241" i="11"/>
  <c r="R242" i="11"/>
  <c r="AA242" i="11"/>
  <c r="W243" i="11"/>
  <c r="V243" i="11"/>
  <c r="P243" i="11"/>
  <c r="AB242" i="11" l="1"/>
  <c r="S242" i="11"/>
  <c r="AF244" i="11"/>
  <c r="AJ244" i="11" s="1"/>
  <c r="X244" i="11"/>
  <c r="Q244" i="11"/>
  <c r="AD241" i="11"/>
  <c r="AC241" i="11"/>
  <c r="U245" i="11"/>
  <c r="L246" i="11"/>
  <c r="N245" i="11"/>
  <c r="O245" i="11" s="1"/>
  <c r="W244" i="11"/>
  <c r="V244" i="11"/>
  <c r="Y244" i="11"/>
  <c r="R243" i="11"/>
  <c r="AA243" i="11"/>
  <c r="P244" i="11"/>
  <c r="P245" i="11" s="1"/>
  <c r="AC242" i="11" l="1"/>
  <c r="AD242" i="11"/>
  <c r="S243" i="11"/>
  <c r="AB243" i="11"/>
  <c r="AF245" i="11"/>
  <c r="AJ245" i="11" s="1"/>
  <c r="Q245" i="11"/>
  <c r="X245" i="11"/>
  <c r="N246" i="11"/>
  <c r="O246" i="11" s="1"/>
  <c r="P246" i="11" s="1"/>
  <c r="U246" i="11"/>
  <c r="L247" i="11"/>
  <c r="Y245" i="11"/>
  <c r="W245" i="11"/>
  <c r="V245" i="11"/>
  <c r="R244" i="11"/>
  <c r="AA244" i="11"/>
  <c r="S244" i="11" l="1"/>
  <c r="AB244" i="11"/>
  <c r="U247" i="11"/>
  <c r="N247" i="11"/>
  <c r="O247" i="11" s="1"/>
  <c r="L248" i="11"/>
  <c r="AF246" i="11"/>
  <c r="AJ246" i="11" s="1"/>
  <c r="Q246" i="11"/>
  <c r="X246" i="11"/>
  <c r="R245" i="11"/>
  <c r="AA245" i="11"/>
  <c r="AD243" i="11"/>
  <c r="AC243" i="11"/>
  <c r="P247" i="11"/>
  <c r="Y246" i="11"/>
  <c r="W246" i="11"/>
  <c r="V246" i="11"/>
  <c r="AF247" i="11" l="1"/>
  <c r="AJ247" i="11" s="1"/>
  <c r="X247" i="11"/>
  <c r="Y247" i="11" s="1"/>
  <c r="Q247" i="11"/>
  <c r="W247" i="11"/>
  <c r="V247" i="11"/>
  <c r="S245" i="11"/>
  <c r="AB245" i="11"/>
  <c r="R246" i="11"/>
  <c r="AA246" i="11"/>
  <c r="L249" i="11"/>
  <c r="U248" i="11"/>
  <c r="N248" i="11"/>
  <c r="O248" i="11" s="1"/>
  <c r="AC244" i="11"/>
  <c r="AD244" i="11"/>
  <c r="AC245" i="11" l="1"/>
  <c r="AD245" i="11"/>
  <c r="R247" i="11"/>
  <c r="AA247" i="11"/>
  <c r="X248" i="11"/>
  <c r="Q248" i="11"/>
  <c r="AF248" i="11"/>
  <c r="AJ248" i="11" s="1"/>
  <c r="L250" i="11"/>
  <c r="N249" i="11"/>
  <c r="O249" i="11" s="1"/>
  <c r="U249" i="11"/>
  <c r="AB246" i="11"/>
  <c r="S246" i="11"/>
  <c r="Y248" i="11"/>
  <c r="V248" i="11"/>
  <c r="W248" i="11"/>
  <c r="P248" i="11"/>
  <c r="X249" i="11" l="1"/>
  <c r="AF249" i="11"/>
  <c r="AJ249" i="11" s="1"/>
  <c r="Q249" i="11"/>
  <c r="S247" i="11"/>
  <c r="AB247" i="11"/>
  <c r="V249" i="11"/>
  <c r="W249" i="11"/>
  <c r="Y249" i="11"/>
  <c r="R248" i="11"/>
  <c r="AA248" i="11"/>
  <c r="AC246" i="11"/>
  <c r="AD246" i="11"/>
  <c r="U250" i="11"/>
  <c r="N250" i="11"/>
  <c r="O250" i="11" s="1"/>
  <c r="L251" i="11"/>
  <c r="P249" i="11"/>
  <c r="X250" i="11" l="1"/>
  <c r="AF250" i="11"/>
  <c r="AJ250" i="11" s="1"/>
  <c r="Q250" i="11"/>
  <c r="Y250" i="11"/>
  <c r="V250" i="11"/>
  <c r="W250" i="11"/>
  <c r="AB248" i="11"/>
  <c r="S248" i="11"/>
  <c r="R249" i="11"/>
  <c r="AA249" i="11"/>
  <c r="P250" i="11"/>
  <c r="N251" i="11"/>
  <c r="O251" i="11" s="1"/>
  <c r="L252" i="11"/>
  <c r="U251" i="11"/>
  <c r="AD247" i="11"/>
  <c r="AC247" i="11"/>
  <c r="V251" i="11" l="1"/>
  <c r="W251" i="11"/>
  <c r="AF251" i="11"/>
  <c r="AJ251" i="11" s="1"/>
  <c r="Q251" i="11"/>
  <c r="X251" i="11"/>
  <c r="Y251" i="11" s="1"/>
  <c r="P251" i="11"/>
  <c r="AB249" i="11"/>
  <c r="S249" i="11"/>
  <c r="R250" i="11"/>
  <c r="AA250" i="11"/>
  <c r="L253" i="11"/>
  <c r="U252" i="11"/>
  <c r="N252" i="11"/>
  <c r="O252" i="11" s="1"/>
  <c r="AC248" i="11"/>
  <c r="AD248" i="11"/>
  <c r="AB250" i="11" l="1"/>
  <c r="S250" i="11"/>
  <c r="W252" i="11"/>
  <c r="V252" i="11"/>
  <c r="R251" i="11"/>
  <c r="AA251" i="11"/>
  <c r="Q252" i="11"/>
  <c r="AF252" i="11"/>
  <c r="AJ252" i="11" s="1"/>
  <c r="X252" i="11"/>
  <c r="Y252" i="11" s="1"/>
  <c r="L254" i="11"/>
  <c r="N253" i="11"/>
  <c r="O253" i="11" s="1"/>
  <c r="U253" i="11"/>
  <c r="AC249" i="11"/>
  <c r="AD249" i="11"/>
  <c r="P252" i="11"/>
  <c r="W253" i="11" l="1"/>
  <c r="V253" i="11"/>
  <c r="R252" i="11"/>
  <c r="AA252" i="11"/>
  <c r="AB251" i="11"/>
  <c r="S251" i="11"/>
  <c r="Q253" i="11"/>
  <c r="AF253" i="11"/>
  <c r="AJ253" i="11" s="1"/>
  <c r="X253" i="11"/>
  <c r="Y253" i="11" s="1"/>
  <c r="U254" i="11"/>
  <c r="L255" i="11"/>
  <c r="N254" i="11"/>
  <c r="O254" i="11" s="1"/>
  <c r="P253" i="11"/>
  <c r="AD250" i="11"/>
  <c r="AC250" i="11"/>
  <c r="P254" i="11" l="1"/>
  <c r="V254" i="11"/>
  <c r="W254" i="11"/>
  <c r="Q254" i="11"/>
  <c r="AF254" i="11"/>
  <c r="AJ254" i="11" s="1"/>
  <c r="X254" i="11"/>
  <c r="Y254" i="11" s="1"/>
  <c r="L256" i="11"/>
  <c r="U255" i="11"/>
  <c r="N255" i="11"/>
  <c r="O255" i="11" s="1"/>
  <c r="AA253" i="11"/>
  <c r="R253" i="11"/>
  <c r="AD251" i="11"/>
  <c r="AC251" i="11"/>
  <c r="S252" i="11"/>
  <c r="AB252" i="11"/>
  <c r="Q255" i="11" l="1"/>
  <c r="AF255" i="11"/>
  <c r="AJ255" i="11" s="1"/>
  <c r="X255" i="11"/>
  <c r="P255" i="11"/>
  <c r="AC252" i="11"/>
  <c r="AD252" i="11"/>
  <c r="S253" i="11"/>
  <c r="AB253" i="11"/>
  <c r="W255" i="11"/>
  <c r="Y255" i="11"/>
  <c r="V255" i="11"/>
  <c r="L257" i="11"/>
  <c r="U256" i="11"/>
  <c r="N256" i="11"/>
  <c r="O256" i="11" s="1"/>
  <c r="R254" i="11"/>
  <c r="AA254" i="11"/>
  <c r="L258" i="11" l="1"/>
  <c r="U257" i="11"/>
  <c r="N257" i="11"/>
  <c r="O257" i="11" s="1"/>
  <c r="X256" i="11"/>
  <c r="Q256" i="11"/>
  <c r="AF256" i="11"/>
  <c r="AJ256" i="11" s="1"/>
  <c r="P256" i="11"/>
  <c r="P257" i="11" s="1"/>
  <c r="W256" i="11"/>
  <c r="V256" i="11"/>
  <c r="Y256" i="11"/>
  <c r="AD253" i="11"/>
  <c r="AC253" i="11"/>
  <c r="AB254" i="11"/>
  <c r="S254" i="11"/>
  <c r="R255" i="11"/>
  <c r="AA255" i="11"/>
  <c r="X257" i="11" l="1"/>
  <c r="Q257" i="11"/>
  <c r="AF257" i="11"/>
  <c r="AJ257" i="11" s="1"/>
  <c r="W257" i="11"/>
  <c r="Y257" i="11"/>
  <c r="V257" i="11"/>
  <c r="AD254" i="11"/>
  <c r="AC254" i="11"/>
  <c r="R256" i="11"/>
  <c r="AA256" i="11"/>
  <c r="AB255" i="11"/>
  <c r="S255" i="11"/>
  <c r="U258" i="11"/>
  <c r="N258" i="11"/>
  <c r="O258" i="11" s="1"/>
  <c r="L259" i="11"/>
  <c r="R257" i="11" l="1"/>
  <c r="AA257" i="11"/>
  <c r="N259" i="11"/>
  <c r="O259" i="11" s="1"/>
  <c r="U259" i="11"/>
  <c r="L260" i="11"/>
  <c r="V258" i="11"/>
  <c r="W258" i="11"/>
  <c r="AC255" i="11"/>
  <c r="AD255" i="11"/>
  <c r="AB256" i="11"/>
  <c r="S256" i="11"/>
  <c r="X258" i="11"/>
  <c r="Y258" i="11" s="1"/>
  <c r="AF258" i="11"/>
  <c r="AJ258" i="11" s="1"/>
  <c r="Q258" i="11"/>
  <c r="P258" i="11"/>
  <c r="AC256" i="11" l="1"/>
  <c r="AD256" i="11"/>
  <c r="U260" i="11"/>
  <c r="N260" i="11"/>
  <c r="O260" i="11" s="1"/>
  <c r="L261" i="11"/>
  <c r="X259" i="11"/>
  <c r="AF259" i="11"/>
  <c r="AJ259" i="11" s="1"/>
  <c r="Q259" i="11"/>
  <c r="Y259" i="11"/>
  <c r="V259" i="11"/>
  <c r="W259" i="11"/>
  <c r="P259" i="11"/>
  <c r="P260" i="11" s="1"/>
  <c r="R258" i="11"/>
  <c r="AA258" i="11"/>
  <c r="S257" i="11"/>
  <c r="AB257" i="11"/>
  <c r="Q260" i="11" l="1"/>
  <c r="X260" i="11"/>
  <c r="AF260" i="11"/>
  <c r="AJ260" i="11" s="1"/>
  <c r="AA259" i="11"/>
  <c r="R259" i="11"/>
  <c r="V260" i="11"/>
  <c r="W260" i="11"/>
  <c r="Y260" i="11"/>
  <c r="S258" i="11"/>
  <c r="AB258" i="11"/>
  <c r="U261" i="11"/>
  <c r="N261" i="11"/>
  <c r="O261" i="11" s="1"/>
  <c r="L262" i="11"/>
  <c r="AD257" i="11"/>
  <c r="AC257" i="11"/>
  <c r="X261" i="11" l="1"/>
  <c r="AF261" i="11"/>
  <c r="AJ261" i="11" s="1"/>
  <c r="Q261" i="11"/>
  <c r="S259" i="11"/>
  <c r="AB259" i="11"/>
  <c r="N262" i="11"/>
  <c r="O262" i="11" s="1"/>
  <c r="U262" i="11"/>
  <c r="L263" i="11"/>
  <c r="AD258" i="11"/>
  <c r="AC258" i="11"/>
  <c r="V261" i="11"/>
  <c r="W261" i="11"/>
  <c r="Y261" i="11"/>
  <c r="AA260" i="11"/>
  <c r="R260" i="11"/>
  <c r="P261" i="11"/>
  <c r="V262" i="11" l="1"/>
  <c r="W262" i="11"/>
  <c r="X262" i="11"/>
  <c r="Y262" i="11" s="1"/>
  <c r="AF262" i="11"/>
  <c r="AJ262" i="11" s="1"/>
  <c r="Q262" i="11"/>
  <c r="N263" i="11"/>
  <c r="O263" i="11" s="1"/>
  <c r="L264" i="11"/>
  <c r="U263" i="11"/>
  <c r="AC259" i="11"/>
  <c r="AD259" i="11"/>
  <c r="R261" i="11"/>
  <c r="AA261" i="11"/>
  <c r="P262" i="11"/>
  <c r="P263" i="11" s="1"/>
  <c r="AB260" i="11"/>
  <c r="S260" i="11"/>
  <c r="X263" i="11" l="1"/>
  <c r="AF263" i="11"/>
  <c r="AJ263" i="11" s="1"/>
  <c r="Q263" i="11"/>
  <c r="Y263" i="11"/>
  <c r="W263" i="11"/>
  <c r="V263" i="11"/>
  <c r="AA262" i="11"/>
  <c r="R262" i="11"/>
  <c r="S261" i="11"/>
  <c r="AB261" i="11"/>
  <c r="N264" i="11"/>
  <c r="O264" i="11" s="1"/>
  <c r="U264" i="11"/>
  <c r="L265" i="11"/>
  <c r="AC260" i="11"/>
  <c r="AD260" i="11"/>
  <c r="N265" i="11" l="1"/>
  <c r="O265" i="11" s="1"/>
  <c r="U265" i="11"/>
  <c r="L266" i="11"/>
  <c r="W264" i="11"/>
  <c r="V264" i="11"/>
  <c r="AD261" i="11"/>
  <c r="AC261" i="11"/>
  <c r="S262" i="11"/>
  <c r="AB262" i="11"/>
  <c r="AA263" i="11"/>
  <c r="R263" i="11"/>
  <c r="AF264" i="11"/>
  <c r="AJ264" i="11" s="1"/>
  <c r="X264" i="11"/>
  <c r="Y264" i="11" s="1"/>
  <c r="Q264" i="11"/>
  <c r="P264" i="11"/>
  <c r="P265" i="11" s="1"/>
  <c r="U266" i="11" l="1"/>
  <c r="L267" i="11"/>
  <c r="N266" i="11"/>
  <c r="O266" i="11" s="1"/>
  <c r="AB263" i="11"/>
  <c r="S263" i="11"/>
  <c r="V265" i="11"/>
  <c r="W265" i="11"/>
  <c r="AC262" i="11"/>
  <c r="AD262" i="11"/>
  <c r="P266" i="11"/>
  <c r="AA264" i="11"/>
  <c r="R264" i="11"/>
  <c r="Q265" i="11"/>
  <c r="X265" i="11"/>
  <c r="Y265" i="11" s="1"/>
  <c r="AF265" i="11"/>
  <c r="AJ265" i="11" s="1"/>
  <c r="R265" i="11" l="1"/>
  <c r="AA265" i="11"/>
  <c r="AC263" i="11"/>
  <c r="AD263" i="11"/>
  <c r="X266" i="11"/>
  <c r="Y266" i="11" s="1"/>
  <c r="AF266" i="11"/>
  <c r="AJ266" i="11" s="1"/>
  <c r="Q266" i="11"/>
  <c r="L268" i="11"/>
  <c r="U267" i="11"/>
  <c r="N267" i="11"/>
  <c r="O267" i="11" s="1"/>
  <c r="AB264" i="11"/>
  <c r="S264" i="11"/>
  <c r="W266" i="11"/>
  <c r="V266" i="11"/>
  <c r="AF267" i="11" l="1"/>
  <c r="AJ267" i="11" s="1"/>
  <c r="X267" i="11"/>
  <c r="Q267" i="11"/>
  <c r="P267" i="11"/>
  <c r="Y267" i="11"/>
  <c r="V267" i="11"/>
  <c r="W267" i="11"/>
  <c r="R266" i="11"/>
  <c r="AA266" i="11"/>
  <c r="AC264" i="11"/>
  <c r="AD264" i="11"/>
  <c r="U268" i="11"/>
  <c r="N268" i="11"/>
  <c r="O268" i="11" s="1"/>
  <c r="L269" i="11"/>
  <c r="AB265" i="11"/>
  <c r="S265" i="11"/>
  <c r="AF268" i="11" l="1"/>
  <c r="AJ268" i="11" s="1"/>
  <c r="X268" i="11"/>
  <c r="Q268" i="11"/>
  <c r="P268" i="11"/>
  <c r="Y268" i="11"/>
  <c r="V268" i="11"/>
  <c r="W268" i="11"/>
  <c r="R267" i="11"/>
  <c r="AA267" i="11"/>
  <c r="U269" i="11"/>
  <c r="N269" i="11"/>
  <c r="O269" i="11" s="1"/>
  <c r="L270" i="11"/>
  <c r="AB266" i="11"/>
  <c r="S266" i="11"/>
  <c r="AC265" i="11"/>
  <c r="AD265" i="11"/>
  <c r="AD266" i="11" l="1"/>
  <c r="AC266" i="11"/>
  <c r="N270" i="11"/>
  <c r="O270" i="11" s="1"/>
  <c r="U270" i="11"/>
  <c r="L271" i="11"/>
  <c r="W269" i="11"/>
  <c r="V269" i="11"/>
  <c r="S267" i="11"/>
  <c r="AB267" i="11"/>
  <c r="Q269" i="11"/>
  <c r="AF269" i="11"/>
  <c r="AJ269" i="11" s="1"/>
  <c r="X269" i="11"/>
  <c r="Y269" i="11" s="1"/>
  <c r="P269" i="11"/>
  <c r="P270" i="11" s="1"/>
  <c r="AA268" i="11"/>
  <c r="R268" i="11"/>
  <c r="X270" i="11" l="1"/>
  <c r="Q270" i="11"/>
  <c r="AF270" i="11"/>
  <c r="AJ270" i="11" s="1"/>
  <c r="AA269" i="11"/>
  <c r="R269" i="11"/>
  <c r="L272" i="11"/>
  <c r="N271" i="11"/>
  <c r="O271" i="11" s="1"/>
  <c r="U271" i="11"/>
  <c r="AC267" i="11"/>
  <c r="AD267" i="11"/>
  <c r="Y270" i="11"/>
  <c r="W270" i="11"/>
  <c r="V270" i="11"/>
  <c r="AB268" i="11"/>
  <c r="S268" i="11"/>
  <c r="AF271" i="11" l="1"/>
  <c r="AJ271" i="11" s="1"/>
  <c r="Q271" i="11"/>
  <c r="X271" i="11"/>
  <c r="N272" i="11"/>
  <c r="O272" i="11" s="1"/>
  <c r="L273" i="11"/>
  <c r="U272" i="11"/>
  <c r="S269" i="11"/>
  <c r="AB269" i="11"/>
  <c r="P271" i="11"/>
  <c r="P272" i="11" s="1"/>
  <c r="W271" i="11"/>
  <c r="V271" i="11"/>
  <c r="Y271" i="11"/>
  <c r="AA270" i="11"/>
  <c r="R270" i="11"/>
  <c r="AD268" i="11"/>
  <c r="AC268" i="11"/>
  <c r="L274" i="11" l="1"/>
  <c r="U273" i="11"/>
  <c r="N273" i="11"/>
  <c r="O273" i="11" s="1"/>
  <c r="S270" i="11"/>
  <c r="AB270" i="11"/>
  <c r="AC269" i="11"/>
  <c r="AD269" i="11"/>
  <c r="V272" i="11"/>
  <c r="W272" i="11"/>
  <c r="AF272" i="11"/>
  <c r="AJ272" i="11" s="1"/>
  <c r="Q272" i="11"/>
  <c r="X272" i="11"/>
  <c r="Y272" i="11" s="1"/>
  <c r="R271" i="11"/>
  <c r="AA271" i="11"/>
  <c r="R272" i="11" l="1"/>
  <c r="AA272" i="11"/>
  <c r="Q273" i="11"/>
  <c r="AF273" i="11"/>
  <c r="AJ273" i="11" s="1"/>
  <c r="X273" i="11"/>
  <c r="Y273" i="11" s="1"/>
  <c r="V273" i="11"/>
  <c r="W273" i="11"/>
  <c r="AC270" i="11"/>
  <c r="AD270" i="11"/>
  <c r="U274" i="11"/>
  <c r="N274" i="11"/>
  <c r="O274" i="11" s="1"/>
  <c r="L275" i="11"/>
  <c r="AB271" i="11"/>
  <c r="S271" i="11"/>
  <c r="P273" i="11"/>
  <c r="P274" i="11" s="1"/>
  <c r="Q274" i="11" l="1"/>
  <c r="X274" i="11"/>
  <c r="AF274" i="11"/>
  <c r="AJ274" i="11" s="1"/>
  <c r="AB272" i="11"/>
  <c r="S272" i="11"/>
  <c r="AC271" i="11"/>
  <c r="AD271" i="11"/>
  <c r="N275" i="11"/>
  <c r="O275" i="11" s="1"/>
  <c r="U275" i="11"/>
  <c r="L276" i="11"/>
  <c r="V274" i="11"/>
  <c r="W274" i="11"/>
  <c r="Y274" i="11"/>
  <c r="R273" i="11"/>
  <c r="AA273" i="11"/>
  <c r="V275" i="11" l="1"/>
  <c r="W275" i="11"/>
  <c r="AC272" i="11"/>
  <c r="AD272" i="11"/>
  <c r="L277" i="11"/>
  <c r="N276" i="11"/>
  <c r="O276" i="11" s="1"/>
  <c r="U276" i="11"/>
  <c r="X275" i="11"/>
  <c r="Y275" i="11" s="1"/>
  <c r="AF275" i="11"/>
  <c r="AJ275" i="11" s="1"/>
  <c r="Q275" i="11"/>
  <c r="R274" i="11"/>
  <c r="AA274" i="11"/>
  <c r="S273" i="11"/>
  <c r="AB273" i="11"/>
  <c r="P275" i="11"/>
  <c r="V276" i="11" l="1"/>
  <c r="W276" i="11"/>
  <c r="N277" i="11"/>
  <c r="O277" i="11" s="1"/>
  <c r="U277" i="11"/>
  <c r="L278" i="11"/>
  <c r="AB274" i="11"/>
  <c r="S274" i="11"/>
  <c r="AA275" i="11"/>
  <c r="R275" i="11"/>
  <c r="X276" i="11"/>
  <c r="Y276" i="11" s="1"/>
  <c r="Q276" i="11"/>
  <c r="AF276" i="11"/>
  <c r="AJ276" i="11" s="1"/>
  <c r="P276" i="11"/>
  <c r="P277" i="11" s="1"/>
  <c r="AC273" i="11"/>
  <c r="AD273" i="11"/>
  <c r="N278" i="11" l="1"/>
  <c r="O278" i="11" s="1"/>
  <c r="U278" i="11"/>
  <c r="L279" i="11"/>
  <c r="X277" i="11"/>
  <c r="Q277" i="11"/>
  <c r="AF277" i="11"/>
  <c r="AJ277" i="11" s="1"/>
  <c r="R276" i="11"/>
  <c r="AA276" i="11"/>
  <c r="AB275" i="11"/>
  <c r="S275" i="11"/>
  <c r="AD274" i="11"/>
  <c r="AC274" i="11"/>
  <c r="Y277" i="11"/>
  <c r="W277" i="11"/>
  <c r="V277" i="11"/>
  <c r="AC275" i="11" l="1"/>
  <c r="AD275" i="11"/>
  <c r="R277" i="11"/>
  <c r="AA277" i="11"/>
  <c r="U279" i="11"/>
  <c r="N279" i="11"/>
  <c r="O279" i="11" s="1"/>
  <c r="L280" i="11"/>
  <c r="W278" i="11"/>
  <c r="V278" i="11"/>
  <c r="AB276" i="11"/>
  <c r="S276" i="11"/>
  <c r="AF278" i="11"/>
  <c r="AJ278" i="11" s="1"/>
  <c r="Q278" i="11"/>
  <c r="X278" i="11"/>
  <c r="Y278" i="11" s="1"/>
  <c r="P278" i="11"/>
  <c r="AD276" i="11" l="1"/>
  <c r="AC276" i="11"/>
  <c r="X279" i="11"/>
  <c r="Q279" i="11"/>
  <c r="AF279" i="11"/>
  <c r="AJ279" i="11" s="1"/>
  <c r="W279" i="11"/>
  <c r="V279" i="11"/>
  <c r="Y279" i="11"/>
  <c r="AA278" i="11"/>
  <c r="R278" i="11"/>
  <c r="S277" i="11"/>
  <c r="AB277" i="11"/>
  <c r="N280" i="11"/>
  <c r="O280" i="11" s="1"/>
  <c r="U280" i="11"/>
  <c r="L281" i="11"/>
  <c r="P279" i="11"/>
  <c r="AA279" i="11" l="1"/>
  <c r="R279" i="11"/>
  <c r="L282" i="11"/>
  <c r="N281" i="11"/>
  <c r="O281" i="11" s="1"/>
  <c r="U281" i="11"/>
  <c r="W280" i="11"/>
  <c r="V280" i="11"/>
  <c r="AC277" i="11"/>
  <c r="AD277" i="11"/>
  <c r="AF280" i="11"/>
  <c r="AJ280" i="11" s="1"/>
  <c r="Q280" i="11"/>
  <c r="X280" i="11"/>
  <c r="Y280" i="11" s="1"/>
  <c r="S278" i="11"/>
  <c r="AB278" i="11"/>
  <c r="P280" i="11"/>
  <c r="P281" i="11" s="1"/>
  <c r="V281" i="11" l="1"/>
  <c r="W281" i="11"/>
  <c r="Q281" i="11"/>
  <c r="AF281" i="11"/>
  <c r="AJ281" i="11" s="1"/>
  <c r="X281" i="11"/>
  <c r="Y281" i="11" s="1"/>
  <c r="U282" i="11"/>
  <c r="N282" i="11"/>
  <c r="O282" i="11" s="1"/>
  <c r="L283" i="11"/>
  <c r="R280" i="11"/>
  <c r="AA280" i="11"/>
  <c r="P282" i="11"/>
  <c r="AB279" i="11"/>
  <c r="S279" i="11"/>
  <c r="AD278" i="11"/>
  <c r="AC278" i="11"/>
  <c r="AF282" i="11" l="1"/>
  <c r="AJ282" i="11" s="1"/>
  <c r="X282" i="11"/>
  <c r="Y282" i="11" s="1"/>
  <c r="Q282" i="11"/>
  <c r="R281" i="11"/>
  <c r="AA281" i="11"/>
  <c r="L284" i="11"/>
  <c r="N283" i="11"/>
  <c r="O283" i="11" s="1"/>
  <c r="U283" i="11"/>
  <c r="AC279" i="11"/>
  <c r="AD279" i="11"/>
  <c r="S280" i="11"/>
  <c r="AB280" i="11"/>
  <c r="W282" i="11"/>
  <c r="V282" i="11"/>
  <c r="Q283" i="11" l="1"/>
  <c r="X283" i="11"/>
  <c r="AF283" i="11"/>
  <c r="AJ283" i="11" s="1"/>
  <c r="AD280" i="11"/>
  <c r="AC280" i="11"/>
  <c r="L285" i="11"/>
  <c r="N284" i="11"/>
  <c r="O284" i="11" s="1"/>
  <c r="U284" i="11"/>
  <c r="P283" i="11"/>
  <c r="AB281" i="11"/>
  <c r="S281" i="11"/>
  <c r="Y283" i="11"/>
  <c r="W283" i="11"/>
  <c r="V283" i="11"/>
  <c r="AA282" i="11"/>
  <c r="R282" i="11"/>
  <c r="Q284" i="11" l="1"/>
  <c r="AF284" i="11"/>
  <c r="AJ284" i="11" s="1"/>
  <c r="X284" i="11"/>
  <c r="U285" i="11"/>
  <c r="N285" i="11"/>
  <c r="O285" i="11" s="1"/>
  <c r="L286" i="11"/>
  <c r="P284" i="11"/>
  <c r="AD281" i="11"/>
  <c r="AC281" i="11"/>
  <c r="W284" i="11"/>
  <c r="Y284" i="11"/>
  <c r="V284" i="11"/>
  <c r="S282" i="11"/>
  <c r="AB282" i="11"/>
  <c r="R283" i="11"/>
  <c r="AA283" i="11"/>
  <c r="P285" i="11" l="1"/>
  <c r="AF285" i="11"/>
  <c r="AJ285" i="11" s="1"/>
  <c r="X285" i="11"/>
  <c r="Y285" i="11" s="1"/>
  <c r="Q285" i="11"/>
  <c r="V285" i="11"/>
  <c r="W285" i="11"/>
  <c r="AD282" i="11"/>
  <c r="AC282" i="11"/>
  <c r="U286" i="11"/>
  <c r="L287" i="11"/>
  <c r="N286" i="11"/>
  <c r="O286" i="11" s="1"/>
  <c r="AB283" i="11"/>
  <c r="S283" i="11"/>
  <c r="R284" i="11"/>
  <c r="AA284" i="11"/>
  <c r="S284" i="11" l="1"/>
  <c r="AB284" i="11"/>
  <c r="X286" i="11"/>
  <c r="Q286" i="11"/>
  <c r="AF286" i="11"/>
  <c r="AJ286" i="11" s="1"/>
  <c r="P286" i="11"/>
  <c r="AD283" i="11"/>
  <c r="AC283" i="11"/>
  <c r="L288" i="11"/>
  <c r="U287" i="11"/>
  <c r="N287" i="11"/>
  <c r="O287" i="11" s="1"/>
  <c r="V286" i="11"/>
  <c r="W286" i="11"/>
  <c r="Y286" i="11"/>
  <c r="R285" i="11"/>
  <c r="AA285" i="11"/>
  <c r="W287" i="11" l="1"/>
  <c r="V287" i="11"/>
  <c r="AA286" i="11"/>
  <c r="R286" i="11"/>
  <c r="X287" i="11"/>
  <c r="Y287" i="11" s="1"/>
  <c r="AF287" i="11"/>
  <c r="AJ287" i="11" s="1"/>
  <c r="Q287" i="11"/>
  <c r="P287" i="11"/>
  <c r="N288" i="11"/>
  <c r="O288" i="11" s="1"/>
  <c r="U288" i="11"/>
  <c r="L289" i="11"/>
  <c r="AD284" i="11"/>
  <c r="AC284" i="11"/>
  <c r="S285" i="11"/>
  <c r="AB285" i="11"/>
  <c r="X288" i="11" l="1"/>
  <c r="AF288" i="11"/>
  <c r="AJ288" i="11" s="1"/>
  <c r="Q288" i="11"/>
  <c r="AC285" i="11"/>
  <c r="AD285" i="11"/>
  <c r="P288" i="11"/>
  <c r="AA287" i="11"/>
  <c r="R287" i="11"/>
  <c r="S286" i="11"/>
  <c r="AB286" i="11"/>
  <c r="L290" i="11"/>
  <c r="N289" i="11"/>
  <c r="O289" i="11" s="1"/>
  <c r="U289" i="11"/>
  <c r="V288" i="11"/>
  <c r="W288" i="11"/>
  <c r="Y288" i="11"/>
  <c r="W289" i="11" l="1"/>
  <c r="V289" i="11"/>
  <c r="AD286" i="11"/>
  <c r="AC286" i="11"/>
  <c r="S287" i="11"/>
  <c r="AB287" i="11"/>
  <c r="P289" i="11"/>
  <c r="AF289" i="11"/>
  <c r="AJ289" i="11" s="1"/>
  <c r="X289" i="11"/>
  <c r="Y289" i="11" s="1"/>
  <c r="Q289" i="11"/>
  <c r="U290" i="11"/>
  <c r="L291" i="11"/>
  <c r="N290" i="11"/>
  <c r="O290" i="11" s="1"/>
  <c r="R288" i="11"/>
  <c r="AA288" i="11"/>
  <c r="U291" i="11" l="1"/>
  <c r="L292" i="11"/>
  <c r="N291" i="11"/>
  <c r="O291" i="11" s="1"/>
  <c r="AC287" i="11"/>
  <c r="AD287" i="11"/>
  <c r="AF290" i="11"/>
  <c r="AJ290" i="11" s="1"/>
  <c r="X290" i="11"/>
  <c r="Q290" i="11"/>
  <c r="V290" i="11"/>
  <c r="Y290" i="11"/>
  <c r="W290" i="11"/>
  <c r="R289" i="11"/>
  <c r="AA289" i="11"/>
  <c r="P290" i="11"/>
  <c r="P291" i="11" s="1"/>
  <c r="AB288" i="11"/>
  <c r="S288" i="11"/>
  <c r="AB289" i="11" l="1"/>
  <c r="S289" i="11"/>
  <c r="R290" i="11"/>
  <c r="AA290" i="11"/>
  <c r="N292" i="11"/>
  <c r="O292" i="11" s="1"/>
  <c r="U292" i="11"/>
  <c r="L293" i="11"/>
  <c r="W291" i="11"/>
  <c r="V291" i="11"/>
  <c r="AC288" i="11"/>
  <c r="AD288" i="11"/>
  <c r="AF291" i="11"/>
  <c r="AJ291" i="11" s="1"/>
  <c r="X291" i="11"/>
  <c r="Y291" i="11" s="1"/>
  <c r="Q291" i="11"/>
  <c r="AA291" i="11" l="1"/>
  <c r="R291" i="11"/>
  <c r="AD289" i="11"/>
  <c r="AC289" i="11"/>
  <c r="V292" i="11"/>
  <c r="W292" i="11"/>
  <c r="AF292" i="11"/>
  <c r="AJ292" i="11" s="1"/>
  <c r="X292" i="11"/>
  <c r="Y292" i="11" s="1"/>
  <c r="Q292" i="11"/>
  <c r="N293" i="11"/>
  <c r="O293" i="11" s="1"/>
  <c r="U293" i="11"/>
  <c r="L294" i="11"/>
  <c r="P292" i="11"/>
  <c r="P293" i="11" s="1"/>
  <c r="AB290" i="11"/>
  <c r="S290" i="11"/>
  <c r="AA292" i="11" l="1"/>
  <c r="R292" i="11"/>
  <c r="N294" i="11"/>
  <c r="O294" i="11" s="1"/>
  <c r="U294" i="11"/>
  <c r="L295" i="11"/>
  <c r="W293" i="11"/>
  <c r="V293" i="11"/>
  <c r="AF293" i="11"/>
  <c r="AJ293" i="11" s="1"/>
  <c r="X293" i="11"/>
  <c r="Y293" i="11" s="1"/>
  <c r="Q293" i="11"/>
  <c r="AB291" i="11"/>
  <c r="S291" i="11"/>
  <c r="AD290" i="11"/>
  <c r="AC290" i="11"/>
  <c r="AC291" i="11" l="1"/>
  <c r="AD291" i="11"/>
  <c r="U295" i="11"/>
  <c r="N295" i="11"/>
  <c r="O295" i="11" s="1"/>
  <c r="L296" i="11"/>
  <c r="X294" i="11"/>
  <c r="Q294" i="11"/>
  <c r="AF294" i="11"/>
  <c r="AJ294" i="11" s="1"/>
  <c r="R293" i="11"/>
  <c r="AA293" i="11"/>
  <c r="S292" i="11"/>
  <c r="AB292" i="11"/>
  <c r="V294" i="11"/>
  <c r="Y294" i="11"/>
  <c r="W294" i="11"/>
  <c r="P294" i="11"/>
  <c r="AB293" i="11" l="1"/>
  <c r="S293" i="11"/>
  <c r="U296" i="11"/>
  <c r="L297" i="11"/>
  <c r="N296" i="11"/>
  <c r="O296" i="11" s="1"/>
  <c r="AD292" i="11"/>
  <c r="AC292" i="11"/>
  <c r="AA294" i="11"/>
  <c r="R294" i="11"/>
  <c r="V295" i="11"/>
  <c r="W295" i="11"/>
  <c r="X295" i="11"/>
  <c r="Y295" i="11" s="1"/>
  <c r="AF295" i="11"/>
  <c r="AJ295" i="11" s="1"/>
  <c r="Q295" i="11"/>
  <c r="P295" i="11"/>
  <c r="P296" i="11" s="1"/>
  <c r="AF296" i="11" l="1"/>
  <c r="AJ296" i="11" s="1"/>
  <c r="Q296" i="11"/>
  <c r="X296" i="11"/>
  <c r="R295" i="11"/>
  <c r="AA295" i="11"/>
  <c r="S294" i="11"/>
  <c r="AB294" i="11"/>
  <c r="U297" i="11"/>
  <c r="L298" i="11"/>
  <c r="N297" i="11"/>
  <c r="O297" i="11" s="1"/>
  <c r="AC293" i="11"/>
  <c r="AD293" i="11"/>
  <c r="Y296" i="11"/>
  <c r="W296" i="11"/>
  <c r="V296" i="11"/>
  <c r="X297" i="11" l="1"/>
  <c r="Q297" i="11"/>
  <c r="AF297" i="11"/>
  <c r="AJ297" i="11" s="1"/>
  <c r="N298" i="11"/>
  <c r="O298" i="11" s="1"/>
  <c r="U298" i="11"/>
  <c r="L299" i="11"/>
  <c r="Y297" i="11"/>
  <c r="W297" i="11"/>
  <c r="V297" i="11"/>
  <c r="AB295" i="11"/>
  <c r="S295" i="11"/>
  <c r="P297" i="11"/>
  <c r="P298" i="11" s="1"/>
  <c r="AC294" i="11"/>
  <c r="AD294" i="11"/>
  <c r="R296" i="11"/>
  <c r="AA296" i="11"/>
  <c r="V298" i="11" l="1"/>
  <c r="W298" i="11"/>
  <c r="L300" i="11"/>
  <c r="U299" i="11"/>
  <c r="N299" i="11"/>
  <c r="O299" i="11" s="1"/>
  <c r="P299" i="11" s="1"/>
  <c r="AC295" i="11"/>
  <c r="AD295" i="11"/>
  <c r="AF298" i="11"/>
  <c r="AJ298" i="11" s="1"/>
  <c r="Q298" i="11"/>
  <c r="X298" i="11"/>
  <c r="Y298" i="11" s="1"/>
  <c r="AA297" i="11"/>
  <c r="R297" i="11"/>
  <c r="AB296" i="11"/>
  <c r="S296" i="11"/>
  <c r="S297" i="11" l="1"/>
  <c r="AB297" i="11"/>
  <c r="W299" i="11"/>
  <c r="V299" i="11"/>
  <c r="AD296" i="11"/>
  <c r="AC296" i="11"/>
  <c r="R298" i="11"/>
  <c r="AA298" i="11"/>
  <c r="U300" i="11"/>
  <c r="N300" i="11"/>
  <c r="O300" i="11" s="1"/>
  <c r="L301" i="11"/>
  <c r="AF299" i="11"/>
  <c r="AJ299" i="11" s="1"/>
  <c r="X299" i="11"/>
  <c r="Y299" i="11" s="1"/>
  <c r="Q299" i="11"/>
  <c r="V300" i="11" l="1"/>
  <c r="W300" i="11"/>
  <c r="U301" i="11"/>
  <c r="L302" i="11"/>
  <c r="N301" i="11"/>
  <c r="O301" i="11" s="1"/>
  <c r="S298" i="11"/>
  <c r="AB298" i="11"/>
  <c r="AD297" i="11"/>
  <c r="AC297" i="11"/>
  <c r="Q300" i="11"/>
  <c r="AF300" i="11"/>
  <c r="AJ300" i="11" s="1"/>
  <c r="X300" i="11"/>
  <c r="Y300" i="11" s="1"/>
  <c r="R299" i="11"/>
  <c r="AA299" i="11"/>
  <c r="P300" i="11"/>
  <c r="R300" i="11" l="1"/>
  <c r="AA300" i="11"/>
  <c r="AD298" i="11"/>
  <c r="AC298" i="11"/>
  <c r="W301" i="11"/>
  <c r="V301" i="11"/>
  <c r="AB299" i="11"/>
  <c r="S299" i="11"/>
  <c r="N302" i="11"/>
  <c r="O302" i="11" s="1"/>
  <c r="U302" i="11"/>
  <c r="L303" i="11"/>
  <c r="Q301" i="11"/>
  <c r="AF301" i="11"/>
  <c r="AJ301" i="11" s="1"/>
  <c r="X301" i="11"/>
  <c r="Y301" i="11" s="1"/>
  <c r="P301" i="11"/>
  <c r="P302" i="11" s="1"/>
  <c r="L304" i="11" l="1"/>
  <c r="U303" i="11"/>
  <c r="N303" i="11"/>
  <c r="O303" i="11" s="1"/>
  <c r="P303" i="11" s="1"/>
  <c r="V302" i="11"/>
  <c r="W302" i="11"/>
  <c r="AA301" i="11"/>
  <c r="R301" i="11"/>
  <c r="X302" i="11"/>
  <c r="Y302" i="11" s="1"/>
  <c r="AF302" i="11"/>
  <c r="AJ302" i="11" s="1"/>
  <c r="Q302" i="11"/>
  <c r="AD299" i="11"/>
  <c r="AC299" i="11"/>
  <c r="S300" i="11"/>
  <c r="AB300" i="11"/>
  <c r="AD300" i="11" l="1"/>
  <c r="AC300" i="11"/>
  <c r="AA302" i="11"/>
  <c r="R302" i="11"/>
  <c r="AB301" i="11"/>
  <c r="S301" i="11"/>
  <c r="N304" i="11"/>
  <c r="O304" i="11" s="1"/>
  <c r="U304" i="11"/>
  <c r="L305" i="11"/>
  <c r="Q303" i="11"/>
  <c r="X303" i="11"/>
  <c r="Y303" i="11" s="1"/>
  <c r="AF303" i="11"/>
  <c r="AJ303" i="11" s="1"/>
  <c r="W303" i="11"/>
  <c r="V303" i="11"/>
  <c r="V304" i="11" l="1"/>
  <c r="W304" i="11"/>
  <c r="AC301" i="11"/>
  <c r="AD301" i="11"/>
  <c r="L306" i="11"/>
  <c r="N305" i="11"/>
  <c r="O305" i="11" s="1"/>
  <c r="U305" i="11"/>
  <c r="R303" i="11"/>
  <c r="AA303" i="11"/>
  <c r="X304" i="11"/>
  <c r="Y304" i="11" s="1"/>
  <c r="AF304" i="11"/>
  <c r="AJ304" i="11" s="1"/>
  <c r="Q304" i="11"/>
  <c r="S302" i="11"/>
  <c r="AB302" i="11"/>
  <c r="P304" i="11"/>
  <c r="P305" i="11" s="1"/>
  <c r="AD302" i="11" l="1"/>
  <c r="AC302" i="11"/>
  <c r="R304" i="11"/>
  <c r="AA304" i="11"/>
  <c r="AB303" i="11"/>
  <c r="S303" i="11"/>
  <c r="W305" i="11"/>
  <c r="V305" i="11"/>
  <c r="U306" i="11"/>
  <c r="L307" i="11"/>
  <c r="N306" i="11"/>
  <c r="O306" i="11" s="1"/>
  <c r="P306" i="11" s="1"/>
  <c r="AF305" i="11"/>
  <c r="AJ305" i="11" s="1"/>
  <c r="X305" i="11"/>
  <c r="Y305" i="11" s="1"/>
  <c r="Q305" i="11"/>
  <c r="AC303" i="11" l="1"/>
  <c r="AD303" i="11"/>
  <c r="S304" i="11"/>
  <c r="AB304" i="11"/>
  <c r="Q306" i="11"/>
  <c r="AF306" i="11"/>
  <c r="AJ306" i="11" s="1"/>
  <c r="X306" i="11"/>
  <c r="N307" i="11"/>
  <c r="O307" i="11" s="1"/>
  <c r="P307" i="11" s="1"/>
  <c r="U307" i="11"/>
  <c r="L308" i="11"/>
  <c r="W306" i="11"/>
  <c r="Y306" i="11"/>
  <c r="V306" i="11"/>
  <c r="R305" i="11"/>
  <c r="AA305" i="11"/>
  <c r="N308" i="11" l="1"/>
  <c r="O308" i="11" s="1"/>
  <c r="P308" i="11" s="1"/>
  <c r="U308" i="11"/>
  <c r="L309" i="11"/>
  <c r="V307" i="11"/>
  <c r="W307" i="11"/>
  <c r="S305" i="11"/>
  <c r="AB305" i="11"/>
  <c r="AF307" i="11"/>
  <c r="AJ307" i="11" s="1"/>
  <c r="Q307" i="11"/>
  <c r="X307" i="11"/>
  <c r="Y307" i="11" s="1"/>
  <c r="R306" i="11"/>
  <c r="AA306" i="11"/>
  <c r="AD304" i="11"/>
  <c r="AC304" i="11"/>
  <c r="S306" i="11" l="1"/>
  <c r="AB306" i="11"/>
  <c r="AD305" i="11"/>
  <c r="AC305" i="11"/>
  <c r="U309" i="11"/>
  <c r="L310" i="11"/>
  <c r="N309" i="11"/>
  <c r="O309" i="11" s="1"/>
  <c r="AF308" i="11"/>
  <c r="AJ308" i="11" s="1"/>
  <c r="X308" i="11"/>
  <c r="Q308" i="11"/>
  <c r="R307" i="11"/>
  <c r="AA307" i="11"/>
  <c r="Y308" i="11"/>
  <c r="V308" i="11"/>
  <c r="W308" i="11"/>
  <c r="W309" i="11" l="1"/>
  <c r="V309" i="11"/>
  <c r="R308" i="11"/>
  <c r="AA308" i="11"/>
  <c r="Q309" i="11"/>
  <c r="X309" i="11"/>
  <c r="Y309" i="11" s="1"/>
  <c r="AF309" i="11"/>
  <c r="AJ309" i="11" s="1"/>
  <c r="AC306" i="11"/>
  <c r="AD306" i="11"/>
  <c r="AB307" i="11"/>
  <c r="S307" i="11"/>
  <c r="N310" i="11"/>
  <c r="O310" i="11" s="1"/>
  <c r="L311" i="11"/>
  <c r="U310" i="11"/>
  <c r="P309" i="11"/>
  <c r="U311" i="11" l="1"/>
  <c r="N311" i="11"/>
  <c r="O311" i="11" s="1"/>
  <c r="L312" i="11"/>
  <c r="S308" i="11"/>
  <c r="AB308" i="11"/>
  <c r="AF310" i="11"/>
  <c r="AJ310" i="11" s="1"/>
  <c r="X310" i="11"/>
  <c r="Q310" i="11"/>
  <c r="R309" i="11"/>
  <c r="AA309" i="11"/>
  <c r="Y310" i="11"/>
  <c r="V310" i="11"/>
  <c r="W310" i="11"/>
  <c r="AC307" i="11"/>
  <c r="AD307" i="11"/>
  <c r="P310" i="11"/>
  <c r="P311" i="11" s="1"/>
  <c r="N312" i="11" l="1"/>
  <c r="O312" i="11" s="1"/>
  <c r="U312" i="11"/>
  <c r="L313" i="11"/>
  <c r="AD308" i="11"/>
  <c r="AC308" i="11"/>
  <c r="X311" i="11"/>
  <c r="Y311" i="11" s="1"/>
  <c r="AF311" i="11"/>
  <c r="AJ311" i="11" s="1"/>
  <c r="Q311" i="11"/>
  <c r="AB309" i="11"/>
  <c r="S309" i="11"/>
  <c r="R310" i="11"/>
  <c r="AA310" i="11"/>
  <c r="P312" i="11"/>
  <c r="V311" i="11"/>
  <c r="W311" i="11"/>
  <c r="S310" i="11" l="1"/>
  <c r="AB310" i="11"/>
  <c r="AA311" i="11"/>
  <c r="R311" i="11"/>
  <c r="U313" i="11"/>
  <c r="N313" i="11"/>
  <c r="O313" i="11" s="1"/>
  <c r="P313" i="11" s="1"/>
  <c r="L314" i="11"/>
  <c r="AC309" i="11"/>
  <c r="AD309" i="11"/>
  <c r="W312" i="11"/>
  <c r="V312" i="11"/>
  <c r="X312" i="11"/>
  <c r="Y312" i="11" s="1"/>
  <c r="AF312" i="11"/>
  <c r="AJ312" i="11" s="1"/>
  <c r="Q312" i="11"/>
  <c r="AC310" i="11" l="1"/>
  <c r="AD310" i="11"/>
  <c r="V313" i="11"/>
  <c r="W313" i="11"/>
  <c r="AB311" i="11"/>
  <c r="S311" i="11"/>
  <c r="R312" i="11"/>
  <c r="AA312" i="11"/>
  <c r="U314" i="11"/>
  <c r="N314" i="11"/>
  <c r="O314" i="11" s="1"/>
  <c r="L315" i="11"/>
  <c r="Q313" i="11"/>
  <c r="X313" i="11"/>
  <c r="Y313" i="11" s="1"/>
  <c r="AF313" i="11"/>
  <c r="AJ313" i="11" s="1"/>
  <c r="AF314" i="11" l="1"/>
  <c r="AJ314" i="11" s="1"/>
  <c r="Q314" i="11"/>
  <c r="X314" i="11"/>
  <c r="Y314" i="11" s="1"/>
  <c r="R313" i="11"/>
  <c r="AA313" i="11"/>
  <c r="W314" i="11"/>
  <c r="V314" i="11"/>
  <c r="S312" i="11"/>
  <c r="AB312" i="11"/>
  <c r="AC311" i="11"/>
  <c r="AD311" i="11"/>
  <c r="P314" i="11"/>
  <c r="N315" i="11"/>
  <c r="O315" i="11" s="1"/>
  <c r="L316" i="11"/>
  <c r="U315" i="11"/>
  <c r="AA314" i="11" l="1"/>
  <c r="R314" i="11"/>
  <c r="N316" i="11"/>
  <c r="O316" i="11" s="1"/>
  <c r="L317" i="11"/>
  <c r="U316" i="11"/>
  <c r="P315" i="11"/>
  <c r="AC312" i="11"/>
  <c r="AD312" i="11"/>
  <c r="S313" i="11"/>
  <c r="AB313" i="11"/>
  <c r="V315" i="11"/>
  <c r="W315" i="11"/>
  <c r="X315" i="11"/>
  <c r="Y315" i="11" s="1"/>
  <c r="AF315" i="11"/>
  <c r="AJ315" i="11" s="1"/>
  <c r="Q315" i="11"/>
  <c r="P316" i="11" l="1"/>
  <c r="R315" i="11"/>
  <c r="AA315" i="11"/>
  <c r="W316" i="11"/>
  <c r="V316" i="11"/>
  <c r="U317" i="11"/>
  <c r="L318" i="11"/>
  <c r="N317" i="11"/>
  <c r="O317" i="11" s="1"/>
  <c r="S314" i="11"/>
  <c r="AB314" i="11"/>
  <c r="AC313" i="11"/>
  <c r="AD313" i="11"/>
  <c r="Q316" i="11"/>
  <c r="AF316" i="11"/>
  <c r="AJ316" i="11" s="1"/>
  <c r="X316" i="11"/>
  <c r="Y316" i="11" s="1"/>
  <c r="R316" i="11" l="1"/>
  <c r="AA316" i="11"/>
  <c r="N318" i="11"/>
  <c r="O318" i="11" s="1"/>
  <c r="U318" i="11"/>
  <c r="L319" i="11"/>
  <c r="X317" i="11"/>
  <c r="Q317" i="11"/>
  <c r="AF317" i="11"/>
  <c r="AJ317" i="11" s="1"/>
  <c r="P317" i="11"/>
  <c r="P318" i="11" s="1"/>
  <c r="AD314" i="11"/>
  <c r="AC314" i="11"/>
  <c r="Y317" i="11"/>
  <c r="W317" i="11"/>
  <c r="V317" i="11"/>
  <c r="S315" i="11"/>
  <c r="AB315" i="11"/>
  <c r="AD315" i="11" l="1"/>
  <c r="AC315" i="11"/>
  <c r="L320" i="11"/>
  <c r="U319" i="11"/>
  <c r="N319" i="11"/>
  <c r="O319" i="11" s="1"/>
  <c r="W318" i="11"/>
  <c r="V318" i="11"/>
  <c r="AF318" i="11"/>
  <c r="AJ318" i="11" s="1"/>
  <c r="Q318" i="11"/>
  <c r="X318" i="11"/>
  <c r="Y318" i="11" s="1"/>
  <c r="R317" i="11"/>
  <c r="AA317" i="11"/>
  <c r="AB316" i="11"/>
  <c r="S316" i="11"/>
  <c r="AA318" i="11" l="1"/>
  <c r="R318" i="11"/>
  <c r="AB317" i="11"/>
  <c r="S317" i="11"/>
  <c r="Q319" i="11"/>
  <c r="AF319" i="11"/>
  <c r="AJ319" i="11" s="1"/>
  <c r="X319" i="11"/>
  <c r="Y319" i="11" s="1"/>
  <c r="W319" i="11"/>
  <c r="V319" i="11"/>
  <c r="L321" i="11"/>
  <c r="U320" i="11"/>
  <c r="N320" i="11"/>
  <c r="O320" i="11" s="1"/>
  <c r="P319" i="11"/>
  <c r="AD316" i="11"/>
  <c r="AC316" i="11"/>
  <c r="AF320" i="11" l="1"/>
  <c r="AJ320" i="11" s="1"/>
  <c r="Q320" i="11"/>
  <c r="X320" i="11"/>
  <c r="Y320" i="11" s="1"/>
  <c r="V320" i="11"/>
  <c r="W320" i="11"/>
  <c r="AA319" i="11"/>
  <c r="R319" i="11"/>
  <c r="S318" i="11"/>
  <c r="AB318" i="11"/>
  <c r="P320" i="11"/>
  <c r="L322" i="11"/>
  <c r="N321" i="11"/>
  <c r="O321" i="11" s="1"/>
  <c r="U321" i="11"/>
  <c r="AD317" i="11"/>
  <c r="AC317" i="11"/>
  <c r="R320" i="11" l="1"/>
  <c r="AA320" i="11"/>
  <c r="P321" i="11"/>
  <c r="V321" i="11"/>
  <c r="W321" i="11"/>
  <c r="AD318" i="11"/>
  <c r="AC318" i="11"/>
  <c r="S319" i="11"/>
  <c r="AB319" i="11"/>
  <c r="Q321" i="11"/>
  <c r="X321" i="11"/>
  <c r="Y321" i="11" s="1"/>
  <c r="AF321" i="11"/>
  <c r="AJ321" i="11" s="1"/>
  <c r="U322" i="11"/>
  <c r="N322" i="11"/>
  <c r="O322" i="11" s="1"/>
  <c r="L323" i="11"/>
  <c r="U323" i="11" l="1"/>
  <c r="N323" i="11"/>
  <c r="O323" i="11" s="1"/>
  <c r="L324" i="11"/>
  <c r="AB320" i="11"/>
  <c r="S320" i="11"/>
  <c r="R321" i="11"/>
  <c r="AA321" i="11"/>
  <c r="AD319" i="11"/>
  <c r="AC319" i="11"/>
  <c r="Q322" i="11"/>
  <c r="X322" i="11"/>
  <c r="Y322" i="11" s="1"/>
  <c r="AF322" i="11"/>
  <c r="AJ322" i="11" s="1"/>
  <c r="V322" i="11"/>
  <c r="W322" i="11"/>
  <c r="P322" i="11"/>
  <c r="R322" i="11" l="1"/>
  <c r="AA322" i="11"/>
  <c r="Q323" i="11"/>
  <c r="X323" i="11"/>
  <c r="AF323" i="11"/>
  <c r="AJ323" i="11" s="1"/>
  <c r="AD320" i="11"/>
  <c r="AC320" i="11"/>
  <c r="N324" i="11"/>
  <c r="O324" i="11" s="1"/>
  <c r="L325" i="11"/>
  <c r="U324" i="11"/>
  <c r="W323" i="11"/>
  <c r="V323" i="11"/>
  <c r="Y323" i="11"/>
  <c r="S321" i="11"/>
  <c r="AB321" i="11"/>
  <c r="P323" i="11"/>
  <c r="U325" i="11" l="1"/>
  <c r="L326" i="11"/>
  <c r="N325" i="11"/>
  <c r="O325" i="11" s="1"/>
  <c r="W324" i="11"/>
  <c r="V324" i="11"/>
  <c r="AF324" i="11"/>
  <c r="AJ324" i="11" s="1"/>
  <c r="X324" i="11"/>
  <c r="Y324" i="11" s="1"/>
  <c r="Q324" i="11"/>
  <c r="AA323" i="11"/>
  <c r="R323" i="11"/>
  <c r="P324" i="11"/>
  <c r="P325" i="11" s="1"/>
  <c r="AC321" i="11"/>
  <c r="AD321" i="11"/>
  <c r="AB322" i="11"/>
  <c r="S322" i="11"/>
  <c r="W325" i="11" l="1"/>
  <c r="V325" i="11"/>
  <c r="S323" i="11"/>
  <c r="AB323" i="11"/>
  <c r="R324" i="11"/>
  <c r="AA324" i="11"/>
  <c r="AF325" i="11"/>
  <c r="AJ325" i="11" s="1"/>
  <c r="X325" i="11"/>
  <c r="Y325" i="11" s="1"/>
  <c r="Q325" i="11"/>
  <c r="AC322" i="11"/>
  <c r="AD322" i="11"/>
  <c r="N326" i="11"/>
  <c r="O326" i="11" s="1"/>
  <c r="P326" i="11" s="1"/>
  <c r="U326" i="11"/>
  <c r="L327" i="11"/>
  <c r="W326" i="11" l="1"/>
  <c r="V326" i="11"/>
  <c r="AB324" i="11"/>
  <c r="S324" i="11"/>
  <c r="AC323" i="11"/>
  <c r="AD323" i="11"/>
  <c r="R325" i="11"/>
  <c r="AA325" i="11"/>
  <c r="X326" i="11"/>
  <c r="Y326" i="11" s="1"/>
  <c r="Q326" i="11"/>
  <c r="AF326" i="11"/>
  <c r="AJ326" i="11" s="1"/>
  <c r="U327" i="11"/>
  <c r="L328" i="11"/>
  <c r="N327" i="11"/>
  <c r="O327" i="11" s="1"/>
  <c r="W327" i="11" l="1"/>
  <c r="V327" i="11"/>
  <c r="R326" i="11"/>
  <c r="AA326" i="11"/>
  <c r="AB325" i="11"/>
  <c r="S325" i="11"/>
  <c r="AD324" i="11"/>
  <c r="AC324" i="11"/>
  <c r="N328" i="11"/>
  <c r="O328" i="11" s="1"/>
  <c r="U328" i="11"/>
  <c r="L329" i="11"/>
  <c r="X327" i="11"/>
  <c r="Y327" i="11" s="1"/>
  <c r="Q327" i="11"/>
  <c r="AF327" i="11"/>
  <c r="AJ327" i="11" s="1"/>
  <c r="P327" i="11"/>
  <c r="N329" i="11" l="1"/>
  <c r="O329" i="11" s="1"/>
  <c r="U329" i="11"/>
  <c r="L330" i="11"/>
  <c r="AC325" i="11"/>
  <c r="AD325" i="11"/>
  <c r="R327" i="11"/>
  <c r="AA327" i="11"/>
  <c r="W328" i="11"/>
  <c r="V328" i="11"/>
  <c r="AF328" i="11"/>
  <c r="AJ328" i="11" s="1"/>
  <c r="Q328" i="11"/>
  <c r="X328" i="11"/>
  <c r="Y328" i="11" s="1"/>
  <c r="AB326" i="11"/>
  <c r="S326" i="11"/>
  <c r="P328" i="11"/>
  <c r="Q329" i="11" l="1"/>
  <c r="AF329" i="11"/>
  <c r="AJ329" i="11" s="1"/>
  <c r="X329" i="11"/>
  <c r="AD326" i="11"/>
  <c r="AC326" i="11"/>
  <c r="R328" i="11"/>
  <c r="AA328" i="11"/>
  <c r="AB327" i="11"/>
  <c r="S327" i="11"/>
  <c r="P329" i="11"/>
  <c r="U330" i="11"/>
  <c r="L331" i="11"/>
  <c r="N330" i="11"/>
  <c r="O330" i="11" s="1"/>
  <c r="V329" i="11"/>
  <c r="Y329" i="11"/>
  <c r="W329" i="11"/>
  <c r="R329" i="11" l="1"/>
  <c r="AA329" i="11"/>
  <c r="N331" i="11"/>
  <c r="O331" i="11" s="1"/>
  <c r="L332" i="11"/>
  <c r="U331" i="11"/>
  <c r="W330" i="11"/>
  <c r="V330" i="11"/>
  <c r="X330" i="11"/>
  <c r="Y330" i="11" s="1"/>
  <c r="AF330" i="11"/>
  <c r="AJ330" i="11" s="1"/>
  <c r="Q330" i="11"/>
  <c r="P330" i="11"/>
  <c r="P331" i="11" s="1"/>
  <c r="AC327" i="11"/>
  <c r="AD327" i="11"/>
  <c r="AB328" i="11"/>
  <c r="S328" i="11"/>
  <c r="AB329" i="11" l="1"/>
  <c r="S329" i="11"/>
  <c r="L333" i="11"/>
  <c r="N332" i="11"/>
  <c r="O332" i="11" s="1"/>
  <c r="P332" i="11" s="1"/>
  <c r="U332" i="11"/>
  <c r="AD328" i="11"/>
  <c r="AC328" i="11"/>
  <c r="AA330" i="11"/>
  <c r="R330" i="11"/>
  <c r="V331" i="11"/>
  <c r="W331" i="11"/>
  <c r="AF331" i="11"/>
  <c r="AJ331" i="11" s="1"/>
  <c r="X331" i="11"/>
  <c r="Y331" i="11" s="1"/>
  <c r="Q331" i="11"/>
  <c r="R331" i="11" l="1"/>
  <c r="AA331" i="11"/>
  <c r="S330" i="11"/>
  <c r="AB330" i="11"/>
  <c r="W332" i="11"/>
  <c r="V332" i="11"/>
  <c r="Q332" i="11"/>
  <c r="AF332" i="11"/>
  <c r="AJ332" i="11" s="1"/>
  <c r="X332" i="11"/>
  <c r="Y332" i="11" s="1"/>
  <c r="U333" i="11"/>
  <c r="N333" i="11"/>
  <c r="O333" i="11" s="1"/>
  <c r="L334" i="11"/>
  <c r="AC329" i="11"/>
  <c r="AD329" i="11"/>
  <c r="N334" i="11" l="1"/>
  <c r="O334" i="11" s="1"/>
  <c r="L335" i="11"/>
  <c r="U334" i="11"/>
  <c r="AC330" i="11"/>
  <c r="AD330" i="11"/>
  <c r="X333" i="11"/>
  <c r="Q333" i="11"/>
  <c r="AF333" i="11"/>
  <c r="AJ333" i="11" s="1"/>
  <c r="Y333" i="11"/>
  <c r="V333" i="11"/>
  <c r="W333" i="11"/>
  <c r="R332" i="11"/>
  <c r="AA332" i="11"/>
  <c r="P333" i="11"/>
  <c r="AB331" i="11"/>
  <c r="S331" i="11"/>
  <c r="AD331" i="11" l="1"/>
  <c r="AC331" i="11"/>
  <c r="W334" i="11"/>
  <c r="V334" i="11"/>
  <c r="L336" i="11"/>
  <c r="N335" i="11"/>
  <c r="O335" i="11" s="1"/>
  <c r="U335" i="11"/>
  <c r="P334" i="11"/>
  <c r="AB332" i="11"/>
  <c r="S332" i="11"/>
  <c r="R333" i="11"/>
  <c r="AA333" i="11"/>
  <c r="AF334" i="11"/>
  <c r="AJ334" i="11" s="1"/>
  <c r="Q334" i="11"/>
  <c r="X334" i="11"/>
  <c r="Y334" i="11" s="1"/>
  <c r="P335" i="11" l="1"/>
  <c r="AC332" i="11"/>
  <c r="AD332" i="11"/>
  <c r="V335" i="11"/>
  <c r="W335" i="11"/>
  <c r="AB333" i="11"/>
  <c r="S333" i="11"/>
  <c r="Q335" i="11"/>
  <c r="AF335" i="11"/>
  <c r="AJ335" i="11" s="1"/>
  <c r="X335" i="11"/>
  <c r="Y335" i="11" s="1"/>
  <c r="U336" i="11"/>
  <c r="L337" i="11"/>
  <c r="N336" i="11"/>
  <c r="O336" i="11" s="1"/>
  <c r="AA334" i="11"/>
  <c r="R334" i="11"/>
  <c r="AB334" i="11" l="1"/>
  <c r="S334" i="11"/>
  <c r="L338" i="11"/>
  <c r="U337" i="11"/>
  <c r="N337" i="11"/>
  <c r="O337" i="11" s="1"/>
  <c r="R335" i="11"/>
  <c r="AA335" i="11"/>
  <c r="AD333" i="11"/>
  <c r="AC333" i="11"/>
  <c r="X336" i="11"/>
  <c r="Y336" i="11" s="1"/>
  <c r="Q336" i="11"/>
  <c r="AF336" i="11"/>
  <c r="AJ336" i="11" s="1"/>
  <c r="W336" i="11"/>
  <c r="V336" i="11"/>
  <c r="P336" i="11"/>
  <c r="X337" i="11" l="1"/>
  <c r="AF337" i="11"/>
  <c r="AJ337" i="11" s="1"/>
  <c r="Q337" i="11"/>
  <c r="V337" i="11"/>
  <c r="Y337" i="11"/>
  <c r="W337" i="11"/>
  <c r="U338" i="11"/>
  <c r="N338" i="11"/>
  <c r="O338" i="11" s="1"/>
  <c r="L339" i="11"/>
  <c r="R336" i="11"/>
  <c r="AA336" i="11"/>
  <c r="S335" i="11"/>
  <c r="AB335" i="11"/>
  <c r="P337" i="11"/>
  <c r="P338" i="11" s="1"/>
  <c r="AC334" i="11"/>
  <c r="AD334" i="11"/>
  <c r="AC335" i="11" l="1"/>
  <c r="AD335" i="11"/>
  <c r="S336" i="11"/>
  <c r="AB336" i="11"/>
  <c r="Q338" i="11"/>
  <c r="X338" i="11"/>
  <c r="AF338" i="11"/>
  <c r="AJ338" i="11" s="1"/>
  <c r="W338" i="11"/>
  <c r="Y338" i="11"/>
  <c r="V338" i="11"/>
  <c r="R337" i="11"/>
  <c r="AA337" i="11"/>
  <c r="U339" i="11"/>
  <c r="L340" i="11"/>
  <c r="N339" i="11"/>
  <c r="O339" i="11" s="1"/>
  <c r="P339" i="11" s="1"/>
  <c r="AB337" i="11" l="1"/>
  <c r="S337" i="11"/>
  <c r="R338" i="11"/>
  <c r="AA338" i="11"/>
  <c r="AC336" i="11"/>
  <c r="AD336" i="11"/>
  <c r="Q339" i="11"/>
  <c r="AF339" i="11"/>
  <c r="AJ339" i="11" s="1"/>
  <c r="X339" i="11"/>
  <c r="U340" i="11"/>
  <c r="L341" i="11"/>
  <c r="N340" i="11"/>
  <c r="O340" i="11" s="1"/>
  <c r="V339" i="11"/>
  <c r="Y339" i="11"/>
  <c r="W339" i="11"/>
  <c r="X340" i="11" l="1"/>
  <c r="Y340" i="11" s="1"/>
  <c r="Q340" i="11"/>
  <c r="AF340" i="11"/>
  <c r="AJ340" i="11" s="1"/>
  <c r="U341" i="11"/>
  <c r="N341" i="11"/>
  <c r="O341" i="11" s="1"/>
  <c r="L342" i="11"/>
  <c r="V340" i="11"/>
  <c r="W340" i="11"/>
  <c r="AA339" i="11"/>
  <c r="R339" i="11"/>
  <c r="S338" i="11"/>
  <c r="AB338" i="11"/>
  <c r="AC337" i="11"/>
  <c r="AD337" i="11"/>
  <c r="P340" i="11"/>
  <c r="P341" i="11" s="1"/>
  <c r="AD338" i="11" l="1"/>
  <c r="AC338" i="11"/>
  <c r="AB339" i="11"/>
  <c r="S339" i="11"/>
  <c r="N342" i="11"/>
  <c r="O342" i="11" s="1"/>
  <c r="U342" i="11"/>
  <c r="L343" i="11"/>
  <c r="AF341" i="11"/>
  <c r="AJ341" i="11" s="1"/>
  <c r="X341" i="11"/>
  <c r="Y341" i="11" s="1"/>
  <c r="Q341" i="11"/>
  <c r="W341" i="11"/>
  <c r="V341" i="11"/>
  <c r="P342" i="11"/>
  <c r="AA340" i="11"/>
  <c r="R340" i="11"/>
  <c r="R341" i="11" l="1"/>
  <c r="AA341" i="11"/>
  <c r="U343" i="11"/>
  <c r="N343" i="11"/>
  <c r="O343" i="11" s="1"/>
  <c r="L344" i="11"/>
  <c r="V342" i="11"/>
  <c r="W342" i="11"/>
  <c r="AF342" i="11"/>
  <c r="AJ342" i="11" s="1"/>
  <c r="Q342" i="11"/>
  <c r="X342" i="11"/>
  <c r="Y342" i="11" s="1"/>
  <c r="AC339" i="11"/>
  <c r="AD339" i="11"/>
  <c r="S340" i="11"/>
  <c r="AB340" i="11"/>
  <c r="AA342" i="11" l="1"/>
  <c r="R342" i="11"/>
  <c r="N344" i="11"/>
  <c r="O344" i="11" s="1"/>
  <c r="L345" i="11"/>
  <c r="U344" i="11"/>
  <c r="V343" i="11"/>
  <c r="W343" i="11"/>
  <c r="Q343" i="11"/>
  <c r="AF343" i="11"/>
  <c r="AJ343" i="11" s="1"/>
  <c r="X343" i="11"/>
  <c r="Y343" i="11" s="1"/>
  <c r="AC340" i="11"/>
  <c r="AD340" i="11"/>
  <c r="AB341" i="11"/>
  <c r="S341" i="11"/>
  <c r="P343" i="11"/>
  <c r="P344" i="11" s="1"/>
  <c r="AC341" i="11" l="1"/>
  <c r="AD341" i="11"/>
  <c r="V344" i="11"/>
  <c r="W344" i="11"/>
  <c r="N345" i="11"/>
  <c r="O345" i="11" s="1"/>
  <c r="L346" i="11"/>
  <c r="U345" i="11"/>
  <c r="AF344" i="11"/>
  <c r="AJ344" i="11" s="1"/>
  <c r="Q344" i="11"/>
  <c r="X344" i="11"/>
  <c r="Y344" i="11" s="1"/>
  <c r="R343" i="11"/>
  <c r="AA343" i="11"/>
  <c r="P345" i="11"/>
  <c r="S342" i="11"/>
  <c r="AB342" i="11"/>
  <c r="AB343" i="11" l="1"/>
  <c r="S343" i="11"/>
  <c r="R344" i="11"/>
  <c r="AA344" i="11"/>
  <c r="W345" i="11"/>
  <c r="V345" i="11"/>
  <c r="U346" i="11"/>
  <c r="L347" i="11"/>
  <c r="N346" i="11"/>
  <c r="O346" i="11" s="1"/>
  <c r="AF345" i="11"/>
  <c r="AJ345" i="11" s="1"/>
  <c r="X345" i="11"/>
  <c r="Y345" i="11" s="1"/>
  <c r="Q345" i="11"/>
  <c r="AD342" i="11"/>
  <c r="AC342" i="11"/>
  <c r="R345" i="11" l="1"/>
  <c r="AA345" i="11"/>
  <c r="AB344" i="11"/>
  <c r="S344" i="11"/>
  <c r="AF346" i="11"/>
  <c r="AJ346" i="11" s="1"/>
  <c r="Q346" i="11"/>
  <c r="X346" i="11"/>
  <c r="N347" i="11"/>
  <c r="O347" i="11" s="1"/>
  <c r="L348" i="11"/>
  <c r="U347" i="11"/>
  <c r="W346" i="11"/>
  <c r="V346" i="11"/>
  <c r="Y346" i="11"/>
  <c r="AD343" i="11"/>
  <c r="AC343" i="11"/>
  <c r="P346" i="11"/>
  <c r="W347" i="11" l="1"/>
  <c r="V347" i="11"/>
  <c r="AC344" i="11"/>
  <c r="AD344" i="11"/>
  <c r="N348" i="11"/>
  <c r="O348" i="11" s="1"/>
  <c r="L349" i="11"/>
  <c r="U348" i="11"/>
  <c r="AF347" i="11"/>
  <c r="AJ347" i="11" s="1"/>
  <c r="Q347" i="11"/>
  <c r="X347" i="11"/>
  <c r="Y347" i="11" s="1"/>
  <c r="R346" i="11"/>
  <c r="AA346" i="11"/>
  <c r="P347" i="11"/>
  <c r="P348" i="11" s="1"/>
  <c r="AB345" i="11"/>
  <c r="S345" i="11"/>
  <c r="S346" i="11" l="1"/>
  <c r="AB346" i="11"/>
  <c r="R347" i="11"/>
  <c r="AA347" i="11"/>
  <c r="V348" i="11"/>
  <c r="W348" i="11"/>
  <c r="U349" i="11"/>
  <c r="L350" i="11"/>
  <c r="N349" i="11"/>
  <c r="O349" i="11" s="1"/>
  <c r="X348" i="11"/>
  <c r="Y348" i="11" s="1"/>
  <c r="Q348" i="11"/>
  <c r="AF348" i="11"/>
  <c r="AJ348" i="11" s="1"/>
  <c r="P349" i="11"/>
  <c r="AC345" i="11"/>
  <c r="AD345" i="11"/>
  <c r="R348" i="11" l="1"/>
  <c r="AA348" i="11"/>
  <c r="N350" i="11"/>
  <c r="O350" i="11" s="1"/>
  <c r="L351" i="11"/>
  <c r="U350" i="11"/>
  <c r="W349" i="11"/>
  <c r="V349" i="11"/>
  <c r="P350" i="11"/>
  <c r="X349" i="11"/>
  <c r="Y349" i="11" s="1"/>
  <c r="Q349" i="11"/>
  <c r="AF349" i="11"/>
  <c r="AJ349" i="11" s="1"/>
  <c r="AB347" i="11"/>
  <c r="S347" i="11"/>
  <c r="AD346" i="11"/>
  <c r="AC346" i="11"/>
  <c r="R349" i="11" l="1"/>
  <c r="AA349" i="11"/>
  <c r="S348" i="11"/>
  <c r="AB348" i="11"/>
  <c r="V350" i="11"/>
  <c r="W350" i="11"/>
  <c r="L352" i="11"/>
  <c r="U351" i="11"/>
  <c r="N351" i="11"/>
  <c r="O351" i="11" s="1"/>
  <c r="P351" i="11" s="1"/>
  <c r="AC347" i="11"/>
  <c r="AD347" i="11"/>
  <c r="AF350" i="11"/>
  <c r="AJ350" i="11" s="1"/>
  <c r="Q350" i="11"/>
  <c r="X350" i="11"/>
  <c r="Y350" i="11" s="1"/>
  <c r="AD348" i="11" l="1"/>
  <c r="AC348" i="11"/>
  <c r="X351" i="11"/>
  <c r="AF351" i="11"/>
  <c r="AJ351" i="11" s="1"/>
  <c r="Q351" i="11"/>
  <c r="N352" i="11"/>
  <c r="O352" i="11" s="1"/>
  <c r="U352" i="11"/>
  <c r="L353" i="11"/>
  <c r="Y351" i="11"/>
  <c r="V351" i="11"/>
  <c r="W351" i="11"/>
  <c r="R350" i="11"/>
  <c r="AA350" i="11"/>
  <c r="AB349" i="11"/>
  <c r="S349" i="11"/>
  <c r="Q352" i="11" l="1"/>
  <c r="AF352" i="11"/>
  <c r="AJ352" i="11" s="1"/>
  <c r="X352" i="11"/>
  <c r="S350" i="11"/>
  <c r="AB350" i="11"/>
  <c r="L354" i="11"/>
  <c r="N353" i="11"/>
  <c r="O353" i="11" s="1"/>
  <c r="U353" i="11"/>
  <c r="V352" i="11"/>
  <c r="Y352" i="11"/>
  <c r="W352" i="11"/>
  <c r="R351" i="11"/>
  <c r="AA351" i="11"/>
  <c r="AD349" i="11"/>
  <c r="AC349" i="11"/>
  <c r="P352" i="11"/>
  <c r="V353" i="11" l="1"/>
  <c r="W353" i="11"/>
  <c r="X353" i="11"/>
  <c r="Y353" i="11" s="1"/>
  <c r="Q353" i="11"/>
  <c r="AF353" i="11"/>
  <c r="AJ353" i="11" s="1"/>
  <c r="AB351" i="11"/>
  <c r="S351" i="11"/>
  <c r="L355" i="11"/>
  <c r="U354" i="11"/>
  <c r="N354" i="11"/>
  <c r="O354" i="11" s="1"/>
  <c r="AC350" i="11"/>
  <c r="AD350" i="11"/>
  <c r="P353" i="11"/>
  <c r="P354" i="11" s="1"/>
  <c r="R352" i="11"/>
  <c r="AA352" i="11"/>
  <c r="Q354" i="11" l="1"/>
  <c r="AF354" i="11"/>
  <c r="AJ354" i="11" s="1"/>
  <c r="X354" i="11"/>
  <c r="L356" i="11"/>
  <c r="U355" i="11"/>
  <c r="N355" i="11"/>
  <c r="O355" i="11" s="1"/>
  <c r="P355" i="11" s="1"/>
  <c r="AD351" i="11"/>
  <c r="AC351" i="11"/>
  <c r="W354" i="11"/>
  <c r="Y354" i="11"/>
  <c r="V354" i="11"/>
  <c r="R353" i="11"/>
  <c r="AA353" i="11"/>
  <c r="S352" i="11"/>
  <c r="AB352" i="11"/>
  <c r="S353" i="11" l="1"/>
  <c r="AB353" i="11"/>
  <c r="V355" i="11"/>
  <c r="W355" i="11"/>
  <c r="U356" i="11"/>
  <c r="N356" i="11"/>
  <c r="O356" i="11" s="1"/>
  <c r="L357" i="11"/>
  <c r="X355" i="11"/>
  <c r="Y355" i="11" s="1"/>
  <c r="Q355" i="11"/>
  <c r="AF355" i="11"/>
  <c r="AJ355" i="11" s="1"/>
  <c r="AC352" i="11"/>
  <c r="AD352" i="11"/>
  <c r="R354" i="11"/>
  <c r="AA354" i="11"/>
  <c r="N357" i="11" l="1"/>
  <c r="O357" i="11" s="1"/>
  <c r="U357" i="11"/>
  <c r="L358" i="11"/>
  <c r="W356" i="11"/>
  <c r="V356" i="11"/>
  <c r="X356" i="11"/>
  <c r="Y356" i="11" s="1"/>
  <c r="AF356" i="11"/>
  <c r="AJ356" i="11" s="1"/>
  <c r="Q356" i="11"/>
  <c r="AD353" i="11"/>
  <c r="AC353" i="11"/>
  <c r="AA355" i="11"/>
  <c r="R355" i="11"/>
  <c r="S354" i="11"/>
  <c r="AB354" i="11"/>
  <c r="P356" i="11"/>
  <c r="P357" i="11" l="1"/>
  <c r="AD354" i="11"/>
  <c r="AC354" i="11"/>
  <c r="AA356" i="11"/>
  <c r="R356" i="11"/>
  <c r="AF357" i="11"/>
  <c r="AJ357" i="11" s="1"/>
  <c r="X357" i="11"/>
  <c r="Q357" i="11"/>
  <c r="N358" i="11"/>
  <c r="O358" i="11" s="1"/>
  <c r="U358" i="11"/>
  <c r="L359" i="11"/>
  <c r="AB355" i="11"/>
  <c r="S355" i="11"/>
  <c r="Y357" i="11"/>
  <c r="V357" i="11"/>
  <c r="W357" i="11"/>
  <c r="AF358" i="11" l="1"/>
  <c r="AJ358" i="11" s="1"/>
  <c r="Q358" i="11"/>
  <c r="X358" i="11"/>
  <c r="AC355" i="11"/>
  <c r="AD355" i="11"/>
  <c r="U359" i="11"/>
  <c r="L360" i="11"/>
  <c r="N359" i="11"/>
  <c r="O359" i="11" s="1"/>
  <c r="W358" i="11"/>
  <c r="V358" i="11"/>
  <c r="Y358" i="11"/>
  <c r="AA357" i="11"/>
  <c r="R357" i="11"/>
  <c r="S356" i="11"/>
  <c r="AB356" i="11"/>
  <c r="P358" i="11"/>
  <c r="P359" i="11" s="1"/>
  <c r="AC356" i="11" l="1"/>
  <c r="AD356" i="11"/>
  <c r="R358" i="11"/>
  <c r="AA358" i="11"/>
  <c r="AB357" i="11"/>
  <c r="S357" i="11"/>
  <c r="U360" i="11"/>
  <c r="N360" i="11"/>
  <c r="O360" i="11" s="1"/>
  <c r="P360" i="11" s="1"/>
  <c r="L361" i="11"/>
  <c r="V359" i="11"/>
  <c r="W359" i="11"/>
  <c r="Q359" i="11"/>
  <c r="X359" i="11"/>
  <c r="Y359" i="11" s="1"/>
  <c r="AF359" i="11"/>
  <c r="AJ359" i="11" s="1"/>
  <c r="N361" i="11" l="1"/>
  <c r="O361" i="11" s="1"/>
  <c r="L362" i="11"/>
  <c r="U361" i="11"/>
  <c r="W360" i="11"/>
  <c r="V360" i="11"/>
  <c r="R359" i="11"/>
  <c r="AA359" i="11"/>
  <c r="AD357" i="11"/>
  <c r="AC357" i="11"/>
  <c r="AB358" i="11"/>
  <c r="S358" i="11"/>
  <c r="AF360" i="11"/>
  <c r="AJ360" i="11" s="1"/>
  <c r="Q360" i="11"/>
  <c r="X360" i="11"/>
  <c r="Y360" i="11" s="1"/>
  <c r="S359" i="11" l="1"/>
  <c r="AB359" i="11"/>
  <c r="W361" i="11"/>
  <c r="V361" i="11"/>
  <c r="U362" i="11"/>
  <c r="N362" i="11"/>
  <c r="O362" i="11" s="1"/>
  <c r="L363" i="11"/>
  <c r="AC358" i="11"/>
  <c r="AD358" i="11"/>
  <c r="X361" i="11"/>
  <c r="Y361" i="11" s="1"/>
  <c r="AF361" i="11"/>
  <c r="AJ361" i="11" s="1"/>
  <c r="Q361" i="11"/>
  <c r="R360" i="11"/>
  <c r="AA360" i="11"/>
  <c r="P361" i="11"/>
  <c r="Q362" i="11" l="1"/>
  <c r="AF362" i="11"/>
  <c r="AJ362" i="11" s="1"/>
  <c r="X362" i="11"/>
  <c r="AB360" i="11"/>
  <c r="S360" i="11"/>
  <c r="U363" i="11"/>
  <c r="L364" i="11"/>
  <c r="N363" i="11"/>
  <c r="O363" i="11" s="1"/>
  <c r="Y362" i="11"/>
  <c r="W362" i="11"/>
  <c r="V362" i="11"/>
  <c r="AA361" i="11"/>
  <c r="R361" i="11"/>
  <c r="P362" i="11"/>
  <c r="P363" i="11" s="1"/>
  <c r="AC359" i="11"/>
  <c r="AD359" i="11"/>
  <c r="AC360" i="11" l="1"/>
  <c r="AD360" i="11"/>
  <c r="X363" i="11"/>
  <c r="Q363" i="11"/>
  <c r="AF363" i="11"/>
  <c r="AJ363" i="11" s="1"/>
  <c r="AB361" i="11"/>
  <c r="S361" i="11"/>
  <c r="N364" i="11"/>
  <c r="O364" i="11" s="1"/>
  <c r="L365" i="11"/>
  <c r="U364" i="11"/>
  <c r="V363" i="11"/>
  <c r="W363" i="11"/>
  <c r="Y363" i="11"/>
  <c r="R362" i="11"/>
  <c r="AA362" i="11"/>
  <c r="L366" i="11" l="1"/>
  <c r="N365" i="11"/>
  <c r="O365" i="11" s="1"/>
  <c r="U365" i="11"/>
  <c r="W364" i="11"/>
  <c r="V364" i="11"/>
  <c r="AD361" i="11"/>
  <c r="AC361" i="11"/>
  <c r="R363" i="11"/>
  <c r="AA363" i="11"/>
  <c r="AF364" i="11"/>
  <c r="AJ364" i="11" s="1"/>
  <c r="Q364" i="11"/>
  <c r="X364" i="11"/>
  <c r="Y364" i="11" s="1"/>
  <c r="S362" i="11"/>
  <c r="AB362" i="11"/>
  <c r="P364" i="11"/>
  <c r="V365" i="11" l="1"/>
  <c r="W365" i="11"/>
  <c r="R364" i="11"/>
  <c r="AA364" i="11"/>
  <c r="S363" i="11"/>
  <c r="AB363" i="11"/>
  <c r="Q365" i="11"/>
  <c r="X365" i="11"/>
  <c r="Y365" i="11" s="1"/>
  <c r="AF365" i="11"/>
  <c r="AJ365" i="11" s="1"/>
  <c r="P365" i="11"/>
  <c r="AD362" i="11"/>
  <c r="AC362" i="11"/>
  <c r="L367" i="11"/>
  <c r="N366" i="11"/>
  <c r="O366" i="11" s="1"/>
  <c r="U366" i="11"/>
  <c r="P366" i="11" l="1"/>
  <c r="L368" i="11"/>
  <c r="N367" i="11"/>
  <c r="O367" i="11" s="1"/>
  <c r="U367" i="11"/>
  <c r="R365" i="11"/>
  <c r="AA365" i="11"/>
  <c r="AC363" i="11"/>
  <c r="AD363" i="11"/>
  <c r="S364" i="11"/>
  <c r="AB364" i="11"/>
  <c r="V366" i="11"/>
  <c r="W366" i="11"/>
  <c r="AF366" i="11"/>
  <c r="AJ366" i="11" s="1"/>
  <c r="Q366" i="11"/>
  <c r="X366" i="11"/>
  <c r="Y366" i="11" s="1"/>
  <c r="P367" i="11" l="1"/>
  <c r="AB365" i="11"/>
  <c r="S365" i="11"/>
  <c r="V367" i="11"/>
  <c r="W367" i="11"/>
  <c r="AD364" i="11"/>
  <c r="AC364" i="11"/>
  <c r="Q367" i="11"/>
  <c r="X367" i="11"/>
  <c r="Y367" i="11" s="1"/>
  <c r="AF367" i="11"/>
  <c r="AJ367" i="11" s="1"/>
  <c r="AA366" i="11"/>
  <c r="R366" i="11"/>
  <c r="U368" i="11"/>
  <c r="N368" i="11"/>
  <c r="O368" i="11" s="1"/>
  <c r="P368" i="11" s="1"/>
  <c r="L369" i="11"/>
  <c r="V368" i="11" l="1"/>
  <c r="W368" i="11"/>
  <c r="AB366" i="11"/>
  <c r="S366" i="11"/>
  <c r="R367" i="11"/>
  <c r="AA367" i="11"/>
  <c r="U369" i="11"/>
  <c r="L370" i="11"/>
  <c r="N369" i="11"/>
  <c r="O369" i="11" s="1"/>
  <c r="P369" i="11" s="1"/>
  <c r="Q368" i="11"/>
  <c r="AF368" i="11"/>
  <c r="AJ368" i="11" s="1"/>
  <c r="X368" i="11"/>
  <c r="Y368" i="11" s="1"/>
  <c r="AD365" i="11"/>
  <c r="AC365" i="11"/>
  <c r="AA368" i="11" l="1"/>
  <c r="R368" i="11"/>
  <c r="N370" i="11"/>
  <c r="O370" i="11" s="1"/>
  <c r="L371" i="11"/>
  <c r="U370" i="11"/>
  <c r="AC366" i="11"/>
  <c r="AD366" i="11"/>
  <c r="X369" i="11"/>
  <c r="AF369" i="11"/>
  <c r="AJ369" i="11" s="1"/>
  <c r="Q369" i="11"/>
  <c r="Y369" i="11"/>
  <c r="W369" i="11"/>
  <c r="V369" i="11"/>
  <c r="S367" i="11"/>
  <c r="AB367" i="11"/>
  <c r="AA369" i="11" l="1"/>
  <c r="R369" i="11"/>
  <c r="W370" i="11"/>
  <c r="V370" i="11"/>
  <c r="N371" i="11"/>
  <c r="O371" i="11" s="1"/>
  <c r="L372" i="11"/>
  <c r="U371" i="11"/>
  <c r="X370" i="11"/>
  <c r="Y370" i="11" s="1"/>
  <c r="Q370" i="11"/>
  <c r="AF370" i="11"/>
  <c r="AJ370" i="11" s="1"/>
  <c r="S368" i="11"/>
  <c r="AB368" i="11"/>
  <c r="AD367" i="11"/>
  <c r="AC367" i="11"/>
  <c r="P370" i="11"/>
  <c r="AF371" i="11" l="1"/>
  <c r="AJ371" i="11" s="1"/>
  <c r="X371" i="11"/>
  <c r="Q371" i="11"/>
  <c r="V371" i="11"/>
  <c r="W371" i="11"/>
  <c r="Y371" i="11"/>
  <c r="AD368" i="11"/>
  <c r="AC368" i="11"/>
  <c r="R370" i="11"/>
  <c r="AA370" i="11"/>
  <c r="U372" i="11"/>
  <c r="N372" i="11"/>
  <c r="O372" i="11" s="1"/>
  <c r="L373" i="11"/>
  <c r="P371" i="11"/>
  <c r="AB369" i="11"/>
  <c r="S369" i="11"/>
  <c r="U373" i="11" l="1"/>
  <c r="L374" i="11"/>
  <c r="N373" i="11"/>
  <c r="O373" i="11" s="1"/>
  <c r="W372" i="11"/>
  <c r="V372" i="11"/>
  <c r="P372" i="11"/>
  <c r="P373" i="11" s="1"/>
  <c r="AF372" i="11"/>
  <c r="AJ372" i="11" s="1"/>
  <c r="X372" i="11"/>
  <c r="Y372" i="11" s="1"/>
  <c r="Q372" i="11"/>
  <c r="S370" i="11"/>
  <c r="AB370" i="11"/>
  <c r="R371" i="11"/>
  <c r="AA371" i="11"/>
  <c r="AC369" i="11"/>
  <c r="AD369" i="11"/>
  <c r="AA372" i="11" l="1"/>
  <c r="R372" i="11"/>
  <c r="AB371" i="11"/>
  <c r="S371" i="11"/>
  <c r="AF373" i="11"/>
  <c r="AJ373" i="11" s="1"/>
  <c r="X373" i="11"/>
  <c r="Q373" i="11"/>
  <c r="N374" i="11"/>
  <c r="O374" i="11" s="1"/>
  <c r="L375" i="11"/>
  <c r="U374" i="11"/>
  <c r="Y373" i="11"/>
  <c r="V373" i="11"/>
  <c r="W373" i="11"/>
  <c r="AD370" i="11"/>
  <c r="AC370" i="11"/>
  <c r="X374" i="11" l="1"/>
  <c r="AF374" i="11"/>
  <c r="AJ374" i="11" s="1"/>
  <c r="Q374" i="11"/>
  <c r="V374" i="11"/>
  <c r="Y374" i="11"/>
  <c r="W374" i="11"/>
  <c r="N375" i="11"/>
  <c r="O375" i="11" s="1"/>
  <c r="U375" i="11"/>
  <c r="L376" i="11"/>
  <c r="P374" i="11"/>
  <c r="P375" i="11" s="1"/>
  <c r="R373" i="11"/>
  <c r="AA373" i="11"/>
  <c r="AD371" i="11"/>
  <c r="AC371" i="11"/>
  <c r="AB372" i="11"/>
  <c r="S372" i="11"/>
  <c r="X375" i="11" l="1"/>
  <c r="Q375" i="11"/>
  <c r="AF375" i="11"/>
  <c r="AJ375" i="11" s="1"/>
  <c r="U376" i="11"/>
  <c r="N376" i="11"/>
  <c r="O376" i="11" s="1"/>
  <c r="L377" i="11"/>
  <c r="Y375" i="11"/>
  <c r="V375" i="11"/>
  <c r="W375" i="11"/>
  <c r="R374" i="11"/>
  <c r="AA374" i="11"/>
  <c r="AB373" i="11"/>
  <c r="S373" i="11"/>
  <c r="AD372" i="11"/>
  <c r="AC372" i="11"/>
  <c r="N377" i="11" l="1"/>
  <c r="O377" i="11" s="1"/>
  <c r="L378" i="11"/>
  <c r="U377" i="11"/>
  <c r="V376" i="11"/>
  <c r="W376" i="11"/>
  <c r="AC373" i="11"/>
  <c r="AD373" i="11"/>
  <c r="AF376" i="11"/>
  <c r="AJ376" i="11" s="1"/>
  <c r="X376" i="11"/>
  <c r="Y376" i="11" s="1"/>
  <c r="Q376" i="11"/>
  <c r="AA375" i="11"/>
  <c r="R375" i="11"/>
  <c r="S374" i="11"/>
  <c r="AB374" i="11"/>
  <c r="P376" i="11"/>
  <c r="P377" i="11" s="1"/>
  <c r="AB375" i="11" l="1"/>
  <c r="S375" i="11"/>
  <c r="V377" i="11"/>
  <c r="W377" i="11"/>
  <c r="R376" i="11"/>
  <c r="AA376" i="11"/>
  <c r="N378" i="11"/>
  <c r="O378" i="11" s="1"/>
  <c r="P378" i="11" s="1"/>
  <c r="U378" i="11"/>
  <c r="L379" i="11"/>
  <c r="AD374" i="11"/>
  <c r="AC374" i="11"/>
  <c r="X377" i="11"/>
  <c r="Y377" i="11" s="1"/>
  <c r="AF377" i="11"/>
  <c r="AJ377" i="11" s="1"/>
  <c r="Q377" i="11"/>
  <c r="N379" i="11" l="1"/>
  <c r="O379" i="11" s="1"/>
  <c r="U379" i="11"/>
  <c r="L380" i="11"/>
  <c r="V378" i="11"/>
  <c r="W378" i="11"/>
  <c r="AB376" i="11"/>
  <c r="S376" i="11"/>
  <c r="X378" i="11"/>
  <c r="Y378" i="11" s="1"/>
  <c r="Q378" i="11"/>
  <c r="AF378" i="11"/>
  <c r="AJ378" i="11" s="1"/>
  <c r="R377" i="11"/>
  <c r="AA377" i="11"/>
  <c r="AC375" i="11"/>
  <c r="AD375" i="11"/>
  <c r="AA378" i="11" l="1"/>
  <c r="R378" i="11"/>
  <c r="AC376" i="11"/>
  <c r="AD376" i="11"/>
  <c r="U380" i="11"/>
  <c r="L381" i="11"/>
  <c r="N380" i="11"/>
  <c r="O380" i="11" s="1"/>
  <c r="Q379" i="11"/>
  <c r="AF379" i="11"/>
  <c r="AJ379" i="11" s="1"/>
  <c r="X379" i="11"/>
  <c r="S377" i="11"/>
  <c r="AB377" i="11"/>
  <c r="V379" i="11"/>
  <c r="Y379" i="11"/>
  <c r="W379" i="11"/>
  <c r="P379" i="11"/>
  <c r="AC377" i="11" l="1"/>
  <c r="AD377" i="11"/>
  <c r="L382" i="11"/>
  <c r="N381" i="11"/>
  <c r="O381" i="11" s="1"/>
  <c r="U381" i="11"/>
  <c r="AA379" i="11"/>
  <c r="R379" i="11"/>
  <c r="Q380" i="11"/>
  <c r="AF380" i="11"/>
  <c r="AJ380" i="11" s="1"/>
  <c r="X380" i="11"/>
  <c r="Y380" i="11" s="1"/>
  <c r="V380" i="11"/>
  <c r="W380" i="11"/>
  <c r="P380" i="11"/>
  <c r="P381" i="11" s="1"/>
  <c r="AB378" i="11"/>
  <c r="S378" i="11"/>
  <c r="S379" i="11" l="1"/>
  <c r="AB379" i="11"/>
  <c r="R380" i="11"/>
  <c r="AA380" i="11"/>
  <c r="V381" i="11"/>
  <c r="W381" i="11"/>
  <c r="Q381" i="11"/>
  <c r="AF381" i="11"/>
  <c r="AJ381" i="11" s="1"/>
  <c r="X381" i="11"/>
  <c r="Y381" i="11" s="1"/>
  <c r="L383" i="11"/>
  <c r="N382" i="11"/>
  <c r="O382" i="11" s="1"/>
  <c r="U382" i="11"/>
  <c r="AD378" i="11"/>
  <c r="AC378" i="11"/>
  <c r="W382" i="11" l="1"/>
  <c r="V382" i="11"/>
  <c r="S380" i="11"/>
  <c r="AB380" i="11"/>
  <c r="AD379" i="11"/>
  <c r="AC379" i="11"/>
  <c r="X382" i="11"/>
  <c r="Y382" i="11" s="1"/>
  <c r="Q382" i="11"/>
  <c r="AF382" i="11"/>
  <c r="AJ382" i="11" s="1"/>
  <c r="L384" i="11"/>
  <c r="N383" i="11"/>
  <c r="O383" i="11" s="1"/>
  <c r="U383" i="11"/>
  <c r="R381" i="11"/>
  <c r="AA381" i="11"/>
  <c r="P382" i="11"/>
  <c r="AB381" i="11" l="1"/>
  <c r="S381" i="11"/>
  <c r="W383" i="11"/>
  <c r="V383" i="11"/>
  <c r="AC380" i="11"/>
  <c r="AD380" i="11"/>
  <c r="U384" i="11"/>
  <c r="L385" i="11"/>
  <c r="N384" i="11"/>
  <c r="O384" i="11" s="1"/>
  <c r="R382" i="11"/>
  <c r="AA382" i="11"/>
  <c r="AF383" i="11"/>
  <c r="AJ383" i="11" s="1"/>
  <c r="X383" i="11"/>
  <c r="Y383" i="11" s="1"/>
  <c r="Q383" i="11"/>
  <c r="P383" i="11"/>
  <c r="S382" i="11" l="1"/>
  <c r="AB382" i="11"/>
  <c r="V384" i="11"/>
  <c r="W384" i="11"/>
  <c r="Q384" i="11"/>
  <c r="X384" i="11"/>
  <c r="Y384" i="11" s="1"/>
  <c r="AF384" i="11"/>
  <c r="AJ384" i="11" s="1"/>
  <c r="P384" i="11"/>
  <c r="U385" i="11"/>
  <c r="N385" i="11"/>
  <c r="O385" i="11" s="1"/>
  <c r="L386" i="11"/>
  <c r="R383" i="11"/>
  <c r="AA383" i="11"/>
  <c r="AD381" i="11"/>
  <c r="AC381" i="11"/>
  <c r="AB383" i="11" l="1"/>
  <c r="S383" i="11"/>
  <c r="P385" i="11"/>
  <c r="Q385" i="11"/>
  <c r="X385" i="11"/>
  <c r="AF385" i="11"/>
  <c r="AJ385" i="11" s="1"/>
  <c r="U386" i="11"/>
  <c r="L387" i="11"/>
  <c r="N386" i="11"/>
  <c r="O386" i="11" s="1"/>
  <c r="V385" i="11"/>
  <c r="W385" i="11"/>
  <c r="Y385" i="11"/>
  <c r="AA384" i="11"/>
  <c r="R384" i="11"/>
  <c r="AC382" i="11"/>
  <c r="AD382" i="11"/>
  <c r="S384" i="11" l="1"/>
  <c r="AB384" i="11"/>
  <c r="AF386" i="11"/>
  <c r="AJ386" i="11" s="1"/>
  <c r="Q386" i="11"/>
  <c r="X386" i="11"/>
  <c r="U387" i="11"/>
  <c r="N387" i="11"/>
  <c r="O387" i="11" s="1"/>
  <c r="L388" i="11"/>
  <c r="R385" i="11"/>
  <c r="AA385" i="11"/>
  <c r="P386" i="11"/>
  <c r="P387" i="11" s="1"/>
  <c r="W386" i="11"/>
  <c r="V386" i="11"/>
  <c r="Y386" i="11"/>
  <c r="AD383" i="11"/>
  <c r="AC383" i="11"/>
  <c r="N388" i="11" l="1"/>
  <c r="O388" i="11" s="1"/>
  <c r="L389" i="11"/>
  <c r="U388" i="11"/>
  <c r="V387" i="11"/>
  <c r="W387" i="11"/>
  <c r="P388" i="11"/>
  <c r="S385" i="11"/>
  <c r="AB385" i="11"/>
  <c r="X387" i="11"/>
  <c r="Y387" i="11" s="1"/>
  <c r="AF387" i="11"/>
  <c r="AJ387" i="11" s="1"/>
  <c r="Q387" i="11"/>
  <c r="R386" i="11"/>
  <c r="AA386" i="11"/>
  <c r="AC384" i="11"/>
  <c r="AD384" i="11"/>
  <c r="R387" i="11" l="1"/>
  <c r="AA387" i="11"/>
  <c r="V388" i="11"/>
  <c r="W388" i="11"/>
  <c r="N389" i="11"/>
  <c r="O389" i="11" s="1"/>
  <c r="U389" i="11"/>
  <c r="L390" i="11"/>
  <c r="AD385" i="11"/>
  <c r="AC385" i="11"/>
  <c r="AB386" i="11"/>
  <c r="S386" i="11"/>
  <c r="P389" i="11"/>
  <c r="X388" i="11"/>
  <c r="Y388" i="11" s="1"/>
  <c r="Q388" i="11"/>
  <c r="AF388" i="11"/>
  <c r="AJ388" i="11" s="1"/>
  <c r="U390" i="11" l="1"/>
  <c r="N390" i="11"/>
  <c r="O390" i="11" s="1"/>
  <c r="P390" i="11" s="1"/>
  <c r="L391" i="11"/>
  <c r="W389" i="11"/>
  <c r="V389" i="11"/>
  <c r="AD386" i="11"/>
  <c r="AC386" i="11"/>
  <c r="X389" i="11"/>
  <c r="Y389" i="11" s="1"/>
  <c r="AF389" i="11"/>
  <c r="AJ389" i="11" s="1"/>
  <c r="Q389" i="11"/>
  <c r="AA388" i="11"/>
  <c r="R388" i="11"/>
  <c r="S387" i="11"/>
  <c r="AB387" i="11"/>
  <c r="AC387" i="11" l="1"/>
  <c r="AD387" i="11"/>
  <c r="V390" i="11"/>
  <c r="W390" i="11"/>
  <c r="S388" i="11"/>
  <c r="AB388" i="11"/>
  <c r="R389" i="11"/>
  <c r="AA389" i="11"/>
  <c r="N391" i="11"/>
  <c r="O391" i="11" s="1"/>
  <c r="U391" i="11"/>
  <c r="L392" i="11"/>
  <c r="Q390" i="11"/>
  <c r="X390" i="11"/>
  <c r="Y390" i="11" s="1"/>
  <c r="AF390" i="11"/>
  <c r="AJ390" i="11" s="1"/>
  <c r="R390" i="11" l="1"/>
  <c r="AA390" i="11"/>
  <c r="AF391" i="11"/>
  <c r="AJ391" i="11" s="1"/>
  <c r="X391" i="11"/>
  <c r="Q391" i="11"/>
  <c r="AD388" i="11"/>
  <c r="AC388" i="11"/>
  <c r="U392" i="11"/>
  <c r="N392" i="11"/>
  <c r="O392" i="11" s="1"/>
  <c r="L393" i="11"/>
  <c r="Y391" i="11"/>
  <c r="W391" i="11"/>
  <c r="V391" i="11"/>
  <c r="AB389" i="11"/>
  <c r="S389" i="11"/>
  <c r="P391" i="11"/>
  <c r="X392" i="11" l="1"/>
  <c r="AF392" i="11"/>
  <c r="AJ392" i="11" s="1"/>
  <c r="Q392" i="11"/>
  <c r="AD389" i="11"/>
  <c r="AC389" i="11"/>
  <c r="R391" i="11"/>
  <c r="AA391" i="11"/>
  <c r="N393" i="11"/>
  <c r="O393" i="11" s="1"/>
  <c r="L394" i="11"/>
  <c r="U393" i="11"/>
  <c r="Y392" i="11"/>
  <c r="W392" i="11"/>
  <c r="V392" i="11"/>
  <c r="P392" i="11"/>
  <c r="P393" i="11" s="1"/>
  <c r="S390" i="11"/>
  <c r="AB390" i="11"/>
  <c r="N394" i="11" l="1"/>
  <c r="O394" i="11" s="1"/>
  <c r="U394" i="11"/>
  <c r="L395" i="11"/>
  <c r="AB391" i="11"/>
  <c r="S391" i="11"/>
  <c r="P394" i="11"/>
  <c r="W393" i="11"/>
  <c r="V393" i="11"/>
  <c r="X393" i="11"/>
  <c r="Y393" i="11" s="1"/>
  <c r="Q393" i="11"/>
  <c r="AF393" i="11"/>
  <c r="AJ393" i="11" s="1"/>
  <c r="R392" i="11"/>
  <c r="AA392" i="11"/>
  <c r="AD390" i="11"/>
  <c r="AC390" i="11"/>
  <c r="N395" i="11" l="1"/>
  <c r="O395" i="11" s="1"/>
  <c r="L396" i="11"/>
  <c r="U395" i="11"/>
  <c r="V394" i="11"/>
  <c r="W394" i="11"/>
  <c r="P395" i="11"/>
  <c r="AB392" i="11"/>
  <c r="S392" i="11"/>
  <c r="R393" i="11"/>
  <c r="AA393" i="11"/>
  <c r="AC391" i="11"/>
  <c r="AD391" i="11"/>
  <c r="X394" i="11"/>
  <c r="Y394" i="11" s="1"/>
  <c r="AF394" i="11"/>
  <c r="AJ394" i="11" s="1"/>
  <c r="Q394" i="11"/>
  <c r="AC392" i="11" l="1"/>
  <c r="AD392" i="11"/>
  <c r="R394" i="11"/>
  <c r="AA394" i="11"/>
  <c r="S393" i="11"/>
  <c r="AB393" i="11"/>
  <c r="V395" i="11"/>
  <c r="W395" i="11"/>
  <c r="U396" i="11"/>
  <c r="L397" i="11"/>
  <c r="N396" i="11"/>
  <c r="O396" i="11" s="1"/>
  <c r="AF395" i="11"/>
  <c r="AJ395" i="11" s="1"/>
  <c r="X395" i="11"/>
  <c r="Y395" i="11" s="1"/>
  <c r="Q395" i="11"/>
  <c r="S394" i="11" l="1"/>
  <c r="AB394" i="11"/>
  <c r="X396" i="11"/>
  <c r="AF396" i="11"/>
  <c r="AJ396" i="11" s="1"/>
  <c r="Q396" i="11"/>
  <c r="W396" i="11"/>
  <c r="V396" i="11"/>
  <c r="Y396" i="11"/>
  <c r="AD393" i="11"/>
  <c r="AC393" i="11"/>
  <c r="R395" i="11"/>
  <c r="AA395" i="11"/>
  <c r="L398" i="11"/>
  <c r="U397" i="11"/>
  <c r="N397" i="11"/>
  <c r="O397" i="11" s="1"/>
  <c r="P396" i="11"/>
  <c r="W397" i="11" l="1"/>
  <c r="V397" i="11"/>
  <c r="AB395" i="11"/>
  <c r="S395" i="11"/>
  <c r="AC394" i="11"/>
  <c r="AD394" i="11"/>
  <c r="X397" i="11"/>
  <c r="Y397" i="11" s="1"/>
  <c r="AF397" i="11"/>
  <c r="AJ397" i="11" s="1"/>
  <c r="Q397" i="11"/>
  <c r="L399" i="11"/>
  <c r="N398" i="11"/>
  <c r="O398" i="11" s="1"/>
  <c r="U398" i="11"/>
  <c r="R396" i="11"/>
  <c r="AA396" i="11"/>
  <c r="P397" i="11"/>
  <c r="AF398" i="11" l="1"/>
  <c r="AJ398" i="11" s="1"/>
  <c r="X398" i="11"/>
  <c r="Q398" i="11"/>
  <c r="L400" i="11"/>
  <c r="U399" i="11"/>
  <c r="N399" i="11"/>
  <c r="O399" i="11" s="1"/>
  <c r="S396" i="11"/>
  <c r="AB396" i="11"/>
  <c r="AC395" i="11"/>
  <c r="AD395" i="11"/>
  <c r="V398" i="11"/>
  <c r="Y398" i="11"/>
  <c r="W398" i="11"/>
  <c r="R397" i="11"/>
  <c r="AA397" i="11"/>
  <c r="P398" i="11"/>
  <c r="AC396" i="11" l="1"/>
  <c r="AD396" i="11"/>
  <c r="N400" i="11"/>
  <c r="O400" i="11" s="1"/>
  <c r="U400" i="11"/>
  <c r="L401" i="11"/>
  <c r="W399" i="11"/>
  <c r="V399" i="11"/>
  <c r="AB397" i="11"/>
  <c r="S397" i="11"/>
  <c r="Q399" i="11"/>
  <c r="AF399" i="11"/>
  <c r="AJ399" i="11" s="1"/>
  <c r="X399" i="11"/>
  <c r="Y399" i="11" s="1"/>
  <c r="AA398" i="11"/>
  <c r="R398" i="11"/>
  <c r="P399" i="11"/>
  <c r="P400" i="11" s="1"/>
  <c r="AB398" i="11" l="1"/>
  <c r="S398" i="11"/>
  <c r="R399" i="11"/>
  <c r="AA399" i="11"/>
  <c r="AC397" i="11"/>
  <c r="AD397" i="11"/>
  <c r="N401" i="11"/>
  <c r="O401" i="11" s="1"/>
  <c r="U401" i="11"/>
  <c r="L402" i="11"/>
  <c r="V400" i="11"/>
  <c r="W400" i="11"/>
  <c r="AF400" i="11"/>
  <c r="AJ400" i="11" s="1"/>
  <c r="X400" i="11"/>
  <c r="Y400" i="11" s="1"/>
  <c r="Q400" i="11"/>
  <c r="X401" i="11" l="1"/>
  <c r="Y401" i="11" s="1"/>
  <c r="Q401" i="11"/>
  <c r="AF401" i="11"/>
  <c r="AJ401" i="11" s="1"/>
  <c r="N402" i="11"/>
  <c r="O402" i="11" s="1"/>
  <c r="L403" i="11"/>
  <c r="U402" i="11"/>
  <c r="P401" i="11"/>
  <c r="W401" i="11"/>
  <c r="V401" i="11"/>
  <c r="S399" i="11"/>
  <c r="AB399" i="11"/>
  <c r="R400" i="11"/>
  <c r="AA400" i="11"/>
  <c r="AD398" i="11"/>
  <c r="AC398" i="11"/>
  <c r="P402" i="11" l="1"/>
  <c r="AB400" i="11"/>
  <c r="S400" i="11"/>
  <c r="W402" i="11"/>
  <c r="V402" i="11"/>
  <c r="AD399" i="11"/>
  <c r="AC399" i="11"/>
  <c r="U403" i="11"/>
  <c r="N403" i="11"/>
  <c r="O403" i="11" s="1"/>
  <c r="L404" i="11"/>
  <c r="AF402" i="11"/>
  <c r="AJ402" i="11" s="1"/>
  <c r="Q402" i="11"/>
  <c r="X402" i="11"/>
  <c r="Y402" i="11" s="1"/>
  <c r="AA401" i="11"/>
  <c r="R401" i="11"/>
  <c r="S401" i="11" l="1"/>
  <c r="AB401" i="11"/>
  <c r="AD400" i="11"/>
  <c r="AC400" i="11"/>
  <c r="R402" i="11"/>
  <c r="AA402" i="11"/>
  <c r="U404" i="11"/>
  <c r="N404" i="11"/>
  <c r="O404" i="11" s="1"/>
  <c r="L405" i="11"/>
  <c r="Q403" i="11"/>
  <c r="X403" i="11"/>
  <c r="AF403" i="11"/>
  <c r="AJ403" i="11" s="1"/>
  <c r="W403" i="11"/>
  <c r="Y403" i="11"/>
  <c r="V403" i="11"/>
  <c r="P403" i="11"/>
  <c r="AA403" i="11" l="1"/>
  <c r="R403" i="11"/>
  <c r="U405" i="11"/>
  <c r="N405" i="11"/>
  <c r="O405" i="11" s="1"/>
  <c r="L406" i="11"/>
  <c r="AC401" i="11"/>
  <c r="AD401" i="11"/>
  <c r="X404" i="11"/>
  <c r="Q404" i="11"/>
  <c r="AF404" i="11"/>
  <c r="AJ404" i="11" s="1"/>
  <c r="V404" i="11"/>
  <c r="W404" i="11"/>
  <c r="Y404" i="11"/>
  <c r="AB402" i="11"/>
  <c r="S402" i="11"/>
  <c r="P404" i="11"/>
  <c r="Q405" i="11" l="1"/>
  <c r="X405" i="11"/>
  <c r="AF405" i="11"/>
  <c r="AJ405" i="11" s="1"/>
  <c r="W405" i="11"/>
  <c r="V405" i="11"/>
  <c r="Y405" i="11"/>
  <c r="AC402" i="11"/>
  <c r="AD402" i="11"/>
  <c r="P405" i="11"/>
  <c r="S403" i="11"/>
  <c r="AB403" i="11"/>
  <c r="R404" i="11"/>
  <c r="AA404" i="11"/>
  <c r="L407" i="11"/>
  <c r="N406" i="11"/>
  <c r="O406" i="11" s="1"/>
  <c r="U406" i="11"/>
  <c r="P406" i="11" l="1"/>
  <c r="U407" i="11"/>
  <c r="N407" i="11"/>
  <c r="O407" i="11" s="1"/>
  <c r="P407" i="11" s="1"/>
  <c r="L408" i="11"/>
  <c r="AD403" i="11"/>
  <c r="AC403" i="11"/>
  <c r="AB404" i="11"/>
  <c r="S404" i="11"/>
  <c r="W406" i="11"/>
  <c r="V406" i="11"/>
  <c r="Q406" i="11"/>
  <c r="AF406" i="11"/>
  <c r="AJ406" i="11" s="1"/>
  <c r="X406" i="11"/>
  <c r="Y406" i="11" s="1"/>
  <c r="R405" i="11"/>
  <c r="AA405" i="11"/>
  <c r="AD404" i="11" l="1"/>
  <c r="AC404" i="11"/>
  <c r="N408" i="11"/>
  <c r="O408" i="11" s="1"/>
  <c r="U408" i="11"/>
  <c r="L409" i="11"/>
  <c r="AA406" i="11"/>
  <c r="R406" i="11"/>
  <c r="AF407" i="11"/>
  <c r="AJ407" i="11" s="1"/>
  <c r="X407" i="11"/>
  <c r="Y407" i="11" s="1"/>
  <c r="Q407" i="11"/>
  <c r="AB405" i="11"/>
  <c r="S405" i="11"/>
  <c r="V407" i="11"/>
  <c r="W407" i="11"/>
  <c r="N409" i="11" l="1"/>
  <c r="O409" i="11" s="1"/>
  <c r="L410" i="11"/>
  <c r="U409" i="11"/>
  <c r="R407" i="11"/>
  <c r="AA407" i="11"/>
  <c r="S406" i="11"/>
  <c r="AB406" i="11"/>
  <c r="V408" i="11"/>
  <c r="W408" i="11"/>
  <c r="AC405" i="11"/>
  <c r="AD405" i="11"/>
  <c r="AF408" i="11"/>
  <c r="AJ408" i="11" s="1"/>
  <c r="X408" i="11"/>
  <c r="Y408" i="11" s="1"/>
  <c r="Q408" i="11"/>
  <c r="P408" i="11"/>
  <c r="P409" i="11" s="1"/>
  <c r="AD406" i="11" l="1"/>
  <c r="AC406" i="11"/>
  <c r="V409" i="11"/>
  <c r="W409" i="11"/>
  <c r="S407" i="11"/>
  <c r="AB407" i="11"/>
  <c r="U410" i="11"/>
  <c r="N410" i="11"/>
  <c r="O410" i="11" s="1"/>
  <c r="P410" i="11" s="1"/>
  <c r="L411" i="11"/>
  <c r="R408" i="11"/>
  <c r="AA408" i="11"/>
  <c r="X409" i="11"/>
  <c r="Y409" i="11" s="1"/>
  <c r="Q409" i="11"/>
  <c r="AF409" i="11"/>
  <c r="AJ409" i="11" s="1"/>
  <c r="S408" i="11" l="1"/>
  <c r="AB408" i="11"/>
  <c r="U411" i="11"/>
  <c r="L412" i="11"/>
  <c r="N411" i="11"/>
  <c r="O411" i="11" s="1"/>
  <c r="W410" i="11"/>
  <c r="V410" i="11"/>
  <c r="AF410" i="11"/>
  <c r="AJ410" i="11" s="1"/>
  <c r="Q410" i="11"/>
  <c r="X410" i="11"/>
  <c r="Y410" i="11" s="1"/>
  <c r="AD407" i="11"/>
  <c r="AC407" i="11"/>
  <c r="R409" i="11"/>
  <c r="AA409" i="11"/>
  <c r="R410" i="11" l="1"/>
  <c r="AA410" i="11"/>
  <c r="N412" i="11"/>
  <c r="O412" i="11" s="1"/>
  <c r="L413" i="11"/>
  <c r="U412" i="11"/>
  <c r="V411" i="11"/>
  <c r="W411" i="11"/>
  <c r="AD408" i="11"/>
  <c r="AC408" i="11"/>
  <c r="AF411" i="11"/>
  <c r="AJ411" i="11" s="1"/>
  <c r="Q411" i="11"/>
  <c r="X411" i="11"/>
  <c r="Y411" i="11" s="1"/>
  <c r="S409" i="11"/>
  <c r="AB409" i="11"/>
  <c r="P411" i="11"/>
  <c r="AA411" i="11" l="1"/>
  <c r="R411" i="11"/>
  <c r="W412" i="11"/>
  <c r="V412" i="11"/>
  <c r="L414" i="11"/>
  <c r="N413" i="11"/>
  <c r="O413" i="11" s="1"/>
  <c r="U413" i="11"/>
  <c r="AF412" i="11"/>
  <c r="AJ412" i="11" s="1"/>
  <c r="X412" i="11"/>
  <c r="Y412" i="11" s="1"/>
  <c r="Q412" i="11"/>
  <c r="P412" i="11"/>
  <c r="P413" i="11" s="1"/>
  <c r="AC409" i="11"/>
  <c r="AD409" i="11"/>
  <c r="AB410" i="11"/>
  <c r="S410" i="11"/>
  <c r="Q413" i="11" l="1"/>
  <c r="AF413" i="11"/>
  <c r="AJ413" i="11" s="1"/>
  <c r="X413" i="11"/>
  <c r="AA412" i="11"/>
  <c r="R412" i="11"/>
  <c r="Y413" i="11"/>
  <c r="V413" i="11"/>
  <c r="W413" i="11"/>
  <c r="L415" i="11"/>
  <c r="U414" i="11"/>
  <c r="N414" i="11"/>
  <c r="O414" i="11" s="1"/>
  <c r="S411" i="11"/>
  <c r="AB411" i="11"/>
  <c r="AC410" i="11"/>
  <c r="AD410" i="11"/>
  <c r="AC411" i="11" l="1"/>
  <c r="AD411" i="11"/>
  <c r="Q414" i="11"/>
  <c r="AF414" i="11"/>
  <c r="AJ414" i="11" s="1"/>
  <c r="X414" i="11"/>
  <c r="Y414" i="11" s="1"/>
  <c r="V414" i="11"/>
  <c r="W414" i="11"/>
  <c r="L416" i="11"/>
  <c r="U415" i="11"/>
  <c r="N415" i="11"/>
  <c r="O415" i="11" s="1"/>
  <c r="S412" i="11"/>
  <c r="AB412" i="11"/>
  <c r="AA413" i="11"/>
  <c r="R413" i="11"/>
  <c r="P414" i="11"/>
  <c r="V415" i="11" l="1"/>
  <c r="W415" i="11"/>
  <c r="AD412" i="11"/>
  <c r="AC412" i="11"/>
  <c r="Q415" i="11"/>
  <c r="X415" i="11"/>
  <c r="Y415" i="11" s="1"/>
  <c r="AF415" i="11"/>
  <c r="AJ415" i="11" s="1"/>
  <c r="N416" i="11"/>
  <c r="O416" i="11" s="1"/>
  <c r="U416" i="11"/>
  <c r="L417" i="11"/>
  <c r="R414" i="11"/>
  <c r="AA414" i="11"/>
  <c r="P415" i="11"/>
  <c r="P416" i="11" s="1"/>
  <c r="S413" i="11"/>
  <c r="AB413" i="11"/>
  <c r="L418" i="11" l="1"/>
  <c r="U417" i="11"/>
  <c r="N417" i="11"/>
  <c r="O417" i="11" s="1"/>
  <c r="Q416" i="11"/>
  <c r="X416" i="11"/>
  <c r="AF416" i="11"/>
  <c r="AJ416" i="11" s="1"/>
  <c r="R415" i="11"/>
  <c r="AA415" i="11"/>
  <c r="P417" i="11"/>
  <c r="AB414" i="11"/>
  <c r="S414" i="11"/>
  <c r="Y416" i="11"/>
  <c r="V416" i="11"/>
  <c r="W416" i="11"/>
  <c r="AC413" i="11"/>
  <c r="AD413" i="11"/>
  <c r="AC414" i="11" l="1"/>
  <c r="AD414" i="11"/>
  <c r="AA416" i="11"/>
  <c r="R416" i="11"/>
  <c r="W417" i="11"/>
  <c r="V417" i="11"/>
  <c r="U418" i="11"/>
  <c r="N418" i="11"/>
  <c r="O418" i="11" s="1"/>
  <c r="P418" i="11" s="1"/>
  <c r="L419" i="11"/>
  <c r="AB415" i="11"/>
  <c r="S415" i="11"/>
  <c r="X417" i="11"/>
  <c r="Y417" i="11" s="1"/>
  <c r="Q417" i="11"/>
  <c r="AF417" i="11"/>
  <c r="AJ417" i="11" s="1"/>
  <c r="X418" i="11" l="1"/>
  <c r="AF418" i="11"/>
  <c r="AJ418" i="11" s="1"/>
  <c r="Q418" i="11"/>
  <c r="AD415" i="11"/>
  <c r="AC415" i="11"/>
  <c r="U419" i="11"/>
  <c r="N419" i="11"/>
  <c r="O419" i="11" s="1"/>
  <c r="L420" i="11"/>
  <c r="W418" i="11"/>
  <c r="V418" i="11"/>
  <c r="Y418" i="11"/>
  <c r="S416" i="11"/>
  <c r="AB416" i="11"/>
  <c r="P419" i="11"/>
  <c r="AA417" i="11"/>
  <c r="R417" i="11"/>
  <c r="AD416" i="11" l="1"/>
  <c r="AC416" i="11"/>
  <c r="Q419" i="11"/>
  <c r="X419" i="11"/>
  <c r="AF419" i="11"/>
  <c r="AJ419" i="11" s="1"/>
  <c r="U420" i="11"/>
  <c r="N420" i="11"/>
  <c r="O420" i="11" s="1"/>
  <c r="P420" i="11" s="1"/>
  <c r="L421" i="11"/>
  <c r="Y419" i="11"/>
  <c r="W419" i="11"/>
  <c r="V419" i="11"/>
  <c r="AA418" i="11"/>
  <c r="R418" i="11"/>
  <c r="S417" i="11"/>
  <c r="AB417" i="11"/>
  <c r="U421" i="11" l="1"/>
  <c r="N421" i="11"/>
  <c r="O421" i="11" s="1"/>
  <c r="L422" i="11"/>
  <c r="AA419" i="11"/>
  <c r="R419" i="11"/>
  <c r="P421" i="11"/>
  <c r="S418" i="11"/>
  <c r="AB418" i="11"/>
  <c r="X420" i="11"/>
  <c r="AF420" i="11"/>
  <c r="AJ420" i="11" s="1"/>
  <c r="Q420" i="11"/>
  <c r="V420" i="11"/>
  <c r="W420" i="11"/>
  <c r="Y420" i="11"/>
  <c r="AC417" i="11"/>
  <c r="AD417" i="11"/>
  <c r="AA420" i="11" l="1"/>
  <c r="R420" i="11"/>
  <c r="L423" i="11"/>
  <c r="U422" i="11"/>
  <c r="N422" i="11"/>
  <c r="O422" i="11" s="1"/>
  <c r="AC418" i="11"/>
  <c r="AD418" i="11"/>
  <c r="S419" i="11"/>
  <c r="AB419" i="11"/>
  <c r="Q421" i="11"/>
  <c r="AF421" i="11"/>
  <c r="AJ421" i="11" s="1"/>
  <c r="X421" i="11"/>
  <c r="Y421" i="11" s="1"/>
  <c r="V421" i="11"/>
  <c r="W421" i="11"/>
  <c r="R421" i="11" l="1"/>
  <c r="AA421" i="11"/>
  <c r="Q422" i="11"/>
  <c r="AF422" i="11"/>
  <c r="AJ422" i="11" s="1"/>
  <c r="X422" i="11"/>
  <c r="W422" i="11"/>
  <c r="V422" i="11"/>
  <c r="Y422" i="11"/>
  <c r="U423" i="11"/>
  <c r="N423" i="11"/>
  <c r="O423" i="11" s="1"/>
  <c r="L424" i="11"/>
  <c r="P422" i="11"/>
  <c r="AC419" i="11"/>
  <c r="AD419" i="11"/>
  <c r="AB420" i="11"/>
  <c r="S420" i="11"/>
  <c r="P423" i="11" l="1"/>
  <c r="V423" i="11"/>
  <c r="W423" i="11"/>
  <c r="AA422" i="11"/>
  <c r="R422" i="11"/>
  <c r="U424" i="11"/>
  <c r="N424" i="11"/>
  <c r="O424" i="11" s="1"/>
  <c r="L425" i="11"/>
  <c r="X423" i="11"/>
  <c r="Y423" i="11" s="1"/>
  <c r="AF423" i="11"/>
  <c r="AJ423" i="11" s="1"/>
  <c r="Q423" i="11"/>
  <c r="AC420" i="11"/>
  <c r="AD420" i="11"/>
  <c r="S421" i="11"/>
  <c r="AB421" i="11"/>
  <c r="U425" i="11" l="1"/>
  <c r="N425" i="11"/>
  <c r="O425" i="11" s="1"/>
  <c r="L426" i="11"/>
  <c r="W424" i="11"/>
  <c r="V424" i="11"/>
  <c r="AC421" i="11"/>
  <c r="AD421" i="11"/>
  <c r="AA423" i="11"/>
  <c r="R423" i="11"/>
  <c r="AF424" i="11"/>
  <c r="AJ424" i="11" s="1"/>
  <c r="X424" i="11"/>
  <c r="Y424" i="11" s="1"/>
  <c r="Q424" i="11"/>
  <c r="AB422" i="11"/>
  <c r="S422" i="11"/>
  <c r="P424" i="11"/>
  <c r="P425" i="11" s="1"/>
  <c r="R424" i="11" l="1"/>
  <c r="AA424" i="11"/>
  <c r="U426" i="11"/>
  <c r="L427" i="11"/>
  <c r="N426" i="11"/>
  <c r="O426" i="11" s="1"/>
  <c r="P426" i="11" s="1"/>
  <c r="AD422" i="11"/>
  <c r="AC422" i="11"/>
  <c r="AF425" i="11"/>
  <c r="AJ425" i="11" s="1"/>
  <c r="Q425" i="11"/>
  <c r="X425" i="11"/>
  <c r="S423" i="11"/>
  <c r="AB423" i="11"/>
  <c r="Y425" i="11"/>
  <c r="W425" i="11"/>
  <c r="V425" i="11"/>
  <c r="R425" i="11" l="1"/>
  <c r="AA425" i="11"/>
  <c r="U427" i="11"/>
  <c r="N427" i="11"/>
  <c r="O427" i="11" s="1"/>
  <c r="L428" i="11"/>
  <c r="AC423" i="11"/>
  <c r="AD423" i="11"/>
  <c r="V426" i="11"/>
  <c r="W426" i="11"/>
  <c r="X426" i="11"/>
  <c r="Y426" i="11" s="1"/>
  <c r="Q426" i="11"/>
  <c r="AF426" i="11"/>
  <c r="AJ426" i="11" s="1"/>
  <c r="S424" i="11"/>
  <c r="AB424" i="11"/>
  <c r="X427" i="11" l="1"/>
  <c r="AF427" i="11"/>
  <c r="AJ427" i="11" s="1"/>
  <c r="Q427" i="11"/>
  <c r="V427" i="11"/>
  <c r="Y427" i="11"/>
  <c r="W427" i="11"/>
  <c r="R426" i="11"/>
  <c r="AA426" i="11"/>
  <c r="U428" i="11"/>
  <c r="L429" i="11"/>
  <c r="N428" i="11"/>
  <c r="O428" i="11" s="1"/>
  <c r="AD424" i="11"/>
  <c r="AC424" i="11"/>
  <c r="S425" i="11"/>
  <c r="AB425" i="11"/>
  <c r="P427" i="11"/>
  <c r="U429" i="11" l="1"/>
  <c r="L430" i="11"/>
  <c r="N429" i="11"/>
  <c r="O429" i="11" s="1"/>
  <c r="AB426" i="11"/>
  <c r="S426" i="11"/>
  <c r="AA427" i="11"/>
  <c r="R427" i="11"/>
  <c r="AF428" i="11"/>
  <c r="AJ428" i="11" s="1"/>
  <c r="Q428" i="11"/>
  <c r="X428" i="11"/>
  <c r="V428" i="11"/>
  <c r="W428" i="11"/>
  <c r="Y428" i="11"/>
  <c r="P428" i="11"/>
  <c r="P429" i="11" s="1"/>
  <c r="AC425" i="11"/>
  <c r="AD425" i="11"/>
  <c r="Q429" i="11" l="1"/>
  <c r="AF429" i="11"/>
  <c r="AJ429" i="11" s="1"/>
  <c r="X429" i="11"/>
  <c r="Y429" i="11" s="1"/>
  <c r="R428" i="11"/>
  <c r="AA428" i="11"/>
  <c r="AB427" i="11"/>
  <c r="S427" i="11"/>
  <c r="AC426" i="11"/>
  <c r="AD426" i="11"/>
  <c r="L431" i="11"/>
  <c r="U430" i="11"/>
  <c r="N430" i="11"/>
  <c r="O430" i="11" s="1"/>
  <c r="P430" i="11" s="1"/>
  <c r="V429" i="11"/>
  <c r="W429" i="11"/>
  <c r="AD427" i="11" l="1"/>
  <c r="AC427" i="11"/>
  <c r="AB428" i="11"/>
  <c r="S428" i="11"/>
  <c r="AF430" i="11"/>
  <c r="AJ430" i="11" s="1"/>
  <c r="Q430" i="11"/>
  <c r="X430" i="11"/>
  <c r="V430" i="11"/>
  <c r="W430" i="11"/>
  <c r="Y430" i="11"/>
  <c r="L432" i="11"/>
  <c r="N431" i="11"/>
  <c r="O431" i="11" s="1"/>
  <c r="U431" i="11"/>
  <c r="R429" i="11"/>
  <c r="AA429" i="11"/>
  <c r="Q431" i="11" l="1"/>
  <c r="AF431" i="11"/>
  <c r="AJ431" i="11" s="1"/>
  <c r="X431" i="11"/>
  <c r="L433" i="11"/>
  <c r="U432" i="11"/>
  <c r="N432" i="11"/>
  <c r="O432" i="11" s="1"/>
  <c r="R430" i="11"/>
  <c r="AA430" i="11"/>
  <c r="W431" i="11"/>
  <c r="V431" i="11"/>
  <c r="Y431" i="11"/>
  <c r="AD428" i="11"/>
  <c r="AC428" i="11"/>
  <c r="AB429" i="11"/>
  <c r="S429" i="11"/>
  <c r="P431" i="11"/>
  <c r="S430" i="11" l="1"/>
  <c r="AB430" i="11"/>
  <c r="Q432" i="11"/>
  <c r="X432" i="11"/>
  <c r="AF432" i="11"/>
  <c r="AJ432" i="11" s="1"/>
  <c r="AC429" i="11"/>
  <c r="AD429" i="11"/>
  <c r="W432" i="11"/>
  <c r="Y432" i="11"/>
  <c r="V432" i="11"/>
  <c r="U433" i="11"/>
  <c r="L434" i="11"/>
  <c r="N433" i="11"/>
  <c r="O433" i="11" s="1"/>
  <c r="P432" i="11"/>
  <c r="R431" i="11"/>
  <c r="AA431" i="11"/>
  <c r="X433" i="11" l="1"/>
  <c r="AF433" i="11"/>
  <c r="AJ433" i="11" s="1"/>
  <c r="Q433" i="11"/>
  <c r="U434" i="11"/>
  <c r="N434" i="11"/>
  <c r="O434" i="11" s="1"/>
  <c r="L435" i="11"/>
  <c r="V433" i="11"/>
  <c r="Y433" i="11"/>
  <c r="W433" i="11"/>
  <c r="P433" i="11"/>
  <c r="P434" i="11" s="1"/>
  <c r="R432" i="11"/>
  <c r="AA432" i="11"/>
  <c r="AC430" i="11"/>
  <c r="AD430" i="11"/>
  <c r="S431" i="11"/>
  <c r="AB431" i="11"/>
  <c r="AF434" i="11" l="1"/>
  <c r="AJ434" i="11" s="1"/>
  <c r="X434" i="11"/>
  <c r="Q434" i="11"/>
  <c r="Y434" i="11"/>
  <c r="W434" i="11"/>
  <c r="V434" i="11"/>
  <c r="R433" i="11"/>
  <c r="AA433" i="11"/>
  <c r="S432" i="11"/>
  <c r="AB432" i="11"/>
  <c r="N435" i="11"/>
  <c r="O435" i="11" s="1"/>
  <c r="L436" i="11"/>
  <c r="U435" i="11"/>
  <c r="AC431" i="11"/>
  <c r="AD431" i="11"/>
  <c r="U436" i="11" l="1"/>
  <c r="L437" i="11"/>
  <c r="N436" i="11"/>
  <c r="O436" i="11" s="1"/>
  <c r="R434" i="11"/>
  <c r="AA434" i="11"/>
  <c r="AC432" i="11"/>
  <c r="AD432" i="11"/>
  <c r="V435" i="11"/>
  <c r="W435" i="11"/>
  <c r="Q435" i="11"/>
  <c r="X435" i="11"/>
  <c r="Y435" i="11" s="1"/>
  <c r="AF435" i="11"/>
  <c r="AJ435" i="11" s="1"/>
  <c r="S433" i="11"/>
  <c r="AB433" i="11"/>
  <c r="P435" i="11"/>
  <c r="AF436" i="11" l="1"/>
  <c r="AJ436" i="11" s="1"/>
  <c r="Q436" i="11"/>
  <c r="X436" i="11"/>
  <c r="Y436" i="11" s="1"/>
  <c r="U437" i="11"/>
  <c r="L438" i="11"/>
  <c r="N437" i="11"/>
  <c r="O437" i="11" s="1"/>
  <c r="R435" i="11"/>
  <c r="AA435" i="11"/>
  <c r="S434" i="11"/>
  <c r="AB434" i="11"/>
  <c r="P436" i="11"/>
  <c r="P437" i="11" s="1"/>
  <c r="AC433" i="11"/>
  <c r="AD433" i="11"/>
  <c r="V436" i="11"/>
  <c r="W436" i="11"/>
  <c r="AC434" i="11" l="1"/>
  <c r="AD434" i="11"/>
  <c r="S435" i="11"/>
  <c r="AB435" i="11"/>
  <c r="R436" i="11"/>
  <c r="AA436" i="11"/>
  <c r="X437" i="11"/>
  <c r="Y437" i="11" s="1"/>
  <c r="Q437" i="11"/>
  <c r="AF437" i="11"/>
  <c r="AJ437" i="11" s="1"/>
  <c r="N438" i="11"/>
  <c r="O438" i="11" s="1"/>
  <c r="U438" i="11"/>
  <c r="L439" i="11"/>
  <c r="V437" i="11"/>
  <c r="W437" i="11"/>
  <c r="Q438" i="11" l="1"/>
  <c r="X438" i="11"/>
  <c r="Y438" i="11" s="1"/>
  <c r="AF438" i="11"/>
  <c r="AJ438" i="11" s="1"/>
  <c r="P438" i="11"/>
  <c r="V438" i="11"/>
  <c r="W438" i="11"/>
  <c r="U439" i="11"/>
  <c r="L440" i="11"/>
  <c r="N439" i="11"/>
  <c r="O439" i="11" s="1"/>
  <c r="R437" i="11"/>
  <c r="AA437" i="11"/>
  <c r="AB436" i="11"/>
  <c r="S436" i="11"/>
  <c r="AC435" i="11"/>
  <c r="AD435" i="11"/>
  <c r="AC436" i="11" l="1"/>
  <c r="AD436" i="11"/>
  <c r="AB437" i="11"/>
  <c r="S437" i="11"/>
  <c r="P439" i="11"/>
  <c r="X439" i="11"/>
  <c r="Q439" i="11"/>
  <c r="AF439" i="11"/>
  <c r="AJ439" i="11" s="1"/>
  <c r="Y439" i="11"/>
  <c r="W439" i="11"/>
  <c r="V439" i="11"/>
  <c r="N440" i="11"/>
  <c r="O440" i="11" s="1"/>
  <c r="L441" i="11"/>
  <c r="U440" i="11"/>
  <c r="R438" i="11"/>
  <c r="AA438" i="11"/>
  <c r="X440" i="11" l="1"/>
  <c r="Q440" i="11"/>
  <c r="AF440" i="11"/>
  <c r="AJ440" i="11" s="1"/>
  <c r="R439" i="11"/>
  <c r="AA439" i="11"/>
  <c r="P440" i="11"/>
  <c r="Y440" i="11"/>
  <c r="V440" i="11"/>
  <c r="W440" i="11"/>
  <c r="AC437" i="11"/>
  <c r="AD437" i="11"/>
  <c r="N441" i="11"/>
  <c r="O441" i="11" s="1"/>
  <c r="L442" i="11"/>
  <c r="U441" i="11"/>
  <c r="S438" i="11"/>
  <c r="AB438" i="11"/>
  <c r="L443" i="11" l="1"/>
  <c r="U442" i="11"/>
  <c r="N442" i="11"/>
  <c r="O442" i="11" s="1"/>
  <c r="AB439" i="11"/>
  <c r="S439" i="11"/>
  <c r="W441" i="11"/>
  <c r="V441" i="11"/>
  <c r="R440" i="11"/>
  <c r="AA440" i="11"/>
  <c r="AF441" i="11"/>
  <c r="AJ441" i="11" s="1"/>
  <c r="Q441" i="11"/>
  <c r="X441" i="11"/>
  <c r="Y441" i="11" s="1"/>
  <c r="P441" i="11"/>
  <c r="P442" i="11" s="1"/>
  <c r="AC438" i="11"/>
  <c r="AD438" i="11"/>
  <c r="R441" i="11" l="1"/>
  <c r="AA441" i="11"/>
  <c r="X442" i="11"/>
  <c r="AF442" i="11"/>
  <c r="AJ442" i="11" s="1"/>
  <c r="Q442" i="11"/>
  <c r="AB440" i="11"/>
  <c r="S440" i="11"/>
  <c r="AD439" i="11"/>
  <c r="AC439" i="11"/>
  <c r="W442" i="11"/>
  <c r="V442" i="11"/>
  <c r="Y442" i="11"/>
  <c r="N443" i="11"/>
  <c r="O443" i="11" s="1"/>
  <c r="U443" i="11"/>
  <c r="L444" i="11"/>
  <c r="AD440" i="11" l="1"/>
  <c r="AC440" i="11"/>
  <c r="R442" i="11"/>
  <c r="AA442" i="11"/>
  <c r="AF443" i="11"/>
  <c r="AJ443" i="11" s="1"/>
  <c r="Q443" i="11"/>
  <c r="X443" i="11"/>
  <c r="P443" i="11"/>
  <c r="L445" i="11"/>
  <c r="U444" i="11"/>
  <c r="N444" i="11"/>
  <c r="O444" i="11" s="1"/>
  <c r="V443" i="11"/>
  <c r="W443" i="11"/>
  <c r="Y443" i="11"/>
  <c r="AB441" i="11"/>
  <c r="S441" i="11"/>
  <c r="V444" i="11" l="1"/>
  <c r="W444" i="11"/>
  <c r="L446" i="11"/>
  <c r="N445" i="11"/>
  <c r="O445" i="11" s="1"/>
  <c r="U445" i="11"/>
  <c r="P444" i="11"/>
  <c r="P445" i="11" s="1"/>
  <c r="Q444" i="11"/>
  <c r="X444" i="11"/>
  <c r="Y444" i="11" s="1"/>
  <c r="AF444" i="11"/>
  <c r="AJ444" i="11" s="1"/>
  <c r="AA443" i="11"/>
  <c r="R443" i="11"/>
  <c r="AB442" i="11"/>
  <c r="S442" i="11"/>
  <c r="AD441" i="11"/>
  <c r="AC441" i="11"/>
  <c r="AC442" i="11" l="1"/>
  <c r="AD442" i="11"/>
  <c r="S443" i="11"/>
  <c r="AB443" i="11"/>
  <c r="AA444" i="11"/>
  <c r="R444" i="11"/>
  <c r="W445" i="11"/>
  <c r="V445" i="11"/>
  <c r="Q445" i="11"/>
  <c r="AF445" i="11"/>
  <c r="AJ445" i="11" s="1"/>
  <c r="X445" i="11"/>
  <c r="Y445" i="11" s="1"/>
  <c r="L447" i="11"/>
  <c r="U446" i="11"/>
  <c r="N446" i="11"/>
  <c r="O446" i="11" s="1"/>
  <c r="P446" i="11" s="1"/>
  <c r="L448" i="11" l="1"/>
  <c r="U447" i="11"/>
  <c r="N447" i="11"/>
  <c r="O447" i="11" s="1"/>
  <c r="R445" i="11"/>
  <c r="AA445" i="11"/>
  <c r="S444" i="11"/>
  <c r="AB444" i="11"/>
  <c r="AD443" i="11"/>
  <c r="AC443" i="11"/>
  <c r="P447" i="11"/>
  <c r="AF446" i="11"/>
  <c r="AJ446" i="11" s="1"/>
  <c r="Q446" i="11"/>
  <c r="X446" i="11"/>
  <c r="Y446" i="11" s="1"/>
  <c r="W446" i="11"/>
  <c r="V446" i="11"/>
  <c r="R446" i="11" l="1"/>
  <c r="AA446" i="11"/>
  <c r="AB445" i="11"/>
  <c r="S445" i="11"/>
  <c r="AD444" i="11"/>
  <c r="AC444" i="11"/>
  <c r="Q447" i="11"/>
  <c r="AF447" i="11"/>
  <c r="AJ447" i="11" s="1"/>
  <c r="X447" i="11"/>
  <c r="Y447" i="11" s="1"/>
  <c r="W447" i="11"/>
  <c r="V447" i="11"/>
  <c r="U448" i="11"/>
  <c r="N448" i="11"/>
  <c r="O448" i="11" s="1"/>
  <c r="L449" i="11"/>
  <c r="Q448" i="11" l="1"/>
  <c r="X448" i="11"/>
  <c r="AF448" i="11"/>
  <c r="AJ448" i="11" s="1"/>
  <c r="P448" i="11"/>
  <c r="AD445" i="11"/>
  <c r="AC445" i="11"/>
  <c r="W448" i="11"/>
  <c r="V448" i="11"/>
  <c r="Y448" i="11"/>
  <c r="R447" i="11"/>
  <c r="AA447" i="11"/>
  <c r="N449" i="11"/>
  <c r="O449" i="11" s="1"/>
  <c r="U449" i="11"/>
  <c r="L450" i="11"/>
  <c r="AB446" i="11"/>
  <c r="S446" i="11"/>
  <c r="AF449" i="11" l="1"/>
  <c r="AJ449" i="11" s="1"/>
  <c r="Q449" i="11"/>
  <c r="X449" i="11"/>
  <c r="S447" i="11"/>
  <c r="AB447" i="11"/>
  <c r="P449" i="11"/>
  <c r="U450" i="11"/>
  <c r="N450" i="11"/>
  <c r="O450" i="11" s="1"/>
  <c r="L451" i="11"/>
  <c r="W449" i="11"/>
  <c r="V449" i="11"/>
  <c r="Y449" i="11"/>
  <c r="AD446" i="11"/>
  <c r="AC446" i="11"/>
  <c r="AA448" i="11"/>
  <c r="R448" i="11"/>
  <c r="U451" i="11" l="1"/>
  <c r="N451" i="11"/>
  <c r="O451" i="11" s="1"/>
  <c r="L452" i="11"/>
  <c r="AA449" i="11"/>
  <c r="R449" i="11"/>
  <c r="X450" i="11"/>
  <c r="AF450" i="11"/>
  <c r="AJ450" i="11" s="1"/>
  <c r="Q450" i="11"/>
  <c r="V450" i="11"/>
  <c r="W450" i="11"/>
  <c r="Y450" i="11"/>
  <c r="P450" i="11"/>
  <c r="P451" i="11" s="1"/>
  <c r="AD447" i="11"/>
  <c r="AC447" i="11"/>
  <c r="AB448" i="11"/>
  <c r="S448" i="11"/>
  <c r="R450" i="11" l="1"/>
  <c r="AA450" i="11"/>
  <c r="U452" i="11"/>
  <c r="N452" i="11"/>
  <c r="O452" i="11" s="1"/>
  <c r="L453" i="11"/>
  <c r="S449" i="11"/>
  <c r="AB449" i="11"/>
  <c r="P452" i="11"/>
  <c r="Q451" i="11"/>
  <c r="X451" i="11"/>
  <c r="AF451" i="11"/>
  <c r="AJ451" i="11" s="1"/>
  <c r="AC448" i="11"/>
  <c r="AD448" i="11"/>
  <c r="V451" i="11"/>
  <c r="W451" i="11"/>
  <c r="Y451" i="11"/>
  <c r="AB450" i="11" l="1"/>
  <c r="S450" i="11"/>
  <c r="R451" i="11"/>
  <c r="AA451" i="11"/>
  <c r="AD449" i="11"/>
  <c r="AC449" i="11"/>
  <c r="Q452" i="11"/>
  <c r="X452" i="11"/>
  <c r="AF452" i="11"/>
  <c r="AJ452" i="11" s="1"/>
  <c r="U453" i="11"/>
  <c r="L454" i="11"/>
  <c r="N453" i="11"/>
  <c r="O453" i="11" s="1"/>
  <c r="Y452" i="11"/>
  <c r="V452" i="11"/>
  <c r="W452" i="11"/>
  <c r="Q453" i="11" l="1"/>
  <c r="AF453" i="11"/>
  <c r="AJ453" i="11" s="1"/>
  <c r="X453" i="11"/>
  <c r="Y453" i="11" s="1"/>
  <c r="V453" i="11"/>
  <c r="W453" i="11"/>
  <c r="S451" i="11"/>
  <c r="AB451" i="11"/>
  <c r="R452" i="11"/>
  <c r="AA452" i="11"/>
  <c r="N454" i="11"/>
  <c r="O454" i="11" s="1"/>
  <c r="U454" i="11"/>
  <c r="L455" i="11"/>
  <c r="P453" i="11"/>
  <c r="P454" i="11" s="1"/>
  <c r="AC450" i="11"/>
  <c r="AD450" i="11"/>
  <c r="AF454" i="11" l="1"/>
  <c r="AJ454" i="11" s="1"/>
  <c r="Q454" i="11"/>
  <c r="X454" i="11"/>
  <c r="AB452" i="11"/>
  <c r="S452" i="11"/>
  <c r="N455" i="11"/>
  <c r="O455" i="11" s="1"/>
  <c r="U455" i="11"/>
  <c r="L456" i="11"/>
  <c r="AD451" i="11"/>
  <c r="AC451" i="11"/>
  <c r="Y454" i="11"/>
  <c r="V454" i="11"/>
  <c r="W454" i="11"/>
  <c r="R453" i="11"/>
  <c r="AA453" i="11"/>
  <c r="U456" i="11" l="1"/>
  <c r="N456" i="11"/>
  <c r="O456" i="11" s="1"/>
  <c r="L457" i="11"/>
  <c r="W455" i="11"/>
  <c r="V455" i="11"/>
  <c r="X455" i="11"/>
  <c r="Y455" i="11" s="1"/>
  <c r="AF455" i="11"/>
  <c r="AJ455" i="11" s="1"/>
  <c r="Q455" i="11"/>
  <c r="AC452" i="11"/>
  <c r="AD452" i="11"/>
  <c r="AA454" i="11"/>
  <c r="R454" i="11"/>
  <c r="AB453" i="11"/>
  <c r="S453" i="11"/>
  <c r="P455" i="11"/>
  <c r="AC453" i="11" l="1"/>
  <c r="AD453" i="11"/>
  <c r="AF456" i="11"/>
  <c r="AJ456" i="11" s="1"/>
  <c r="Q456" i="11"/>
  <c r="X456" i="11"/>
  <c r="Y456" i="11" s="1"/>
  <c r="S454" i="11"/>
  <c r="AB454" i="11"/>
  <c r="R455" i="11"/>
  <c r="AA455" i="11"/>
  <c r="N457" i="11"/>
  <c r="O457" i="11" s="1"/>
  <c r="L458" i="11"/>
  <c r="U457" i="11"/>
  <c r="P456" i="11"/>
  <c r="P457" i="11" s="1"/>
  <c r="V456" i="11"/>
  <c r="W456" i="11"/>
  <c r="W457" i="11" l="1"/>
  <c r="V457" i="11"/>
  <c r="N458" i="11"/>
  <c r="O458" i="11" s="1"/>
  <c r="L459" i="11"/>
  <c r="U458" i="11"/>
  <c r="AD454" i="11"/>
  <c r="AC454" i="11"/>
  <c r="R456" i="11"/>
  <c r="AA456" i="11"/>
  <c r="AF457" i="11"/>
  <c r="AJ457" i="11" s="1"/>
  <c r="Q457" i="11"/>
  <c r="X457" i="11"/>
  <c r="Y457" i="11" s="1"/>
  <c r="AB455" i="11"/>
  <c r="S455" i="11"/>
  <c r="R457" i="11" l="1"/>
  <c r="AA457" i="11"/>
  <c r="AB456" i="11"/>
  <c r="S456" i="11"/>
  <c r="AF458" i="11"/>
  <c r="AJ458" i="11" s="1"/>
  <c r="Q458" i="11"/>
  <c r="X458" i="11"/>
  <c r="N459" i="11"/>
  <c r="O459" i="11" s="1"/>
  <c r="U459" i="11"/>
  <c r="L460" i="11"/>
  <c r="V458" i="11"/>
  <c r="Y458" i="11"/>
  <c r="W458" i="11"/>
  <c r="AD455" i="11"/>
  <c r="AC455" i="11"/>
  <c r="P458" i="11"/>
  <c r="U460" i="11" l="1"/>
  <c r="L461" i="11"/>
  <c r="N460" i="11"/>
  <c r="O460" i="11" s="1"/>
  <c r="AC456" i="11"/>
  <c r="AD456" i="11"/>
  <c r="R458" i="11"/>
  <c r="AA458" i="11"/>
  <c r="W459" i="11"/>
  <c r="V459" i="11"/>
  <c r="X459" i="11"/>
  <c r="Y459" i="11" s="1"/>
  <c r="AF459" i="11"/>
  <c r="AJ459" i="11" s="1"/>
  <c r="Q459" i="11"/>
  <c r="P459" i="11"/>
  <c r="P460" i="11" s="1"/>
  <c r="AB457" i="11"/>
  <c r="S457" i="11"/>
  <c r="R459" i="11" l="1"/>
  <c r="AA459" i="11"/>
  <c r="AB458" i="11"/>
  <c r="S458" i="11"/>
  <c r="Q460" i="11"/>
  <c r="AF460" i="11"/>
  <c r="AJ460" i="11" s="1"/>
  <c r="X460" i="11"/>
  <c r="Y460" i="11" s="1"/>
  <c r="L462" i="11"/>
  <c r="N461" i="11"/>
  <c r="O461" i="11" s="1"/>
  <c r="P461" i="11" s="1"/>
  <c r="U461" i="11"/>
  <c r="AD457" i="11"/>
  <c r="AC457" i="11"/>
  <c r="W460" i="11"/>
  <c r="V460" i="11"/>
  <c r="W461" i="11" l="1"/>
  <c r="V461" i="11"/>
  <c r="X461" i="11"/>
  <c r="Y461" i="11" s="1"/>
  <c r="AF461" i="11"/>
  <c r="AJ461" i="11" s="1"/>
  <c r="Q461" i="11"/>
  <c r="L463" i="11"/>
  <c r="N462" i="11"/>
  <c r="O462" i="11" s="1"/>
  <c r="U462" i="11"/>
  <c r="AA460" i="11"/>
  <c r="R460" i="11"/>
  <c r="AD458" i="11"/>
  <c r="AC458" i="11"/>
  <c r="S459" i="11"/>
  <c r="AB459" i="11"/>
  <c r="AB460" i="11" l="1"/>
  <c r="S460" i="11"/>
  <c r="R461" i="11"/>
  <c r="AA461" i="11"/>
  <c r="W462" i="11"/>
  <c r="V462" i="11"/>
  <c r="X462" i="11"/>
  <c r="Y462" i="11" s="1"/>
  <c r="Q462" i="11"/>
  <c r="AF462" i="11"/>
  <c r="AJ462" i="11" s="1"/>
  <c r="L464" i="11"/>
  <c r="U463" i="11"/>
  <c r="N463" i="11"/>
  <c r="O463" i="11" s="1"/>
  <c r="AD459" i="11"/>
  <c r="AC459" i="11"/>
  <c r="P462" i="11"/>
  <c r="S461" i="11" l="1"/>
  <c r="AB461" i="11"/>
  <c r="Q463" i="11"/>
  <c r="AF463" i="11"/>
  <c r="AJ463" i="11" s="1"/>
  <c r="X463" i="11"/>
  <c r="N464" i="11"/>
  <c r="O464" i="11" s="1"/>
  <c r="L465" i="11"/>
  <c r="U464" i="11"/>
  <c r="Y463" i="11"/>
  <c r="V463" i="11"/>
  <c r="W463" i="11"/>
  <c r="R462" i="11"/>
  <c r="AA462" i="11"/>
  <c r="P463" i="11"/>
  <c r="P464" i="11" s="1"/>
  <c r="AC460" i="11"/>
  <c r="AD460" i="11"/>
  <c r="S462" i="11" l="1"/>
  <c r="AB462" i="11"/>
  <c r="U465" i="11"/>
  <c r="L466" i="11"/>
  <c r="N465" i="11"/>
  <c r="O465" i="11" s="1"/>
  <c r="P465" i="11" s="1"/>
  <c r="AF464" i="11"/>
  <c r="AJ464" i="11" s="1"/>
  <c r="X464" i="11"/>
  <c r="Q464" i="11"/>
  <c r="R463" i="11"/>
  <c r="AA463" i="11"/>
  <c r="Y464" i="11"/>
  <c r="W464" i="11"/>
  <c r="V464" i="11"/>
  <c r="AD461" i="11"/>
  <c r="AC461" i="11"/>
  <c r="AB463" i="11" l="1"/>
  <c r="S463" i="11"/>
  <c r="R464" i="11"/>
  <c r="AA464" i="11"/>
  <c r="X465" i="11"/>
  <c r="AF465" i="11"/>
  <c r="AJ465" i="11" s="1"/>
  <c r="Q465" i="11"/>
  <c r="U466" i="11"/>
  <c r="N466" i="11"/>
  <c r="O466" i="11" s="1"/>
  <c r="L467" i="11"/>
  <c r="V465" i="11"/>
  <c r="Y465" i="11"/>
  <c r="W465" i="11"/>
  <c r="AC462" i="11"/>
  <c r="AD462" i="11"/>
  <c r="AF466" i="11" l="1"/>
  <c r="AJ466" i="11" s="1"/>
  <c r="X466" i="11"/>
  <c r="Q466" i="11"/>
  <c r="Y466" i="11"/>
  <c r="V466" i="11"/>
  <c r="W466" i="11"/>
  <c r="AB464" i="11"/>
  <c r="S464" i="11"/>
  <c r="N467" i="11"/>
  <c r="O467" i="11" s="1"/>
  <c r="L468" i="11"/>
  <c r="U467" i="11"/>
  <c r="AA465" i="11"/>
  <c r="R465" i="11"/>
  <c r="P466" i="11"/>
  <c r="P467" i="11" s="1"/>
  <c r="AD463" i="11"/>
  <c r="AC463" i="11"/>
  <c r="S465" i="11" l="1"/>
  <c r="AB465" i="11"/>
  <c r="V467" i="11"/>
  <c r="W467" i="11"/>
  <c r="AF467" i="11"/>
  <c r="AJ467" i="11" s="1"/>
  <c r="X467" i="11"/>
  <c r="Y467" i="11" s="1"/>
  <c r="Q467" i="11"/>
  <c r="AD464" i="11"/>
  <c r="AC464" i="11"/>
  <c r="AA466" i="11"/>
  <c r="R466" i="11"/>
  <c r="N468" i="11"/>
  <c r="O468" i="11" s="1"/>
  <c r="U468" i="11"/>
  <c r="L469" i="11"/>
  <c r="W468" i="11" l="1"/>
  <c r="V468" i="11"/>
  <c r="R467" i="11"/>
  <c r="AA467" i="11"/>
  <c r="X468" i="11"/>
  <c r="Y468" i="11" s="1"/>
  <c r="AF468" i="11"/>
  <c r="AJ468" i="11" s="1"/>
  <c r="Q468" i="11"/>
  <c r="AB466" i="11"/>
  <c r="S466" i="11"/>
  <c r="P468" i="11"/>
  <c r="L470" i="11"/>
  <c r="U469" i="11"/>
  <c r="N469" i="11"/>
  <c r="O469" i="11" s="1"/>
  <c r="AD465" i="11"/>
  <c r="AC465" i="11"/>
  <c r="R468" i="11" l="1"/>
  <c r="AA468" i="11"/>
  <c r="V469" i="11"/>
  <c r="W469" i="11"/>
  <c r="AF469" i="11"/>
  <c r="AJ469" i="11" s="1"/>
  <c r="X469" i="11"/>
  <c r="Y469" i="11" s="1"/>
  <c r="Q469" i="11"/>
  <c r="N470" i="11"/>
  <c r="O470" i="11" s="1"/>
  <c r="U470" i="11"/>
  <c r="L471" i="11"/>
  <c r="P469" i="11"/>
  <c r="P470" i="11" s="1"/>
  <c r="AD466" i="11"/>
  <c r="AC466" i="11"/>
  <c r="AB467" i="11"/>
  <c r="S467" i="11"/>
  <c r="AF470" i="11" l="1"/>
  <c r="AJ470" i="11" s="1"/>
  <c r="Q470" i="11"/>
  <c r="X470" i="11"/>
  <c r="U471" i="11"/>
  <c r="N471" i="11"/>
  <c r="O471" i="11" s="1"/>
  <c r="L472" i="11"/>
  <c r="V470" i="11"/>
  <c r="Y470" i="11"/>
  <c r="W470" i="11"/>
  <c r="R469" i="11"/>
  <c r="AA469" i="11"/>
  <c r="AD467" i="11"/>
  <c r="AC467" i="11"/>
  <c r="AB468" i="11"/>
  <c r="S468" i="11"/>
  <c r="S469" i="11" l="1"/>
  <c r="AB469" i="11"/>
  <c r="U472" i="11"/>
  <c r="N472" i="11"/>
  <c r="O472" i="11" s="1"/>
  <c r="L473" i="11"/>
  <c r="X471" i="11"/>
  <c r="Q471" i="11"/>
  <c r="AF471" i="11"/>
  <c r="AJ471" i="11" s="1"/>
  <c r="Y471" i="11"/>
  <c r="W471" i="11"/>
  <c r="V471" i="11"/>
  <c r="P471" i="11"/>
  <c r="P472" i="11" s="1"/>
  <c r="R470" i="11"/>
  <c r="AA470" i="11"/>
  <c r="AC468" i="11"/>
  <c r="AD468" i="11"/>
  <c r="V472" i="11" l="1"/>
  <c r="W472" i="11"/>
  <c r="AB470" i="11"/>
  <c r="S470" i="11"/>
  <c r="Q472" i="11"/>
  <c r="AF472" i="11"/>
  <c r="AJ472" i="11" s="1"/>
  <c r="X472" i="11"/>
  <c r="Y472" i="11" s="1"/>
  <c r="R471" i="11"/>
  <c r="AA471" i="11"/>
  <c r="L474" i="11"/>
  <c r="N473" i="11"/>
  <c r="O473" i="11" s="1"/>
  <c r="P473" i="11" s="1"/>
  <c r="U473" i="11"/>
  <c r="AD469" i="11"/>
  <c r="AC469" i="11"/>
  <c r="V473" i="11" l="1"/>
  <c r="W473" i="11"/>
  <c r="R472" i="11"/>
  <c r="AA472" i="11"/>
  <c r="AD470" i="11"/>
  <c r="AC470" i="11"/>
  <c r="X473" i="11"/>
  <c r="Y473" i="11" s="1"/>
  <c r="Q473" i="11"/>
  <c r="AF473" i="11"/>
  <c r="AJ473" i="11" s="1"/>
  <c r="N474" i="11"/>
  <c r="O474" i="11" s="1"/>
  <c r="L475" i="11"/>
  <c r="U474" i="11"/>
  <c r="S471" i="11"/>
  <c r="AB471" i="11"/>
  <c r="W474" i="11" l="1"/>
  <c r="V474" i="11"/>
  <c r="X474" i="11"/>
  <c r="Y474" i="11" s="1"/>
  <c r="AF474" i="11"/>
  <c r="AJ474" i="11" s="1"/>
  <c r="Q474" i="11"/>
  <c r="AB472" i="11"/>
  <c r="S472" i="11"/>
  <c r="AD471" i="11"/>
  <c r="AC471" i="11"/>
  <c r="N475" i="11"/>
  <c r="O475" i="11" s="1"/>
  <c r="L476" i="11"/>
  <c r="U475" i="11"/>
  <c r="R473" i="11"/>
  <c r="AA473" i="11"/>
  <c r="P474" i="11"/>
  <c r="W475" i="11" l="1"/>
  <c r="V475" i="11"/>
  <c r="L477" i="11"/>
  <c r="N476" i="11"/>
  <c r="O476" i="11" s="1"/>
  <c r="U476" i="11"/>
  <c r="AD472" i="11"/>
  <c r="AC472" i="11"/>
  <c r="Q475" i="11"/>
  <c r="X475" i="11"/>
  <c r="Y475" i="11" s="1"/>
  <c r="AF475" i="11"/>
  <c r="AJ475" i="11" s="1"/>
  <c r="R474" i="11"/>
  <c r="AA474" i="11"/>
  <c r="S473" i="11"/>
  <c r="AB473" i="11"/>
  <c r="P475" i="11"/>
  <c r="AB474" i="11" l="1"/>
  <c r="S474" i="11"/>
  <c r="R475" i="11"/>
  <c r="AA475" i="11"/>
  <c r="X476" i="11"/>
  <c r="AF476" i="11"/>
  <c r="AJ476" i="11" s="1"/>
  <c r="Q476" i="11"/>
  <c r="L478" i="11"/>
  <c r="N477" i="11"/>
  <c r="O477" i="11" s="1"/>
  <c r="U477" i="11"/>
  <c r="P476" i="11"/>
  <c r="P477" i="11" s="1"/>
  <c r="Y476" i="11"/>
  <c r="V476" i="11"/>
  <c r="W476" i="11"/>
  <c r="AD473" i="11"/>
  <c r="AC473" i="11"/>
  <c r="Q477" i="11" l="1"/>
  <c r="AF477" i="11"/>
  <c r="AJ477" i="11" s="1"/>
  <c r="X477" i="11"/>
  <c r="Y477" i="11" s="1"/>
  <c r="S475" i="11"/>
  <c r="AB475" i="11"/>
  <c r="W477" i="11"/>
  <c r="V477" i="11"/>
  <c r="L479" i="11"/>
  <c r="N478" i="11"/>
  <c r="O478" i="11" s="1"/>
  <c r="U478" i="11"/>
  <c r="R476" i="11"/>
  <c r="AA476" i="11"/>
  <c r="AD474" i="11"/>
  <c r="AC474" i="11"/>
  <c r="S476" i="11" l="1"/>
  <c r="AB476" i="11"/>
  <c r="W478" i="11"/>
  <c r="V478" i="11"/>
  <c r="L480" i="11"/>
  <c r="N479" i="11"/>
  <c r="O479" i="11" s="1"/>
  <c r="U479" i="11"/>
  <c r="Q478" i="11"/>
  <c r="X478" i="11"/>
  <c r="Y478" i="11" s="1"/>
  <c r="AF478" i="11"/>
  <c r="AJ478" i="11" s="1"/>
  <c r="AD475" i="11"/>
  <c r="AC475" i="11"/>
  <c r="R477" i="11"/>
  <c r="AA477" i="11"/>
  <c r="P478" i="11"/>
  <c r="AB477" i="11" l="1"/>
  <c r="S477" i="11"/>
  <c r="Q479" i="11"/>
  <c r="X479" i="11"/>
  <c r="AF479" i="11"/>
  <c r="AJ479" i="11" s="1"/>
  <c r="V479" i="11"/>
  <c r="W479" i="11"/>
  <c r="Y479" i="11"/>
  <c r="N480" i="11"/>
  <c r="O480" i="11" s="1"/>
  <c r="U480" i="11"/>
  <c r="L481" i="11"/>
  <c r="P479" i="11"/>
  <c r="P480" i="11" s="1"/>
  <c r="AD476" i="11"/>
  <c r="AC476" i="11"/>
  <c r="R478" i="11"/>
  <c r="AA478" i="11"/>
  <c r="Q480" i="11" l="1"/>
  <c r="AF480" i="11"/>
  <c r="AJ480" i="11" s="1"/>
  <c r="X480" i="11"/>
  <c r="N481" i="11"/>
  <c r="O481" i="11" s="1"/>
  <c r="L482" i="11"/>
  <c r="U481" i="11"/>
  <c r="Y480" i="11"/>
  <c r="W480" i="11"/>
  <c r="V480" i="11"/>
  <c r="R479" i="11"/>
  <c r="AA479" i="11"/>
  <c r="S478" i="11"/>
  <c r="AB478" i="11"/>
  <c r="AD477" i="11"/>
  <c r="AC477" i="11"/>
  <c r="AF481" i="11" l="1"/>
  <c r="AJ481" i="11" s="1"/>
  <c r="Q481" i="11"/>
  <c r="X481" i="11"/>
  <c r="P481" i="11"/>
  <c r="AD478" i="11"/>
  <c r="AC478" i="11"/>
  <c r="S479" i="11"/>
  <c r="AB479" i="11"/>
  <c r="Y481" i="11"/>
  <c r="W481" i="11"/>
  <c r="V481" i="11"/>
  <c r="U482" i="11"/>
  <c r="N482" i="11"/>
  <c r="O482" i="11" s="1"/>
  <c r="L483" i="11"/>
  <c r="AA480" i="11"/>
  <c r="R480" i="11"/>
  <c r="Q482" i="11" l="1"/>
  <c r="AF482" i="11"/>
  <c r="AJ482" i="11" s="1"/>
  <c r="X482" i="11"/>
  <c r="AD479" i="11"/>
  <c r="AC479" i="11"/>
  <c r="Y482" i="11"/>
  <c r="W482" i="11"/>
  <c r="V482" i="11"/>
  <c r="P482" i="11"/>
  <c r="AB480" i="11"/>
  <c r="S480" i="11"/>
  <c r="R481" i="11"/>
  <c r="AA481" i="11"/>
  <c r="N483" i="11"/>
  <c r="O483" i="11" s="1"/>
  <c r="L484" i="11"/>
  <c r="U483" i="11"/>
  <c r="AF483" i="11" l="1"/>
  <c r="AJ483" i="11" s="1"/>
  <c r="Q483" i="11"/>
  <c r="X483" i="11"/>
  <c r="P483" i="11"/>
  <c r="W483" i="11"/>
  <c r="Y483" i="11"/>
  <c r="V483" i="11"/>
  <c r="AB481" i="11"/>
  <c r="S481" i="11"/>
  <c r="AD480" i="11"/>
  <c r="AC480" i="11"/>
  <c r="U484" i="11"/>
  <c r="N484" i="11"/>
  <c r="O484" i="11" s="1"/>
  <c r="L485" i="11"/>
  <c r="R482" i="11"/>
  <c r="AA482" i="11"/>
  <c r="AF484" i="11" l="1"/>
  <c r="AJ484" i="11" s="1"/>
  <c r="Q484" i="11"/>
  <c r="X484" i="11"/>
  <c r="W484" i="11"/>
  <c r="V484" i="11"/>
  <c r="Y484" i="11"/>
  <c r="R483" i="11"/>
  <c r="AA483" i="11"/>
  <c r="U485" i="11"/>
  <c r="N485" i="11"/>
  <c r="O485" i="11" s="1"/>
  <c r="L486" i="11"/>
  <c r="AC481" i="11"/>
  <c r="AD481" i="11"/>
  <c r="P484" i="11"/>
  <c r="P485" i="11" s="1"/>
  <c r="S482" i="11"/>
  <c r="AB482" i="11"/>
  <c r="Q485" i="11" l="1"/>
  <c r="X485" i="11"/>
  <c r="AF485" i="11"/>
  <c r="AJ485" i="11" s="1"/>
  <c r="S483" i="11"/>
  <c r="AB483" i="11"/>
  <c r="AD482" i="11"/>
  <c r="AC482" i="11"/>
  <c r="R484" i="11"/>
  <c r="AA484" i="11"/>
  <c r="U486" i="11"/>
  <c r="N486" i="11"/>
  <c r="O486" i="11" s="1"/>
  <c r="L487" i="11"/>
  <c r="Y485" i="11"/>
  <c r="W485" i="11"/>
  <c r="V485" i="11"/>
  <c r="AF486" i="11" l="1"/>
  <c r="AJ486" i="11" s="1"/>
  <c r="X486" i="11"/>
  <c r="Q486" i="11"/>
  <c r="AB484" i="11"/>
  <c r="S484" i="11"/>
  <c r="AC483" i="11"/>
  <c r="AD483" i="11"/>
  <c r="U487" i="11"/>
  <c r="N487" i="11"/>
  <c r="O487" i="11" s="1"/>
  <c r="L488" i="11"/>
  <c r="Y486" i="11"/>
  <c r="V486" i="11"/>
  <c r="W486" i="11"/>
  <c r="R485" i="11"/>
  <c r="AA485" i="11"/>
  <c r="P486" i="11"/>
  <c r="AB485" i="11" l="1"/>
  <c r="S485" i="11"/>
  <c r="N488" i="11"/>
  <c r="O488" i="11" s="1"/>
  <c r="U488" i="11"/>
  <c r="L489" i="11"/>
  <c r="W487" i="11"/>
  <c r="V487" i="11"/>
  <c r="AC484" i="11"/>
  <c r="AD484" i="11"/>
  <c r="AF487" i="11"/>
  <c r="AJ487" i="11" s="1"/>
  <c r="Q487" i="11"/>
  <c r="X487" i="11"/>
  <c r="Y487" i="11" s="1"/>
  <c r="R486" i="11"/>
  <c r="AA486" i="11"/>
  <c r="P487" i="11"/>
  <c r="P488" i="11" s="1"/>
  <c r="X488" i="11" l="1"/>
  <c r="Q488" i="11"/>
  <c r="AF488" i="11"/>
  <c r="AJ488" i="11" s="1"/>
  <c r="R487" i="11"/>
  <c r="AA487" i="11"/>
  <c r="Y488" i="11"/>
  <c r="W488" i="11"/>
  <c r="V488" i="11"/>
  <c r="S486" i="11"/>
  <c r="AB486" i="11"/>
  <c r="N489" i="11"/>
  <c r="O489" i="11" s="1"/>
  <c r="L490" i="11"/>
  <c r="U489" i="11"/>
  <c r="P489" i="11"/>
  <c r="AC485" i="11"/>
  <c r="AD485" i="11"/>
  <c r="W489" i="11" l="1"/>
  <c r="V489" i="11"/>
  <c r="AD486" i="11"/>
  <c r="AC486" i="11"/>
  <c r="AB487" i="11"/>
  <c r="S487" i="11"/>
  <c r="U490" i="11"/>
  <c r="L491" i="11"/>
  <c r="N490" i="11"/>
  <c r="O490" i="11" s="1"/>
  <c r="AF489" i="11"/>
  <c r="AJ489" i="11" s="1"/>
  <c r="X489" i="11"/>
  <c r="Y489" i="11" s="1"/>
  <c r="Q489" i="11"/>
  <c r="R488" i="11"/>
  <c r="AA488" i="11"/>
  <c r="R489" i="11" l="1"/>
  <c r="AA489" i="11"/>
  <c r="AF490" i="11"/>
  <c r="AJ490" i="11" s="1"/>
  <c r="X490" i="11"/>
  <c r="Q490" i="11"/>
  <c r="W490" i="11"/>
  <c r="Y490" i="11"/>
  <c r="V490" i="11"/>
  <c r="U491" i="11"/>
  <c r="L492" i="11"/>
  <c r="N491" i="11"/>
  <c r="O491" i="11" s="1"/>
  <c r="P490" i="11"/>
  <c r="AD487" i="11"/>
  <c r="AC487" i="11"/>
  <c r="AB488" i="11"/>
  <c r="S488" i="11"/>
  <c r="L493" i="11" l="1"/>
  <c r="N492" i="11"/>
  <c r="O492" i="11" s="1"/>
  <c r="U492" i="11"/>
  <c r="P491" i="11"/>
  <c r="V491" i="11"/>
  <c r="W491" i="11"/>
  <c r="AF491" i="11"/>
  <c r="AJ491" i="11" s="1"/>
  <c r="Q491" i="11"/>
  <c r="X491" i="11"/>
  <c r="Y491" i="11" s="1"/>
  <c r="R490" i="11"/>
  <c r="AA490" i="11"/>
  <c r="AD488" i="11"/>
  <c r="AC488" i="11"/>
  <c r="S489" i="11"/>
  <c r="AB489" i="11"/>
  <c r="S490" i="11" l="1"/>
  <c r="AB490" i="11"/>
  <c r="R491" i="11"/>
  <c r="AA491" i="11"/>
  <c r="P492" i="11"/>
  <c r="V492" i="11"/>
  <c r="W492" i="11"/>
  <c r="Q492" i="11"/>
  <c r="X492" i="11"/>
  <c r="Y492" i="11" s="1"/>
  <c r="AF492" i="11"/>
  <c r="AJ492" i="11" s="1"/>
  <c r="AC489" i="11"/>
  <c r="AD489" i="11"/>
  <c r="L494" i="11"/>
  <c r="N493" i="11"/>
  <c r="O493" i="11" s="1"/>
  <c r="U493" i="11"/>
  <c r="L495" i="11" l="1"/>
  <c r="U494" i="11"/>
  <c r="N494" i="11"/>
  <c r="O494" i="11" s="1"/>
  <c r="AF493" i="11"/>
  <c r="AJ493" i="11" s="1"/>
  <c r="X493" i="11"/>
  <c r="Q493" i="11"/>
  <c r="AA492" i="11"/>
  <c r="R492" i="11"/>
  <c r="P493" i="11"/>
  <c r="P494" i="11" s="1"/>
  <c r="S491" i="11"/>
  <c r="AB491" i="11"/>
  <c r="AD490" i="11"/>
  <c r="AC490" i="11"/>
  <c r="Y493" i="11"/>
  <c r="W493" i="11"/>
  <c r="V493" i="11"/>
  <c r="AD491" i="11" l="1"/>
  <c r="AC491" i="11"/>
  <c r="S492" i="11"/>
  <c r="AB492" i="11"/>
  <c r="AF494" i="11"/>
  <c r="AJ494" i="11" s="1"/>
  <c r="Q494" i="11"/>
  <c r="X494" i="11"/>
  <c r="V494" i="11"/>
  <c r="W494" i="11"/>
  <c r="Y494" i="11"/>
  <c r="AA493" i="11"/>
  <c r="R493" i="11"/>
  <c r="L496" i="11"/>
  <c r="U495" i="11"/>
  <c r="N495" i="11"/>
  <c r="O495" i="11" s="1"/>
  <c r="P495" i="11" s="1"/>
  <c r="S493" i="11" l="1"/>
  <c r="AB493" i="11"/>
  <c r="N496" i="11"/>
  <c r="O496" i="11" s="1"/>
  <c r="L497" i="11"/>
  <c r="U496" i="11"/>
  <c r="AC492" i="11"/>
  <c r="AD492" i="11"/>
  <c r="P496" i="11"/>
  <c r="AA494" i="11"/>
  <c r="R494" i="11"/>
  <c r="AF495" i="11"/>
  <c r="AJ495" i="11" s="1"/>
  <c r="X495" i="11"/>
  <c r="Q495" i="11"/>
  <c r="Y495" i="11"/>
  <c r="W495" i="11"/>
  <c r="V495" i="11"/>
  <c r="R495" i="11" l="1"/>
  <c r="AA495" i="11"/>
  <c r="AB494" i="11"/>
  <c r="S494" i="11"/>
  <c r="V496" i="11"/>
  <c r="W496" i="11"/>
  <c r="Q496" i="11"/>
  <c r="AF496" i="11"/>
  <c r="AJ496" i="11" s="1"/>
  <c r="X496" i="11"/>
  <c r="Y496" i="11" s="1"/>
  <c r="AC493" i="11"/>
  <c r="AD493" i="11"/>
  <c r="L498" i="11"/>
  <c r="U497" i="11"/>
  <c r="N497" i="11"/>
  <c r="O497" i="11" s="1"/>
  <c r="P497" i="11" s="1"/>
  <c r="N498" i="11" l="1"/>
  <c r="O498" i="11" s="1"/>
  <c r="U498" i="11"/>
  <c r="L499" i="11"/>
  <c r="R496" i="11"/>
  <c r="AA496" i="11"/>
  <c r="AD494" i="11"/>
  <c r="AC494" i="11"/>
  <c r="W497" i="11"/>
  <c r="V497" i="11"/>
  <c r="P498" i="11"/>
  <c r="X497" i="11"/>
  <c r="Y497" i="11" s="1"/>
  <c r="Q497" i="11"/>
  <c r="AF497" i="11"/>
  <c r="AJ497" i="11" s="1"/>
  <c r="S495" i="11"/>
  <c r="AB495" i="11"/>
  <c r="AB496" i="11" l="1"/>
  <c r="S496" i="11"/>
  <c r="N499" i="11"/>
  <c r="O499" i="11" s="1"/>
  <c r="U499" i="11"/>
  <c r="L500" i="11"/>
  <c r="R497" i="11"/>
  <c r="AA497" i="11"/>
  <c r="V498" i="11"/>
  <c r="W498" i="11"/>
  <c r="AD495" i="11"/>
  <c r="AC495" i="11"/>
  <c r="AF498" i="11"/>
  <c r="AJ498" i="11" s="1"/>
  <c r="X498" i="11"/>
  <c r="Y498" i="11" s="1"/>
  <c r="Q498" i="11"/>
  <c r="AB497" i="11" l="1"/>
  <c r="S497" i="11"/>
  <c r="AF499" i="11"/>
  <c r="AJ499" i="11" s="1"/>
  <c r="X499" i="11"/>
  <c r="Q499" i="11"/>
  <c r="N500" i="11"/>
  <c r="O500" i="11" s="1"/>
  <c r="U500" i="11"/>
  <c r="L501" i="11"/>
  <c r="AD496" i="11"/>
  <c r="AC496" i="11"/>
  <c r="Y499" i="11"/>
  <c r="V499" i="11"/>
  <c r="W499" i="11"/>
  <c r="R498" i="11"/>
  <c r="AA498" i="11"/>
  <c r="P499" i="11"/>
  <c r="S498" i="11" l="1"/>
  <c r="AB498" i="11"/>
  <c r="V500" i="11"/>
  <c r="W500" i="11"/>
  <c r="U501" i="11"/>
  <c r="N501" i="11"/>
  <c r="O501" i="11" s="1"/>
  <c r="L502" i="11"/>
  <c r="AF500" i="11"/>
  <c r="AJ500" i="11" s="1"/>
  <c r="X500" i="11"/>
  <c r="Y500" i="11" s="1"/>
  <c r="Q500" i="11"/>
  <c r="R499" i="11"/>
  <c r="AA499" i="11"/>
  <c r="P500" i="11"/>
  <c r="P501" i="11" s="1"/>
  <c r="AD497" i="11"/>
  <c r="AC497" i="11"/>
  <c r="AB499" i="11" l="1"/>
  <c r="S499" i="11"/>
  <c r="X501" i="11"/>
  <c r="AF501" i="11"/>
  <c r="AJ501" i="11" s="1"/>
  <c r="Q501" i="11"/>
  <c r="AC498" i="11"/>
  <c r="AD498" i="11"/>
  <c r="R500" i="11"/>
  <c r="AA500" i="11"/>
  <c r="U502" i="11"/>
  <c r="N502" i="11"/>
  <c r="O502" i="11" s="1"/>
  <c r="L503" i="11"/>
  <c r="Y501" i="11"/>
  <c r="W501" i="11"/>
  <c r="V501" i="11"/>
  <c r="AF502" i="11" l="1"/>
  <c r="AJ502" i="11" s="1"/>
  <c r="X502" i="11"/>
  <c r="Q502" i="11"/>
  <c r="S500" i="11"/>
  <c r="AB500" i="11"/>
  <c r="R501" i="11"/>
  <c r="AA501" i="11"/>
  <c r="AD499" i="11"/>
  <c r="AC499" i="11"/>
  <c r="U503" i="11"/>
  <c r="N503" i="11"/>
  <c r="O503" i="11" s="1"/>
  <c r="L504" i="11"/>
  <c r="Y502" i="11"/>
  <c r="V502" i="11"/>
  <c r="W502" i="11"/>
  <c r="P502" i="11"/>
  <c r="U504" i="11" l="1"/>
  <c r="N504" i="11"/>
  <c r="O504" i="11" s="1"/>
  <c r="L505" i="11"/>
  <c r="AB501" i="11"/>
  <c r="S501" i="11"/>
  <c r="R502" i="11"/>
  <c r="AA502" i="11"/>
  <c r="V503" i="11"/>
  <c r="W503" i="11"/>
  <c r="X503" i="11"/>
  <c r="Y503" i="11" s="1"/>
  <c r="Q503" i="11"/>
  <c r="AF503" i="11"/>
  <c r="AJ503" i="11" s="1"/>
  <c r="AD500" i="11"/>
  <c r="AC500" i="11"/>
  <c r="P503" i="11"/>
  <c r="U505" i="11" l="1"/>
  <c r="N505" i="11"/>
  <c r="O505" i="11" s="1"/>
  <c r="L506" i="11"/>
  <c r="AF504" i="11"/>
  <c r="AJ504" i="11" s="1"/>
  <c r="X504" i="11"/>
  <c r="Q504" i="11"/>
  <c r="R503" i="11"/>
  <c r="AA503" i="11"/>
  <c r="AC501" i="11"/>
  <c r="AD501" i="11"/>
  <c r="S502" i="11"/>
  <c r="AB502" i="11"/>
  <c r="P504" i="11"/>
  <c r="P505" i="11" s="1"/>
  <c r="Y504" i="11"/>
  <c r="W504" i="11"/>
  <c r="V504" i="11"/>
  <c r="R504" i="11" l="1"/>
  <c r="AA504" i="11"/>
  <c r="AB503" i="11"/>
  <c r="S503" i="11"/>
  <c r="AF505" i="11"/>
  <c r="AJ505" i="11" s="1"/>
  <c r="X505" i="11"/>
  <c r="Q505" i="11"/>
  <c r="Y505" i="11"/>
  <c r="V505" i="11"/>
  <c r="W505" i="11"/>
  <c r="AC502" i="11"/>
  <c r="AD502" i="11"/>
  <c r="U506" i="11"/>
  <c r="N506" i="11"/>
  <c r="O506" i="11" s="1"/>
  <c r="L507" i="11"/>
  <c r="N507" i="11" l="1"/>
  <c r="O507" i="11" s="1"/>
  <c r="U507" i="11"/>
  <c r="L508" i="11"/>
  <c r="R505" i="11"/>
  <c r="AA505" i="11"/>
  <c r="Q506" i="11"/>
  <c r="AF506" i="11"/>
  <c r="AJ506" i="11" s="1"/>
  <c r="X506" i="11"/>
  <c r="AB504" i="11"/>
  <c r="S504" i="11"/>
  <c r="Y506" i="11"/>
  <c r="W506" i="11"/>
  <c r="V506" i="11"/>
  <c r="AC503" i="11"/>
  <c r="AD503" i="11"/>
  <c r="P506" i="11"/>
  <c r="P507" i="11" s="1"/>
  <c r="AB505" i="11" l="1"/>
  <c r="S505" i="11"/>
  <c r="L509" i="11"/>
  <c r="U508" i="11"/>
  <c r="N508" i="11"/>
  <c r="O508" i="11" s="1"/>
  <c r="R506" i="11"/>
  <c r="AA506" i="11"/>
  <c r="AD504" i="11"/>
  <c r="AC504" i="11"/>
  <c r="V507" i="11"/>
  <c r="W507" i="11"/>
  <c r="P508" i="11"/>
  <c r="AF507" i="11"/>
  <c r="AJ507" i="11" s="1"/>
  <c r="X507" i="11"/>
  <c r="Y507" i="11" s="1"/>
  <c r="Q507" i="11"/>
  <c r="S506" i="11" l="1"/>
  <c r="AB506" i="11"/>
  <c r="L510" i="11"/>
  <c r="U509" i="11"/>
  <c r="N509" i="11"/>
  <c r="O509" i="11" s="1"/>
  <c r="X508" i="11"/>
  <c r="AF508" i="11"/>
  <c r="AJ508" i="11" s="1"/>
  <c r="Q508" i="11"/>
  <c r="W508" i="11"/>
  <c r="V508" i="11"/>
  <c r="Y508" i="11"/>
  <c r="R507" i="11"/>
  <c r="AA507" i="11"/>
  <c r="AD505" i="11"/>
  <c r="AC505" i="11"/>
  <c r="W509" i="11" l="1"/>
  <c r="V509" i="11"/>
  <c r="R508" i="11"/>
  <c r="AA508" i="11"/>
  <c r="AF509" i="11"/>
  <c r="AJ509" i="11" s="1"/>
  <c r="X509" i="11"/>
  <c r="Y509" i="11" s="1"/>
  <c r="Q509" i="11"/>
  <c r="P509" i="11"/>
  <c r="AC506" i="11"/>
  <c r="AD506" i="11"/>
  <c r="AB507" i="11"/>
  <c r="S507" i="11"/>
  <c r="L511" i="11"/>
  <c r="N510" i="11"/>
  <c r="O510" i="11" s="1"/>
  <c r="U510" i="11"/>
  <c r="P510" i="11" l="1"/>
  <c r="AA509" i="11"/>
  <c r="R509" i="11"/>
  <c r="AC507" i="11"/>
  <c r="AD507" i="11"/>
  <c r="L512" i="11"/>
  <c r="U511" i="11"/>
  <c r="N511" i="11"/>
  <c r="O511" i="11" s="1"/>
  <c r="AB508" i="11"/>
  <c r="S508" i="11"/>
  <c r="W510" i="11"/>
  <c r="V510" i="11"/>
  <c r="Q510" i="11"/>
  <c r="AF510" i="11"/>
  <c r="AJ510" i="11" s="1"/>
  <c r="X510" i="11"/>
  <c r="Y510" i="11" s="1"/>
  <c r="AC508" i="11" l="1"/>
  <c r="AD508" i="11"/>
  <c r="V511" i="11"/>
  <c r="W511" i="11"/>
  <c r="Q511" i="11"/>
  <c r="X511" i="11"/>
  <c r="Y511" i="11" s="1"/>
  <c r="AF511" i="11"/>
  <c r="AJ511" i="11" s="1"/>
  <c r="R510" i="11"/>
  <c r="AA510" i="11"/>
  <c r="P511" i="11"/>
  <c r="U512" i="11"/>
  <c r="L513" i="11"/>
  <c r="N512" i="11"/>
  <c r="O512" i="11" s="1"/>
  <c r="AB509" i="11"/>
  <c r="S509" i="11"/>
  <c r="X512" i="11" l="1"/>
  <c r="AF512" i="11"/>
  <c r="AJ512" i="11" s="1"/>
  <c r="Q512" i="11"/>
  <c r="P512" i="11"/>
  <c r="S510" i="11"/>
  <c r="AB510" i="11"/>
  <c r="U513" i="11"/>
  <c r="L514" i="11"/>
  <c r="N513" i="11"/>
  <c r="O513" i="11" s="1"/>
  <c r="Y512" i="11"/>
  <c r="W512" i="11"/>
  <c r="V512" i="11"/>
  <c r="R511" i="11"/>
  <c r="AA511" i="11"/>
  <c r="AC509" i="11"/>
  <c r="AD509" i="11"/>
  <c r="S511" i="11" l="1"/>
  <c r="AB511" i="11"/>
  <c r="X513" i="11"/>
  <c r="Y513" i="11" s="1"/>
  <c r="Q513" i="11"/>
  <c r="AF513" i="11"/>
  <c r="AJ513" i="11" s="1"/>
  <c r="P513" i="11"/>
  <c r="N514" i="11"/>
  <c r="O514" i="11" s="1"/>
  <c r="U514" i="11"/>
  <c r="L515" i="11"/>
  <c r="AA512" i="11"/>
  <c r="R512" i="11"/>
  <c r="V513" i="11"/>
  <c r="W513" i="11"/>
  <c r="AC510" i="11"/>
  <c r="AD510" i="11"/>
  <c r="V514" i="11" l="1"/>
  <c r="W514" i="11"/>
  <c r="P514" i="11"/>
  <c r="S512" i="11"/>
  <c r="AB512" i="11"/>
  <c r="AF514" i="11"/>
  <c r="AJ514" i="11" s="1"/>
  <c r="X514" i="11"/>
  <c r="Y514" i="11" s="1"/>
  <c r="Q514" i="11"/>
  <c r="R513" i="11"/>
  <c r="AA513" i="11"/>
  <c r="N515" i="11"/>
  <c r="O515" i="11" s="1"/>
  <c r="U515" i="11"/>
  <c r="L516" i="11"/>
  <c r="AC511" i="11"/>
  <c r="AD511" i="11"/>
  <c r="V515" i="11" l="1"/>
  <c r="W515" i="11"/>
  <c r="N516" i="11"/>
  <c r="O516" i="11" s="1"/>
  <c r="L517" i="11"/>
  <c r="U516" i="11"/>
  <c r="S513" i="11"/>
  <c r="AB513" i="11"/>
  <c r="P515" i="11"/>
  <c r="P516" i="11" s="1"/>
  <c r="X515" i="11"/>
  <c r="Y515" i="11" s="1"/>
  <c r="AF515" i="11"/>
  <c r="AJ515" i="11" s="1"/>
  <c r="Q515" i="11"/>
  <c r="AA514" i="11"/>
  <c r="R514" i="11"/>
  <c r="AC512" i="11"/>
  <c r="AD512" i="11"/>
  <c r="S514" i="11" l="1"/>
  <c r="AB514" i="11"/>
  <c r="AA515" i="11"/>
  <c r="R515" i="11"/>
  <c r="AC513" i="11"/>
  <c r="AD513" i="11"/>
  <c r="W516" i="11"/>
  <c r="V516" i="11"/>
  <c r="N517" i="11"/>
  <c r="O517" i="11" s="1"/>
  <c r="P517" i="11" s="1"/>
  <c r="L518" i="11"/>
  <c r="U517" i="11"/>
  <c r="X516" i="11"/>
  <c r="Y516" i="11" s="1"/>
  <c r="Q516" i="11"/>
  <c r="AF516" i="11"/>
  <c r="AJ516" i="11" s="1"/>
  <c r="W517" i="11" l="1"/>
  <c r="V517" i="11"/>
  <c r="U518" i="11"/>
  <c r="N518" i="11"/>
  <c r="O518" i="11" s="1"/>
  <c r="L519" i="11"/>
  <c r="AB515" i="11"/>
  <c r="S515" i="11"/>
  <c r="AC514" i="11"/>
  <c r="AD514" i="11"/>
  <c r="X517" i="11"/>
  <c r="Y517" i="11" s="1"/>
  <c r="AF517" i="11"/>
  <c r="AJ517" i="11" s="1"/>
  <c r="Q517" i="11"/>
  <c r="R516" i="11"/>
  <c r="AA516" i="11"/>
  <c r="X518" i="11" l="1"/>
  <c r="AF518" i="11"/>
  <c r="AJ518" i="11" s="1"/>
  <c r="Q518" i="11"/>
  <c r="R517" i="11"/>
  <c r="AA517" i="11"/>
  <c r="AD515" i="11"/>
  <c r="AC515" i="11"/>
  <c r="U519" i="11"/>
  <c r="N519" i="11"/>
  <c r="O519" i="11" s="1"/>
  <c r="L520" i="11"/>
  <c r="V518" i="11"/>
  <c r="Y518" i="11"/>
  <c r="W518" i="11"/>
  <c r="AB516" i="11"/>
  <c r="S516" i="11"/>
  <c r="P518" i="11"/>
  <c r="N520" i="11" l="1"/>
  <c r="O520" i="11" s="1"/>
  <c r="L521" i="11"/>
  <c r="U520" i="11"/>
  <c r="AF519" i="11"/>
  <c r="AJ519" i="11" s="1"/>
  <c r="X519" i="11"/>
  <c r="Y519" i="11" s="1"/>
  <c r="Q519" i="11"/>
  <c r="W519" i="11"/>
  <c r="V519" i="11"/>
  <c r="R518" i="11"/>
  <c r="AA518" i="11"/>
  <c r="S517" i="11"/>
  <c r="AB517" i="11"/>
  <c r="P519" i="11"/>
  <c r="P520" i="11" s="1"/>
  <c r="AC516" i="11"/>
  <c r="AD516" i="11"/>
  <c r="R519" i="11" l="1"/>
  <c r="AA519" i="11"/>
  <c r="AC517" i="11"/>
  <c r="AD517" i="11"/>
  <c r="W520" i="11"/>
  <c r="V520" i="11"/>
  <c r="S518" i="11"/>
  <c r="AB518" i="11"/>
  <c r="N521" i="11"/>
  <c r="O521" i="11" s="1"/>
  <c r="U521" i="11"/>
  <c r="L522" i="11"/>
  <c r="X520" i="11"/>
  <c r="Y520" i="11" s="1"/>
  <c r="Q520" i="11"/>
  <c r="AF520" i="11"/>
  <c r="AJ520" i="11" s="1"/>
  <c r="AD518" i="11" l="1"/>
  <c r="AC518" i="11"/>
  <c r="V521" i="11"/>
  <c r="W521" i="11"/>
  <c r="U522" i="11"/>
  <c r="N522" i="11"/>
  <c r="O522" i="11" s="1"/>
  <c r="L523" i="11"/>
  <c r="S519" i="11"/>
  <c r="AB519" i="11"/>
  <c r="X521" i="11"/>
  <c r="Y521" i="11" s="1"/>
  <c r="Q521" i="11"/>
  <c r="AF521" i="11"/>
  <c r="AJ521" i="11" s="1"/>
  <c r="AA520" i="11"/>
  <c r="R520" i="11"/>
  <c r="P521" i="11"/>
  <c r="AC519" i="11" l="1"/>
  <c r="AD519" i="11"/>
  <c r="Q522" i="11"/>
  <c r="X522" i="11"/>
  <c r="AF522" i="11"/>
  <c r="AJ522" i="11" s="1"/>
  <c r="Y522" i="11"/>
  <c r="W522" i="11"/>
  <c r="V522" i="11"/>
  <c r="R521" i="11"/>
  <c r="AA521" i="11"/>
  <c r="L524" i="11"/>
  <c r="U523" i="11"/>
  <c r="N523" i="11"/>
  <c r="O523" i="11" s="1"/>
  <c r="P522" i="11"/>
  <c r="S520" i="11"/>
  <c r="AB520" i="11"/>
  <c r="W523" i="11" l="1"/>
  <c r="V523" i="11"/>
  <c r="S521" i="11"/>
  <c r="AB521" i="11"/>
  <c r="R522" i="11"/>
  <c r="AA522" i="11"/>
  <c r="Q523" i="11"/>
  <c r="X523" i="11"/>
  <c r="Y523" i="11" s="1"/>
  <c r="AF523" i="11"/>
  <c r="AJ523" i="11" s="1"/>
  <c r="U524" i="11"/>
  <c r="N524" i="11"/>
  <c r="O524" i="11" s="1"/>
  <c r="L525" i="11"/>
  <c r="AD520" i="11"/>
  <c r="AC520" i="11"/>
  <c r="P523" i="11"/>
  <c r="N525" i="11" l="1"/>
  <c r="O525" i="11" s="1"/>
  <c r="U525" i="11"/>
  <c r="L526" i="11"/>
  <c r="W524" i="11"/>
  <c r="V524" i="11"/>
  <c r="AA523" i="11"/>
  <c r="R523" i="11"/>
  <c r="AD521" i="11"/>
  <c r="AC521" i="11"/>
  <c r="Q524" i="11"/>
  <c r="X524" i="11"/>
  <c r="Y524" i="11" s="1"/>
  <c r="AF524" i="11"/>
  <c r="AJ524" i="11" s="1"/>
  <c r="AB522" i="11"/>
  <c r="S522" i="11"/>
  <c r="P524" i="11"/>
  <c r="AD522" i="11" l="1"/>
  <c r="AC522" i="11"/>
  <c r="V525" i="11"/>
  <c r="W525" i="11"/>
  <c r="AB523" i="11"/>
  <c r="S523" i="11"/>
  <c r="Q525" i="11"/>
  <c r="AF525" i="11"/>
  <c r="AJ525" i="11" s="1"/>
  <c r="X525" i="11"/>
  <c r="Y525" i="11" s="1"/>
  <c r="P525" i="11"/>
  <c r="R524" i="11"/>
  <c r="AA524" i="11"/>
  <c r="L527" i="11"/>
  <c r="U526" i="11"/>
  <c r="N526" i="11"/>
  <c r="O526" i="11" s="1"/>
  <c r="P526" i="11" l="1"/>
  <c r="U527" i="11"/>
  <c r="L528" i="11"/>
  <c r="N527" i="11"/>
  <c r="O527" i="11" s="1"/>
  <c r="AB524" i="11"/>
  <c r="S524" i="11"/>
  <c r="AD523" i="11"/>
  <c r="AC523" i="11"/>
  <c r="P527" i="11"/>
  <c r="R525" i="11"/>
  <c r="AA525" i="11"/>
  <c r="AF526" i="11"/>
  <c r="AJ526" i="11" s="1"/>
  <c r="Q526" i="11"/>
  <c r="X526" i="11"/>
  <c r="Y526" i="11" s="1"/>
  <c r="V526" i="11"/>
  <c r="W526" i="11"/>
  <c r="R526" i="11" l="1"/>
  <c r="AA526" i="11"/>
  <c r="AB525" i="11"/>
  <c r="S525" i="11"/>
  <c r="AC524" i="11"/>
  <c r="AD524" i="11"/>
  <c r="Q527" i="11"/>
  <c r="AF527" i="11"/>
  <c r="AJ527" i="11" s="1"/>
  <c r="X527" i="11"/>
  <c r="Y527" i="11" s="1"/>
  <c r="L529" i="11"/>
  <c r="N528" i="11"/>
  <c r="O528" i="11" s="1"/>
  <c r="U528" i="11"/>
  <c r="V527" i="11"/>
  <c r="W527" i="11"/>
  <c r="Q528" i="11" l="1"/>
  <c r="AF528" i="11"/>
  <c r="AJ528" i="11" s="1"/>
  <c r="X528" i="11"/>
  <c r="Y528" i="11" s="1"/>
  <c r="V528" i="11"/>
  <c r="W528" i="11"/>
  <c r="L530" i="11"/>
  <c r="U529" i="11"/>
  <c r="N529" i="11"/>
  <c r="O529" i="11" s="1"/>
  <c r="S526" i="11"/>
  <c r="AB526" i="11"/>
  <c r="R527" i="11"/>
  <c r="AA527" i="11"/>
  <c r="AC525" i="11"/>
  <c r="AD525" i="11"/>
  <c r="P528" i="11"/>
  <c r="Q529" i="11" l="1"/>
  <c r="X529" i="11"/>
  <c r="AF529" i="11"/>
  <c r="AJ529" i="11" s="1"/>
  <c r="AC526" i="11"/>
  <c r="AD526" i="11"/>
  <c r="U530" i="11"/>
  <c r="N530" i="11"/>
  <c r="O530" i="11" s="1"/>
  <c r="L531" i="11"/>
  <c r="AB527" i="11"/>
  <c r="S527" i="11"/>
  <c r="V529" i="11"/>
  <c r="W529" i="11"/>
  <c r="Y529" i="11"/>
  <c r="P529" i="11"/>
  <c r="P530" i="11" s="1"/>
  <c r="R528" i="11"/>
  <c r="AA528" i="11"/>
  <c r="W530" i="11" l="1"/>
  <c r="V530" i="11"/>
  <c r="Q530" i="11"/>
  <c r="AF530" i="11"/>
  <c r="AJ530" i="11" s="1"/>
  <c r="X530" i="11"/>
  <c r="Y530" i="11" s="1"/>
  <c r="AC527" i="11"/>
  <c r="AD527" i="11"/>
  <c r="N531" i="11"/>
  <c r="O531" i="11" s="1"/>
  <c r="P531" i="11" s="1"/>
  <c r="L532" i="11"/>
  <c r="U531" i="11"/>
  <c r="AB528" i="11"/>
  <c r="S528" i="11"/>
  <c r="R529" i="11"/>
  <c r="AA529" i="11"/>
  <c r="AC528" i="11" l="1"/>
  <c r="AD528" i="11"/>
  <c r="V531" i="11"/>
  <c r="W531" i="11"/>
  <c r="N532" i="11"/>
  <c r="O532" i="11" s="1"/>
  <c r="L533" i="11"/>
  <c r="U532" i="11"/>
  <c r="Q531" i="11"/>
  <c r="AF531" i="11"/>
  <c r="AJ531" i="11" s="1"/>
  <c r="X531" i="11"/>
  <c r="Y531" i="11" s="1"/>
  <c r="AA530" i="11"/>
  <c r="R530" i="11"/>
  <c r="AB529" i="11"/>
  <c r="S529" i="11"/>
  <c r="R531" i="11" l="1"/>
  <c r="AA531" i="11"/>
  <c r="W532" i="11"/>
  <c r="V532" i="11"/>
  <c r="U533" i="11"/>
  <c r="L534" i="11"/>
  <c r="N533" i="11"/>
  <c r="O533" i="11" s="1"/>
  <c r="S530" i="11"/>
  <c r="AB530" i="11"/>
  <c r="AF532" i="11"/>
  <c r="AJ532" i="11" s="1"/>
  <c r="Q532" i="11"/>
  <c r="X532" i="11"/>
  <c r="Y532" i="11" s="1"/>
  <c r="AC529" i="11"/>
  <c r="AD529" i="11"/>
  <c r="P532" i="11"/>
  <c r="X533" i="11" l="1"/>
  <c r="AF533" i="11"/>
  <c r="AJ533" i="11" s="1"/>
  <c r="Q533" i="11"/>
  <c r="AD530" i="11"/>
  <c r="AC530" i="11"/>
  <c r="U534" i="11"/>
  <c r="L535" i="11"/>
  <c r="N534" i="11"/>
  <c r="O534" i="11" s="1"/>
  <c r="R532" i="11"/>
  <c r="AA532" i="11"/>
  <c r="Y533" i="11"/>
  <c r="W533" i="11"/>
  <c r="V533" i="11"/>
  <c r="P533" i="11"/>
  <c r="P534" i="11" s="1"/>
  <c r="S531" i="11"/>
  <c r="AB531" i="11"/>
  <c r="L536" i="11" l="1"/>
  <c r="U535" i="11"/>
  <c r="N535" i="11"/>
  <c r="O535" i="11" s="1"/>
  <c r="P535" i="11" s="1"/>
  <c r="AB532" i="11"/>
  <c r="S532" i="11"/>
  <c r="AA533" i="11"/>
  <c r="R533" i="11"/>
  <c r="Q534" i="11"/>
  <c r="AF534" i="11"/>
  <c r="AJ534" i="11" s="1"/>
  <c r="X534" i="11"/>
  <c r="W534" i="11"/>
  <c r="V534" i="11"/>
  <c r="Y534" i="11"/>
  <c r="AD531" i="11"/>
  <c r="AC531" i="11"/>
  <c r="R534" i="11" l="1"/>
  <c r="AA534" i="11"/>
  <c r="AC532" i="11"/>
  <c r="AD532" i="11"/>
  <c r="AF535" i="11"/>
  <c r="AJ535" i="11" s="1"/>
  <c r="Q535" i="11"/>
  <c r="X535" i="11"/>
  <c r="S533" i="11"/>
  <c r="AB533" i="11"/>
  <c r="V535" i="11"/>
  <c r="W535" i="11"/>
  <c r="Y535" i="11"/>
  <c r="N536" i="11"/>
  <c r="O536" i="11" s="1"/>
  <c r="U536" i="11"/>
  <c r="L537" i="11"/>
  <c r="V536" i="11" l="1"/>
  <c r="W536" i="11"/>
  <c r="Q536" i="11"/>
  <c r="X536" i="11"/>
  <c r="Y536" i="11" s="1"/>
  <c r="AF536" i="11"/>
  <c r="AJ536" i="11" s="1"/>
  <c r="R535" i="11"/>
  <c r="AA535" i="11"/>
  <c r="AC533" i="11"/>
  <c r="AD533" i="11"/>
  <c r="P536" i="11"/>
  <c r="L538" i="11"/>
  <c r="N537" i="11"/>
  <c r="O537" i="11" s="1"/>
  <c r="U537" i="11"/>
  <c r="AB534" i="11"/>
  <c r="S534" i="11"/>
  <c r="AF537" i="11" l="1"/>
  <c r="AJ537" i="11" s="1"/>
  <c r="X537" i="11"/>
  <c r="Q537" i="11"/>
  <c r="U538" i="11"/>
  <c r="L539" i="11"/>
  <c r="N538" i="11"/>
  <c r="O538" i="11" s="1"/>
  <c r="P537" i="11"/>
  <c r="P538" i="11" s="1"/>
  <c r="R536" i="11"/>
  <c r="AA536" i="11"/>
  <c r="V537" i="11"/>
  <c r="Y537" i="11"/>
  <c r="W537" i="11"/>
  <c r="AB535" i="11"/>
  <c r="S535" i="11"/>
  <c r="AC534" i="11"/>
  <c r="AD534" i="11"/>
  <c r="AC535" i="11" l="1"/>
  <c r="AD535" i="11"/>
  <c r="AB536" i="11"/>
  <c r="S536" i="11"/>
  <c r="L540" i="11"/>
  <c r="N539" i="11"/>
  <c r="O539" i="11" s="1"/>
  <c r="P539" i="11" s="1"/>
  <c r="U539" i="11"/>
  <c r="Q538" i="11"/>
  <c r="X538" i="11"/>
  <c r="AF538" i="11"/>
  <c r="AJ538" i="11" s="1"/>
  <c r="W538" i="11"/>
  <c r="Y538" i="11"/>
  <c r="V538" i="11"/>
  <c r="R537" i="11"/>
  <c r="AA537" i="11"/>
  <c r="V539" i="11" l="1"/>
  <c r="W539" i="11"/>
  <c r="AD536" i="11"/>
  <c r="AC536" i="11"/>
  <c r="R538" i="11"/>
  <c r="AA538" i="11"/>
  <c r="AF539" i="11"/>
  <c r="AJ539" i="11" s="1"/>
  <c r="Q539" i="11"/>
  <c r="X539" i="11"/>
  <c r="Y539" i="11" s="1"/>
  <c r="L541" i="11"/>
  <c r="N540" i="11"/>
  <c r="O540" i="11" s="1"/>
  <c r="P540" i="11" s="1"/>
  <c r="U540" i="11"/>
  <c r="S537" i="11"/>
  <c r="AB537" i="11"/>
  <c r="Q540" i="11" l="1"/>
  <c r="AF540" i="11"/>
  <c r="AJ540" i="11" s="1"/>
  <c r="X540" i="11"/>
  <c r="L542" i="11"/>
  <c r="N541" i="11"/>
  <c r="O541" i="11" s="1"/>
  <c r="U541" i="11"/>
  <c r="AB538" i="11"/>
  <c r="S538" i="11"/>
  <c r="Y540" i="11"/>
  <c r="W540" i="11"/>
  <c r="V540" i="11"/>
  <c r="R539" i="11"/>
  <c r="AA539" i="11"/>
  <c r="AD537" i="11"/>
  <c r="AC537" i="11"/>
  <c r="Q541" i="11" l="1"/>
  <c r="X541" i="11"/>
  <c r="AF541" i="11"/>
  <c r="AJ541" i="11" s="1"/>
  <c r="Y541" i="11"/>
  <c r="W541" i="11"/>
  <c r="V541" i="11"/>
  <c r="S539" i="11"/>
  <c r="AB539" i="11"/>
  <c r="P541" i="11"/>
  <c r="AC538" i="11"/>
  <c r="AD538" i="11"/>
  <c r="N542" i="11"/>
  <c r="O542" i="11" s="1"/>
  <c r="L543" i="11"/>
  <c r="U542" i="11"/>
  <c r="R540" i="11"/>
  <c r="AA540" i="11"/>
  <c r="AD539" i="11" l="1"/>
  <c r="AC539" i="11"/>
  <c r="N543" i="11"/>
  <c r="O543" i="11" s="1"/>
  <c r="U543" i="11"/>
  <c r="L544" i="11"/>
  <c r="X542" i="11"/>
  <c r="Q542" i="11"/>
  <c r="AF542" i="11"/>
  <c r="AJ542" i="11" s="1"/>
  <c r="W542" i="11"/>
  <c r="V542" i="11"/>
  <c r="Y542" i="11"/>
  <c r="P542" i="11"/>
  <c r="P543" i="11" s="1"/>
  <c r="AB540" i="11"/>
  <c r="S540" i="11"/>
  <c r="AA541" i="11"/>
  <c r="R541" i="11"/>
  <c r="AA542" i="11" l="1"/>
  <c r="R542" i="11"/>
  <c r="W543" i="11"/>
  <c r="V543" i="11"/>
  <c r="AC540" i="11"/>
  <c r="AD540" i="11"/>
  <c r="N544" i="11"/>
  <c r="O544" i="11" s="1"/>
  <c r="U544" i="11"/>
  <c r="L545" i="11"/>
  <c r="S541" i="11"/>
  <c r="AB541" i="11"/>
  <c r="AF543" i="11"/>
  <c r="AJ543" i="11" s="1"/>
  <c r="X543" i="11"/>
  <c r="Y543" i="11" s="1"/>
  <c r="Q543" i="11"/>
  <c r="Q544" i="11" l="1"/>
  <c r="X544" i="11"/>
  <c r="AF544" i="11"/>
  <c r="AJ544" i="11" s="1"/>
  <c r="AC541" i="11"/>
  <c r="AD541" i="11"/>
  <c r="N545" i="11"/>
  <c r="O545" i="11" s="1"/>
  <c r="U545" i="11"/>
  <c r="L546" i="11"/>
  <c r="R543" i="11"/>
  <c r="AA543" i="11"/>
  <c r="W544" i="11"/>
  <c r="V544" i="11"/>
  <c r="Y544" i="11"/>
  <c r="S542" i="11"/>
  <c r="AB542" i="11"/>
  <c r="P544" i="11"/>
  <c r="V545" i="11" l="1"/>
  <c r="W545" i="11"/>
  <c r="S543" i="11"/>
  <c r="AB543" i="11"/>
  <c r="X545" i="11"/>
  <c r="Y545" i="11" s="1"/>
  <c r="Q545" i="11"/>
  <c r="AF545" i="11"/>
  <c r="AJ545" i="11" s="1"/>
  <c r="P545" i="11"/>
  <c r="U546" i="11"/>
  <c r="N546" i="11"/>
  <c r="O546" i="11" s="1"/>
  <c r="L547" i="11"/>
  <c r="AD542" i="11"/>
  <c r="AC542" i="11"/>
  <c r="R544" i="11"/>
  <c r="AA544" i="11"/>
  <c r="P546" i="11" l="1"/>
  <c r="W546" i="11"/>
  <c r="V546" i="11"/>
  <c r="AF546" i="11"/>
  <c r="AJ546" i="11" s="1"/>
  <c r="X546" i="11"/>
  <c r="Y546" i="11" s="1"/>
  <c r="Q546" i="11"/>
  <c r="AC543" i="11"/>
  <c r="AD543" i="11"/>
  <c r="N547" i="11"/>
  <c r="O547" i="11" s="1"/>
  <c r="U547" i="11"/>
  <c r="L548" i="11"/>
  <c r="R545" i="11"/>
  <c r="AA545" i="11"/>
  <c r="S544" i="11"/>
  <c r="AB544" i="11"/>
  <c r="V547" i="11" l="1"/>
  <c r="W547" i="11"/>
  <c r="U548" i="11"/>
  <c r="N548" i="11"/>
  <c r="O548" i="11" s="1"/>
  <c r="L549" i="11"/>
  <c r="AD544" i="11"/>
  <c r="AC544" i="11"/>
  <c r="S545" i="11"/>
  <c r="AB545" i="11"/>
  <c r="X547" i="11"/>
  <c r="Y547" i="11" s="1"/>
  <c r="Q547" i="11"/>
  <c r="AF547" i="11"/>
  <c r="AJ547" i="11" s="1"/>
  <c r="R546" i="11"/>
  <c r="AA546" i="11"/>
  <c r="P547" i="11"/>
  <c r="R547" i="11" l="1"/>
  <c r="AA547" i="11"/>
  <c r="X548" i="11"/>
  <c r="Y548" i="11" s="1"/>
  <c r="Q548" i="11"/>
  <c r="AF548" i="11"/>
  <c r="AJ548" i="11" s="1"/>
  <c r="AB546" i="11"/>
  <c r="S546" i="11"/>
  <c r="AC545" i="11"/>
  <c r="AD545" i="11"/>
  <c r="P548" i="11"/>
  <c r="U549" i="11"/>
  <c r="N549" i="11"/>
  <c r="O549" i="11" s="1"/>
  <c r="L550" i="11"/>
  <c r="V548" i="11"/>
  <c r="W548" i="11"/>
  <c r="V549" i="11" l="1"/>
  <c r="W549" i="11"/>
  <c r="AD546" i="11"/>
  <c r="AC546" i="11"/>
  <c r="L551" i="11"/>
  <c r="N550" i="11"/>
  <c r="O550" i="11" s="1"/>
  <c r="U550" i="11"/>
  <c r="X549" i="11"/>
  <c r="Y549" i="11" s="1"/>
  <c r="AF549" i="11"/>
  <c r="AJ549" i="11" s="1"/>
  <c r="Q549" i="11"/>
  <c r="P549" i="11"/>
  <c r="P550" i="11" s="1"/>
  <c r="R548" i="11"/>
  <c r="AA548" i="11"/>
  <c r="AB547" i="11"/>
  <c r="S547" i="11"/>
  <c r="S548" i="11" l="1"/>
  <c r="AB548" i="11"/>
  <c r="Q550" i="11"/>
  <c r="AF550" i="11"/>
  <c r="AJ550" i="11" s="1"/>
  <c r="X550" i="11"/>
  <c r="L552" i="11"/>
  <c r="N551" i="11"/>
  <c r="O551" i="11" s="1"/>
  <c r="U551" i="11"/>
  <c r="AA549" i="11"/>
  <c r="R549" i="11"/>
  <c r="V550" i="11"/>
  <c r="W550" i="11"/>
  <c r="Y550" i="11"/>
  <c r="P551" i="11"/>
  <c r="AC547" i="11"/>
  <c r="AD547" i="11"/>
  <c r="AB549" i="11" l="1"/>
  <c r="S549" i="11"/>
  <c r="AF551" i="11"/>
  <c r="AJ551" i="11" s="1"/>
  <c r="Q551" i="11"/>
  <c r="X551" i="11"/>
  <c r="Y551" i="11" s="1"/>
  <c r="V551" i="11"/>
  <c r="W551" i="11"/>
  <c r="U552" i="11"/>
  <c r="L553" i="11"/>
  <c r="N552" i="11"/>
  <c r="O552" i="11" s="1"/>
  <c r="R550" i="11"/>
  <c r="AA550" i="11"/>
  <c r="AD548" i="11"/>
  <c r="AC548" i="11"/>
  <c r="L554" i="11" l="1"/>
  <c r="U553" i="11"/>
  <c r="N553" i="11"/>
  <c r="O553" i="11" s="1"/>
  <c r="AF552" i="11"/>
  <c r="AJ552" i="11" s="1"/>
  <c r="X552" i="11"/>
  <c r="Q552" i="11"/>
  <c r="V552" i="11"/>
  <c r="W552" i="11"/>
  <c r="Y552" i="11"/>
  <c r="AD549" i="11"/>
  <c r="AC549" i="11"/>
  <c r="S550" i="11"/>
  <c r="AB550" i="11"/>
  <c r="R551" i="11"/>
  <c r="AA551" i="11"/>
  <c r="P552" i="11"/>
  <c r="AD550" i="11" l="1"/>
  <c r="AC550" i="11"/>
  <c r="R552" i="11"/>
  <c r="AA552" i="11"/>
  <c r="S551" i="11"/>
  <c r="AB551" i="11"/>
  <c r="V553" i="11"/>
  <c r="W553" i="11"/>
  <c r="AF553" i="11"/>
  <c r="AJ553" i="11" s="1"/>
  <c r="Q553" i="11"/>
  <c r="X553" i="11"/>
  <c r="Y553" i="11" s="1"/>
  <c r="P553" i="11"/>
  <c r="L555" i="11"/>
  <c r="U554" i="11"/>
  <c r="N554" i="11"/>
  <c r="O554" i="11" s="1"/>
  <c r="P554" i="11" l="1"/>
  <c r="AC551" i="11"/>
  <c r="AD551" i="11"/>
  <c r="V554" i="11"/>
  <c r="W554" i="11"/>
  <c r="R553" i="11"/>
  <c r="AA553" i="11"/>
  <c r="L556" i="11"/>
  <c r="U555" i="11"/>
  <c r="N555" i="11"/>
  <c r="O555" i="11" s="1"/>
  <c r="S552" i="11"/>
  <c r="AB552" i="11"/>
  <c r="X554" i="11"/>
  <c r="Y554" i="11" s="1"/>
  <c r="AF554" i="11"/>
  <c r="AJ554" i="11" s="1"/>
  <c r="Q554" i="11"/>
  <c r="AC552" i="11" l="1"/>
  <c r="AD552" i="11"/>
  <c r="V555" i="11"/>
  <c r="W555" i="11"/>
  <c r="Q555" i="11"/>
  <c r="X555" i="11"/>
  <c r="Y555" i="11" s="1"/>
  <c r="AF555" i="11"/>
  <c r="AJ555" i="11" s="1"/>
  <c r="L557" i="11"/>
  <c r="U556" i="11"/>
  <c r="N556" i="11"/>
  <c r="O556" i="11" s="1"/>
  <c r="R554" i="11"/>
  <c r="AA554" i="11"/>
  <c r="S553" i="11"/>
  <c r="AB553" i="11"/>
  <c r="P555" i="11"/>
  <c r="Q556" i="11" l="1"/>
  <c r="X556" i="11"/>
  <c r="AF556" i="11"/>
  <c r="AJ556" i="11" s="1"/>
  <c r="N557" i="11"/>
  <c r="O557" i="11" s="1"/>
  <c r="U557" i="11"/>
  <c r="L558" i="11"/>
  <c r="P556" i="11"/>
  <c r="S554" i="11"/>
  <c r="AB554" i="11"/>
  <c r="V556" i="11"/>
  <c r="Y556" i="11"/>
  <c r="W556" i="11"/>
  <c r="R555" i="11"/>
  <c r="AA555" i="11"/>
  <c r="AD553" i="11"/>
  <c r="AC553" i="11"/>
  <c r="P557" i="11" l="1"/>
  <c r="S555" i="11"/>
  <c r="AB555" i="11"/>
  <c r="Q557" i="11"/>
  <c r="AF557" i="11"/>
  <c r="AJ557" i="11" s="1"/>
  <c r="X557" i="11"/>
  <c r="AD554" i="11"/>
  <c r="AC554" i="11"/>
  <c r="N558" i="11"/>
  <c r="O558" i="11" s="1"/>
  <c r="U558" i="11"/>
  <c r="L559" i="11"/>
  <c r="Y557" i="11"/>
  <c r="W557" i="11"/>
  <c r="V557" i="11"/>
  <c r="AA556" i="11"/>
  <c r="R556" i="11"/>
  <c r="U559" i="11" l="1"/>
  <c r="L560" i="11"/>
  <c r="N559" i="11"/>
  <c r="O559" i="11" s="1"/>
  <c r="AA557" i="11"/>
  <c r="R557" i="11"/>
  <c r="V558" i="11"/>
  <c r="W558" i="11"/>
  <c r="AC555" i="11"/>
  <c r="AD555" i="11"/>
  <c r="X558" i="11"/>
  <c r="Y558" i="11" s="1"/>
  <c r="AF558" i="11"/>
  <c r="AJ558" i="11" s="1"/>
  <c r="Q558" i="11"/>
  <c r="P558" i="11"/>
  <c r="P559" i="11" s="1"/>
  <c r="S556" i="11"/>
  <c r="AB556" i="11"/>
  <c r="AA558" i="11" l="1"/>
  <c r="R558" i="11"/>
  <c r="S557" i="11"/>
  <c r="AB557" i="11"/>
  <c r="N560" i="11"/>
  <c r="O560" i="11" s="1"/>
  <c r="U560" i="11"/>
  <c r="L561" i="11"/>
  <c r="Q559" i="11"/>
  <c r="AF559" i="11"/>
  <c r="AJ559" i="11" s="1"/>
  <c r="X559" i="11"/>
  <c r="Y559" i="11" s="1"/>
  <c r="AD556" i="11"/>
  <c r="AC556" i="11"/>
  <c r="V559" i="11"/>
  <c r="W559" i="11"/>
  <c r="V560" i="11" l="1"/>
  <c r="W560" i="11"/>
  <c r="R559" i="11"/>
  <c r="AA559" i="11"/>
  <c r="AC557" i="11"/>
  <c r="AD557" i="11"/>
  <c r="U561" i="11"/>
  <c r="L562" i="11"/>
  <c r="N561" i="11"/>
  <c r="O561" i="11" s="1"/>
  <c r="AB558" i="11"/>
  <c r="S558" i="11"/>
  <c r="X560" i="11"/>
  <c r="Y560" i="11" s="1"/>
  <c r="Q560" i="11"/>
  <c r="AF560" i="11"/>
  <c r="AJ560" i="11" s="1"/>
  <c r="P560" i="11"/>
  <c r="AD558" i="11" l="1"/>
  <c r="AC558" i="11"/>
  <c r="V561" i="11"/>
  <c r="W561" i="11"/>
  <c r="R560" i="11"/>
  <c r="AA560" i="11"/>
  <c r="U562" i="11"/>
  <c r="N562" i="11"/>
  <c r="O562" i="11" s="1"/>
  <c r="L563" i="11"/>
  <c r="P561" i="11"/>
  <c r="Q561" i="11"/>
  <c r="AF561" i="11"/>
  <c r="AJ561" i="11" s="1"/>
  <c r="X561" i="11"/>
  <c r="Y561" i="11" s="1"/>
  <c r="S559" i="11"/>
  <c r="AB559" i="11"/>
  <c r="R561" i="11" l="1"/>
  <c r="AA561" i="11"/>
  <c r="AF562" i="11"/>
  <c r="AJ562" i="11" s="1"/>
  <c r="Q562" i="11"/>
  <c r="X562" i="11"/>
  <c r="Y562" i="11" s="1"/>
  <c r="W562" i="11"/>
  <c r="V562" i="11"/>
  <c r="P562" i="11"/>
  <c r="AB560" i="11"/>
  <c r="S560" i="11"/>
  <c r="AC559" i="11"/>
  <c r="AD559" i="11"/>
  <c r="N563" i="11"/>
  <c r="O563" i="11" s="1"/>
  <c r="U563" i="11"/>
  <c r="L564" i="11"/>
  <c r="P563" i="11" l="1"/>
  <c r="AF563" i="11"/>
  <c r="AJ563" i="11" s="1"/>
  <c r="X563" i="11"/>
  <c r="Q563" i="11"/>
  <c r="AC560" i="11"/>
  <c r="AD560" i="11"/>
  <c r="Y563" i="11"/>
  <c r="W563" i="11"/>
  <c r="V563" i="11"/>
  <c r="AA562" i="11"/>
  <c r="R562" i="11"/>
  <c r="U564" i="11"/>
  <c r="N564" i="11"/>
  <c r="O564" i="11" s="1"/>
  <c r="L565" i="11"/>
  <c r="S561" i="11"/>
  <c r="AB561" i="11"/>
  <c r="N565" i="11" l="1"/>
  <c r="O565" i="11" s="1"/>
  <c r="U565" i="11"/>
  <c r="L566" i="11"/>
  <c r="AB562" i="11"/>
  <c r="S562" i="11"/>
  <c r="W564" i="11"/>
  <c r="V564" i="11"/>
  <c r="X564" i="11"/>
  <c r="Y564" i="11" s="1"/>
  <c r="Q564" i="11"/>
  <c r="AF564" i="11"/>
  <c r="AJ564" i="11" s="1"/>
  <c r="AC561" i="11"/>
  <c r="AD561" i="11"/>
  <c r="R563" i="11"/>
  <c r="AA563" i="11"/>
  <c r="P564" i="11"/>
  <c r="P565" i="11" s="1"/>
  <c r="R564" i="11" l="1"/>
  <c r="AA564" i="11"/>
  <c r="AC562" i="11"/>
  <c r="AD562" i="11"/>
  <c r="U566" i="11"/>
  <c r="N566" i="11"/>
  <c r="O566" i="11" s="1"/>
  <c r="L567" i="11"/>
  <c r="W565" i="11"/>
  <c r="V565" i="11"/>
  <c r="AB563" i="11"/>
  <c r="S563" i="11"/>
  <c r="P566" i="11"/>
  <c r="AF565" i="11"/>
  <c r="AJ565" i="11" s="1"/>
  <c r="X565" i="11"/>
  <c r="Y565" i="11" s="1"/>
  <c r="Q565" i="11"/>
  <c r="AC563" i="11" l="1"/>
  <c r="AD563" i="11"/>
  <c r="U567" i="11"/>
  <c r="L568" i="11"/>
  <c r="N567" i="11"/>
  <c r="O567" i="11" s="1"/>
  <c r="V566" i="11"/>
  <c r="W566" i="11"/>
  <c r="AF566" i="11"/>
  <c r="AJ566" i="11" s="1"/>
  <c r="X566" i="11"/>
  <c r="Y566" i="11" s="1"/>
  <c r="Q566" i="11"/>
  <c r="R565" i="11"/>
  <c r="AA565" i="11"/>
  <c r="AB564" i="11"/>
  <c r="S564" i="11"/>
  <c r="AB565" i="11" l="1"/>
  <c r="S565" i="11"/>
  <c r="AF567" i="11"/>
  <c r="AJ567" i="11" s="1"/>
  <c r="Q567" i="11"/>
  <c r="X567" i="11"/>
  <c r="Y567" i="11" s="1"/>
  <c r="W567" i="11"/>
  <c r="V567" i="11"/>
  <c r="R566" i="11"/>
  <c r="AA566" i="11"/>
  <c r="U568" i="11"/>
  <c r="L569" i="11"/>
  <c r="N568" i="11"/>
  <c r="O568" i="11" s="1"/>
  <c r="P567" i="11"/>
  <c r="AC564" i="11"/>
  <c r="AD564" i="11"/>
  <c r="Q568" i="11" l="1"/>
  <c r="AF568" i="11"/>
  <c r="AJ568" i="11" s="1"/>
  <c r="X568" i="11"/>
  <c r="AB566" i="11"/>
  <c r="S566" i="11"/>
  <c r="N569" i="11"/>
  <c r="O569" i="11" s="1"/>
  <c r="L570" i="11"/>
  <c r="U569" i="11"/>
  <c r="R567" i="11"/>
  <c r="AA567" i="11"/>
  <c r="P568" i="11"/>
  <c r="P569" i="11" s="1"/>
  <c r="W568" i="11"/>
  <c r="V568" i="11"/>
  <c r="Y568" i="11"/>
  <c r="AD565" i="11"/>
  <c r="AC565" i="11"/>
  <c r="V569" i="11" l="1"/>
  <c r="W569" i="11"/>
  <c r="U570" i="11"/>
  <c r="L571" i="11"/>
  <c r="N570" i="11"/>
  <c r="O570" i="11" s="1"/>
  <c r="AB567" i="11"/>
  <c r="S567" i="11"/>
  <c r="X569" i="11"/>
  <c r="Y569" i="11" s="1"/>
  <c r="Q569" i="11"/>
  <c r="AF569" i="11"/>
  <c r="AJ569" i="11" s="1"/>
  <c r="AD566" i="11"/>
  <c r="AC566" i="11"/>
  <c r="AA568" i="11"/>
  <c r="R568" i="11"/>
  <c r="R569" i="11" l="1"/>
  <c r="AA569" i="11"/>
  <c r="AC567" i="11"/>
  <c r="AD567" i="11"/>
  <c r="AF570" i="11"/>
  <c r="AJ570" i="11" s="1"/>
  <c r="X570" i="11"/>
  <c r="Q570" i="11"/>
  <c r="V570" i="11"/>
  <c r="Y570" i="11"/>
  <c r="W570" i="11"/>
  <c r="L572" i="11"/>
  <c r="N571" i="11"/>
  <c r="O571" i="11" s="1"/>
  <c r="U571" i="11"/>
  <c r="S568" i="11"/>
  <c r="AB568" i="11"/>
  <c r="P570" i="11"/>
  <c r="W571" i="11" l="1"/>
  <c r="V571" i="11"/>
  <c r="AF571" i="11"/>
  <c r="AJ571" i="11" s="1"/>
  <c r="Q571" i="11"/>
  <c r="X571" i="11"/>
  <c r="Y571" i="11" s="1"/>
  <c r="L573" i="11"/>
  <c r="N572" i="11"/>
  <c r="O572" i="11" s="1"/>
  <c r="U572" i="11"/>
  <c r="AA570" i="11"/>
  <c r="R570" i="11"/>
  <c r="P571" i="11"/>
  <c r="P572" i="11" s="1"/>
  <c r="AC568" i="11"/>
  <c r="AD568" i="11"/>
  <c r="S569" i="11"/>
  <c r="AB569" i="11"/>
  <c r="X572" i="11" l="1"/>
  <c r="AF572" i="11"/>
  <c r="AJ572" i="11" s="1"/>
  <c r="Q572" i="11"/>
  <c r="AB570" i="11"/>
  <c r="S570" i="11"/>
  <c r="AA571" i="11"/>
  <c r="R571" i="11"/>
  <c r="W572" i="11"/>
  <c r="V572" i="11"/>
  <c r="Y572" i="11"/>
  <c r="N573" i="11"/>
  <c r="O573" i="11" s="1"/>
  <c r="U573" i="11"/>
  <c r="L574" i="11"/>
  <c r="AD569" i="11"/>
  <c r="AC569" i="11"/>
  <c r="Q573" i="11" l="1"/>
  <c r="X573" i="11"/>
  <c r="AF573" i="11"/>
  <c r="AJ573" i="11" s="1"/>
  <c r="AB571" i="11"/>
  <c r="S571" i="11"/>
  <c r="L575" i="11"/>
  <c r="N574" i="11"/>
  <c r="O574" i="11" s="1"/>
  <c r="U574" i="11"/>
  <c r="AC570" i="11"/>
  <c r="AD570" i="11"/>
  <c r="Y573" i="11"/>
  <c r="V573" i="11"/>
  <c r="W573" i="11"/>
  <c r="R572" i="11"/>
  <c r="AA572" i="11"/>
  <c r="P573" i="11"/>
  <c r="N575" i="11" l="1"/>
  <c r="O575" i="11" s="1"/>
  <c r="U575" i="11"/>
  <c r="L576" i="11"/>
  <c r="AC571" i="11"/>
  <c r="AD571" i="11"/>
  <c r="V574" i="11"/>
  <c r="W574" i="11"/>
  <c r="P574" i="11"/>
  <c r="P575" i="11" s="1"/>
  <c r="S572" i="11"/>
  <c r="AB572" i="11"/>
  <c r="X574" i="11"/>
  <c r="Y574" i="11" s="1"/>
  <c r="Q574" i="11"/>
  <c r="AF574" i="11"/>
  <c r="AJ574" i="11" s="1"/>
  <c r="AA573" i="11"/>
  <c r="R573" i="11"/>
  <c r="R574" i="11" l="1"/>
  <c r="AA574" i="11"/>
  <c r="AD572" i="11"/>
  <c r="AC572" i="11"/>
  <c r="AB573" i="11"/>
  <c r="S573" i="11"/>
  <c r="V575" i="11"/>
  <c r="W575" i="11"/>
  <c r="U576" i="11"/>
  <c r="N576" i="11"/>
  <c r="O576" i="11" s="1"/>
  <c r="P576" i="11" s="1"/>
  <c r="L577" i="11"/>
  <c r="X575" i="11"/>
  <c r="Y575" i="11" s="1"/>
  <c r="AF575" i="11"/>
  <c r="AJ575" i="11" s="1"/>
  <c r="Q575" i="11"/>
  <c r="U577" i="11" l="1"/>
  <c r="L578" i="11"/>
  <c r="N577" i="11"/>
  <c r="O577" i="11" s="1"/>
  <c r="V576" i="11"/>
  <c r="W576" i="11"/>
  <c r="X576" i="11"/>
  <c r="Y576" i="11" s="1"/>
  <c r="Q576" i="11"/>
  <c r="AF576" i="11"/>
  <c r="AJ576" i="11" s="1"/>
  <c r="AD573" i="11"/>
  <c r="AC573" i="11"/>
  <c r="R575" i="11"/>
  <c r="AA575" i="11"/>
  <c r="AB574" i="11"/>
  <c r="S574" i="11"/>
  <c r="AB575" i="11" l="1"/>
  <c r="S575" i="11"/>
  <c r="AF577" i="11"/>
  <c r="AJ577" i="11" s="1"/>
  <c r="Q577" i="11"/>
  <c r="X577" i="11"/>
  <c r="R576" i="11"/>
  <c r="AA576" i="11"/>
  <c r="W577" i="11"/>
  <c r="Y577" i="11"/>
  <c r="V577" i="11"/>
  <c r="N578" i="11"/>
  <c r="O578" i="11" s="1"/>
  <c r="U578" i="11"/>
  <c r="L579" i="11"/>
  <c r="AC574" i="11"/>
  <c r="AD574" i="11"/>
  <c r="P577" i="11"/>
  <c r="N579" i="11" l="1"/>
  <c r="O579" i="11" s="1"/>
  <c r="U579" i="11"/>
  <c r="L580" i="11"/>
  <c r="V578" i="11"/>
  <c r="W578" i="11"/>
  <c r="AF578" i="11"/>
  <c r="AJ578" i="11" s="1"/>
  <c r="X578" i="11"/>
  <c r="Y578" i="11" s="1"/>
  <c r="Q578" i="11"/>
  <c r="AB576" i="11"/>
  <c r="S576" i="11"/>
  <c r="R577" i="11"/>
  <c r="AA577" i="11"/>
  <c r="P578" i="11"/>
  <c r="P579" i="11" s="1"/>
  <c r="AD575" i="11"/>
  <c r="AC575" i="11"/>
  <c r="AB577" i="11" l="1"/>
  <c r="S577" i="11"/>
  <c r="AC576" i="11"/>
  <c r="AD576" i="11"/>
  <c r="N580" i="11"/>
  <c r="O580" i="11" s="1"/>
  <c r="U580" i="11"/>
  <c r="L581" i="11"/>
  <c r="V579" i="11"/>
  <c r="W579" i="11"/>
  <c r="R578" i="11"/>
  <c r="AA578" i="11"/>
  <c r="P580" i="11"/>
  <c r="AF579" i="11"/>
  <c r="AJ579" i="11" s="1"/>
  <c r="Q579" i="11"/>
  <c r="X579" i="11"/>
  <c r="Y579" i="11" s="1"/>
  <c r="V580" i="11" l="1"/>
  <c r="W580" i="11"/>
  <c r="N581" i="11"/>
  <c r="O581" i="11" s="1"/>
  <c r="P581" i="11" s="1"/>
  <c r="U581" i="11"/>
  <c r="L582" i="11"/>
  <c r="AB578" i="11"/>
  <c r="S578" i="11"/>
  <c r="X580" i="11"/>
  <c r="Y580" i="11" s="1"/>
  <c r="Q580" i="11"/>
  <c r="AF580" i="11"/>
  <c r="AJ580" i="11" s="1"/>
  <c r="AA579" i="11"/>
  <c r="R579" i="11"/>
  <c r="AD577" i="11"/>
  <c r="AC577" i="11"/>
  <c r="S579" i="11" l="1"/>
  <c r="AB579" i="11"/>
  <c r="AA580" i="11"/>
  <c r="R580" i="11"/>
  <c r="AD578" i="11"/>
  <c r="AC578" i="11"/>
  <c r="W581" i="11"/>
  <c r="V581" i="11"/>
  <c r="N582" i="11"/>
  <c r="O582" i="11" s="1"/>
  <c r="P582" i="11" s="1"/>
  <c r="L583" i="11"/>
  <c r="U582" i="11"/>
  <c r="AF581" i="11"/>
  <c r="AJ581" i="11" s="1"/>
  <c r="Q581" i="11"/>
  <c r="X581" i="11"/>
  <c r="Y581" i="11" s="1"/>
  <c r="V582" i="11" l="1"/>
  <c r="W582" i="11"/>
  <c r="X582" i="11"/>
  <c r="Y582" i="11" s="1"/>
  <c r="AF582" i="11"/>
  <c r="AJ582" i="11" s="1"/>
  <c r="Q582" i="11"/>
  <c r="AD579" i="11"/>
  <c r="AC579" i="11"/>
  <c r="U583" i="11"/>
  <c r="L584" i="11"/>
  <c r="N583" i="11"/>
  <c r="O583" i="11" s="1"/>
  <c r="AB580" i="11"/>
  <c r="S580" i="11"/>
  <c r="R581" i="11"/>
  <c r="AA581" i="11"/>
  <c r="X583" i="11" l="1"/>
  <c r="Q583" i="11"/>
  <c r="AF583" i="11"/>
  <c r="AJ583" i="11" s="1"/>
  <c r="V583" i="11"/>
  <c r="W583" i="11"/>
  <c r="Y583" i="11"/>
  <c r="AD580" i="11"/>
  <c r="AC580" i="11"/>
  <c r="N584" i="11"/>
  <c r="O584" i="11" s="1"/>
  <c r="U584" i="11"/>
  <c r="L585" i="11"/>
  <c r="R582" i="11"/>
  <c r="AA582" i="11"/>
  <c r="S581" i="11"/>
  <c r="AB581" i="11"/>
  <c r="P583" i="11"/>
  <c r="AB582" i="11" l="1"/>
  <c r="S582" i="11"/>
  <c r="AF584" i="11"/>
  <c r="AJ584" i="11" s="1"/>
  <c r="Q584" i="11"/>
  <c r="X584" i="11"/>
  <c r="Y584" i="11" s="1"/>
  <c r="V584" i="11"/>
  <c r="W584" i="11"/>
  <c r="P584" i="11"/>
  <c r="AA583" i="11"/>
  <c r="R583" i="11"/>
  <c r="L586" i="11"/>
  <c r="N585" i="11"/>
  <c r="O585" i="11" s="1"/>
  <c r="U585" i="11"/>
  <c r="AD581" i="11"/>
  <c r="AC581" i="11"/>
  <c r="AF585" i="11" l="1"/>
  <c r="AJ585" i="11" s="1"/>
  <c r="X585" i="11"/>
  <c r="Q585" i="11"/>
  <c r="L587" i="11"/>
  <c r="N586" i="11"/>
  <c r="O586" i="11" s="1"/>
  <c r="U586" i="11"/>
  <c r="AA584" i="11"/>
  <c r="R584" i="11"/>
  <c r="AB583" i="11"/>
  <c r="S583" i="11"/>
  <c r="Y585" i="11"/>
  <c r="W585" i="11"/>
  <c r="V585" i="11"/>
  <c r="P585" i="11"/>
  <c r="P586" i="11" s="1"/>
  <c r="AD582" i="11"/>
  <c r="AC582" i="11"/>
  <c r="AD583" i="11" l="1"/>
  <c r="AC583" i="11"/>
  <c r="W586" i="11"/>
  <c r="V586" i="11"/>
  <c r="R585" i="11"/>
  <c r="AA585" i="11"/>
  <c r="Q586" i="11"/>
  <c r="X586" i="11"/>
  <c r="Y586" i="11" s="1"/>
  <c r="AF586" i="11"/>
  <c r="AJ586" i="11" s="1"/>
  <c r="S584" i="11"/>
  <c r="AB584" i="11"/>
  <c r="L588" i="11"/>
  <c r="U587" i="11"/>
  <c r="N587" i="11"/>
  <c r="O587" i="11" s="1"/>
  <c r="P587" i="11" s="1"/>
  <c r="L589" i="11" l="1"/>
  <c r="N588" i="11"/>
  <c r="O588" i="11" s="1"/>
  <c r="U588" i="11"/>
  <c r="R586" i="11"/>
  <c r="AA586" i="11"/>
  <c r="AD584" i="11"/>
  <c r="AC584" i="11"/>
  <c r="P588" i="11"/>
  <c r="AF587" i="11"/>
  <c r="AJ587" i="11" s="1"/>
  <c r="X587" i="11"/>
  <c r="Y587" i="11" s="1"/>
  <c r="Q587" i="11"/>
  <c r="S585" i="11"/>
  <c r="AB585" i="11"/>
  <c r="W587" i="11"/>
  <c r="V587" i="11"/>
  <c r="R587" i="11" l="1"/>
  <c r="AA587" i="11"/>
  <c r="Q588" i="11"/>
  <c r="AF588" i="11"/>
  <c r="AJ588" i="11" s="1"/>
  <c r="X588" i="11"/>
  <c r="Y588" i="11"/>
  <c r="V588" i="11"/>
  <c r="W588" i="11"/>
  <c r="AD585" i="11"/>
  <c r="AC585" i="11"/>
  <c r="S586" i="11"/>
  <c r="AB586" i="11"/>
  <c r="L590" i="11"/>
  <c r="U589" i="11"/>
  <c r="N589" i="11"/>
  <c r="O589" i="11" s="1"/>
  <c r="P589" i="11" s="1"/>
  <c r="U590" i="11" l="1"/>
  <c r="L591" i="11"/>
  <c r="N590" i="11"/>
  <c r="O590" i="11" s="1"/>
  <c r="AD586" i="11"/>
  <c r="AC586" i="11"/>
  <c r="R588" i="11"/>
  <c r="AA588" i="11"/>
  <c r="Q589" i="11"/>
  <c r="X589" i="11"/>
  <c r="AF589" i="11"/>
  <c r="AJ589" i="11" s="1"/>
  <c r="V589" i="11"/>
  <c r="W589" i="11"/>
  <c r="Y589" i="11"/>
  <c r="S587" i="11"/>
  <c r="AB587" i="11"/>
  <c r="AB588" i="11" l="1"/>
  <c r="S588" i="11"/>
  <c r="AA589" i="11"/>
  <c r="R589" i="11"/>
  <c r="W590" i="11"/>
  <c r="V590" i="11"/>
  <c r="Q590" i="11"/>
  <c r="X590" i="11"/>
  <c r="Y590" i="11" s="1"/>
  <c r="AF590" i="11"/>
  <c r="AJ590" i="11" s="1"/>
  <c r="L592" i="11"/>
  <c r="N591" i="11"/>
  <c r="O591" i="11" s="1"/>
  <c r="U591" i="11"/>
  <c r="AC587" i="11"/>
  <c r="AD587" i="11"/>
  <c r="P590" i="11"/>
  <c r="X591" i="11" l="1"/>
  <c r="Q591" i="11"/>
  <c r="AF591" i="11"/>
  <c r="AJ591" i="11" s="1"/>
  <c r="R590" i="11"/>
  <c r="AA590" i="11"/>
  <c r="AB589" i="11"/>
  <c r="S589" i="11"/>
  <c r="W591" i="11"/>
  <c r="V591" i="11"/>
  <c r="Y591" i="11"/>
  <c r="L593" i="11"/>
  <c r="N592" i="11"/>
  <c r="O592" i="11" s="1"/>
  <c r="U592" i="11"/>
  <c r="P591" i="11"/>
  <c r="AC588" i="11"/>
  <c r="AD588" i="11"/>
  <c r="P592" i="11" l="1"/>
  <c r="V592" i="11"/>
  <c r="W592" i="11"/>
  <c r="U593" i="11"/>
  <c r="L594" i="11"/>
  <c r="N593" i="11"/>
  <c r="O593" i="11" s="1"/>
  <c r="R591" i="11"/>
  <c r="AA591" i="11"/>
  <c r="Q592" i="11"/>
  <c r="AF592" i="11"/>
  <c r="AJ592" i="11" s="1"/>
  <c r="X592" i="11"/>
  <c r="Y592" i="11" s="1"/>
  <c r="AC589" i="11"/>
  <c r="AD589" i="11"/>
  <c r="S590" i="11"/>
  <c r="AB590" i="11"/>
  <c r="R592" i="11" l="1"/>
  <c r="AA592" i="11"/>
  <c r="AB591" i="11"/>
  <c r="S591" i="11"/>
  <c r="W593" i="11"/>
  <c r="V593" i="11"/>
  <c r="Q593" i="11"/>
  <c r="X593" i="11"/>
  <c r="Y593" i="11" s="1"/>
  <c r="AF593" i="11"/>
  <c r="AJ593" i="11" s="1"/>
  <c r="AD590" i="11"/>
  <c r="AC590" i="11"/>
  <c r="L595" i="11"/>
  <c r="U594" i="11"/>
  <c r="N594" i="11"/>
  <c r="O594" i="11" s="1"/>
  <c r="P593" i="11"/>
  <c r="P594" i="11" l="1"/>
  <c r="R593" i="11"/>
  <c r="AA593" i="11"/>
  <c r="V594" i="11"/>
  <c r="W594" i="11"/>
  <c r="AC591" i="11"/>
  <c r="AD591" i="11"/>
  <c r="U595" i="11"/>
  <c r="N595" i="11"/>
  <c r="O595" i="11" s="1"/>
  <c r="L596" i="11"/>
  <c r="AF594" i="11"/>
  <c r="AJ594" i="11" s="1"/>
  <c r="X594" i="11"/>
  <c r="Y594" i="11" s="1"/>
  <c r="Q594" i="11"/>
  <c r="AB592" i="11"/>
  <c r="S592" i="11"/>
  <c r="Q595" i="11" l="1"/>
  <c r="AF595" i="11"/>
  <c r="AJ595" i="11" s="1"/>
  <c r="X595" i="11"/>
  <c r="L597" i="11"/>
  <c r="N596" i="11"/>
  <c r="O596" i="11" s="1"/>
  <c r="U596" i="11"/>
  <c r="AA594" i="11"/>
  <c r="R594" i="11"/>
  <c r="Y595" i="11"/>
  <c r="V595" i="11"/>
  <c r="W595" i="11"/>
  <c r="P595" i="11"/>
  <c r="P596" i="11" s="1"/>
  <c r="AD592" i="11"/>
  <c r="AC592" i="11"/>
  <c r="AB593" i="11"/>
  <c r="S593" i="11"/>
  <c r="S594" i="11" l="1"/>
  <c r="AB594" i="11"/>
  <c r="X596" i="11"/>
  <c r="AF596" i="11"/>
  <c r="AJ596" i="11" s="1"/>
  <c r="Q596" i="11"/>
  <c r="Y596" i="11"/>
  <c r="W596" i="11"/>
  <c r="V596" i="11"/>
  <c r="N597" i="11"/>
  <c r="O597" i="11" s="1"/>
  <c r="L598" i="11"/>
  <c r="U597" i="11"/>
  <c r="AD593" i="11"/>
  <c r="AC593" i="11"/>
  <c r="R595" i="11"/>
  <c r="AA595" i="11"/>
  <c r="W597" i="11" l="1"/>
  <c r="V597" i="11"/>
  <c r="X597" i="11"/>
  <c r="Y597" i="11" s="1"/>
  <c r="AF597" i="11"/>
  <c r="AJ597" i="11" s="1"/>
  <c r="Q597" i="11"/>
  <c r="AA596" i="11"/>
  <c r="R596" i="11"/>
  <c r="N598" i="11"/>
  <c r="O598" i="11" s="1"/>
  <c r="U598" i="11"/>
  <c r="L599" i="11"/>
  <c r="AD594" i="11"/>
  <c r="AC594" i="11"/>
  <c r="S595" i="11"/>
  <c r="AB595" i="11"/>
  <c r="P597" i="11"/>
  <c r="S596" i="11" l="1"/>
  <c r="AB596" i="11"/>
  <c r="X598" i="11"/>
  <c r="Q598" i="11"/>
  <c r="AF598" i="11"/>
  <c r="AJ598" i="11" s="1"/>
  <c r="Y598" i="11"/>
  <c r="V598" i="11"/>
  <c r="W598" i="11"/>
  <c r="P598" i="11"/>
  <c r="U599" i="11"/>
  <c r="L600" i="11"/>
  <c r="N599" i="11"/>
  <c r="O599" i="11" s="1"/>
  <c r="R597" i="11"/>
  <c r="AA597" i="11"/>
  <c r="AC595" i="11"/>
  <c r="AD595" i="11"/>
  <c r="AB597" i="11" l="1"/>
  <c r="S597" i="11"/>
  <c r="Q599" i="11"/>
  <c r="X599" i="11"/>
  <c r="Y599" i="11" s="1"/>
  <c r="AF599" i="11"/>
  <c r="AJ599" i="11" s="1"/>
  <c r="W599" i="11"/>
  <c r="V599" i="11"/>
  <c r="P599" i="11"/>
  <c r="R598" i="11"/>
  <c r="AA598" i="11"/>
  <c r="U600" i="11"/>
  <c r="N600" i="11"/>
  <c r="O600" i="11" s="1"/>
  <c r="L601" i="11"/>
  <c r="AC596" i="11"/>
  <c r="AD596" i="11"/>
  <c r="X600" i="11" l="1"/>
  <c r="Q600" i="11"/>
  <c r="AF600" i="11"/>
  <c r="AJ600" i="11" s="1"/>
  <c r="Y600" i="11"/>
  <c r="W600" i="11"/>
  <c r="V600" i="11"/>
  <c r="AB598" i="11"/>
  <c r="S598" i="11"/>
  <c r="U601" i="11"/>
  <c r="N601" i="11"/>
  <c r="O601" i="11" s="1"/>
  <c r="L602" i="11"/>
  <c r="P600" i="11"/>
  <c r="R599" i="11"/>
  <c r="AA599" i="11"/>
  <c r="AD597" i="11"/>
  <c r="AC597" i="11"/>
  <c r="P601" i="11" l="1"/>
  <c r="AB599" i="11"/>
  <c r="S599" i="11"/>
  <c r="X601" i="11"/>
  <c r="AF601" i="11"/>
  <c r="AJ601" i="11" s="1"/>
  <c r="Q601" i="11"/>
  <c r="N602" i="11"/>
  <c r="O602" i="11" s="1"/>
  <c r="L603" i="11"/>
  <c r="U602" i="11"/>
  <c r="V601" i="11"/>
  <c r="W601" i="11"/>
  <c r="Y601" i="11"/>
  <c r="AD598" i="11"/>
  <c r="AC598" i="11"/>
  <c r="R600" i="11"/>
  <c r="AA600" i="11"/>
  <c r="W602" i="11" l="1"/>
  <c r="V602" i="11"/>
  <c r="AB600" i="11"/>
  <c r="S600" i="11"/>
  <c r="N603" i="11"/>
  <c r="O603" i="11" s="1"/>
  <c r="U603" i="11"/>
  <c r="L604" i="11"/>
  <c r="R601" i="11"/>
  <c r="AA601" i="11"/>
  <c r="Q602" i="11"/>
  <c r="AF602" i="11"/>
  <c r="AJ602" i="11" s="1"/>
  <c r="X602" i="11"/>
  <c r="Y602" i="11" s="1"/>
  <c r="P602" i="11"/>
  <c r="P603" i="11" s="1"/>
  <c r="AC599" i="11"/>
  <c r="AD599" i="11"/>
  <c r="N604" i="11" l="1"/>
  <c r="O604" i="11" s="1"/>
  <c r="L605" i="11"/>
  <c r="U604" i="11"/>
  <c r="V603" i="11"/>
  <c r="W603" i="11"/>
  <c r="AD600" i="11"/>
  <c r="AC600" i="11"/>
  <c r="X603" i="11"/>
  <c r="Y603" i="11" s="1"/>
  <c r="Q603" i="11"/>
  <c r="AF603" i="11"/>
  <c r="AJ603" i="11" s="1"/>
  <c r="R602" i="11"/>
  <c r="AA602" i="11"/>
  <c r="S601" i="11"/>
  <c r="AB601" i="11"/>
  <c r="AB602" i="11" l="1"/>
  <c r="S602" i="11"/>
  <c r="R603" i="11"/>
  <c r="AA603" i="11"/>
  <c r="AF604" i="11"/>
  <c r="AJ604" i="11" s="1"/>
  <c r="Q604" i="11"/>
  <c r="X604" i="11"/>
  <c r="V604" i="11"/>
  <c r="W604" i="11"/>
  <c r="Y604" i="11"/>
  <c r="N605" i="11"/>
  <c r="O605" i="11" s="1"/>
  <c r="L606" i="11"/>
  <c r="U605" i="11"/>
  <c r="AD601" i="11"/>
  <c r="AC601" i="11"/>
  <c r="P604" i="11"/>
  <c r="V605" i="11" l="1"/>
  <c r="W605" i="11"/>
  <c r="U606" i="11"/>
  <c r="N606" i="11"/>
  <c r="O606" i="11" s="1"/>
  <c r="L607" i="11"/>
  <c r="AF605" i="11"/>
  <c r="AJ605" i="11" s="1"/>
  <c r="Q605" i="11"/>
  <c r="X605" i="11"/>
  <c r="Y605" i="11" s="1"/>
  <c r="P605" i="11"/>
  <c r="P606" i="11" s="1"/>
  <c r="R604" i="11"/>
  <c r="AA604" i="11"/>
  <c r="S603" i="11"/>
  <c r="AB603" i="11"/>
  <c r="AD602" i="11"/>
  <c r="AC602" i="11"/>
  <c r="S604" i="11" l="1"/>
  <c r="AB604" i="11"/>
  <c r="R605" i="11"/>
  <c r="AA605" i="11"/>
  <c r="AD603" i="11"/>
  <c r="AC603" i="11"/>
  <c r="N607" i="11"/>
  <c r="O607" i="11" s="1"/>
  <c r="P607" i="11" s="1"/>
  <c r="L608" i="11"/>
  <c r="U607" i="11"/>
  <c r="AF606" i="11"/>
  <c r="AJ606" i="11" s="1"/>
  <c r="X606" i="11"/>
  <c r="Y606" i="11" s="1"/>
  <c r="Q606" i="11"/>
  <c r="V606" i="11"/>
  <c r="W606" i="11"/>
  <c r="R606" i="11" l="1"/>
  <c r="AA606" i="11"/>
  <c r="V607" i="11"/>
  <c r="W607" i="11"/>
  <c r="U608" i="11"/>
  <c r="L609" i="11"/>
  <c r="N608" i="11"/>
  <c r="O608" i="11" s="1"/>
  <c r="AC604" i="11"/>
  <c r="AD604" i="11"/>
  <c r="X607" i="11"/>
  <c r="Y607" i="11" s="1"/>
  <c r="AF607" i="11"/>
  <c r="AJ607" i="11" s="1"/>
  <c r="Q607" i="11"/>
  <c r="S605" i="11"/>
  <c r="AB605" i="11"/>
  <c r="L610" i="11" l="1"/>
  <c r="U609" i="11"/>
  <c r="N609" i="11"/>
  <c r="O609" i="11" s="1"/>
  <c r="AD605" i="11"/>
  <c r="AC605" i="11"/>
  <c r="R607" i="11"/>
  <c r="AA607" i="11"/>
  <c r="Q608" i="11"/>
  <c r="X608" i="11"/>
  <c r="AF608" i="11"/>
  <c r="AJ608" i="11" s="1"/>
  <c r="W608" i="11"/>
  <c r="V608" i="11"/>
  <c r="Y608" i="11"/>
  <c r="P608" i="11"/>
  <c r="P609" i="11" s="1"/>
  <c r="AB606" i="11"/>
  <c r="S606" i="11"/>
  <c r="R608" i="11" l="1"/>
  <c r="AA608" i="11"/>
  <c r="AB607" i="11"/>
  <c r="S607" i="11"/>
  <c r="AF609" i="11"/>
  <c r="AJ609" i="11" s="1"/>
  <c r="X609" i="11"/>
  <c r="Q609" i="11"/>
  <c r="V609" i="11"/>
  <c r="W609" i="11"/>
  <c r="Y609" i="11"/>
  <c r="AC606" i="11"/>
  <c r="AD606" i="11"/>
  <c r="L611" i="11"/>
  <c r="U610" i="11"/>
  <c r="N610" i="11"/>
  <c r="O610" i="11" s="1"/>
  <c r="U611" i="11" l="1"/>
  <c r="L612" i="11"/>
  <c r="N611" i="11"/>
  <c r="O611" i="11" s="1"/>
  <c r="AC607" i="11"/>
  <c r="AD607" i="11"/>
  <c r="S608" i="11"/>
  <c r="AB608" i="11"/>
  <c r="R609" i="11"/>
  <c r="AA609" i="11"/>
  <c r="Q610" i="11"/>
  <c r="AF610" i="11"/>
  <c r="AJ610" i="11" s="1"/>
  <c r="X610" i="11"/>
  <c r="Y610" i="11" s="1"/>
  <c r="V610" i="11"/>
  <c r="W610" i="11"/>
  <c r="P610" i="11"/>
  <c r="R610" i="11" l="1"/>
  <c r="AA610" i="11"/>
  <c r="S609" i="11"/>
  <c r="AB609" i="11"/>
  <c r="N612" i="11"/>
  <c r="O612" i="11" s="1"/>
  <c r="U612" i="11"/>
  <c r="L613" i="11"/>
  <c r="AC608" i="11"/>
  <c r="AD608" i="11"/>
  <c r="P611" i="11"/>
  <c r="P612" i="11" s="1"/>
  <c r="Q611" i="11"/>
  <c r="AF611" i="11"/>
  <c r="AJ611" i="11" s="1"/>
  <c r="X611" i="11"/>
  <c r="Y611" i="11" s="1"/>
  <c r="V611" i="11"/>
  <c r="W611" i="11"/>
  <c r="U613" i="11" l="1"/>
  <c r="N613" i="11"/>
  <c r="O613" i="11" s="1"/>
  <c r="L614" i="11"/>
  <c r="AA611" i="11"/>
  <c r="R611" i="11"/>
  <c r="V612" i="11"/>
  <c r="W612" i="11"/>
  <c r="P613" i="11"/>
  <c r="X612" i="11"/>
  <c r="Y612" i="11" s="1"/>
  <c r="Q612" i="11"/>
  <c r="AF612" i="11"/>
  <c r="AJ612" i="11" s="1"/>
  <c r="AC609" i="11"/>
  <c r="AD609" i="11"/>
  <c r="AB610" i="11"/>
  <c r="S610" i="11"/>
  <c r="AA612" i="11" l="1"/>
  <c r="R612" i="11"/>
  <c r="S611" i="11"/>
  <c r="AB611" i="11"/>
  <c r="L615" i="11"/>
  <c r="U614" i="11"/>
  <c r="N614" i="11"/>
  <c r="O614" i="11" s="1"/>
  <c r="Q613" i="11"/>
  <c r="X613" i="11"/>
  <c r="Y613" i="11" s="1"/>
  <c r="AF613" i="11"/>
  <c r="AJ613" i="11" s="1"/>
  <c r="AC610" i="11"/>
  <c r="AD610" i="11"/>
  <c r="V613" i="11"/>
  <c r="W613" i="11"/>
  <c r="AF614" i="11" l="1"/>
  <c r="AJ614" i="11" s="1"/>
  <c r="X614" i="11"/>
  <c r="Q614" i="11"/>
  <c r="V614" i="11"/>
  <c r="W614" i="11"/>
  <c r="Y614" i="11"/>
  <c r="AD611" i="11"/>
  <c r="AC611" i="11"/>
  <c r="S612" i="11"/>
  <c r="AB612" i="11"/>
  <c r="AA613" i="11"/>
  <c r="R613" i="11"/>
  <c r="U615" i="11"/>
  <c r="N615" i="11"/>
  <c r="O615" i="11" s="1"/>
  <c r="L616" i="11"/>
  <c r="P614" i="11"/>
  <c r="W615" i="11" l="1"/>
  <c r="V615" i="11"/>
  <c r="R614" i="11"/>
  <c r="AA614" i="11"/>
  <c r="X615" i="11"/>
  <c r="Y615" i="11" s="1"/>
  <c r="AF615" i="11"/>
  <c r="AJ615" i="11" s="1"/>
  <c r="Q615" i="11"/>
  <c r="S613" i="11"/>
  <c r="AB613" i="11"/>
  <c r="AD612" i="11"/>
  <c r="AC612" i="11"/>
  <c r="P615" i="11"/>
  <c r="U616" i="11"/>
  <c r="L617" i="11"/>
  <c r="N616" i="11"/>
  <c r="O616" i="11" s="1"/>
  <c r="P616" i="11" l="1"/>
  <c r="V616" i="11"/>
  <c r="W616" i="11"/>
  <c r="AC613" i="11"/>
  <c r="AD613" i="11"/>
  <c r="AA615" i="11"/>
  <c r="R615" i="11"/>
  <c r="Q616" i="11"/>
  <c r="X616" i="11"/>
  <c r="Y616" i="11" s="1"/>
  <c r="AF616" i="11"/>
  <c r="AJ616" i="11" s="1"/>
  <c r="N617" i="11"/>
  <c r="O617" i="11" s="1"/>
  <c r="L618" i="11"/>
  <c r="U617" i="11"/>
  <c r="AB614" i="11"/>
  <c r="S614" i="11"/>
  <c r="AF617" i="11" l="1"/>
  <c r="AJ617" i="11" s="1"/>
  <c r="Q617" i="11"/>
  <c r="X617" i="11"/>
  <c r="S615" i="11"/>
  <c r="AB615" i="11"/>
  <c r="N618" i="11"/>
  <c r="O618" i="11" s="1"/>
  <c r="U618" i="11"/>
  <c r="L619" i="11"/>
  <c r="AA616" i="11"/>
  <c r="R616" i="11"/>
  <c r="P617" i="11"/>
  <c r="P618" i="11" s="1"/>
  <c r="Y617" i="11"/>
  <c r="W617" i="11"/>
  <c r="V617" i="11"/>
  <c r="AD614" i="11"/>
  <c r="AC614" i="11"/>
  <c r="N619" i="11" l="1"/>
  <c r="O619" i="11" s="1"/>
  <c r="U619" i="11"/>
  <c r="L620" i="11"/>
  <c r="S616" i="11"/>
  <c r="AB616" i="11"/>
  <c r="V618" i="11"/>
  <c r="W618" i="11"/>
  <c r="AD615" i="11"/>
  <c r="AC615" i="11"/>
  <c r="AA617" i="11"/>
  <c r="R617" i="11"/>
  <c r="X618" i="11"/>
  <c r="Y618" i="11" s="1"/>
  <c r="Q618" i="11"/>
  <c r="AF618" i="11"/>
  <c r="AJ618" i="11" s="1"/>
  <c r="S617" i="11" l="1"/>
  <c r="AB617" i="11"/>
  <c r="U620" i="11"/>
  <c r="L621" i="11"/>
  <c r="N620" i="11"/>
  <c r="O620" i="11" s="1"/>
  <c r="AF619" i="11"/>
  <c r="AJ619" i="11" s="1"/>
  <c r="Q619" i="11"/>
  <c r="X619" i="11"/>
  <c r="AC616" i="11"/>
  <c r="AD616" i="11"/>
  <c r="V619" i="11"/>
  <c r="W619" i="11"/>
  <c r="Y619" i="11"/>
  <c r="R618" i="11"/>
  <c r="AA618" i="11"/>
  <c r="P619" i="11"/>
  <c r="AB618" i="11" l="1"/>
  <c r="S618" i="11"/>
  <c r="Q620" i="11"/>
  <c r="X620" i="11"/>
  <c r="Y620" i="11" s="1"/>
  <c r="AF620" i="11"/>
  <c r="AJ620" i="11" s="1"/>
  <c r="P620" i="11"/>
  <c r="AC617" i="11"/>
  <c r="AD617" i="11"/>
  <c r="R619" i="11"/>
  <c r="AA619" i="11"/>
  <c r="U621" i="11"/>
  <c r="L622" i="11"/>
  <c r="N621" i="11"/>
  <c r="O621" i="11" s="1"/>
  <c r="W620" i="11"/>
  <c r="V620" i="11"/>
  <c r="Q621" i="11" l="1"/>
  <c r="X621" i="11"/>
  <c r="AF621" i="11"/>
  <c r="AJ621" i="11" s="1"/>
  <c r="U622" i="11"/>
  <c r="N622" i="11"/>
  <c r="O622" i="11" s="1"/>
  <c r="L623" i="11"/>
  <c r="W621" i="11"/>
  <c r="Y621" i="11"/>
  <c r="V621" i="11"/>
  <c r="S619" i="11"/>
  <c r="AB619" i="11"/>
  <c r="P621" i="11"/>
  <c r="P622" i="11" s="1"/>
  <c r="R620" i="11"/>
  <c r="AA620" i="11"/>
  <c r="AD618" i="11"/>
  <c r="AC618" i="11"/>
  <c r="S620" i="11" l="1"/>
  <c r="AB620" i="11"/>
  <c r="AD619" i="11"/>
  <c r="AC619" i="11"/>
  <c r="AF622" i="11"/>
  <c r="AJ622" i="11" s="1"/>
  <c r="Q622" i="11"/>
  <c r="X622" i="11"/>
  <c r="U623" i="11"/>
  <c r="L624" i="11"/>
  <c r="N623" i="11"/>
  <c r="O623" i="11" s="1"/>
  <c r="P623" i="11" s="1"/>
  <c r="W622" i="11"/>
  <c r="Y622" i="11"/>
  <c r="V622" i="11"/>
  <c r="R621" i="11"/>
  <c r="AA621" i="11"/>
  <c r="W623" i="11" l="1"/>
  <c r="V623" i="11"/>
  <c r="AF623" i="11"/>
  <c r="AJ623" i="11" s="1"/>
  <c r="Q623" i="11"/>
  <c r="X623" i="11"/>
  <c r="Y623" i="11" s="1"/>
  <c r="L625" i="11"/>
  <c r="U624" i="11"/>
  <c r="N624" i="11"/>
  <c r="O624" i="11" s="1"/>
  <c r="AD620" i="11"/>
  <c r="AC620" i="11"/>
  <c r="AA622" i="11"/>
  <c r="R622" i="11"/>
  <c r="AB621" i="11"/>
  <c r="S621" i="11"/>
  <c r="W624" i="11" l="1"/>
  <c r="V624" i="11"/>
  <c r="Q624" i="11"/>
  <c r="AF624" i="11"/>
  <c r="AJ624" i="11" s="1"/>
  <c r="X624" i="11"/>
  <c r="Y624" i="11" s="1"/>
  <c r="R623" i="11"/>
  <c r="AA623" i="11"/>
  <c r="S622" i="11"/>
  <c r="AB622" i="11"/>
  <c r="L626" i="11"/>
  <c r="N625" i="11"/>
  <c r="O625" i="11" s="1"/>
  <c r="U625" i="11"/>
  <c r="AD621" i="11"/>
  <c r="AC621" i="11"/>
  <c r="P624" i="11"/>
  <c r="L627" i="11" l="1"/>
  <c r="N626" i="11"/>
  <c r="O626" i="11" s="1"/>
  <c r="U626" i="11"/>
  <c r="R624" i="11"/>
  <c r="AA624" i="11"/>
  <c r="V625" i="11"/>
  <c r="W625" i="11"/>
  <c r="Q625" i="11"/>
  <c r="X625" i="11"/>
  <c r="Y625" i="11" s="1"/>
  <c r="AF625" i="11"/>
  <c r="AJ625" i="11" s="1"/>
  <c r="AC622" i="11"/>
  <c r="AD622" i="11"/>
  <c r="S623" i="11"/>
  <c r="AB623" i="11"/>
  <c r="P625" i="11"/>
  <c r="P626" i="11" s="1"/>
  <c r="S624" i="11" l="1"/>
  <c r="AB624" i="11"/>
  <c r="R625" i="11"/>
  <c r="AA625" i="11"/>
  <c r="W626" i="11"/>
  <c r="V626" i="11"/>
  <c r="X626" i="11"/>
  <c r="Y626" i="11" s="1"/>
  <c r="Q626" i="11"/>
  <c r="AF626" i="11"/>
  <c r="AJ626" i="11" s="1"/>
  <c r="AC623" i="11"/>
  <c r="AD623" i="11"/>
  <c r="N627" i="11"/>
  <c r="O627" i="11" s="1"/>
  <c r="U627" i="11"/>
  <c r="L628" i="11"/>
  <c r="AF627" i="11" l="1"/>
  <c r="AJ627" i="11" s="1"/>
  <c r="X627" i="11"/>
  <c r="Q627" i="11"/>
  <c r="R626" i="11"/>
  <c r="AA626" i="11"/>
  <c r="P627" i="11"/>
  <c r="U628" i="11"/>
  <c r="L629" i="11"/>
  <c r="N628" i="11"/>
  <c r="O628" i="11" s="1"/>
  <c r="AD624" i="11"/>
  <c r="AC624" i="11"/>
  <c r="AB625" i="11"/>
  <c r="S625" i="11"/>
  <c r="Y627" i="11"/>
  <c r="W627" i="11"/>
  <c r="V627" i="11"/>
  <c r="AD625" i="11" l="1"/>
  <c r="AC625" i="11"/>
  <c r="U629" i="11"/>
  <c r="L630" i="11"/>
  <c r="N629" i="11"/>
  <c r="O629" i="11" s="1"/>
  <c r="AF628" i="11"/>
  <c r="AJ628" i="11" s="1"/>
  <c r="Q628" i="11"/>
  <c r="X628" i="11"/>
  <c r="AB626" i="11"/>
  <c r="S626" i="11"/>
  <c r="W628" i="11"/>
  <c r="V628" i="11"/>
  <c r="Y628" i="11"/>
  <c r="P628" i="11"/>
  <c r="P629" i="11" s="1"/>
  <c r="AA627" i="11"/>
  <c r="R627" i="11"/>
  <c r="X629" i="11" l="1"/>
  <c r="Q629" i="11"/>
  <c r="AF629" i="11"/>
  <c r="AJ629" i="11" s="1"/>
  <c r="AD626" i="11"/>
  <c r="AC626" i="11"/>
  <c r="AA628" i="11"/>
  <c r="R628" i="11"/>
  <c r="N630" i="11"/>
  <c r="O630" i="11" s="1"/>
  <c r="U630" i="11"/>
  <c r="L631" i="11"/>
  <c r="W629" i="11"/>
  <c r="Y629" i="11"/>
  <c r="V629" i="11"/>
  <c r="AB627" i="11"/>
  <c r="S627" i="11"/>
  <c r="Q630" i="11" l="1"/>
  <c r="X630" i="11"/>
  <c r="AF630" i="11"/>
  <c r="AJ630" i="11" s="1"/>
  <c r="N631" i="11"/>
  <c r="O631" i="11" s="1"/>
  <c r="U631" i="11"/>
  <c r="L632" i="11"/>
  <c r="P630" i="11"/>
  <c r="P631" i="11" s="1"/>
  <c r="Y630" i="11"/>
  <c r="W630" i="11"/>
  <c r="V630" i="11"/>
  <c r="S628" i="11"/>
  <c r="AB628" i="11"/>
  <c r="AA629" i="11"/>
  <c r="R629" i="11"/>
  <c r="AC627" i="11"/>
  <c r="AD627" i="11"/>
  <c r="S629" i="11" l="1"/>
  <c r="AB629" i="11"/>
  <c r="U632" i="11"/>
  <c r="L633" i="11"/>
  <c r="N632" i="11"/>
  <c r="O632" i="11" s="1"/>
  <c r="AD628" i="11"/>
  <c r="AC628" i="11"/>
  <c r="W631" i="11"/>
  <c r="V631" i="11"/>
  <c r="P632" i="11"/>
  <c r="Q631" i="11"/>
  <c r="AF631" i="11"/>
  <c r="AJ631" i="11" s="1"/>
  <c r="X631" i="11"/>
  <c r="Y631" i="11" s="1"/>
  <c r="R630" i="11"/>
  <c r="AA630" i="11"/>
  <c r="X632" i="11" l="1"/>
  <c r="AF632" i="11"/>
  <c r="AJ632" i="11" s="1"/>
  <c r="Q632" i="11"/>
  <c r="R631" i="11"/>
  <c r="AA631" i="11"/>
  <c r="AD629" i="11"/>
  <c r="AC629" i="11"/>
  <c r="U633" i="11"/>
  <c r="N633" i="11"/>
  <c r="O633" i="11" s="1"/>
  <c r="L634" i="11"/>
  <c r="V632" i="11"/>
  <c r="W632" i="11"/>
  <c r="Y632" i="11"/>
  <c r="S630" i="11"/>
  <c r="AB630" i="11"/>
  <c r="AF633" i="11" l="1"/>
  <c r="AJ633" i="11" s="1"/>
  <c r="X633" i="11"/>
  <c r="Q633" i="11"/>
  <c r="R632" i="11"/>
  <c r="AA632" i="11"/>
  <c r="U634" i="11"/>
  <c r="N634" i="11"/>
  <c r="O634" i="11" s="1"/>
  <c r="L635" i="11"/>
  <c r="Y633" i="11"/>
  <c r="W633" i="11"/>
  <c r="V633" i="11"/>
  <c r="AB631" i="11"/>
  <c r="S631" i="11"/>
  <c r="AC630" i="11"/>
  <c r="AD630" i="11"/>
  <c r="P633" i="11"/>
  <c r="AC631" i="11" l="1"/>
  <c r="AD631" i="11"/>
  <c r="N635" i="11"/>
  <c r="O635" i="11" s="1"/>
  <c r="L636" i="11"/>
  <c r="U635" i="11"/>
  <c r="AF634" i="11"/>
  <c r="AJ634" i="11" s="1"/>
  <c r="Q634" i="11"/>
  <c r="X634" i="11"/>
  <c r="R633" i="11"/>
  <c r="AA633" i="11"/>
  <c r="V634" i="11"/>
  <c r="Y634" i="11"/>
  <c r="W634" i="11"/>
  <c r="P634" i="11"/>
  <c r="P635" i="11" s="1"/>
  <c r="S632" i="11"/>
  <c r="AB632" i="11"/>
  <c r="AB633" i="11" l="1"/>
  <c r="S633" i="11"/>
  <c r="AA634" i="11"/>
  <c r="R634" i="11"/>
  <c r="W635" i="11"/>
  <c r="V635" i="11"/>
  <c r="N636" i="11"/>
  <c r="O636" i="11" s="1"/>
  <c r="L637" i="11"/>
  <c r="U636" i="11"/>
  <c r="AF635" i="11"/>
  <c r="AJ635" i="11" s="1"/>
  <c r="X635" i="11"/>
  <c r="Y635" i="11" s="1"/>
  <c r="Q635" i="11"/>
  <c r="AD632" i="11"/>
  <c r="AC632" i="11"/>
  <c r="V636" i="11" l="1"/>
  <c r="W636" i="11"/>
  <c r="N637" i="11"/>
  <c r="O637" i="11" s="1"/>
  <c r="L638" i="11"/>
  <c r="U637" i="11"/>
  <c r="R635" i="11"/>
  <c r="AA635" i="11"/>
  <c r="AB634" i="11"/>
  <c r="S634" i="11"/>
  <c r="AF636" i="11"/>
  <c r="AJ636" i="11" s="1"/>
  <c r="X636" i="11"/>
  <c r="Y636" i="11" s="1"/>
  <c r="Q636" i="11"/>
  <c r="P636" i="11"/>
  <c r="P637" i="11" s="1"/>
  <c r="AC633" i="11"/>
  <c r="AD633" i="11"/>
  <c r="AC634" i="11" l="1"/>
  <c r="AD634" i="11"/>
  <c r="W637" i="11"/>
  <c r="V637" i="11"/>
  <c r="N638" i="11"/>
  <c r="O638" i="11" s="1"/>
  <c r="U638" i="11"/>
  <c r="L639" i="11"/>
  <c r="AA636" i="11"/>
  <c r="R636" i="11"/>
  <c r="X637" i="11"/>
  <c r="Y637" i="11" s="1"/>
  <c r="Q637" i="11"/>
  <c r="AF637" i="11"/>
  <c r="AJ637" i="11" s="1"/>
  <c r="AB635" i="11"/>
  <c r="S635" i="11"/>
  <c r="V638" i="11" l="1"/>
  <c r="W638" i="11"/>
  <c r="X638" i="11"/>
  <c r="Y638" i="11" s="1"/>
  <c r="Q638" i="11"/>
  <c r="AF638" i="11"/>
  <c r="AJ638" i="11" s="1"/>
  <c r="AB636" i="11"/>
  <c r="S636" i="11"/>
  <c r="R637" i="11"/>
  <c r="AA637" i="11"/>
  <c r="N639" i="11"/>
  <c r="O639" i="11" s="1"/>
  <c r="L640" i="11"/>
  <c r="U639" i="11"/>
  <c r="AD635" i="11"/>
  <c r="AC635" i="11"/>
  <c r="P638" i="11"/>
  <c r="U640" i="11" l="1"/>
  <c r="L641" i="11"/>
  <c r="N640" i="11"/>
  <c r="O640" i="11" s="1"/>
  <c r="S637" i="11"/>
  <c r="AB637" i="11"/>
  <c r="X639" i="11"/>
  <c r="Q639" i="11"/>
  <c r="AF639" i="11"/>
  <c r="AJ639" i="11" s="1"/>
  <c r="AC636" i="11"/>
  <c r="AD636" i="11"/>
  <c r="V639" i="11"/>
  <c r="Y639" i="11"/>
  <c r="W639" i="11"/>
  <c r="P639" i="11"/>
  <c r="P640" i="11" s="1"/>
  <c r="AA638" i="11"/>
  <c r="R638" i="11"/>
  <c r="R639" i="11" l="1"/>
  <c r="AA639" i="11"/>
  <c r="Q640" i="11"/>
  <c r="AF640" i="11"/>
  <c r="AJ640" i="11" s="1"/>
  <c r="X640" i="11"/>
  <c r="Y640" i="11" s="1"/>
  <c r="AD637" i="11"/>
  <c r="AC637" i="11"/>
  <c r="L642" i="11"/>
  <c r="U641" i="11"/>
  <c r="N641" i="11"/>
  <c r="O641" i="11" s="1"/>
  <c r="P641" i="11" s="1"/>
  <c r="AB638" i="11"/>
  <c r="S638" i="11"/>
  <c r="W640" i="11"/>
  <c r="V640" i="11"/>
  <c r="AC638" i="11" l="1"/>
  <c r="AD638" i="11"/>
  <c r="W641" i="11"/>
  <c r="V641" i="11"/>
  <c r="L643" i="11"/>
  <c r="N642" i="11"/>
  <c r="O642" i="11" s="1"/>
  <c r="U642" i="11"/>
  <c r="Q641" i="11"/>
  <c r="X641" i="11"/>
  <c r="Y641" i="11" s="1"/>
  <c r="AF641" i="11"/>
  <c r="AJ641" i="11" s="1"/>
  <c r="R640" i="11"/>
  <c r="AA640" i="11"/>
  <c r="AB639" i="11"/>
  <c r="S639" i="11"/>
  <c r="AF642" i="11" l="1"/>
  <c r="AJ642" i="11" s="1"/>
  <c r="X642" i="11"/>
  <c r="Q642" i="11"/>
  <c r="R641" i="11"/>
  <c r="AA641" i="11"/>
  <c r="S640" i="11"/>
  <c r="AB640" i="11"/>
  <c r="W642" i="11"/>
  <c r="Y642" i="11"/>
  <c r="V642" i="11"/>
  <c r="U643" i="11"/>
  <c r="N643" i="11"/>
  <c r="O643" i="11" s="1"/>
  <c r="L644" i="11"/>
  <c r="AC639" i="11"/>
  <c r="AD639" i="11"/>
  <c r="P642" i="11"/>
  <c r="Q643" i="11" l="1"/>
  <c r="X643" i="11"/>
  <c r="AF643" i="11"/>
  <c r="AJ643" i="11" s="1"/>
  <c r="V643" i="11"/>
  <c r="W643" i="11"/>
  <c r="Y643" i="11"/>
  <c r="R642" i="11"/>
  <c r="AA642" i="11"/>
  <c r="N644" i="11"/>
  <c r="O644" i="11" s="1"/>
  <c r="L645" i="11"/>
  <c r="U644" i="11"/>
  <c r="P643" i="11"/>
  <c r="AC640" i="11"/>
  <c r="AD640" i="11"/>
  <c r="AB641" i="11"/>
  <c r="S641" i="11"/>
  <c r="P644" i="11" l="1"/>
  <c r="Q644" i="11"/>
  <c r="AF644" i="11"/>
  <c r="AJ644" i="11" s="1"/>
  <c r="X644" i="11"/>
  <c r="Y644" i="11" s="1"/>
  <c r="W644" i="11"/>
  <c r="V644" i="11"/>
  <c r="S642" i="11"/>
  <c r="AB642" i="11"/>
  <c r="N645" i="11"/>
  <c r="O645" i="11" s="1"/>
  <c r="U645" i="11"/>
  <c r="L646" i="11"/>
  <c r="AC641" i="11"/>
  <c r="AD641" i="11"/>
  <c r="R643" i="11"/>
  <c r="AA643" i="11"/>
  <c r="Q645" i="11" l="1"/>
  <c r="AF645" i="11"/>
  <c r="AJ645" i="11" s="1"/>
  <c r="X645" i="11"/>
  <c r="Y645" i="11" s="1"/>
  <c r="W645" i="11"/>
  <c r="V645" i="11"/>
  <c r="AC642" i="11"/>
  <c r="AD642" i="11"/>
  <c r="R644" i="11"/>
  <c r="AA644" i="11"/>
  <c r="N646" i="11"/>
  <c r="O646" i="11" s="1"/>
  <c r="U646" i="11"/>
  <c r="L647" i="11"/>
  <c r="S643" i="11"/>
  <c r="AB643" i="11"/>
  <c r="P645" i="11"/>
  <c r="N647" i="11" l="1"/>
  <c r="O647" i="11" s="1"/>
  <c r="L648" i="11"/>
  <c r="U647" i="11"/>
  <c r="W646" i="11"/>
  <c r="V646" i="11"/>
  <c r="P646" i="11"/>
  <c r="P647" i="11" s="1"/>
  <c r="Q646" i="11"/>
  <c r="X646" i="11"/>
  <c r="Y646" i="11" s="1"/>
  <c r="AF646" i="11"/>
  <c r="AJ646" i="11" s="1"/>
  <c r="S644" i="11"/>
  <c r="AB644" i="11"/>
  <c r="AD643" i="11"/>
  <c r="AC643" i="11"/>
  <c r="R645" i="11"/>
  <c r="AA645" i="11"/>
  <c r="AD644" i="11" l="1"/>
  <c r="AC644" i="11"/>
  <c r="U648" i="11"/>
  <c r="L649" i="11"/>
  <c r="N648" i="11"/>
  <c r="O648" i="11" s="1"/>
  <c r="X647" i="11"/>
  <c r="AF647" i="11"/>
  <c r="AJ647" i="11" s="1"/>
  <c r="Q647" i="11"/>
  <c r="AA646" i="11"/>
  <c r="R646" i="11"/>
  <c r="W647" i="11"/>
  <c r="V647" i="11"/>
  <c r="Y647" i="11"/>
  <c r="S645" i="11"/>
  <c r="AB645" i="11"/>
  <c r="R647" i="11" l="1"/>
  <c r="AA647" i="11"/>
  <c r="AB646" i="11"/>
  <c r="S646" i="11"/>
  <c r="AF648" i="11"/>
  <c r="AJ648" i="11" s="1"/>
  <c r="Q648" i="11"/>
  <c r="X648" i="11"/>
  <c r="Y648" i="11" s="1"/>
  <c r="W648" i="11"/>
  <c r="V648" i="11"/>
  <c r="U649" i="11"/>
  <c r="N649" i="11"/>
  <c r="O649" i="11" s="1"/>
  <c r="L650" i="11"/>
  <c r="AC645" i="11"/>
  <c r="AD645" i="11"/>
  <c r="P648" i="11"/>
  <c r="U650" i="11" l="1"/>
  <c r="N650" i="11"/>
  <c r="O650" i="11" s="1"/>
  <c r="L651" i="11"/>
  <c r="X649" i="11"/>
  <c r="AF649" i="11"/>
  <c r="AJ649" i="11" s="1"/>
  <c r="Q649" i="11"/>
  <c r="V649" i="11"/>
  <c r="Y649" i="11"/>
  <c r="W649" i="11"/>
  <c r="R648" i="11"/>
  <c r="AA648" i="11"/>
  <c r="P649" i="11"/>
  <c r="P650" i="11" s="1"/>
  <c r="AD646" i="11"/>
  <c r="AC646" i="11"/>
  <c r="AB647" i="11"/>
  <c r="S647" i="11"/>
  <c r="R649" i="11" l="1"/>
  <c r="AA649" i="11"/>
  <c r="AB648" i="11"/>
  <c r="S648" i="11"/>
  <c r="AF650" i="11"/>
  <c r="AJ650" i="11" s="1"/>
  <c r="X650" i="11"/>
  <c r="Q650" i="11"/>
  <c r="N651" i="11"/>
  <c r="O651" i="11" s="1"/>
  <c r="L652" i="11"/>
  <c r="U651" i="11"/>
  <c r="AC647" i="11"/>
  <c r="AD647" i="11"/>
  <c r="Y650" i="11"/>
  <c r="V650" i="11"/>
  <c r="W650" i="11"/>
  <c r="U652" i="11" l="1"/>
  <c r="L653" i="11"/>
  <c r="N652" i="11"/>
  <c r="O652" i="11" s="1"/>
  <c r="R650" i="11"/>
  <c r="AA650" i="11"/>
  <c r="X651" i="11"/>
  <c r="AF651" i="11"/>
  <c r="AJ651" i="11" s="1"/>
  <c r="Q651" i="11"/>
  <c r="AD648" i="11"/>
  <c r="AC648" i="11"/>
  <c r="Y651" i="11"/>
  <c r="V651" i="11"/>
  <c r="W651" i="11"/>
  <c r="P651" i="11"/>
  <c r="P652" i="11" s="1"/>
  <c r="S649" i="11"/>
  <c r="AB649" i="11"/>
  <c r="AA651" i="11" l="1"/>
  <c r="R651" i="11"/>
  <c r="Q652" i="11"/>
  <c r="AF652" i="11"/>
  <c r="AJ652" i="11" s="1"/>
  <c r="X652" i="11"/>
  <c r="Y652" i="11" s="1"/>
  <c r="W652" i="11"/>
  <c r="V652" i="11"/>
  <c r="S650" i="11"/>
  <c r="AB650" i="11"/>
  <c r="L654" i="11"/>
  <c r="N653" i="11"/>
  <c r="O653" i="11" s="1"/>
  <c r="U653" i="11"/>
  <c r="AC649" i="11"/>
  <c r="AD649" i="11"/>
  <c r="W653" i="11" l="1"/>
  <c r="V653" i="11"/>
  <c r="AC650" i="11"/>
  <c r="AD650" i="11"/>
  <c r="X653" i="11"/>
  <c r="Y653" i="11" s="1"/>
  <c r="AF653" i="11"/>
  <c r="AJ653" i="11" s="1"/>
  <c r="Q653" i="11"/>
  <c r="AB651" i="11"/>
  <c r="S651" i="11"/>
  <c r="U654" i="11"/>
  <c r="L655" i="11"/>
  <c r="N654" i="11"/>
  <c r="O654" i="11" s="1"/>
  <c r="R652" i="11"/>
  <c r="AA652" i="11"/>
  <c r="P653" i="11"/>
  <c r="Q654" i="11" l="1"/>
  <c r="AF654" i="11"/>
  <c r="AJ654" i="11" s="1"/>
  <c r="X654" i="11"/>
  <c r="AB652" i="11"/>
  <c r="S652" i="11"/>
  <c r="W654" i="11"/>
  <c r="V654" i="11"/>
  <c r="Y654" i="11"/>
  <c r="R653" i="11"/>
  <c r="AA653" i="11"/>
  <c r="AC651" i="11"/>
  <c r="AD651" i="11"/>
  <c r="N655" i="11"/>
  <c r="O655" i="11" s="1"/>
  <c r="L656" i="11"/>
  <c r="U655" i="11"/>
  <c r="P654" i="11"/>
  <c r="U656" i="11" l="1"/>
  <c r="N656" i="11"/>
  <c r="O656" i="11" s="1"/>
  <c r="L657" i="11"/>
  <c r="Q655" i="11"/>
  <c r="AF655" i="11"/>
  <c r="AJ655" i="11" s="1"/>
  <c r="X655" i="11"/>
  <c r="AB653" i="11"/>
  <c r="S653" i="11"/>
  <c r="AC652" i="11"/>
  <c r="AD652" i="11"/>
  <c r="P655" i="11"/>
  <c r="P656" i="11" s="1"/>
  <c r="W655" i="11"/>
  <c r="V655" i="11"/>
  <c r="Y655" i="11"/>
  <c r="AA654" i="11"/>
  <c r="R654" i="11"/>
  <c r="X656" i="11" l="1"/>
  <c r="AF656" i="11"/>
  <c r="AJ656" i="11" s="1"/>
  <c r="Q656" i="11"/>
  <c r="AD653" i="11"/>
  <c r="AC653" i="11"/>
  <c r="L658" i="11"/>
  <c r="U657" i="11"/>
  <c r="N657" i="11"/>
  <c r="O657" i="11" s="1"/>
  <c r="R655" i="11"/>
  <c r="AA655" i="11"/>
  <c r="S654" i="11"/>
  <c r="AB654" i="11"/>
  <c r="Y656" i="11"/>
  <c r="V656" i="11"/>
  <c r="W656" i="11"/>
  <c r="AC654" i="11" l="1"/>
  <c r="AD654" i="11"/>
  <c r="R656" i="11"/>
  <c r="AA656" i="11"/>
  <c r="Q657" i="11"/>
  <c r="X657" i="11"/>
  <c r="Y657" i="11" s="1"/>
  <c r="AF657" i="11"/>
  <c r="AJ657" i="11" s="1"/>
  <c r="L659" i="11"/>
  <c r="N658" i="11"/>
  <c r="O658" i="11" s="1"/>
  <c r="U658" i="11"/>
  <c r="AB655" i="11"/>
  <c r="S655" i="11"/>
  <c r="W657" i="11"/>
  <c r="V657" i="11"/>
  <c r="P657" i="11"/>
  <c r="V658" i="11" l="1"/>
  <c r="W658" i="11"/>
  <c r="AF658" i="11"/>
  <c r="AJ658" i="11" s="1"/>
  <c r="Q658" i="11"/>
  <c r="X658" i="11"/>
  <c r="Y658" i="11" s="1"/>
  <c r="AD655" i="11"/>
  <c r="AC655" i="11"/>
  <c r="P658" i="11"/>
  <c r="L660" i="11"/>
  <c r="U659" i="11"/>
  <c r="N659" i="11"/>
  <c r="O659" i="11" s="1"/>
  <c r="R657" i="11"/>
  <c r="AA657" i="11"/>
  <c r="S656" i="11"/>
  <c r="AB656" i="11"/>
  <c r="S657" i="11" l="1"/>
  <c r="AB657" i="11"/>
  <c r="Q659" i="11"/>
  <c r="X659" i="11"/>
  <c r="AF659" i="11"/>
  <c r="AJ659" i="11" s="1"/>
  <c r="L661" i="11"/>
  <c r="U660" i="11"/>
  <c r="N660" i="11"/>
  <c r="O660" i="11" s="1"/>
  <c r="P659" i="11"/>
  <c r="R658" i="11"/>
  <c r="AA658" i="11"/>
  <c r="V659" i="11"/>
  <c r="Y659" i="11"/>
  <c r="W659" i="11"/>
  <c r="AC656" i="11"/>
  <c r="AD656" i="11"/>
  <c r="X660" i="11" l="1"/>
  <c r="AF660" i="11"/>
  <c r="AJ660" i="11" s="1"/>
  <c r="Q660" i="11"/>
  <c r="P660" i="11"/>
  <c r="Y660" i="11"/>
  <c r="W660" i="11"/>
  <c r="V660" i="11"/>
  <c r="R659" i="11"/>
  <c r="AA659" i="11"/>
  <c r="U661" i="11"/>
  <c r="N661" i="11"/>
  <c r="O661" i="11" s="1"/>
  <c r="L662" i="11"/>
  <c r="AD657" i="11"/>
  <c r="AC657" i="11"/>
  <c r="S658" i="11"/>
  <c r="AB658" i="11"/>
  <c r="U662" i="11" l="1"/>
  <c r="L663" i="11"/>
  <c r="N662" i="11"/>
  <c r="O662" i="11" s="1"/>
  <c r="P661" i="11"/>
  <c r="P662" i="11" s="1"/>
  <c r="Q661" i="11"/>
  <c r="AF661" i="11"/>
  <c r="AJ661" i="11" s="1"/>
  <c r="X661" i="11"/>
  <c r="S659" i="11"/>
  <c r="AB659" i="11"/>
  <c r="V661" i="11"/>
  <c r="W661" i="11"/>
  <c r="Y661" i="11"/>
  <c r="R660" i="11"/>
  <c r="AA660" i="11"/>
  <c r="AD658" i="11"/>
  <c r="AC658" i="11"/>
  <c r="S660" i="11" l="1"/>
  <c r="AB660" i="11"/>
  <c r="AC659" i="11"/>
  <c r="AD659" i="11"/>
  <c r="AA661" i="11"/>
  <c r="R661" i="11"/>
  <c r="U663" i="11"/>
  <c r="L664" i="11"/>
  <c r="N663" i="11"/>
  <c r="O663" i="11" s="1"/>
  <c r="Q662" i="11"/>
  <c r="AF662" i="11"/>
  <c r="AJ662" i="11" s="1"/>
  <c r="X662" i="11"/>
  <c r="Y662" i="11" s="1"/>
  <c r="V662" i="11"/>
  <c r="W662" i="11"/>
  <c r="N664" i="11" l="1"/>
  <c r="O664" i="11" s="1"/>
  <c r="L665" i="11"/>
  <c r="U664" i="11"/>
  <c r="AA662" i="11"/>
  <c r="R662" i="11"/>
  <c r="AC660" i="11"/>
  <c r="AD660" i="11"/>
  <c r="X663" i="11"/>
  <c r="Y663" i="11" s="1"/>
  <c r="AF663" i="11"/>
  <c r="AJ663" i="11" s="1"/>
  <c r="Q663" i="11"/>
  <c r="V663" i="11"/>
  <c r="W663" i="11"/>
  <c r="S661" i="11"/>
  <c r="AB661" i="11"/>
  <c r="P663" i="11"/>
  <c r="AA663" i="11" l="1"/>
  <c r="R663" i="11"/>
  <c r="S662" i="11"/>
  <c r="AB662" i="11"/>
  <c r="W664" i="11"/>
  <c r="V664" i="11"/>
  <c r="Q664" i="11"/>
  <c r="X664" i="11"/>
  <c r="Y664" i="11" s="1"/>
  <c r="AF664" i="11"/>
  <c r="AJ664" i="11" s="1"/>
  <c r="U665" i="11"/>
  <c r="N665" i="11"/>
  <c r="O665" i="11" s="1"/>
  <c r="L666" i="11"/>
  <c r="P664" i="11"/>
  <c r="AD661" i="11"/>
  <c r="AC661" i="11"/>
  <c r="P665" i="11" l="1"/>
  <c r="AF665" i="11"/>
  <c r="AJ665" i="11" s="1"/>
  <c r="Q665" i="11"/>
  <c r="X665" i="11"/>
  <c r="AD662" i="11"/>
  <c r="AC662" i="11"/>
  <c r="R664" i="11"/>
  <c r="AA664" i="11"/>
  <c r="U666" i="11"/>
  <c r="L667" i="11"/>
  <c r="N666" i="11"/>
  <c r="O666" i="11" s="1"/>
  <c r="W665" i="11"/>
  <c r="Y665" i="11"/>
  <c r="V665" i="11"/>
  <c r="S663" i="11"/>
  <c r="AB663" i="11"/>
  <c r="AF666" i="11" l="1"/>
  <c r="AJ666" i="11" s="1"/>
  <c r="Q666" i="11"/>
  <c r="X666" i="11"/>
  <c r="Y666" i="11" s="1"/>
  <c r="N667" i="11"/>
  <c r="O667" i="11" s="1"/>
  <c r="U667" i="11"/>
  <c r="L668" i="11"/>
  <c r="AB664" i="11"/>
  <c r="S664" i="11"/>
  <c r="AC663" i="11"/>
  <c r="AD663" i="11"/>
  <c r="R665" i="11"/>
  <c r="AA665" i="11"/>
  <c r="V666" i="11"/>
  <c r="W666" i="11"/>
  <c r="P666" i="11"/>
  <c r="L669" i="11" l="1"/>
  <c r="N668" i="11"/>
  <c r="O668" i="11" s="1"/>
  <c r="U668" i="11"/>
  <c r="S665" i="11"/>
  <c r="AB665" i="11"/>
  <c r="W667" i="11"/>
  <c r="V667" i="11"/>
  <c r="P667" i="11"/>
  <c r="P668" i="11" s="1"/>
  <c r="R666" i="11"/>
  <c r="AA666" i="11"/>
  <c r="AC664" i="11"/>
  <c r="AD664" i="11"/>
  <c r="AF667" i="11"/>
  <c r="AJ667" i="11" s="1"/>
  <c r="Q667" i="11"/>
  <c r="X667" i="11"/>
  <c r="Y667" i="11" s="1"/>
  <c r="AC665" i="11" l="1"/>
  <c r="AD665" i="11"/>
  <c r="U669" i="11"/>
  <c r="N669" i="11"/>
  <c r="O669" i="11" s="1"/>
  <c r="L670" i="11"/>
  <c r="S666" i="11"/>
  <c r="AB666" i="11"/>
  <c r="W668" i="11"/>
  <c r="V668" i="11"/>
  <c r="Q668" i="11"/>
  <c r="AF668" i="11"/>
  <c r="AJ668" i="11" s="1"/>
  <c r="X668" i="11"/>
  <c r="Y668" i="11" s="1"/>
  <c r="AA667" i="11"/>
  <c r="R667" i="11"/>
  <c r="R668" i="11" l="1"/>
  <c r="AA668" i="11"/>
  <c r="AD666" i="11"/>
  <c r="AC666" i="11"/>
  <c r="N670" i="11"/>
  <c r="O670" i="11" s="1"/>
  <c r="L671" i="11"/>
  <c r="U670" i="11"/>
  <c r="V669" i="11"/>
  <c r="W669" i="11"/>
  <c r="S667" i="11"/>
  <c r="AB667" i="11"/>
  <c r="X669" i="11"/>
  <c r="Y669" i="11" s="1"/>
  <c r="AF669" i="11"/>
  <c r="AJ669" i="11" s="1"/>
  <c r="Q669" i="11"/>
  <c r="P669" i="11"/>
  <c r="AC667" i="11" l="1"/>
  <c r="AD667" i="11"/>
  <c r="X670" i="11"/>
  <c r="AF670" i="11"/>
  <c r="AJ670" i="11" s="1"/>
  <c r="Q670" i="11"/>
  <c r="Y670" i="11"/>
  <c r="V670" i="11"/>
  <c r="W670" i="11"/>
  <c r="U671" i="11"/>
  <c r="L672" i="11"/>
  <c r="N671" i="11"/>
  <c r="O671" i="11" s="1"/>
  <c r="P670" i="11"/>
  <c r="AA669" i="11"/>
  <c r="R669" i="11"/>
  <c r="AB668" i="11"/>
  <c r="S668" i="11"/>
  <c r="P671" i="11" l="1"/>
  <c r="X671" i="11"/>
  <c r="Q671" i="11"/>
  <c r="AF671" i="11"/>
  <c r="AJ671" i="11" s="1"/>
  <c r="R670" i="11"/>
  <c r="AA670" i="11"/>
  <c r="V671" i="11"/>
  <c r="Y671" i="11"/>
  <c r="W671" i="11"/>
  <c r="AB669" i="11"/>
  <c r="S669" i="11"/>
  <c r="U672" i="11"/>
  <c r="N672" i="11"/>
  <c r="O672" i="11" s="1"/>
  <c r="L673" i="11"/>
  <c r="AC668" i="11"/>
  <c r="AD668" i="11"/>
  <c r="X672" i="11" l="1"/>
  <c r="AF672" i="11"/>
  <c r="AJ672" i="11" s="1"/>
  <c r="Q672" i="11"/>
  <c r="U673" i="11"/>
  <c r="L674" i="11"/>
  <c r="N673" i="11"/>
  <c r="O673" i="11" s="1"/>
  <c r="V672" i="11"/>
  <c r="W672" i="11"/>
  <c r="Y672" i="11"/>
  <c r="AD669" i="11"/>
  <c r="AC669" i="11"/>
  <c r="AB670" i="11"/>
  <c r="S670" i="11"/>
  <c r="R671" i="11"/>
  <c r="AA671" i="11"/>
  <c r="P672" i="11"/>
  <c r="AC670" i="11" l="1"/>
  <c r="AD670" i="11"/>
  <c r="AF673" i="11"/>
  <c r="AJ673" i="11" s="1"/>
  <c r="X673" i="11"/>
  <c r="Y673" i="11" s="1"/>
  <c r="Q673" i="11"/>
  <c r="R672" i="11"/>
  <c r="AA672" i="11"/>
  <c r="AB671" i="11"/>
  <c r="S671" i="11"/>
  <c r="P673" i="11"/>
  <c r="L675" i="11"/>
  <c r="N674" i="11"/>
  <c r="O674" i="11" s="1"/>
  <c r="U674" i="11"/>
  <c r="V673" i="11"/>
  <c r="W673" i="11"/>
  <c r="V674" i="11" l="1"/>
  <c r="W674" i="11"/>
  <c r="P674" i="11"/>
  <c r="AF674" i="11"/>
  <c r="AJ674" i="11" s="1"/>
  <c r="Q674" i="11"/>
  <c r="X674" i="11"/>
  <c r="Y674" i="11" s="1"/>
  <c r="AC671" i="11"/>
  <c r="AD671" i="11"/>
  <c r="R673" i="11"/>
  <c r="AA673" i="11"/>
  <c r="L676" i="11"/>
  <c r="N675" i="11"/>
  <c r="O675" i="11" s="1"/>
  <c r="U675" i="11"/>
  <c r="AB672" i="11"/>
  <c r="S672" i="11"/>
  <c r="AB673" i="11" l="1"/>
  <c r="S673" i="11"/>
  <c r="Q675" i="11"/>
  <c r="X675" i="11"/>
  <c r="AF675" i="11"/>
  <c r="AJ675" i="11" s="1"/>
  <c r="R674" i="11"/>
  <c r="AA674" i="11"/>
  <c r="W675" i="11"/>
  <c r="Y675" i="11"/>
  <c r="V675" i="11"/>
  <c r="L677" i="11"/>
  <c r="N676" i="11"/>
  <c r="O676" i="11" s="1"/>
  <c r="U676" i="11"/>
  <c r="P675" i="11"/>
  <c r="AD672" i="11"/>
  <c r="AC672" i="11"/>
  <c r="V676" i="11" l="1"/>
  <c r="W676" i="11"/>
  <c r="L678" i="11"/>
  <c r="N677" i="11"/>
  <c r="O677" i="11" s="1"/>
  <c r="U677" i="11"/>
  <c r="P676" i="11"/>
  <c r="Q676" i="11"/>
  <c r="X676" i="11"/>
  <c r="Y676" i="11" s="1"/>
  <c r="AF676" i="11"/>
  <c r="AJ676" i="11" s="1"/>
  <c r="S674" i="11"/>
  <c r="AB674" i="11"/>
  <c r="R675" i="11"/>
  <c r="AA675" i="11"/>
  <c r="AC673" i="11"/>
  <c r="AD673" i="11"/>
  <c r="R676" i="11" l="1"/>
  <c r="AA676" i="11"/>
  <c r="P677" i="11"/>
  <c r="S675" i="11"/>
  <c r="AB675" i="11"/>
  <c r="V677" i="11"/>
  <c r="W677" i="11"/>
  <c r="AC674" i="11"/>
  <c r="AD674" i="11"/>
  <c r="Q677" i="11"/>
  <c r="X677" i="11"/>
  <c r="Y677" i="11" s="1"/>
  <c r="AF677" i="11"/>
  <c r="AJ677" i="11" s="1"/>
  <c r="U678" i="11"/>
  <c r="N678" i="11"/>
  <c r="O678" i="11" s="1"/>
  <c r="L679" i="11"/>
  <c r="P678" i="11" l="1"/>
  <c r="W678" i="11"/>
  <c r="V678" i="11"/>
  <c r="AA677" i="11"/>
  <c r="R677" i="11"/>
  <c r="AD675" i="11"/>
  <c r="AC675" i="11"/>
  <c r="L680" i="11"/>
  <c r="U679" i="11"/>
  <c r="N679" i="11"/>
  <c r="O679" i="11" s="1"/>
  <c r="Q678" i="11"/>
  <c r="X678" i="11"/>
  <c r="Y678" i="11" s="1"/>
  <c r="AF678" i="11"/>
  <c r="AJ678" i="11" s="1"/>
  <c r="AB676" i="11"/>
  <c r="S676" i="11"/>
  <c r="Q679" i="11" l="1"/>
  <c r="X679" i="11"/>
  <c r="AF679" i="11"/>
  <c r="AJ679" i="11" s="1"/>
  <c r="U680" i="11"/>
  <c r="N680" i="11"/>
  <c r="O680" i="11" s="1"/>
  <c r="L681" i="11"/>
  <c r="R678" i="11"/>
  <c r="AA678" i="11"/>
  <c r="Y679" i="11"/>
  <c r="V679" i="11"/>
  <c r="W679" i="11"/>
  <c r="AB677" i="11"/>
  <c r="S677" i="11"/>
  <c r="P679" i="11"/>
  <c r="P680" i="11" s="1"/>
  <c r="AD676" i="11"/>
  <c r="AC676" i="11"/>
  <c r="AD677" i="11" l="1"/>
  <c r="AC677" i="11"/>
  <c r="AF680" i="11"/>
  <c r="AJ680" i="11" s="1"/>
  <c r="Q680" i="11"/>
  <c r="X680" i="11"/>
  <c r="AB678" i="11"/>
  <c r="S678" i="11"/>
  <c r="L682" i="11"/>
  <c r="N681" i="11"/>
  <c r="O681" i="11" s="1"/>
  <c r="U681" i="11"/>
  <c r="V680" i="11"/>
  <c r="W680" i="11"/>
  <c r="Y680" i="11"/>
  <c r="AA679" i="11"/>
  <c r="R679" i="11"/>
  <c r="V681" i="11" l="1"/>
  <c r="W681" i="11"/>
  <c r="AA680" i="11"/>
  <c r="R680" i="11"/>
  <c r="X681" i="11"/>
  <c r="Y681" i="11" s="1"/>
  <c r="AF681" i="11"/>
  <c r="AJ681" i="11" s="1"/>
  <c r="Q681" i="11"/>
  <c r="P681" i="11"/>
  <c r="S679" i="11"/>
  <c r="AB679" i="11"/>
  <c r="N682" i="11"/>
  <c r="O682" i="11" s="1"/>
  <c r="L683" i="11"/>
  <c r="U682" i="11"/>
  <c r="AD678" i="11"/>
  <c r="AC678" i="11"/>
  <c r="V682" i="11" l="1"/>
  <c r="W682" i="11"/>
  <c r="P682" i="11"/>
  <c r="S680" i="11"/>
  <c r="AB680" i="11"/>
  <c r="X682" i="11"/>
  <c r="Y682" i="11" s="1"/>
  <c r="AF682" i="11"/>
  <c r="AJ682" i="11" s="1"/>
  <c r="Q682" i="11"/>
  <c r="AA681" i="11"/>
  <c r="R681" i="11"/>
  <c r="U683" i="11"/>
  <c r="N683" i="11"/>
  <c r="O683" i="11" s="1"/>
  <c r="L684" i="11"/>
  <c r="AC679" i="11"/>
  <c r="AD679" i="11"/>
  <c r="W683" i="11" l="1"/>
  <c r="V683" i="11"/>
  <c r="Q683" i="11"/>
  <c r="AF683" i="11"/>
  <c r="AJ683" i="11" s="1"/>
  <c r="X683" i="11"/>
  <c r="Y683" i="11" s="1"/>
  <c r="U684" i="11"/>
  <c r="N684" i="11"/>
  <c r="O684" i="11" s="1"/>
  <c r="L685" i="11"/>
  <c r="R682" i="11"/>
  <c r="AA682" i="11"/>
  <c r="P683" i="11"/>
  <c r="P684" i="11" s="1"/>
  <c r="AB681" i="11"/>
  <c r="S681" i="11"/>
  <c r="AC680" i="11"/>
  <c r="AD680" i="11"/>
  <c r="AD681" i="11" l="1"/>
  <c r="AC681" i="11"/>
  <c r="N685" i="11"/>
  <c r="O685" i="11" s="1"/>
  <c r="L686" i="11"/>
  <c r="U685" i="11"/>
  <c r="Q684" i="11"/>
  <c r="X684" i="11"/>
  <c r="AF684" i="11"/>
  <c r="AJ684" i="11" s="1"/>
  <c r="S682" i="11"/>
  <c r="AB682" i="11"/>
  <c r="Y684" i="11"/>
  <c r="V684" i="11"/>
  <c r="W684" i="11"/>
  <c r="R683" i="11"/>
  <c r="AA683" i="11"/>
  <c r="AD682" i="11" l="1"/>
  <c r="AC682" i="11"/>
  <c r="AA684" i="11"/>
  <c r="R684" i="11"/>
  <c r="AF685" i="11"/>
  <c r="AJ685" i="11" s="1"/>
  <c r="X685" i="11"/>
  <c r="Y685" i="11" s="1"/>
  <c r="Q685" i="11"/>
  <c r="V685" i="11"/>
  <c r="W685" i="11"/>
  <c r="U686" i="11"/>
  <c r="L687" i="11"/>
  <c r="N686" i="11"/>
  <c r="O686" i="11" s="1"/>
  <c r="S683" i="11"/>
  <c r="AB683" i="11"/>
  <c r="P685" i="11"/>
  <c r="U687" i="11" l="1"/>
  <c r="L688" i="11"/>
  <c r="N687" i="11"/>
  <c r="O687" i="11" s="1"/>
  <c r="W686" i="11"/>
  <c r="V686" i="11"/>
  <c r="R685" i="11"/>
  <c r="AA685" i="11"/>
  <c r="X686" i="11"/>
  <c r="Y686" i="11" s="1"/>
  <c r="Q686" i="11"/>
  <c r="AF686" i="11"/>
  <c r="AJ686" i="11" s="1"/>
  <c r="AB684" i="11"/>
  <c r="S684" i="11"/>
  <c r="P686" i="11"/>
  <c r="P687" i="11" s="1"/>
  <c r="AC683" i="11"/>
  <c r="AD683" i="11"/>
  <c r="AC684" i="11" l="1"/>
  <c r="AD684" i="11"/>
  <c r="S685" i="11"/>
  <c r="AB685" i="11"/>
  <c r="R686" i="11"/>
  <c r="AA686" i="11"/>
  <c r="N688" i="11"/>
  <c r="O688" i="11" s="1"/>
  <c r="L689" i="11"/>
  <c r="U688" i="11"/>
  <c r="AF687" i="11"/>
  <c r="AJ687" i="11" s="1"/>
  <c r="Q687" i="11"/>
  <c r="X687" i="11"/>
  <c r="Y687" i="11" s="1"/>
  <c r="W687" i="11"/>
  <c r="V687" i="11"/>
  <c r="N689" i="11" l="1"/>
  <c r="O689" i="11" s="1"/>
  <c r="L690" i="11"/>
  <c r="U689" i="11"/>
  <c r="X688" i="11"/>
  <c r="Q688" i="11"/>
  <c r="AF688" i="11"/>
  <c r="AJ688" i="11" s="1"/>
  <c r="S686" i="11"/>
  <c r="AB686" i="11"/>
  <c r="Y688" i="11"/>
  <c r="V688" i="11"/>
  <c r="W688" i="11"/>
  <c r="R687" i="11"/>
  <c r="AA687" i="11"/>
  <c r="P688" i="11"/>
  <c r="P689" i="11" s="1"/>
  <c r="AD685" i="11"/>
  <c r="AC685" i="11"/>
  <c r="S687" i="11" l="1"/>
  <c r="AB687" i="11"/>
  <c r="AA688" i="11"/>
  <c r="R688" i="11"/>
  <c r="L691" i="11"/>
  <c r="U690" i="11"/>
  <c r="N690" i="11"/>
  <c r="O690" i="11" s="1"/>
  <c r="AD686" i="11"/>
  <c r="AC686" i="11"/>
  <c r="W689" i="11"/>
  <c r="V689" i="11"/>
  <c r="Q689" i="11"/>
  <c r="AF689" i="11"/>
  <c r="AJ689" i="11" s="1"/>
  <c r="X689" i="11"/>
  <c r="Y689" i="11" s="1"/>
  <c r="AA689" i="11" l="1"/>
  <c r="R689" i="11"/>
  <c r="Q690" i="11"/>
  <c r="AF690" i="11"/>
  <c r="AJ690" i="11" s="1"/>
  <c r="X690" i="11"/>
  <c r="P690" i="11"/>
  <c r="V690" i="11"/>
  <c r="W690" i="11"/>
  <c r="Y690" i="11"/>
  <c r="AB688" i="11"/>
  <c r="S688" i="11"/>
  <c r="AD687" i="11"/>
  <c r="AC687" i="11"/>
  <c r="L692" i="11"/>
  <c r="N691" i="11"/>
  <c r="O691" i="11" s="1"/>
  <c r="U691" i="11"/>
  <c r="P691" i="11" l="1"/>
  <c r="R690" i="11"/>
  <c r="AA690" i="11"/>
  <c r="AC688" i="11"/>
  <c r="AD688" i="11"/>
  <c r="V691" i="11"/>
  <c r="W691" i="11"/>
  <c r="S689" i="11"/>
  <c r="AB689" i="11"/>
  <c r="L693" i="11"/>
  <c r="U692" i="11"/>
  <c r="N692" i="11"/>
  <c r="O692" i="11" s="1"/>
  <c r="AF691" i="11"/>
  <c r="AJ691" i="11" s="1"/>
  <c r="Q691" i="11"/>
  <c r="X691" i="11"/>
  <c r="Y691" i="11" s="1"/>
  <c r="Q692" i="11" l="1"/>
  <c r="AF692" i="11"/>
  <c r="AJ692" i="11" s="1"/>
  <c r="X692" i="11"/>
  <c r="N693" i="11"/>
  <c r="O693" i="11" s="1"/>
  <c r="U693" i="11"/>
  <c r="L694" i="11"/>
  <c r="W692" i="11"/>
  <c r="V692" i="11"/>
  <c r="Y692" i="11"/>
  <c r="AC689" i="11"/>
  <c r="AD689" i="11"/>
  <c r="AB690" i="11"/>
  <c r="S690" i="11"/>
  <c r="R691" i="11"/>
  <c r="AA691" i="11"/>
  <c r="P692" i="11"/>
  <c r="AD690" i="11" l="1"/>
  <c r="AC690" i="11"/>
  <c r="AF693" i="11"/>
  <c r="AJ693" i="11" s="1"/>
  <c r="Q693" i="11"/>
  <c r="X693" i="11"/>
  <c r="AB691" i="11"/>
  <c r="S691" i="11"/>
  <c r="U694" i="11"/>
  <c r="N694" i="11"/>
  <c r="O694" i="11" s="1"/>
  <c r="L695" i="11"/>
  <c r="W693" i="11"/>
  <c r="V693" i="11"/>
  <c r="Y693" i="11"/>
  <c r="P693" i="11"/>
  <c r="P694" i="11" s="1"/>
  <c r="AA692" i="11"/>
  <c r="R692" i="11"/>
  <c r="AF694" i="11" l="1"/>
  <c r="AJ694" i="11" s="1"/>
  <c r="Q694" i="11"/>
  <c r="X694" i="11"/>
  <c r="U695" i="11"/>
  <c r="N695" i="11"/>
  <c r="O695" i="11" s="1"/>
  <c r="L696" i="11"/>
  <c r="AA693" i="11"/>
  <c r="R693" i="11"/>
  <c r="V694" i="11"/>
  <c r="W694" i="11"/>
  <c r="Y694" i="11"/>
  <c r="P695" i="11"/>
  <c r="AC691" i="11"/>
  <c r="AD691" i="11"/>
  <c r="S692" i="11"/>
  <c r="AB692" i="11"/>
  <c r="S693" i="11" l="1"/>
  <c r="AB693" i="11"/>
  <c r="Q695" i="11"/>
  <c r="AF695" i="11"/>
  <c r="AJ695" i="11" s="1"/>
  <c r="X695" i="11"/>
  <c r="U696" i="11"/>
  <c r="N696" i="11"/>
  <c r="O696" i="11" s="1"/>
  <c r="P696" i="11" s="1"/>
  <c r="L697" i="11"/>
  <c r="V695" i="11"/>
  <c r="W695" i="11"/>
  <c r="Y695" i="11"/>
  <c r="AD692" i="11"/>
  <c r="AC692" i="11"/>
  <c r="AA694" i="11"/>
  <c r="R694" i="11"/>
  <c r="U697" i="11" l="1"/>
  <c r="N697" i="11"/>
  <c r="O697" i="11" s="1"/>
  <c r="L698" i="11"/>
  <c r="V696" i="11"/>
  <c r="W696" i="11"/>
  <c r="AD693" i="11"/>
  <c r="AC693" i="11"/>
  <c r="Q696" i="11"/>
  <c r="X696" i="11"/>
  <c r="Y696" i="11" s="1"/>
  <c r="AF696" i="11"/>
  <c r="AJ696" i="11" s="1"/>
  <c r="R695" i="11"/>
  <c r="AA695" i="11"/>
  <c r="S694" i="11"/>
  <c r="AB694" i="11"/>
  <c r="R696" i="11" l="1"/>
  <c r="AA696" i="11"/>
  <c r="AD694" i="11"/>
  <c r="AC694" i="11"/>
  <c r="W697" i="11"/>
  <c r="V697" i="11"/>
  <c r="S695" i="11"/>
  <c r="AB695" i="11"/>
  <c r="N698" i="11"/>
  <c r="O698" i="11" s="1"/>
  <c r="U698" i="11"/>
  <c r="L699" i="11"/>
  <c r="AF697" i="11"/>
  <c r="AJ697" i="11" s="1"/>
  <c r="X697" i="11"/>
  <c r="Y697" i="11" s="1"/>
  <c r="Q697" i="11"/>
  <c r="P697" i="11"/>
  <c r="X698" i="11" l="1"/>
  <c r="Y698" i="11" s="1"/>
  <c r="AF698" i="11"/>
  <c r="AJ698" i="11" s="1"/>
  <c r="Q698" i="11"/>
  <c r="W698" i="11"/>
  <c r="V698" i="11"/>
  <c r="P698" i="11"/>
  <c r="N699" i="11"/>
  <c r="O699" i="11" s="1"/>
  <c r="L700" i="11"/>
  <c r="U699" i="11"/>
  <c r="AD695" i="11"/>
  <c r="AC695" i="11"/>
  <c r="R697" i="11"/>
  <c r="AA697" i="11"/>
  <c r="S696" i="11"/>
  <c r="AB696" i="11"/>
  <c r="X699" i="11" l="1"/>
  <c r="Q699" i="11"/>
  <c r="AF699" i="11"/>
  <c r="AJ699" i="11" s="1"/>
  <c r="V699" i="11"/>
  <c r="W699" i="11"/>
  <c r="Y699" i="11"/>
  <c r="P699" i="11"/>
  <c r="AD696" i="11"/>
  <c r="AC696" i="11"/>
  <c r="S697" i="11"/>
  <c r="AB697" i="11"/>
  <c r="L701" i="11"/>
  <c r="N700" i="11"/>
  <c r="O700" i="11" s="1"/>
  <c r="U700" i="11"/>
  <c r="R698" i="11"/>
  <c r="AA698" i="11"/>
  <c r="X700" i="11" l="1"/>
  <c r="Q700" i="11"/>
  <c r="AF700" i="11"/>
  <c r="AJ700" i="11" s="1"/>
  <c r="W700" i="11"/>
  <c r="V700" i="11"/>
  <c r="Y700" i="11"/>
  <c r="AD697" i="11"/>
  <c r="AC697" i="11"/>
  <c r="N701" i="11"/>
  <c r="O701" i="11" s="1"/>
  <c r="U701" i="11"/>
  <c r="L702" i="11"/>
  <c r="P700" i="11"/>
  <c r="R699" i="11"/>
  <c r="AA699" i="11"/>
  <c r="AB698" i="11"/>
  <c r="S698" i="11"/>
  <c r="P701" i="11" l="1"/>
  <c r="S699" i="11"/>
  <c r="AB699" i="11"/>
  <c r="W701" i="11"/>
  <c r="V701" i="11"/>
  <c r="N702" i="11"/>
  <c r="O702" i="11" s="1"/>
  <c r="P702" i="11" s="1"/>
  <c r="L703" i="11"/>
  <c r="U702" i="11"/>
  <c r="AA700" i="11"/>
  <c r="R700" i="11"/>
  <c r="AF701" i="11"/>
  <c r="AJ701" i="11" s="1"/>
  <c r="Q701" i="11"/>
  <c r="X701" i="11"/>
  <c r="Y701" i="11" s="1"/>
  <c r="AD698" i="11"/>
  <c r="AC698" i="11"/>
  <c r="R701" i="11" l="1"/>
  <c r="AA701" i="11"/>
  <c r="V702" i="11"/>
  <c r="W702" i="11"/>
  <c r="S700" i="11"/>
  <c r="AB700" i="11"/>
  <c r="L704" i="11"/>
  <c r="N703" i="11"/>
  <c r="O703" i="11" s="1"/>
  <c r="U703" i="11"/>
  <c r="AD699" i="11"/>
  <c r="AC699" i="11"/>
  <c r="Q702" i="11"/>
  <c r="AF702" i="11"/>
  <c r="AJ702" i="11" s="1"/>
  <c r="X702" i="11"/>
  <c r="Y702" i="11" s="1"/>
  <c r="AA702" i="11" l="1"/>
  <c r="R702" i="11"/>
  <c r="U704" i="11"/>
  <c r="N704" i="11"/>
  <c r="O704" i="11" s="1"/>
  <c r="L705" i="11"/>
  <c r="W703" i="11"/>
  <c r="V703" i="11"/>
  <c r="AF703" i="11"/>
  <c r="AJ703" i="11" s="1"/>
  <c r="Q703" i="11"/>
  <c r="X703" i="11"/>
  <c r="Y703" i="11" s="1"/>
  <c r="AD700" i="11"/>
  <c r="AC700" i="11"/>
  <c r="S701" i="11"/>
  <c r="AB701" i="11"/>
  <c r="P703" i="11"/>
  <c r="AA703" i="11" l="1"/>
  <c r="R703" i="11"/>
  <c r="L706" i="11"/>
  <c r="N705" i="11"/>
  <c r="O705" i="11" s="1"/>
  <c r="U705" i="11"/>
  <c r="X704" i="11"/>
  <c r="Q704" i="11"/>
  <c r="AF704" i="11"/>
  <c r="AJ704" i="11" s="1"/>
  <c r="W704" i="11"/>
  <c r="Y704" i="11"/>
  <c r="V704" i="11"/>
  <c r="AB702" i="11"/>
  <c r="S702" i="11"/>
  <c r="P704" i="11"/>
  <c r="P705" i="11" s="1"/>
  <c r="AD701" i="11"/>
  <c r="AC701" i="11"/>
  <c r="AC702" i="11" l="1"/>
  <c r="AD702" i="11"/>
  <c r="Q705" i="11"/>
  <c r="X705" i="11"/>
  <c r="AF705" i="11"/>
  <c r="AJ705" i="11" s="1"/>
  <c r="AB703" i="11"/>
  <c r="S703" i="11"/>
  <c r="R704" i="11"/>
  <c r="AA704" i="11"/>
  <c r="W705" i="11"/>
  <c r="V705" i="11"/>
  <c r="Y705" i="11"/>
  <c r="L707" i="11"/>
  <c r="U706" i="11"/>
  <c r="N706" i="11"/>
  <c r="O706" i="11" s="1"/>
  <c r="P706" i="11" s="1"/>
  <c r="N707" i="11" l="1"/>
  <c r="O707" i="11" s="1"/>
  <c r="U707" i="11"/>
  <c r="L708" i="11"/>
  <c r="AB704" i="11"/>
  <c r="S704" i="11"/>
  <c r="AD703" i="11"/>
  <c r="AC703" i="11"/>
  <c r="Q706" i="11"/>
  <c r="AF706" i="11"/>
  <c r="AJ706" i="11" s="1"/>
  <c r="X706" i="11"/>
  <c r="W706" i="11"/>
  <c r="V706" i="11"/>
  <c r="Y706" i="11"/>
  <c r="AA705" i="11"/>
  <c r="R705" i="11"/>
  <c r="AD704" i="11" l="1"/>
  <c r="AC704" i="11"/>
  <c r="V707" i="11"/>
  <c r="W707" i="11"/>
  <c r="AA706" i="11"/>
  <c r="R706" i="11"/>
  <c r="AF707" i="11"/>
  <c r="AJ707" i="11" s="1"/>
  <c r="Q707" i="11"/>
  <c r="X707" i="11"/>
  <c r="Y707" i="11" s="1"/>
  <c r="N708" i="11"/>
  <c r="O708" i="11" s="1"/>
  <c r="U708" i="11"/>
  <c r="L709" i="11"/>
  <c r="AB705" i="11"/>
  <c r="S705" i="11"/>
  <c r="P707" i="11"/>
  <c r="U709" i="11" l="1"/>
  <c r="N709" i="11"/>
  <c r="O709" i="11" s="1"/>
  <c r="L710" i="11"/>
  <c r="AF708" i="11"/>
  <c r="AJ708" i="11" s="1"/>
  <c r="Q708" i="11"/>
  <c r="X708" i="11"/>
  <c r="AC705" i="11"/>
  <c r="AD705" i="11"/>
  <c r="Y708" i="11"/>
  <c r="V708" i="11"/>
  <c r="W708" i="11"/>
  <c r="R707" i="11"/>
  <c r="AA707" i="11"/>
  <c r="S706" i="11"/>
  <c r="AB706" i="11"/>
  <c r="P708" i="11"/>
  <c r="S707" i="11" l="1"/>
  <c r="AB707" i="11"/>
  <c r="N710" i="11"/>
  <c r="O710" i="11" s="1"/>
  <c r="L711" i="11"/>
  <c r="U710" i="11"/>
  <c r="X709" i="11"/>
  <c r="Y709" i="11" s="1"/>
  <c r="Q709" i="11"/>
  <c r="AF709" i="11"/>
  <c r="AJ709" i="11" s="1"/>
  <c r="R708" i="11"/>
  <c r="AA708" i="11"/>
  <c r="P709" i="11"/>
  <c r="P710" i="11" s="1"/>
  <c r="AD706" i="11"/>
  <c r="AC706" i="11"/>
  <c r="V709" i="11"/>
  <c r="W709" i="11"/>
  <c r="W710" i="11" l="1"/>
  <c r="V710" i="11"/>
  <c r="N711" i="11"/>
  <c r="O711" i="11" s="1"/>
  <c r="L712" i="11"/>
  <c r="U711" i="11"/>
  <c r="AA709" i="11"/>
  <c r="R709" i="11"/>
  <c r="AF710" i="11"/>
  <c r="AJ710" i="11" s="1"/>
  <c r="Q710" i="11"/>
  <c r="X710" i="11"/>
  <c r="Y710" i="11" s="1"/>
  <c r="P711" i="11"/>
  <c r="AB708" i="11"/>
  <c r="S708" i="11"/>
  <c r="AC707" i="11"/>
  <c r="AD707" i="11"/>
  <c r="AA710" i="11" l="1"/>
  <c r="R710" i="11"/>
  <c r="V711" i="11"/>
  <c r="W711" i="11"/>
  <c r="AD708" i="11"/>
  <c r="AC708" i="11"/>
  <c r="U712" i="11"/>
  <c r="N712" i="11"/>
  <c r="O712" i="11" s="1"/>
  <c r="L713" i="11"/>
  <c r="S709" i="11"/>
  <c r="AB709" i="11"/>
  <c r="AF711" i="11"/>
  <c r="AJ711" i="11" s="1"/>
  <c r="X711" i="11"/>
  <c r="Y711" i="11" s="1"/>
  <c r="Q711" i="11"/>
  <c r="AD709" i="11" l="1"/>
  <c r="AC709" i="11"/>
  <c r="V712" i="11"/>
  <c r="W712" i="11"/>
  <c r="L714" i="11"/>
  <c r="U713" i="11"/>
  <c r="N713" i="11"/>
  <c r="O713" i="11" s="1"/>
  <c r="R711" i="11"/>
  <c r="AA711" i="11"/>
  <c r="Q712" i="11"/>
  <c r="X712" i="11"/>
  <c r="Y712" i="11" s="1"/>
  <c r="AF712" i="11"/>
  <c r="AJ712" i="11" s="1"/>
  <c r="AB710" i="11"/>
  <c r="S710" i="11"/>
  <c r="P712" i="11"/>
  <c r="AA712" i="11" l="1"/>
  <c r="R712" i="11"/>
  <c r="V713" i="11"/>
  <c r="W713" i="11"/>
  <c r="AD710" i="11"/>
  <c r="AC710" i="11"/>
  <c r="N714" i="11"/>
  <c r="O714" i="11" s="1"/>
  <c r="L715" i="11"/>
  <c r="U714" i="11"/>
  <c r="S711" i="11"/>
  <c r="AB711" i="11"/>
  <c r="P713" i="11"/>
  <c r="P714" i="11" s="1"/>
  <c r="AF713" i="11"/>
  <c r="AJ713" i="11" s="1"/>
  <c r="X713" i="11"/>
  <c r="Y713" i="11" s="1"/>
  <c r="Q713" i="11"/>
  <c r="W714" i="11" l="1"/>
  <c r="V714" i="11"/>
  <c r="AD711" i="11"/>
  <c r="AC711" i="11"/>
  <c r="AF714" i="11"/>
  <c r="AJ714" i="11" s="1"/>
  <c r="X714" i="11"/>
  <c r="Y714" i="11" s="1"/>
  <c r="Q714" i="11"/>
  <c r="AB712" i="11"/>
  <c r="S712" i="11"/>
  <c r="L716" i="11"/>
  <c r="U715" i="11"/>
  <c r="N715" i="11"/>
  <c r="O715" i="11" s="1"/>
  <c r="AA713" i="11"/>
  <c r="R713" i="11"/>
  <c r="X715" i="11" l="1"/>
  <c r="Q715" i="11"/>
  <c r="AF715" i="11"/>
  <c r="AJ715" i="11" s="1"/>
  <c r="W715" i="11"/>
  <c r="V715" i="11"/>
  <c r="Y715" i="11"/>
  <c r="AD712" i="11"/>
  <c r="AC712" i="11"/>
  <c r="R714" i="11"/>
  <c r="AA714" i="11"/>
  <c r="L717" i="11"/>
  <c r="N716" i="11"/>
  <c r="O716" i="11" s="1"/>
  <c r="U716" i="11"/>
  <c r="AB713" i="11"/>
  <c r="S713" i="11"/>
  <c r="P715" i="11"/>
  <c r="V716" i="11" l="1"/>
  <c r="W716" i="11"/>
  <c r="S714" i="11"/>
  <c r="AB714" i="11"/>
  <c r="AD713" i="11"/>
  <c r="AC713" i="11"/>
  <c r="L718" i="11"/>
  <c r="U717" i="11"/>
  <c r="N717" i="11"/>
  <c r="O717" i="11" s="1"/>
  <c r="P716" i="11"/>
  <c r="R715" i="11"/>
  <c r="AA715" i="11"/>
  <c r="AF716" i="11"/>
  <c r="AJ716" i="11" s="1"/>
  <c r="Q716" i="11"/>
  <c r="X716" i="11"/>
  <c r="Y716" i="11" s="1"/>
  <c r="S715" i="11" l="1"/>
  <c r="AB715" i="11"/>
  <c r="AF717" i="11"/>
  <c r="AJ717" i="11" s="1"/>
  <c r="Q717" i="11"/>
  <c r="X717" i="11"/>
  <c r="Y717" i="11" s="1"/>
  <c r="V717" i="11"/>
  <c r="W717" i="11"/>
  <c r="P717" i="11"/>
  <c r="L719" i="11"/>
  <c r="U718" i="11"/>
  <c r="N718" i="11"/>
  <c r="O718" i="11" s="1"/>
  <c r="AD714" i="11"/>
  <c r="AC714" i="11"/>
  <c r="AA716" i="11"/>
  <c r="R716" i="11"/>
  <c r="X718" i="11" l="1"/>
  <c r="Q718" i="11"/>
  <c r="AF718" i="11"/>
  <c r="AJ718" i="11" s="1"/>
  <c r="P718" i="11"/>
  <c r="L720" i="11"/>
  <c r="U719" i="11"/>
  <c r="N719" i="11"/>
  <c r="O719" i="11" s="1"/>
  <c r="R717" i="11"/>
  <c r="AA717" i="11"/>
  <c r="V718" i="11"/>
  <c r="W718" i="11"/>
  <c r="Y718" i="11"/>
  <c r="AC715" i="11"/>
  <c r="AD715" i="11"/>
  <c r="S716" i="11"/>
  <c r="AB716" i="11"/>
  <c r="AB717" i="11" l="1"/>
  <c r="S717" i="11"/>
  <c r="W719" i="11"/>
  <c r="V719" i="11"/>
  <c r="P719" i="11"/>
  <c r="Q719" i="11"/>
  <c r="AF719" i="11"/>
  <c r="AJ719" i="11" s="1"/>
  <c r="X719" i="11"/>
  <c r="Y719" i="11" s="1"/>
  <c r="L721" i="11"/>
  <c r="N720" i="11"/>
  <c r="O720" i="11" s="1"/>
  <c r="U720" i="11"/>
  <c r="AD716" i="11"/>
  <c r="AC716" i="11"/>
  <c r="R718" i="11"/>
  <c r="AA718" i="11"/>
  <c r="Q720" i="11" l="1"/>
  <c r="X720" i="11"/>
  <c r="AF720" i="11"/>
  <c r="AJ720" i="11" s="1"/>
  <c r="Y720" i="11"/>
  <c r="V720" i="11"/>
  <c r="W720" i="11"/>
  <c r="R719" i="11"/>
  <c r="AA719" i="11"/>
  <c r="N721" i="11"/>
  <c r="O721" i="11" s="1"/>
  <c r="L722" i="11"/>
  <c r="U721" i="11"/>
  <c r="P720" i="11"/>
  <c r="P721" i="11" s="1"/>
  <c r="S718" i="11"/>
  <c r="AB718" i="11"/>
  <c r="AD717" i="11"/>
  <c r="AC717" i="11"/>
  <c r="W721" i="11" l="1"/>
  <c r="V721" i="11"/>
  <c r="Q721" i="11"/>
  <c r="AF721" i="11"/>
  <c r="AJ721" i="11" s="1"/>
  <c r="X721" i="11"/>
  <c r="Y721" i="11" s="1"/>
  <c r="AD718" i="11"/>
  <c r="AC718" i="11"/>
  <c r="U722" i="11"/>
  <c r="L723" i="11"/>
  <c r="N722" i="11"/>
  <c r="O722" i="11" s="1"/>
  <c r="AB719" i="11"/>
  <c r="S719" i="11"/>
  <c r="R720" i="11"/>
  <c r="AA720" i="11"/>
  <c r="AC719" i="11" l="1"/>
  <c r="AD719" i="11"/>
  <c r="N723" i="11"/>
  <c r="O723" i="11" s="1"/>
  <c r="U723" i="11"/>
  <c r="L724" i="11"/>
  <c r="R721" i="11"/>
  <c r="AA721" i="11"/>
  <c r="AF722" i="11"/>
  <c r="AJ722" i="11" s="1"/>
  <c r="Q722" i="11"/>
  <c r="X722" i="11"/>
  <c r="V722" i="11"/>
  <c r="W722" i="11"/>
  <c r="Y722" i="11"/>
  <c r="AB720" i="11"/>
  <c r="S720" i="11"/>
  <c r="P722" i="11"/>
  <c r="P723" i="11" s="1"/>
  <c r="AD720" i="11" l="1"/>
  <c r="AC720" i="11"/>
  <c r="U724" i="11"/>
  <c r="N724" i="11"/>
  <c r="O724" i="11" s="1"/>
  <c r="L725" i="11"/>
  <c r="V723" i="11"/>
  <c r="W723" i="11"/>
  <c r="P724" i="11"/>
  <c r="R722" i="11"/>
  <c r="AA722" i="11"/>
  <c r="S721" i="11"/>
  <c r="AB721" i="11"/>
  <c r="X723" i="11"/>
  <c r="Y723" i="11" s="1"/>
  <c r="AF723" i="11"/>
  <c r="AJ723" i="11" s="1"/>
  <c r="Q723" i="11"/>
  <c r="AB722" i="11" l="1"/>
  <c r="S722" i="11"/>
  <c r="W724" i="11"/>
  <c r="V724" i="11"/>
  <c r="AC721" i="11"/>
  <c r="AD721" i="11"/>
  <c r="AA723" i="11"/>
  <c r="R723" i="11"/>
  <c r="U725" i="11"/>
  <c r="N725" i="11"/>
  <c r="O725" i="11" s="1"/>
  <c r="P725" i="11" s="1"/>
  <c r="L726" i="11"/>
  <c r="AF724" i="11"/>
  <c r="AJ724" i="11" s="1"/>
  <c r="Q724" i="11"/>
  <c r="X724" i="11"/>
  <c r="Y724" i="11" s="1"/>
  <c r="N726" i="11" l="1"/>
  <c r="O726" i="11" s="1"/>
  <c r="U726" i="11"/>
  <c r="L727" i="11"/>
  <c r="X725" i="11"/>
  <c r="Q725" i="11"/>
  <c r="AF725" i="11"/>
  <c r="AJ725" i="11" s="1"/>
  <c r="S723" i="11"/>
  <c r="AB723" i="11"/>
  <c r="V725" i="11"/>
  <c r="Y725" i="11"/>
  <c r="W725" i="11"/>
  <c r="R724" i="11"/>
  <c r="AA724" i="11"/>
  <c r="AD722" i="11"/>
  <c r="AC722" i="11"/>
  <c r="N727" i="11" l="1"/>
  <c r="O727" i="11" s="1"/>
  <c r="U727" i="11"/>
  <c r="L728" i="11"/>
  <c r="AA725" i="11"/>
  <c r="R725" i="11"/>
  <c r="W726" i="11"/>
  <c r="V726" i="11"/>
  <c r="AB724" i="11"/>
  <c r="S724" i="11"/>
  <c r="X726" i="11"/>
  <c r="Y726" i="11" s="1"/>
  <c r="AF726" i="11"/>
  <c r="AJ726" i="11" s="1"/>
  <c r="Q726" i="11"/>
  <c r="AC723" i="11"/>
  <c r="AD723" i="11"/>
  <c r="P726" i="11"/>
  <c r="P727" i="11" s="1"/>
  <c r="N728" i="11" l="1"/>
  <c r="O728" i="11" s="1"/>
  <c r="L729" i="11"/>
  <c r="U728" i="11"/>
  <c r="S725" i="11"/>
  <c r="AB725" i="11"/>
  <c r="P728" i="11"/>
  <c r="R726" i="11"/>
  <c r="AA726" i="11"/>
  <c r="AC724" i="11"/>
  <c r="AD724" i="11"/>
  <c r="V727" i="11"/>
  <c r="W727" i="11"/>
  <c r="AF727" i="11"/>
  <c r="AJ727" i="11" s="1"/>
  <c r="Q727" i="11"/>
  <c r="X727" i="11"/>
  <c r="Y727" i="11" s="1"/>
  <c r="AB726" i="11" l="1"/>
  <c r="S726" i="11"/>
  <c r="U729" i="11"/>
  <c r="N729" i="11"/>
  <c r="O729" i="11" s="1"/>
  <c r="L730" i="11"/>
  <c r="AD725" i="11"/>
  <c r="AC725" i="11"/>
  <c r="W728" i="11"/>
  <c r="V728" i="11"/>
  <c r="R727" i="11"/>
  <c r="AA727" i="11"/>
  <c r="AF728" i="11"/>
  <c r="AJ728" i="11" s="1"/>
  <c r="Q728" i="11"/>
  <c r="X728" i="11"/>
  <c r="Y728" i="11" s="1"/>
  <c r="AB727" i="11" l="1"/>
  <c r="S727" i="11"/>
  <c r="X729" i="11"/>
  <c r="Y729" i="11" s="1"/>
  <c r="AF729" i="11"/>
  <c r="AJ729" i="11" s="1"/>
  <c r="Q729" i="11"/>
  <c r="W729" i="11"/>
  <c r="V729" i="11"/>
  <c r="N730" i="11"/>
  <c r="O730" i="11" s="1"/>
  <c r="L731" i="11"/>
  <c r="U730" i="11"/>
  <c r="P729" i="11"/>
  <c r="P730" i="11" s="1"/>
  <c r="R728" i="11"/>
  <c r="AA728" i="11"/>
  <c r="AC726" i="11"/>
  <c r="AD726" i="11"/>
  <c r="AB728" i="11" l="1"/>
  <c r="S728" i="11"/>
  <c r="L732" i="11"/>
  <c r="N731" i="11"/>
  <c r="O731" i="11" s="1"/>
  <c r="U731" i="11"/>
  <c r="X730" i="11"/>
  <c r="Q730" i="11"/>
  <c r="AF730" i="11"/>
  <c r="AJ730" i="11" s="1"/>
  <c r="R729" i="11"/>
  <c r="AA729" i="11"/>
  <c r="W730" i="11"/>
  <c r="V730" i="11"/>
  <c r="Y730" i="11"/>
  <c r="AC727" i="11"/>
  <c r="AD727" i="11"/>
  <c r="R730" i="11" l="1"/>
  <c r="AA730" i="11"/>
  <c r="AF731" i="11"/>
  <c r="AJ731" i="11" s="1"/>
  <c r="Q731" i="11"/>
  <c r="X731" i="11"/>
  <c r="Y731" i="11" s="1"/>
  <c r="S729" i="11"/>
  <c r="AB729" i="11"/>
  <c r="V731" i="11"/>
  <c r="W731" i="11"/>
  <c r="AC728" i="11"/>
  <c r="AD728" i="11"/>
  <c r="N732" i="11"/>
  <c r="O732" i="11" s="1"/>
  <c r="U732" i="11"/>
  <c r="L733" i="11"/>
  <c r="P731" i="11"/>
  <c r="W732" i="11" l="1"/>
  <c r="V732" i="11"/>
  <c r="AC729" i="11"/>
  <c r="AD729" i="11"/>
  <c r="R731" i="11"/>
  <c r="AA731" i="11"/>
  <c r="Q732" i="11"/>
  <c r="X732" i="11"/>
  <c r="Y732" i="11" s="1"/>
  <c r="AF732" i="11"/>
  <c r="AJ732" i="11" s="1"/>
  <c r="P732" i="11"/>
  <c r="U733" i="11"/>
  <c r="L734" i="11"/>
  <c r="N733" i="11"/>
  <c r="O733" i="11" s="1"/>
  <c r="AB730" i="11"/>
  <c r="S730" i="11"/>
  <c r="X733" i="11" l="1"/>
  <c r="Q733" i="11"/>
  <c r="AF733" i="11"/>
  <c r="AJ733" i="11" s="1"/>
  <c r="P733" i="11"/>
  <c r="U734" i="11"/>
  <c r="L735" i="11"/>
  <c r="N734" i="11"/>
  <c r="O734" i="11" s="1"/>
  <c r="AA732" i="11"/>
  <c r="R732" i="11"/>
  <c r="W733" i="11"/>
  <c r="V733" i="11"/>
  <c r="Y733" i="11"/>
  <c r="AB731" i="11"/>
  <c r="S731" i="11"/>
  <c r="AC730" i="11"/>
  <c r="AD730" i="11"/>
  <c r="S732" i="11" l="1"/>
  <c r="AB732" i="11"/>
  <c r="Q734" i="11"/>
  <c r="X734" i="11"/>
  <c r="AF734" i="11"/>
  <c r="AJ734" i="11" s="1"/>
  <c r="W734" i="11"/>
  <c r="V734" i="11"/>
  <c r="Y734" i="11"/>
  <c r="R733" i="11"/>
  <c r="AA733" i="11"/>
  <c r="AC731" i="11"/>
  <c r="AD731" i="11"/>
  <c r="L736" i="11"/>
  <c r="N735" i="11"/>
  <c r="O735" i="11" s="1"/>
  <c r="U735" i="11"/>
  <c r="P734" i="11"/>
  <c r="Q735" i="11" l="1"/>
  <c r="X735" i="11"/>
  <c r="Y735" i="11" s="1"/>
  <c r="AF735" i="11"/>
  <c r="AJ735" i="11" s="1"/>
  <c r="L737" i="11"/>
  <c r="U736" i="11"/>
  <c r="N736" i="11"/>
  <c r="O736" i="11" s="1"/>
  <c r="R734" i="11"/>
  <c r="AA734" i="11"/>
  <c r="AB733" i="11"/>
  <c r="S733" i="11"/>
  <c r="P735" i="11"/>
  <c r="P736" i="11" s="1"/>
  <c r="AD732" i="11"/>
  <c r="AC732" i="11"/>
  <c r="W735" i="11"/>
  <c r="V735" i="11"/>
  <c r="AD733" i="11" l="1"/>
  <c r="AC733" i="11"/>
  <c r="V736" i="11"/>
  <c r="W736" i="11"/>
  <c r="Q736" i="11"/>
  <c r="AF736" i="11"/>
  <c r="AJ736" i="11" s="1"/>
  <c r="X736" i="11"/>
  <c r="Y736" i="11" s="1"/>
  <c r="U737" i="11"/>
  <c r="N737" i="11"/>
  <c r="O737" i="11" s="1"/>
  <c r="L738" i="11"/>
  <c r="AB734" i="11"/>
  <c r="S734" i="11"/>
  <c r="R735" i="11"/>
  <c r="AA735" i="11"/>
  <c r="AD734" i="11" l="1"/>
  <c r="AC734" i="11"/>
  <c r="N738" i="11"/>
  <c r="O738" i="11" s="1"/>
  <c r="L739" i="11"/>
  <c r="U738" i="11"/>
  <c r="Q737" i="11"/>
  <c r="AF737" i="11"/>
  <c r="AJ737" i="11" s="1"/>
  <c r="X737" i="11"/>
  <c r="Y737" i="11" s="1"/>
  <c r="W737" i="11"/>
  <c r="V737" i="11"/>
  <c r="R736" i="11"/>
  <c r="AA736" i="11"/>
  <c r="S735" i="11"/>
  <c r="AB735" i="11"/>
  <c r="P737" i="11"/>
  <c r="AB736" i="11" l="1"/>
  <c r="S736" i="11"/>
  <c r="AA737" i="11"/>
  <c r="R737" i="11"/>
  <c r="X738" i="11"/>
  <c r="AF738" i="11"/>
  <c r="AJ738" i="11" s="1"/>
  <c r="Q738" i="11"/>
  <c r="L740" i="11"/>
  <c r="U739" i="11"/>
  <c r="N739" i="11"/>
  <c r="O739" i="11" s="1"/>
  <c r="P738" i="11"/>
  <c r="Y738" i="11"/>
  <c r="W738" i="11"/>
  <c r="V738" i="11"/>
  <c r="AC735" i="11"/>
  <c r="AD735" i="11"/>
  <c r="P739" i="11" l="1"/>
  <c r="W739" i="11"/>
  <c r="V739" i="11"/>
  <c r="X739" i="11"/>
  <c r="Y739" i="11" s="1"/>
  <c r="AF739" i="11"/>
  <c r="AJ739" i="11" s="1"/>
  <c r="Q739" i="11"/>
  <c r="N740" i="11"/>
  <c r="O740" i="11" s="1"/>
  <c r="L741" i="11"/>
  <c r="U740" i="11"/>
  <c r="AA738" i="11"/>
  <c r="R738" i="11"/>
  <c r="AB737" i="11"/>
  <c r="S737" i="11"/>
  <c r="AD736" i="11"/>
  <c r="AC736" i="11"/>
  <c r="S738" i="11" l="1"/>
  <c r="AB738" i="11"/>
  <c r="AC737" i="11"/>
  <c r="AD737" i="11"/>
  <c r="X740" i="11"/>
  <c r="AF740" i="11"/>
  <c r="AJ740" i="11" s="1"/>
  <c r="Q740" i="11"/>
  <c r="R739" i="11"/>
  <c r="AA739" i="11"/>
  <c r="Y740" i="11"/>
  <c r="V740" i="11"/>
  <c r="W740" i="11"/>
  <c r="U741" i="11"/>
  <c r="N741" i="11"/>
  <c r="O741" i="11" s="1"/>
  <c r="L742" i="11"/>
  <c r="P740" i="11"/>
  <c r="AA740" i="11" l="1"/>
  <c r="R740" i="11"/>
  <c r="U742" i="11"/>
  <c r="N742" i="11"/>
  <c r="O742" i="11" s="1"/>
  <c r="L743" i="11"/>
  <c r="W741" i="11"/>
  <c r="V741" i="11"/>
  <c r="S739" i="11"/>
  <c r="AB739" i="11"/>
  <c r="P741" i="11"/>
  <c r="AC738" i="11"/>
  <c r="AD738" i="11"/>
  <c r="X741" i="11"/>
  <c r="Y741" i="11" s="1"/>
  <c r="Q741" i="11"/>
  <c r="AF741" i="11"/>
  <c r="AJ741" i="11" s="1"/>
  <c r="P742" i="11" l="1"/>
  <c r="Q742" i="11"/>
  <c r="AF742" i="11"/>
  <c r="AJ742" i="11" s="1"/>
  <c r="X742" i="11"/>
  <c r="Y742" i="11" s="1"/>
  <c r="V742" i="11"/>
  <c r="W742" i="11"/>
  <c r="AB740" i="11"/>
  <c r="S740" i="11"/>
  <c r="AC739" i="11"/>
  <c r="AD739" i="11"/>
  <c r="N743" i="11"/>
  <c r="O743" i="11" s="1"/>
  <c r="L744" i="11"/>
  <c r="U743" i="11"/>
  <c r="AA741" i="11"/>
  <c r="R741" i="11"/>
  <c r="N744" i="11" l="1"/>
  <c r="O744" i="11" s="1"/>
  <c r="U744" i="11"/>
  <c r="L745" i="11"/>
  <c r="X743" i="11"/>
  <c r="Q743" i="11"/>
  <c r="AF743" i="11"/>
  <c r="AJ743" i="11" s="1"/>
  <c r="AD740" i="11"/>
  <c r="AC740" i="11"/>
  <c r="Y743" i="11"/>
  <c r="W743" i="11"/>
  <c r="V743" i="11"/>
  <c r="P743" i="11"/>
  <c r="P744" i="11" s="1"/>
  <c r="S741" i="11"/>
  <c r="AB741" i="11"/>
  <c r="R742" i="11"/>
  <c r="AA742" i="11"/>
  <c r="AD741" i="11" l="1"/>
  <c r="AC741" i="11"/>
  <c r="R743" i="11"/>
  <c r="AA743" i="11"/>
  <c r="V744" i="11"/>
  <c r="W744" i="11"/>
  <c r="U745" i="11"/>
  <c r="N745" i="11"/>
  <c r="O745" i="11" s="1"/>
  <c r="L746" i="11"/>
  <c r="AB742" i="11"/>
  <c r="S742" i="11"/>
  <c r="X744" i="11"/>
  <c r="Y744" i="11" s="1"/>
  <c r="AF744" i="11"/>
  <c r="AJ744" i="11" s="1"/>
  <c r="Q744" i="11"/>
  <c r="AC742" i="11" l="1"/>
  <c r="AD742" i="11"/>
  <c r="W745" i="11"/>
  <c r="V745" i="11"/>
  <c r="X745" i="11"/>
  <c r="Y745" i="11" s="1"/>
  <c r="AF745" i="11"/>
  <c r="AJ745" i="11" s="1"/>
  <c r="Q745" i="11"/>
  <c r="N746" i="11"/>
  <c r="O746" i="11" s="1"/>
  <c r="L747" i="11"/>
  <c r="U746" i="11"/>
  <c r="R744" i="11"/>
  <c r="AA744" i="11"/>
  <c r="S743" i="11"/>
  <c r="AB743" i="11"/>
  <c r="P745" i="11"/>
  <c r="U747" i="11" l="1"/>
  <c r="N747" i="11"/>
  <c r="O747" i="11" s="1"/>
  <c r="L748" i="11"/>
  <c r="V746" i="11"/>
  <c r="W746" i="11"/>
  <c r="X746" i="11"/>
  <c r="Y746" i="11" s="1"/>
  <c r="Q746" i="11"/>
  <c r="AF746" i="11"/>
  <c r="AJ746" i="11" s="1"/>
  <c r="S744" i="11"/>
  <c r="AB744" i="11"/>
  <c r="R745" i="11"/>
  <c r="AA745" i="11"/>
  <c r="P746" i="11"/>
  <c r="P747" i="11" s="1"/>
  <c r="AC743" i="11"/>
  <c r="AD743" i="11"/>
  <c r="AB745" i="11" l="1"/>
  <c r="S745" i="11"/>
  <c r="R746" i="11"/>
  <c r="AA746" i="11"/>
  <c r="Q747" i="11"/>
  <c r="AF747" i="11"/>
  <c r="AJ747" i="11" s="1"/>
  <c r="X747" i="11"/>
  <c r="AD744" i="11"/>
  <c r="AC744" i="11"/>
  <c r="N748" i="11"/>
  <c r="O748" i="11" s="1"/>
  <c r="U748" i="11"/>
  <c r="L749" i="11"/>
  <c r="Y747" i="11"/>
  <c r="W747" i="11"/>
  <c r="V747" i="11"/>
  <c r="L750" i="11" l="1"/>
  <c r="U749" i="11"/>
  <c r="N749" i="11"/>
  <c r="O749" i="11" s="1"/>
  <c r="W748" i="11"/>
  <c r="V748" i="11"/>
  <c r="R747" i="11"/>
  <c r="AA747" i="11"/>
  <c r="AB746" i="11"/>
  <c r="S746" i="11"/>
  <c r="AD745" i="11"/>
  <c r="AC745" i="11"/>
  <c r="AF748" i="11"/>
  <c r="AJ748" i="11" s="1"/>
  <c r="Q748" i="11"/>
  <c r="X748" i="11"/>
  <c r="Y748" i="11" s="1"/>
  <c r="P748" i="11"/>
  <c r="AA748" i="11" l="1"/>
  <c r="R748" i="11"/>
  <c r="AC746" i="11"/>
  <c r="AD746" i="11"/>
  <c r="Q749" i="11"/>
  <c r="X749" i="11"/>
  <c r="AF749" i="11"/>
  <c r="AJ749" i="11" s="1"/>
  <c r="P749" i="11"/>
  <c r="AB747" i="11"/>
  <c r="S747" i="11"/>
  <c r="W749" i="11"/>
  <c r="V749" i="11"/>
  <c r="Y749" i="11"/>
  <c r="L751" i="11"/>
  <c r="U750" i="11"/>
  <c r="N750" i="11"/>
  <c r="O750" i="11" s="1"/>
  <c r="P750" i="11" l="1"/>
  <c r="V750" i="11"/>
  <c r="W750" i="11"/>
  <c r="AC747" i="11"/>
  <c r="AD747" i="11"/>
  <c r="L752" i="11"/>
  <c r="U751" i="11"/>
  <c r="N751" i="11"/>
  <c r="O751" i="11" s="1"/>
  <c r="Q750" i="11"/>
  <c r="AF750" i="11"/>
  <c r="AJ750" i="11" s="1"/>
  <c r="X750" i="11"/>
  <c r="Y750" i="11" s="1"/>
  <c r="S748" i="11"/>
  <c r="AB748" i="11"/>
  <c r="P751" i="11"/>
  <c r="AA749" i="11"/>
  <c r="R749" i="11"/>
  <c r="R750" i="11" l="1"/>
  <c r="AA750" i="11"/>
  <c r="W751" i="11"/>
  <c r="V751" i="11"/>
  <c r="AD748" i="11"/>
  <c r="AC748" i="11"/>
  <c r="X751" i="11"/>
  <c r="Y751" i="11" s="1"/>
  <c r="Q751" i="11"/>
  <c r="AF751" i="11"/>
  <c r="AJ751" i="11" s="1"/>
  <c r="L753" i="11"/>
  <c r="U752" i="11"/>
  <c r="N752" i="11"/>
  <c r="O752" i="11" s="1"/>
  <c r="AB749" i="11"/>
  <c r="S749" i="11"/>
  <c r="Q752" i="11" l="1"/>
  <c r="X752" i="11"/>
  <c r="AF752" i="11"/>
  <c r="AJ752" i="11" s="1"/>
  <c r="U753" i="11"/>
  <c r="N753" i="11"/>
  <c r="O753" i="11" s="1"/>
  <c r="L754" i="11"/>
  <c r="V752" i="11"/>
  <c r="Y752" i="11"/>
  <c r="W752" i="11"/>
  <c r="R751" i="11"/>
  <c r="AA751" i="11"/>
  <c r="P752" i="11"/>
  <c r="P753" i="11" s="1"/>
  <c r="AD749" i="11"/>
  <c r="AC749" i="11"/>
  <c r="S750" i="11"/>
  <c r="AB750" i="11"/>
  <c r="Q753" i="11" l="1"/>
  <c r="X753" i="11"/>
  <c r="AF753" i="11"/>
  <c r="AJ753" i="11" s="1"/>
  <c r="S751" i="11"/>
  <c r="AB751" i="11"/>
  <c r="U754" i="11"/>
  <c r="L755" i="11"/>
  <c r="N754" i="11"/>
  <c r="O754" i="11" s="1"/>
  <c r="W753" i="11"/>
  <c r="V753" i="11"/>
  <c r="Y753" i="11"/>
  <c r="AD750" i="11"/>
  <c r="AC750" i="11"/>
  <c r="R752" i="11"/>
  <c r="AA752" i="11"/>
  <c r="AF754" i="11" l="1"/>
  <c r="AJ754" i="11" s="1"/>
  <c r="Q754" i="11"/>
  <c r="X754" i="11"/>
  <c r="U755" i="11"/>
  <c r="N755" i="11"/>
  <c r="O755" i="11" s="1"/>
  <c r="L756" i="11"/>
  <c r="AC751" i="11"/>
  <c r="AD751" i="11"/>
  <c r="AA753" i="11"/>
  <c r="R753" i="11"/>
  <c r="V754" i="11"/>
  <c r="Y754" i="11"/>
  <c r="W754" i="11"/>
  <c r="S752" i="11"/>
  <c r="AB752" i="11"/>
  <c r="P754" i="11"/>
  <c r="N756" i="11" l="1"/>
  <c r="O756" i="11" s="1"/>
  <c r="U756" i="11"/>
  <c r="L757" i="11"/>
  <c r="AB753" i="11"/>
  <c r="S753" i="11"/>
  <c r="AF755" i="11"/>
  <c r="AJ755" i="11" s="1"/>
  <c r="X755" i="11"/>
  <c r="Q755" i="11"/>
  <c r="P755" i="11"/>
  <c r="P756" i="11" s="1"/>
  <c r="AA754" i="11"/>
  <c r="R754" i="11"/>
  <c r="Y755" i="11"/>
  <c r="W755" i="11"/>
  <c r="V755" i="11"/>
  <c r="AC752" i="11"/>
  <c r="AD752" i="11"/>
  <c r="R755" i="11" l="1"/>
  <c r="AA755" i="11"/>
  <c r="V756" i="11"/>
  <c r="W756" i="11"/>
  <c r="AD753" i="11"/>
  <c r="AC753" i="11"/>
  <c r="S754" i="11"/>
  <c r="AB754" i="11"/>
  <c r="N757" i="11"/>
  <c r="O757" i="11" s="1"/>
  <c r="L758" i="11"/>
  <c r="U757" i="11"/>
  <c r="Q756" i="11"/>
  <c r="AF756" i="11"/>
  <c r="AJ756" i="11" s="1"/>
  <c r="X756" i="11"/>
  <c r="Y756" i="11" s="1"/>
  <c r="AA756" i="11" l="1"/>
  <c r="R756" i="11"/>
  <c r="V757" i="11"/>
  <c r="W757" i="11"/>
  <c r="AC754" i="11"/>
  <c r="AD754" i="11"/>
  <c r="X757" i="11"/>
  <c r="Y757" i="11" s="1"/>
  <c r="AF757" i="11"/>
  <c r="AJ757" i="11" s="1"/>
  <c r="Q757" i="11"/>
  <c r="P757" i="11"/>
  <c r="N758" i="11"/>
  <c r="O758" i="11" s="1"/>
  <c r="U758" i="11"/>
  <c r="L759" i="11"/>
  <c r="S755" i="11"/>
  <c r="AB755" i="11"/>
  <c r="N759" i="11" l="1"/>
  <c r="O759" i="11" s="1"/>
  <c r="U759" i="11"/>
  <c r="L760" i="11"/>
  <c r="AA757" i="11"/>
  <c r="R757" i="11"/>
  <c r="X758" i="11"/>
  <c r="Q758" i="11"/>
  <c r="AF758" i="11"/>
  <c r="AJ758" i="11" s="1"/>
  <c r="Y758" i="11"/>
  <c r="V758" i="11"/>
  <c r="W758" i="11"/>
  <c r="AC755" i="11"/>
  <c r="AD755" i="11"/>
  <c r="AB756" i="11"/>
  <c r="S756" i="11"/>
  <c r="P758" i="11"/>
  <c r="P759" i="11" s="1"/>
  <c r="AD756" i="11" l="1"/>
  <c r="AC756" i="11"/>
  <c r="AB757" i="11"/>
  <c r="S757" i="11"/>
  <c r="V759" i="11"/>
  <c r="W759" i="11"/>
  <c r="R758" i="11"/>
  <c r="AA758" i="11"/>
  <c r="U760" i="11"/>
  <c r="N760" i="11"/>
  <c r="O760" i="11" s="1"/>
  <c r="L761" i="11"/>
  <c r="Q759" i="11"/>
  <c r="AF759" i="11"/>
  <c r="AJ759" i="11" s="1"/>
  <c r="X759" i="11"/>
  <c r="Y759" i="11" s="1"/>
  <c r="AF760" i="11" l="1"/>
  <c r="AJ760" i="11" s="1"/>
  <c r="X760" i="11"/>
  <c r="Q760" i="11"/>
  <c r="U761" i="11"/>
  <c r="N761" i="11"/>
  <c r="O761" i="11" s="1"/>
  <c r="L762" i="11"/>
  <c r="W760" i="11"/>
  <c r="Y760" i="11"/>
  <c r="V760" i="11"/>
  <c r="AB758" i="11"/>
  <c r="S758" i="11"/>
  <c r="P760" i="11"/>
  <c r="P761" i="11" s="1"/>
  <c r="AA759" i="11"/>
  <c r="R759" i="11"/>
  <c r="AD757" i="11"/>
  <c r="AC757" i="11"/>
  <c r="AB759" i="11" l="1"/>
  <c r="S759" i="11"/>
  <c r="AD758" i="11"/>
  <c r="AC758" i="11"/>
  <c r="U762" i="11"/>
  <c r="N762" i="11"/>
  <c r="O762" i="11" s="1"/>
  <c r="P762" i="11" s="1"/>
  <c r="L763" i="11"/>
  <c r="V761" i="11"/>
  <c r="W761" i="11"/>
  <c r="AF761" i="11"/>
  <c r="AJ761" i="11" s="1"/>
  <c r="X761" i="11"/>
  <c r="Y761" i="11" s="1"/>
  <c r="Q761" i="11"/>
  <c r="AA760" i="11"/>
  <c r="R760" i="11"/>
  <c r="R761" i="11" l="1"/>
  <c r="AA761" i="11"/>
  <c r="AF762" i="11"/>
  <c r="AJ762" i="11" s="1"/>
  <c r="X762" i="11"/>
  <c r="Q762" i="11"/>
  <c r="L764" i="11"/>
  <c r="U763" i="11"/>
  <c r="N763" i="11"/>
  <c r="O763" i="11" s="1"/>
  <c r="Y762" i="11"/>
  <c r="V762" i="11"/>
  <c r="W762" i="11"/>
  <c r="AB760" i="11"/>
  <c r="S760" i="11"/>
  <c r="AD759" i="11"/>
  <c r="AC759" i="11"/>
  <c r="AD760" i="11" l="1"/>
  <c r="AC760" i="11"/>
  <c r="V763" i="11"/>
  <c r="W763" i="11"/>
  <c r="R762" i="11"/>
  <c r="AA762" i="11"/>
  <c r="AB761" i="11"/>
  <c r="S761" i="11"/>
  <c r="AF763" i="11"/>
  <c r="AJ763" i="11" s="1"/>
  <c r="Q763" i="11"/>
  <c r="X763" i="11"/>
  <c r="Y763" i="11" s="1"/>
  <c r="U764" i="11"/>
  <c r="N764" i="11"/>
  <c r="O764" i="11" s="1"/>
  <c r="L765" i="11"/>
  <c r="P763" i="11"/>
  <c r="W764" i="11" l="1"/>
  <c r="V764" i="11"/>
  <c r="AF764" i="11"/>
  <c r="AJ764" i="11" s="1"/>
  <c r="Q764" i="11"/>
  <c r="X764" i="11"/>
  <c r="Y764" i="11" s="1"/>
  <c r="S762" i="11"/>
  <c r="AB762" i="11"/>
  <c r="AA763" i="11"/>
  <c r="R763" i="11"/>
  <c r="AD761" i="11"/>
  <c r="AC761" i="11"/>
  <c r="P764" i="11"/>
  <c r="U765" i="11"/>
  <c r="L766" i="11"/>
  <c r="N765" i="11"/>
  <c r="O765" i="11" s="1"/>
  <c r="P765" i="11" l="1"/>
  <c r="V765" i="11"/>
  <c r="W765" i="11"/>
  <c r="S763" i="11"/>
  <c r="AB763" i="11"/>
  <c r="AA764" i="11"/>
  <c r="R764" i="11"/>
  <c r="L767" i="11"/>
  <c r="U766" i="11"/>
  <c r="N766" i="11"/>
  <c r="O766" i="11" s="1"/>
  <c r="AD762" i="11"/>
  <c r="AC762" i="11"/>
  <c r="Q765" i="11"/>
  <c r="AF765" i="11"/>
  <c r="AJ765" i="11" s="1"/>
  <c r="X765" i="11"/>
  <c r="Y765" i="11" s="1"/>
  <c r="X766" i="11" l="1"/>
  <c r="Q766" i="11"/>
  <c r="AF766" i="11"/>
  <c r="AJ766" i="11" s="1"/>
  <c r="L768" i="11"/>
  <c r="N767" i="11"/>
  <c r="O767" i="11" s="1"/>
  <c r="U767" i="11"/>
  <c r="AD763" i="11"/>
  <c r="AC763" i="11"/>
  <c r="R765" i="11"/>
  <c r="AA765" i="11"/>
  <c r="W766" i="11"/>
  <c r="V766" i="11"/>
  <c r="Y766" i="11"/>
  <c r="AB764" i="11"/>
  <c r="S764" i="11"/>
  <c r="P766" i="11"/>
  <c r="AB765" i="11" l="1"/>
  <c r="S765" i="11"/>
  <c r="W767" i="11"/>
  <c r="V767" i="11"/>
  <c r="L769" i="11"/>
  <c r="N768" i="11"/>
  <c r="O768" i="11" s="1"/>
  <c r="U768" i="11"/>
  <c r="P767" i="11"/>
  <c r="R766" i="11"/>
  <c r="AA766" i="11"/>
  <c r="AD764" i="11"/>
  <c r="AC764" i="11"/>
  <c r="AF767" i="11"/>
  <c r="AJ767" i="11" s="1"/>
  <c r="Q767" i="11"/>
  <c r="X767" i="11"/>
  <c r="Y767" i="11" s="1"/>
  <c r="P768" i="11" l="1"/>
  <c r="AB766" i="11"/>
  <c r="S766" i="11"/>
  <c r="W768" i="11"/>
  <c r="V768" i="11"/>
  <c r="N769" i="11"/>
  <c r="O769" i="11" s="1"/>
  <c r="L770" i="11"/>
  <c r="U769" i="11"/>
  <c r="Q768" i="11"/>
  <c r="AF768" i="11"/>
  <c r="AJ768" i="11" s="1"/>
  <c r="X768" i="11"/>
  <c r="P769" i="11"/>
  <c r="R767" i="11"/>
  <c r="AA767" i="11"/>
  <c r="AC765" i="11"/>
  <c r="AD765" i="11"/>
  <c r="AB767" i="11" l="1"/>
  <c r="S767" i="11"/>
  <c r="R768" i="11"/>
  <c r="AA768" i="11"/>
  <c r="V769" i="11"/>
  <c r="W769" i="11"/>
  <c r="U770" i="11"/>
  <c r="L771" i="11"/>
  <c r="N770" i="11"/>
  <c r="O770" i="11" s="1"/>
  <c r="Q769" i="11"/>
  <c r="AF769" i="11"/>
  <c r="AJ769" i="11" s="1"/>
  <c r="X769" i="11"/>
  <c r="Y769" i="11" s="1"/>
  <c r="Y768" i="11"/>
  <c r="AC766" i="11"/>
  <c r="AD766" i="11"/>
  <c r="S768" i="11" l="1"/>
  <c r="AB768" i="11"/>
  <c r="AF770" i="11"/>
  <c r="AJ770" i="11" s="1"/>
  <c r="X770" i="11"/>
  <c r="Q770" i="11"/>
  <c r="N771" i="11"/>
  <c r="O771" i="11" s="1"/>
  <c r="U771" i="11"/>
  <c r="L772" i="11"/>
  <c r="P770" i="11"/>
  <c r="V770" i="11"/>
  <c r="W770" i="11"/>
  <c r="Y770" i="11"/>
  <c r="AA769" i="11"/>
  <c r="R769" i="11"/>
  <c r="AC767" i="11"/>
  <c r="AD767" i="11"/>
  <c r="V771" i="11" l="1"/>
  <c r="W771" i="11"/>
  <c r="AA770" i="11"/>
  <c r="R770" i="11"/>
  <c r="N772" i="11"/>
  <c r="O772" i="11" s="1"/>
  <c r="L773" i="11"/>
  <c r="U772" i="11"/>
  <c r="Q771" i="11"/>
  <c r="AF771" i="11"/>
  <c r="AJ771" i="11" s="1"/>
  <c r="X771" i="11"/>
  <c r="Y771" i="11" s="1"/>
  <c r="AC768" i="11"/>
  <c r="AD768" i="11"/>
  <c r="P771" i="11"/>
  <c r="S769" i="11"/>
  <c r="AB769" i="11"/>
  <c r="AA771" i="11" l="1"/>
  <c r="R771" i="11"/>
  <c r="S770" i="11"/>
  <c r="AB770" i="11"/>
  <c r="X772" i="11"/>
  <c r="Y772" i="11" s="1"/>
  <c r="AF772" i="11"/>
  <c r="AJ772" i="11" s="1"/>
  <c r="Q772" i="11"/>
  <c r="N773" i="11"/>
  <c r="O773" i="11" s="1"/>
  <c r="U773" i="11"/>
  <c r="L774" i="11"/>
  <c r="AC769" i="11"/>
  <c r="AD769" i="11"/>
  <c r="W772" i="11"/>
  <c r="V772" i="11"/>
  <c r="P772" i="11"/>
  <c r="N774" i="11" l="1"/>
  <c r="O774" i="11" s="1"/>
  <c r="L775" i="11"/>
  <c r="U774" i="11"/>
  <c r="X773" i="11"/>
  <c r="Q773" i="11"/>
  <c r="AF773" i="11"/>
  <c r="AJ773" i="11" s="1"/>
  <c r="P773" i="11"/>
  <c r="AB771" i="11"/>
  <c r="S771" i="11"/>
  <c r="W773" i="11"/>
  <c r="Y773" i="11"/>
  <c r="V773" i="11"/>
  <c r="AA772" i="11"/>
  <c r="R772" i="11"/>
  <c r="AC770" i="11"/>
  <c r="AD770" i="11"/>
  <c r="P774" i="11" l="1"/>
  <c r="V774" i="11"/>
  <c r="W774" i="11"/>
  <c r="N775" i="11"/>
  <c r="O775" i="11" s="1"/>
  <c r="L776" i="11"/>
  <c r="U775" i="11"/>
  <c r="R773" i="11"/>
  <c r="AA773" i="11"/>
  <c r="S772" i="11"/>
  <c r="AB772" i="11"/>
  <c r="AF774" i="11"/>
  <c r="AJ774" i="11" s="1"/>
  <c r="X774" i="11"/>
  <c r="Y774" i="11" s="1"/>
  <c r="Q774" i="11"/>
  <c r="AD771" i="11"/>
  <c r="AC771" i="11"/>
  <c r="R774" i="11" l="1"/>
  <c r="AA774" i="11"/>
  <c r="AD772" i="11"/>
  <c r="AC772" i="11"/>
  <c r="X775" i="11"/>
  <c r="Y775" i="11" s="1"/>
  <c r="Q775" i="11"/>
  <c r="AF775" i="11"/>
  <c r="AJ775" i="11" s="1"/>
  <c r="S773" i="11"/>
  <c r="AB773" i="11"/>
  <c r="U776" i="11"/>
  <c r="N776" i="11"/>
  <c r="O776" i="11" s="1"/>
  <c r="L777" i="11"/>
  <c r="V775" i="11"/>
  <c r="W775" i="11"/>
  <c r="P775" i="11"/>
  <c r="V776" i="11" l="1"/>
  <c r="W776" i="11"/>
  <c r="U777" i="11"/>
  <c r="N777" i="11"/>
  <c r="O777" i="11" s="1"/>
  <c r="L778" i="11"/>
  <c r="AA775" i="11"/>
  <c r="R775" i="11"/>
  <c r="AF776" i="11"/>
  <c r="AJ776" i="11" s="1"/>
  <c r="X776" i="11"/>
  <c r="Y776" i="11" s="1"/>
  <c r="Q776" i="11"/>
  <c r="AD773" i="11"/>
  <c r="AC773" i="11"/>
  <c r="P776" i="11"/>
  <c r="P777" i="11" s="1"/>
  <c r="AB774" i="11"/>
  <c r="S774" i="11"/>
  <c r="R776" i="11" l="1"/>
  <c r="AA776" i="11"/>
  <c r="AB775" i="11"/>
  <c r="S775" i="11"/>
  <c r="N778" i="11"/>
  <c r="O778" i="11" s="1"/>
  <c r="L779" i="11"/>
  <c r="U778" i="11"/>
  <c r="X777" i="11"/>
  <c r="Y777" i="11" s="1"/>
  <c r="AF777" i="11"/>
  <c r="AJ777" i="11" s="1"/>
  <c r="Q777" i="11"/>
  <c r="W777" i="11"/>
  <c r="V777" i="11"/>
  <c r="AC774" i="11"/>
  <c r="AD774" i="11"/>
  <c r="AA777" i="11" l="1"/>
  <c r="R777" i="11"/>
  <c r="X778" i="11"/>
  <c r="AF778" i="11"/>
  <c r="AJ778" i="11" s="1"/>
  <c r="Q778" i="11"/>
  <c r="AD775" i="11"/>
  <c r="AC775" i="11"/>
  <c r="L780" i="11"/>
  <c r="N779" i="11"/>
  <c r="O779" i="11" s="1"/>
  <c r="U779" i="11"/>
  <c r="Y778" i="11"/>
  <c r="V778" i="11"/>
  <c r="W778" i="11"/>
  <c r="P778" i="11"/>
  <c r="P779" i="11" s="1"/>
  <c r="S776" i="11"/>
  <c r="AB776" i="11"/>
  <c r="AF779" i="11" l="1"/>
  <c r="AJ779" i="11" s="1"/>
  <c r="X779" i="11"/>
  <c r="Q779" i="11"/>
  <c r="U780" i="11"/>
  <c r="N780" i="11"/>
  <c r="O780" i="11" s="1"/>
  <c r="L781" i="11"/>
  <c r="AC776" i="11"/>
  <c r="AD776" i="11"/>
  <c r="AB777" i="11"/>
  <c r="S777" i="11"/>
  <c r="W779" i="11"/>
  <c r="Y779" i="11"/>
  <c r="V779" i="11"/>
  <c r="R778" i="11"/>
  <c r="AA778" i="11"/>
  <c r="W780" i="11" l="1"/>
  <c r="V780" i="11"/>
  <c r="L782" i="11"/>
  <c r="U781" i="11"/>
  <c r="N781" i="11"/>
  <c r="O781" i="11" s="1"/>
  <c r="Q780" i="11"/>
  <c r="AF780" i="11"/>
  <c r="AJ780" i="11" s="1"/>
  <c r="X780" i="11"/>
  <c r="Y780" i="11" s="1"/>
  <c r="AC777" i="11"/>
  <c r="AD777" i="11"/>
  <c r="AA779" i="11"/>
  <c r="R779" i="11"/>
  <c r="AB778" i="11"/>
  <c r="S778" i="11"/>
  <c r="P780" i="11"/>
  <c r="AD778" i="11" l="1"/>
  <c r="AC778" i="11"/>
  <c r="Q781" i="11"/>
  <c r="X781" i="11"/>
  <c r="Y781" i="11" s="1"/>
  <c r="AF781" i="11"/>
  <c r="AJ781" i="11" s="1"/>
  <c r="W781" i="11"/>
  <c r="V781" i="11"/>
  <c r="P781" i="11"/>
  <c r="AB779" i="11"/>
  <c r="S779" i="11"/>
  <c r="R780" i="11"/>
  <c r="AA780" i="11"/>
  <c r="L783" i="11"/>
  <c r="N782" i="11"/>
  <c r="O782" i="11" s="1"/>
  <c r="U782" i="11"/>
  <c r="Q782" i="11" l="1"/>
  <c r="AF782" i="11"/>
  <c r="AJ782" i="11" s="1"/>
  <c r="X782" i="11"/>
  <c r="P782" i="11"/>
  <c r="S780" i="11"/>
  <c r="AB780" i="11"/>
  <c r="AC779" i="11"/>
  <c r="AD779" i="11"/>
  <c r="R781" i="11"/>
  <c r="AA781" i="11"/>
  <c r="L784" i="11"/>
  <c r="N783" i="11"/>
  <c r="O783" i="11" s="1"/>
  <c r="U783" i="11"/>
  <c r="Y782" i="11"/>
  <c r="W782" i="11"/>
  <c r="V782" i="11"/>
  <c r="L785" i="11" l="1"/>
  <c r="U784" i="11"/>
  <c r="N784" i="11"/>
  <c r="O784" i="11" s="1"/>
  <c r="S781" i="11"/>
  <c r="AB781" i="11"/>
  <c r="P783" i="11"/>
  <c r="Q783" i="11"/>
  <c r="X783" i="11"/>
  <c r="AF783" i="11"/>
  <c r="AJ783" i="11" s="1"/>
  <c r="W783" i="11"/>
  <c r="Y783" i="11"/>
  <c r="V783" i="11"/>
  <c r="AD780" i="11"/>
  <c r="AC780" i="11"/>
  <c r="R782" i="11"/>
  <c r="AA782" i="11"/>
  <c r="P784" i="11" l="1"/>
  <c r="AC781" i="11"/>
  <c r="AD781" i="11"/>
  <c r="Q784" i="11"/>
  <c r="AF784" i="11"/>
  <c r="AJ784" i="11" s="1"/>
  <c r="X784" i="11"/>
  <c r="Y784" i="11" s="1"/>
  <c r="W784" i="11"/>
  <c r="V784" i="11"/>
  <c r="R783" i="11"/>
  <c r="AA783" i="11"/>
  <c r="S782" i="11"/>
  <c r="AB782" i="11"/>
  <c r="N785" i="11"/>
  <c r="O785" i="11" s="1"/>
  <c r="L786" i="11"/>
  <c r="U785" i="11"/>
  <c r="Q785" i="11" l="1"/>
  <c r="X785" i="11"/>
  <c r="AF785" i="11"/>
  <c r="AJ785" i="11" s="1"/>
  <c r="AC782" i="11"/>
  <c r="AD782" i="11"/>
  <c r="R784" i="11"/>
  <c r="AA784" i="11"/>
  <c r="S783" i="11"/>
  <c r="AB783" i="11"/>
  <c r="W785" i="11"/>
  <c r="V785" i="11"/>
  <c r="Y785" i="11"/>
  <c r="P785" i="11"/>
  <c r="N786" i="11"/>
  <c r="O786" i="11" s="1"/>
  <c r="U786" i="11"/>
  <c r="L787" i="11"/>
  <c r="P786" i="11" l="1"/>
  <c r="AB784" i="11"/>
  <c r="S784" i="11"/>
  <c r="AD783" i="11"/>
  <c r="AC783" i="11"/>
  <c r="Q786" i="11"/>
  <c r="X786" i="11"/>
  <c r="AF786" i="11"/>
  <c r="AJ786" i="11" s="1"/>
  <c r="L788" i="11"/>
  <c r="U787" i="11"/>
  <c r="N787" i="11"/>
  <c r="O787" i="11" s="1"/>
  <c r="P787" i="11" s="1"/>
  <c r="Y786" i="11"/>
  <c r="V786" i="11"/>
  <c r="W786" i="11"/>
  <c r="AA785" i="11"/>
  <c r="R785" i="11"/>
  <c r="U788" i="11" l="1"/>
  <c r="N788" i="11"/>
  <c r="O788" i="11" s="1"/>
  <c r="L789" i="11"/>
  <c r="R786" i="11"/>
  <c r="AA786" i="11"/>
  <c r="AF787" i="11"/>
  <c r="AJ787" i="11" s="1"/>
  <c r="Q787" i="11"/>
  <c r="X787" i="11"/>
  <c r="Y787" i="11" s="1"/>
  <c r="V787" i="11"/>
  <c r="W787" i="11"/>
  <c r="AB785" i="11"/>
  <c r="S785" i="11"/>
  <c r="AC784" i="11"/>
  <c r="AD784" i="11"/>
  <c r="AD785" i="11" l="1"/>
  <c r="AC785" i="11"/>
  <c r="R787" i="11"/>
  <c r="AA787" i="11"/>
  <c r="AB786" i="11"/>
  <c r="S786" i="11"/>
  <c r="N789" i="11"/>
  <c r="O789" i="11" s="1"/>
  <c r="U789" i="11"/>
  <c r="L790" i="11"/>
  <c r="V788" i="11"/>
  <c r="W788" i="11"/>
  <c r="AF788" i="11"/>
  <c r="AJ788" i="11" s="1"/>
  <c r="Q788" i="11"/>
  <c r="X788" i="11"/>
  <c r="Y788" i="11" s="1"/>
  <c r="P788" i="11"/>
  <c r="R788" i="11" l="1"/>
  <c r="AA788" i="11"/>
  <c r="V789" i="11"/>
  <c r="W789" i="11"/>
  <c r="AF789" i="11"/>
  <c r="AJ789" i="11" s="1"/>
  <c r="X789" i="11"/>
  <c r="Y789" i="11" s="1"/>
  <c r="Q789" i="11"/>
  <c r="AB787" i="11"/>
  <c r="S787" i="11"/>
  <c r="AD786" i="11"/>
  <c r="AC786" i="11"/>
  <c r="U790" i="11"/>
  <c r="N790" i="11"/>
  <c r="O790" i="11" s="1"/>
  <c r="L791" i="11"/>
  <c r="P789" i="11"/>
  <c r="X790" i="11" l="1"/>
  <c r="Q790" i="11"/>
  <c r="AF790" i="11"/>
  <c r="AJ790" i="11" s="1"/>
  <c r="V790" i="11"/>
  <c r="W790" i="11"/>
  <c r="Y790" i="11"/>
  <c r="R789" i="11"/>
  <c r="AA789" i="11"/>
  <c r="P790" i="11"/>
  <c r="AC787" i="11"/>
  <c r="AD787" i="11"/>
  <c r="N791" i="11"/>
  <c r="O791" i="11" s="1"/>
  <c r="U791" i="11"/>
  <c r="L792" i="11"/>
  <c r="S788" i="11"/>
  <c r="AB788" i="11"/>
  <c r="V791" i="11" l="1"/>
  <c r="W791" i="11"/>
  <c r="P791" i="11"/>
  <c r="X791" i="11"/>
  <c r="Y791" i="11" s="1"/>
  <c r="AF791" i="11"/>
  <c r="AJ791" i="11" s="1"/>
  <c r="Q791" i="11"/>
  <c r="R790" i="11"/>
  <c r="AA790" i="11"/>
  <c r="N792" i="11"/>
  <c r="O792" i="11" s="1"/>
  <c r="U792" i="11"/>
  <c r="L793" i="11"/>
  <c r="S789" i="11"/>
  <c r="AB789" i="11"/>
  <c r="AD788" i="11"/>
  <c r="AC788" i="11"/>
  <c r="U793" i="11" l="1"/>
  <c r="L794" i="11"/>
  <c r="N793" i="11"/>
  <c r="O793" i="11" s="1"/>
  <c r="V792" i="11"/>
  <c r="W792" i="11"/>
  <c r="AC789" i="11"/>
  <c r="AD789" i="11"/>
  <c r="X792" i="11"/>
  <c r="Y792" i="11" s="1"/>
  <c r="AF792" i="11"/>
  <c r="AJ792" i="11" s="1"/>
  <c r="Q792" i="11"/>
  <c r="R791" i="11"/>
  <c r="AA791" i="11"/>
  <c r="S790" i="11"/>
  <c r="AB790" i="11"/>
  <c r="P792" i="11"/>
  <c r="N794" i="11" l="1"/>
  <c r="O794" i="11" s="1"/>
  <c r="L795" i="11"/>
  <c r="U794" i="11"/>
  <c r="S791" i="11"/>
  <c r="AB791" i="11"/>
  <c r="AF793" i="11"/>
  <c r="AJ793" i="11" s="1"/>
  <c r="X793" i="11"/>
  <c r="Q793" i="11"/>
  <c r="R792" i="11"/>
  <c r="AA792" i="11"/>
  <c r="P793" i="11"/>
  <c r="P794" i="11" s="1"/>
  <c r="AC790" i="11"/>
  <c r="AD790" i="11"/>
  <c r="Y793" i="11"/>
  <c r="V793" i="11"/>
  <c r="W793" i="11"/>
  <c r="R793" i="11" l="1"/>
  <c r="AA793" i="11"/>
  <c r="AD791" i="11"/>
  <c r="AC791" i="11"/>
  <c r="W794" i="11"/>
  <c r="V794" i="11"/>
  <c r="S792" i="11"/>
  <c r="AB792" i="11"/>
  <c r="L796" i="11"/>
  <c r="N795" i="11"/>
  <c r="O795" i="11" s="1"/>
  <c r="U795" i="11"/>
  <c r="X794" i="11"/>
  <c r="Y794" i="11" s="1"/>
  <c r="Q794" i="11"/>
  <c r="AF794" i="11"/>
  <c r="AJ794" i="11" s="1"/>
  <c r="AF795" i="11" l="1"/>
  <c r="AJ795" i="11" s="1"/>
  <c r="Q795" i="11"/>
  <c r="X795" i="11"/>
  <c r="AC792" i="11"/>
  <c r="AD792" i="11"/>
  <c r="N796" i="11"/>
  <c r="O796" i="11" s="1"/>
  <c r="U796" i="11"/>
  <c r="L797" i="11"/>
  <c r="V795" i="11"/>
  <c r="W795" i="11"/>
  <c r="Y795" i="11"/>
  <c r="P795" i="11"/>
  <c r="P796" i="11" s="1"/>
  <c r="R794" i="11"/>
  <c r="AA794" i="11"/>
  <c r="AB793" i="11"/>
  <c r="S793" i="11"/>
  <c r="V796" i="11" l="1"/>
  <c r="W796" i="11"/>
  <c r="AB794" i="11"/>
  <c r="S794" i="11"/>
  <c r="N797" i="11"/>
  <c r="O797" i="11" s="1"/>
  <c r="L798" i="11"/>
  <c r="U797" i="11"/>
  <c r="R795" i="11"/>
  <c r="AA795" i="11"/>
  <c r="X796" i="11"/>
  <c r="Y796" i="11" s="1"/>
  <c r="Q796" i="11"/>
  <c r="AF796" i="11"/>
  <c r="AJ796" i="11" s="1"/>
  <c r="AD793" i="11"/>
  <c r="AC793" i="11"/>
  <c r="AB795" i="11" l="1"/>
  <c r="S795" i="11"/>
  <c r="V797" i="11"/>
  <c r="W797" i="11"/>
  <c r="AA796" i="11"/>
  <c r="R796" i="11"/>
  <c r="L799" i="11"/>
  <c r="U798" i="11"/>
  <c r="N798" i="11"/>
  <c r="O798" i="11" s="1"/>
  <c r="AC794" i="11"/>
  <c r="AD794" i="11"/>
  <c r="X797" i="11"/>
  <c r="Y797" i="11" s="1"/>
  <c r="Q797" i="11"/>
  <c r="AF797" i="11"/>
  <c r="AJ797" i="11" s="1"/>
  <c r="P797" i="11"/>
  <c r="R797" i="11" l="1"/>
  <c r="AA797" i="11"/>
  <c r="V798" i="11"/>
  <c r="W798" i="11"/>
  <c r="X798" i="11"/>
  <c r="Y798" i="11" s="1"/>
  <c r="Q798" i="11"/>
  <c r="AF798" i="11"/>
  <c r="AJ798" i="11" s="1"/>
  <c r="L800" i="11"/>
  <c r="N799" i="11"/>
  <c r="O799" i="11" s="1"/>
  <c r="U799" i="11"/>
  <c r="P798" i="11"/>
  <c r="AB796" i="11"/>
  <c r="S796" i="11"/>
  <c r="AC795" i="11"/>
  <c r="AD795" i="11"/>
  <c r="AC796" i="11" l="1"/>
  <c r="AD796" i="11"/>
  <c r="V799" i="11"/>
  <c r="W799" i="11"/>
  <c r="L801" i="11"/>
  <c r="N800" i="11"/>
  <c r="O800" i="11" s="1"/>
  <c r="U800" i="11"/>
  <c r="AF799" i="11"/>
  <c r="AJ799" i="11" s="1"/>
  <c r="Q799" i="11"/>
  <c r="X799" i="11"/>
  <c r="Y799" i="11" s="1"/>
  <c r="P799" i="11"/>
  <c r="P800" i="11" s="1"/>
  <c r="R798" i="11"/>
  <c r="AA798" i="11"/>
  <c r="S797" i="11"/>
  <c r="AB797" i="11"/>
  <c r="R799" i="11" l="1"/>
  <c r="AA799" i="11"/>
  <c r="W800" i="11"/>
  <c r="V800" i="11"/>
  <c r="X800" i="11"/>
  <c r="Y800" i="11" s="1"/>
  <c r="Q800" i="11"/>
  <c r="AF800" i="11"/>
  <c r="AJ800" i="11" s="1"/>
  <c r="S798" i="11"/>
  <c r="AB798" i="11"/>
  <c r="U801" i="11"/>
  <c r="N801" i="11"/>
  <c r="O801" i="11" s="1"/>
  <c r="L802" i="11"/>
  <c r="AC797" i="11"/>
  <c r="AD797" i="11"/>
  <c r="Q801" i="11" l="1"/>
  <c r="AF801" i="11"/>
  <c r="AJ801" i="11" s="1"/>
  <c r="X801" i="11"/>
  <c r="Y801" i="11" s="1"/>
  <c r="V801" i="11"/>
  <c r="W801" i="11"/>
  <c r="AD798" i="11"/>
  <c r="AC798" i="11"/>
  <c r="R800" i="11"/>
  <c r="AA800" i="11"/>
  <c r="L803" i="11"/>
  <c r="N802" i="11"/>
  <c r="O802" i="11" s="1"/>
  <c r="U802" i="11"/>
  <c r="P801" i="11"/>
  <c r="P802" i="11" s="1"/>
  <c r="S799" i="11"/>
  <c r="AB799" i="11"/>
  <c r="U803" i="11" l="1"/>
  <c r="N803" i="11"/>
  <c r="O803" i="11" s="1"/>
  <c r="L804" i="11"/>
  <c r="V802" i="11"/>
  <c r="W802" i="11"/>
  <c r="S800" i="11"/>
  <c r="AB800" i="11"/>
  <c r="X802" i="11"/>
  <c r="Y802" i="11" s="1"/>
  <c r="Q802" i="11"/>
  <c r="AF802" i="11"/>
  <c r="AJ802" i="11" s="1"/>
  <c r="AD799" i="11"/>
  <c r="AC799" i="11"/>
  <c r="P803" i="11"/>
  <c r="AA801" i="11"/>
  <c r="R801" i="11"/>
  <c r="AC800" i="11" l="1"/>
  <c r="AD800" i="11"/>
  <c r="N804" i="11"/>
  <c r="O804" i="11" s="1"/>
  <c r="L805" i="11"/>
  <c r="U804" i="11"/>
  <c r="X803" i="11"/>
  <c r="Y803" i="11" s="1"/>
  <c r="Q803" i="11"/>
  <c r="AF803" i="11"/>
  <c r="AJ803" i="11" s="1"/>
  <c r="P804" i="11"/>
  <c r="S801" i="11"/>
  <c r="AB801" i="11"/>
  <c r="AA802" i="11"/>
  <c r="R802" i="11"/>
  <c r="W803" i="11"/>
  <c r="V803" i="11"/>
  <c r="AD801" i="11" l="1"/>
  <c r="AC801" i="11"/>
  <c r="R803" i="11"/>
  <c r="AA803" i="11"/>
  <c r="X804" i="11"/>
  <c r="AF804" i="11"/>
  <c r="AJ804" i="11" s="1"/>
  <c r="Q804" i="11"/>
  <c r="U805" i="11"/>
  <c r="N805" i="11"/>
  <c r="O805" i="11" s="1"/>
  <c r="P805" i="11" s="1"/>
  <c r="L806" i="11"/>
  <c r="S802" i="11"/>
  <c r="AB802" i="11"/>
  <c r="Y804" i="11"/>
  <c r="W804" i="11"/>
  <c r="V804" i="11"/>
  <c r="V805" i="11" l="1"/>
  <c r="W805" i="11"/>
  <c r="AC802" i="11"/>
  <c r="AD802" i="11"/>
  <c r="U806" i="11"/>
  <c r="N806" i="11"/>
  <c r="O806" i="11" s="1"/>
  <c r="L807" i="11"/>
  <c r="AB803" i="11"/>
  <c r="S803" i="11"/>
  <c r="AA804" i="11"/>
  <c r="R804" i="11"/>
  <c r="AF805" i="11"/>
  <c r="AJ805" i="11" s="1"/>
  <c r="Q805" i="11"/>
  <c r="X805" i="11"/>
  <c r="Y805" i="11" s="1"/>
  <c r="AC803" i="11" l="1"/>
  <c r="AD803" i="11"/>
  <c r="AB804" i="11"/>
  <c r="S804" i="11"/>
  <c r="N807" i="11"/>
  <c r="O807" i="11" s="1"/>
  <c r="U807" i="11"/>
  <c r="L808" i="11"/>
  <c r="W806" i="11"/>
  <c r="V806" i="11"/>
  <c r="AF806" i="11"/>
  <c r="AJ806" i="11" s="1"/>
  <c r="X806" i="11"/>
  <c r="Y806" i="11" s="1"/>
  <c r="Q806" i="11"/>
  <c r="AA805" i="11"/>
  <c r="R805" i="11"/>
  <c r="P806" i="11"/>
  <c r="R806" i="11" l="1"/>
  <c r="AA806" i="11"/>
  <c r="W807" i="11"/>
  <c r="V807" i="11"/>
  <c r="U808" i="11"/>
  <c r="N808" i="11"/>
  <c r="O808" i="11" s="1"/>
  <c r="L809" i="11"/>
  <c r="AF807" i="11"/>
  <c r="AJ807" i="11" s="1"/>
  <c r="Q807" i="11"/>
  <c r="X807" i="11"/>
  <c r="Y807" i="11" s="1"/>
  <c r="AD804" i="11"/>
  <c r="AC804" i="11"/>
  <c r="P807" i="11"/>
  <c r="P808" i="11" s="1"/>
  <c r="S805" i="11"/>
  <c r="AB805" i="11"/>
  <c r="R807" i="11" l="1"/>
  <c r="AA807" i="11"/>
  <c r="L810" i="11"/>
  <c r="U809" i="11"/>
  <c r="N809" i="11"/>
  <c r="O809" i="11" s="1"/>
  <c r="W808" i="11"/>
  <c r="V808" i="11"/>
  <c r="Q808" i="11"/>
  <c r="X808" i="11"/>
  <c r="Y808" i="11" s="1"/>
  <c r="AF808" i="11"/>
  <c r="AJ808" i="11" s="1"/>
  <c r="AC805" i="11"/>
  <c r="AD805" i="11"/>
  <c r="AB806" i="11"/>
  <c r="S806" i="11"/>
  <c r="AA808" i="11" l="1"/>
  <c r="R808" i="11"/>
  <c r="AF809" i="11"/>
  <c r="AJ809" i="11" s="1"/>
  <c r="Q809" i="11"/>
  <c r="X809" i="11"/>
  <c r="AB807" i="11"/>
  <c r="S807" i="11"/>
  <c r="V809" i="11"/>
  <c r="W809" i="11"/>
  <c r="Y809" i="11"/>
  <c r="L811" i="11"/>
  <c r="U810" i="11"/>
  <c r="N810" i="11"/>
  <c r="O810" i="11" s="1"/>
  <c r="AC806" i="11"/>
  <c r="AD806" i="11"/>
  <c r="P809" i="11"/>
  <c r="L812" i="11" l="1"/>
  <c r="U811" i="11"/>
  <c r="N811" i="11"/>
  <c r="O811" i="11" s="1"/>
  <c r="W810" i="11"/>
  <c r="V810" i="11"/>
  <c r="R809" i="11"/>
  <c r="AA809" i="11"/>
  <c r="AB808" i="11"/>
  <c r="S808" i="11"/>
  <c r="X810" i="11"/>
  <c r="Y810" i="11" s="1"/>
  <c r="Q810" i="11"/>
  <c r="AF810" i="11"/>
  <c r="AJ810" i="11" s="1"/>
  <c r="AD807" i="11"/>
  <c r="AC807" i="11"/>
  <c r="P810" i="11"/>
  <c r="W811" i="11" l="1"/>
  <c r="V811" i="11"/>
  <c r="S809" i="11"/>
  <c r="AB809" i="11"/>
  <c r="P811" i="11"/>
  <c r="AA810" i="11"/>
  <c r="R810" i="11"/>
  <c r="AC808" i="11"/>
  <c r="AD808" i="11"/>
  <c r="X811" i="11"/>
  <c r="Y811" i="11" s="1"/>
  <c r="Q811" i="11"/>
  <c r="AF811" i="11"/>
  <c r="AJ811" i="11" s="1"/>
  <c r="L813" i="11"/>
  <c r="N812" i="11"/>
  <c r="O812" i="11" s="1"/>
  <c r="U812" i="11"/>
  <c r="S810" i="11" l="1"/>
  <c r="AB810" i="11"/>
  <c r="P812" i="11"/>
  <c r="N813" i="11"/>
  <c r="O813" i="11" s="1"/>
  <c r="U813" i="11"/>
  <c r="L814" i="11"/>
  <c r="Q812" i="11"/>
  <c r="X812" i="11"/>
  <c r="Y812" i="11" s="1"/>
  <c r="AF812" i="11"/>
  <c r="AJ812" i="11" s="1"/>
  <c r="R811" i="11"/>
  <c r="AA811" i="11"/>
  <c r="AD809" i="11"/>
  <c r="AC809" i="11"/>
  <c r="V812" i="11"/>
  <c r="W812" i="11"/>
  <c r="U814" i="11" l="1"/>
  <c r="L815" i="11"/>
  <c r="N814" i="11"/>
  <c r="O814" i="11" s="1"/>
  <c r="R812" i="11"/>
  <c r="AA812" i="11"/>
  <c r="W813" i="11"/>
  <c r="V813" i="11"/>
  <c r="P813" i="11"/>
  <c r="P814" i="11" s="1"/>
  <c r="Q813" i="11"/>
  <c r="AF813" i="11"/>
  <c r="AJ813" i="11" s="1"/>
  <c r="X813" i="11"/>
  <c r="Y813" i="11" s="1"/>
  <c r="AC810" i="11"/>
  <c r="AD810" i="11"/>
  <c r="S811" i="11"/>
  <c r="AB811" i="11"/>
  <c r="AB812" i="11" l="1"/>
  <c r="S812" i="11"/>
  <c r="V814" i="11"/>
  <c r="W814" i="11"/>
  <c r="AA813" i="11"/>
  <c r="R813" i="11"/>
  <c r="X814" i="11"/>
  <c r="Y814" i="11" s="1"/>
  <c r="Q814" i="11"/>
  <c r="AF814" i="11"/>
  <c r="AJ814" i="11" s="1"/>
  <c r="U815" i="11"/>
  <c r="L816" i="11"/>
  <c r="N815" i="11"/>
  <c r="O815" i="11" s="1"/>
  <c r="AD811" i="11"/>
  <c r="AC811" i="11"/>
  <c r="AA814" i="11" l="1"/>
  <c r="R814" i="11"/>
  <c r="N816" i="11"/>
  <c r="O816" i="11" s="1"/>
  <c r="L817" i="11"/>
  <c r="U816" i="11"/>
  <c r="AD812" i="11"/>
  <c r="AC812" i="11"/>
  <c r="Q815" i="11"/>
  <c r="X815" i="11"/>
  <c r="Y815" i="11" s="1"/>
  <c r="AF815" i="11"/>
  <c r="AJ815" i="11" s="1"/>
  <c r="W815" i="11"/>
  <c r="V815" i="11"/>
  <c r="S813" i="11"/>
  <c r="AB813" i="11"/>
  <c r="P815" i="11"/>
  <c r="R815" i="11" l="1"/>
  <c r="AA815" i="11"/>
  <c r="Q816" i="11"/>
  <c r="X816" i="11"/>
  <c r="AF816" i="11"/>
  <c r="AJ816" i="11" s="1"/>
  <c r="N817" i="11"/>
  <c r="O817" i="11" s="1"/>
  <c r="U817" i="11"/>
  <c r="L818" i="11"/>
  <c r="AB814" i="11"/>
  <c r="S814" i="11"/>
  <c r="Y816" i="11"/>
  <c r="W816" i="11"/>
  <c r="V816" i="11"/>
  <c r="P816" i="11"/>
  <c r="P817" i="11" s="1"/>
  <c r="AC813" i="11"/>
  <c r="AD813" i="11"/>
  <c r="AF817" i="11" l="1"/>
  <c r="AJ817" i="11" s="1"/>
  <c r="Q817" i="11"/>
  <c r="X817" i="11"/>
  <c r="Y817" i="11" s="1"/>
  <c r="V817" i="11"/>
  <c r="W817" i="11"/>
  <c r="R816" i="11"/>
  <c r="AA816" i="11"/>
  <c r="U818" i="11"/>
  <c r="N818" i="11"/>
  <c r="O818" i="11" s="1"/>
  <c r="L819" i="11"/>
  <c r="AC814" i="11"/>
  <c r="AD814" i="11"/>
  <c r="AB815" i="11"/>
  <c r="S815" i="11"/>
  <c r="N819" i="11" l="1"/>
  <c r="O819" i="11" s="1"/>
  <c r="L820" i="11"/>
  <c r="U819" i="11"/>
  <c r="AA817" i="11"/>
  <c r="R817" i="11"/>
  <c r="W818" i="11"/>
  <c r="V818" i="11"/>
  <c r="X818" i="11"/>
  <c r="Y818" i="11" s="1"/>
  <c r="AF818" i="11"/>
  <c r="AJ818" i="11" s="1"/>
  <c r="Q818" i="11"/>
  <c r="S816" i="11"/>
  <c r="AB816" i="11"/>
  <c r="AC815" i="11"/>
  <c r="AD815" i="11"/>
  <c r="P818" i="11"/>
  <c r="P819" i="11" s="1"/>
  <c r="S817" i="11" l="1"/>
  <c r="AB817" i="11"/>
  <c r="AC816" i="11"/>
  <c r="AD816" i="11"/>
  <c r="U820" i="11"/>
  <c r="N820" i="11"/>
  <c r="O820" i="11" s="1"/>
  <c r="L821" i="11"/>
  <c r="R818" i="11"/>
  <c r="AA818" i="11"/>
  <c r="W819" i="11"/>
  <c r="V819" i="11"/>
  <c r="AF819" i="11"/>
  <c r="AJ819" i="11" s="1"/>
  <c r="Q819" i="11"/>
  <c r="X819" i="11"/>
  <c r="Y819" i="11" s="1"/>
  <c r="S818" i="11" l="1"/>
  <c r="AB818" i="11"/>
  <c r="U821" i="11"/>
  <c r="N821" i="11"/>
  <c r="O821" i="11" s="1"/>
  <c r="L822" i="11"/>
  <c r="W820" i="11"/>
  <c r="V820" i="11"/>
  <c r="AD817" i="11"/>
  <c r="AC817" i="11"/>
  <c r="X820" i="11"/>
  <c r="Y820" i="11" s="1"/>
  <c r="AF820" i="11"/>
  <c r="AJ820" i="11" s="1"/>
  <c r="Q820" i="11"/>
  <c r="P820" i="11"/>
  <c r="P821" i="11" s="1"/>
  <c r="AA819" i="11"/>
  <c r="R819" i="11"/>
  <c r="X821" i="11" l="1"/>
  <c r="AF821" i="11"/>
  <c r="AJ821" i="11" s="1"/>
  <c r="Q821" i="11"/>
  <c r="W821" i="11"/>
  <c r="V821" i="11"/>
  <c r="Y821" i="11"/>
  <c r="N822" i="11"/>
  <c r="O822" i="11" s="1"/>
  <c r="P822" i="11" s="1"/>
  <c r="L823" i="11"/>
  <c r="U822" i="11"/>
  <c r="AB819" i="11"/>
  <c r="S819" i="11"/>
  <c r="AD818" i="11"/>
  <c r="AC818" i="11"/>
  <c r="R820" i="11"/>
  <c r="AA820" i="11"/>
  <c r="AD819" i="11" l="1"/>
  <c r="AC819" i="11"/>
  <c r="W822" i="11"/>
  <c r="V822" i="11"/>
  <c r="AA821" i="11"/>
  <c r="R821" i="11"/>
  <c r="N823" i="11"/>
  <c r="O823" i="11" s="1"/>
  <c r="L824" i="11"/>
  <c r="U823" i="11"/>
  <c r="X822" i="11"/>
  <c r="Y822" i="11" s="1"/>
  <c r="AF822" i="11"/>
  <c r="AJ822" i="11" s="1"/>
  <c r="Q822" i="11"/>
  <c r="AB820" i="11"/>
  <c r="S820" i="11"/>
  <c r="W823" i="11" l="1"/>
  <c r="V823" i="11"/>
  <c r="S821" i="11"/>
  <c r="AB821" i="11"/>
  <c r="R822" i="11"/>
  <c r="AA822" i="11"/>
  <c r="X823" i="11"/>
  <c r="Y823" i="11" s="1"/>
  <c r="Q823" i="11"/>
  <c r="AF823" i="11"/>
  <c r="AJ823" i="11" s="1"/>
  <c r="U824" i="11"/>
  <c r="N824" i="11"/>
  <c r="O824" i="11" s="1"/>
  <c r="L825" i="11"/>
  <c r="AD820" i="11"/>
  <c r="AC820" i="11"/>
  <c r="P823" i="11"/>
  <c r="W824" i="11" l="1"/>
  <c r="V824" i="11"/>
  <c r="R823" i="11"/>
  <c r="AA823" i="11"/>
  <c r="AC821" i="11"/>
  <c r="AD821" i="11"/>
  <c r="L826" i="11"/>
  <c r="N825" i="11"/>
  <c r="O825" i="11" s="1"/>
  <c r="U825" i="11"/>
  <c r="P824" i="11"/>
  <c r="X824" i="11"/>
  <c r="Y824" i="11" s="1"/>
  <c r="Q824" i="11"/>
  <c r="AF824" i="11"/>
  <c r="AJ824" i="11" s="1"/>
  <c r="S822" i="11"/>
  <c r="AB822" i="11"/>
  <c r="P825" i="11" l="1"/>
  <c r="Q825" i="11"/>
  <c r="X825" i="11"/>
  <c r="AF825" i="11"/>
  <c r="AJ825" i="11" s="1"/>
  <c r="AB823" i="11"/>
  <c r="S823" i="11"/>
  <c r="AA824" i="11"/>
  <c r="R824" i="11"/>
  <c r="V825" i="11"/>
  <c r="W825" i="11"/>
  <c r="Y825" i="11"/>
  <c r="L827" i="11"/>
  <c r="N826" i="11"/>
  <c r="O826" i="11" s="1"/>
  <c r="U826" i="11"/>
  <c r="AC822" i="11"/>
  <c r="AD822" i="11"/>
  <c r="S824" i="11" l="1"/>
  <c r="AB824" i="11"/>
  <c r="Q826" i="11"/>
  <c r="X826" i="11"/>
  <c r="AF826" i="11"/>
  <c r="AJ826" i="11" s="1"/>
  <c r="R825" i="11"/>
  <c r="AA825" i="11"/>
  <c r="W826" i="11"/>
  <c r="Y826" i="11"/>
  <c r="V826" i="11"/>
  <c r="L828" i="11"/>
  <c r="U827" i="11"/>
  <c r="N827" i="11"/>
  <c r="O827" i="11" s="1"/>
  <c r="AC823" i="11"/>
  <c r="AD823" i="11"/>
  <c r="P826" i="11"/>
  <c r="S825" i="11" l="1"/>
  <c r="AB825" i="11"/>
  <c r="AA826" i="11"/>
  <c r="R826" i="11"/>
  <c r="W827" i="11"/>
  <c r="V827" i="11"/>
  <c r="P827" i="11"/>
  <c r="AF827" i="11"/>
  <c r="AJ827" i="11" s="1"/>
  <c r="Q827" i="11"/>
  <c r="X827" i="11"/>
  <c r="Y827" i="11" s="1"/>
  <c r="L829" i="11"/>
  <c r="U828" i="11"/>
  <c r="N828" i="11"/>
  <c r="O828" i="11" s="1"/>
  <c r="AD824" i="11"/>
  <c r="AC824" i="11"/>
  <c r="Q828" i="11" l="1"/>
  <c r="AF828" i="11"/>
  <c r="AJ828" i="11" s="1"/>
  <c r="X828" i="11"/>
  <c r="N829" i="11"/>
  <c r="O829" i="11" s="1"/>
  <c r="U829" i="11"/>
  <c r="L830" i="11"/>
  <c r="W828" i="11"/>
  <c r="V828" i="11"/>
  <c r="Y828" i="11"/>
  <c r="R827" i="11"/>
  <c r="AA827" i="11"/>
  <c r="AC825" i="11"/>
  <c r="AD825" i="11"/>
  <c r="P828" i="11"/>
  <c r="P829" i="11" s="1"/>
  <c r="AB826" i="11"/>
  <c r="S826" i="11"/>
  <c r="W829" i="11" l="1"/>
  <c r="V829" i="11"/>
  <c r="AB827" i="11"/>
  <c r="S827" i="11"/>
  <c r="U830" i="11"/>
  <c r="N830" i="11"/>
  <c r="O830" i="11" s="1"/>
  <c r="L831" i="11"/>
  <c r="Q829" i="11"/>
  <c r="X829" i="11"/>
  <c r="Y829" i="11" s="1"/>
  <c r="AF829" i="11"/>
  <c r="AJ829" i="11" s="1"/>
  <c r="AD826" i="11"/>
  <c r="AC826" i="11"/>
  <c r="R828" i="11"/>
  <c r="AA828" i="11"/>
  <c r="AA829" i="11" l="1"/>
  <c r="R829" i="11"/>
  <c r="V830" i="11"/>
  <c r="W830" i="11"/>
  <c r="U831" i="11"/>
  <c r="L832" i="11"/>
  <c r="N831" i="11"/>
  <c r="O831" i="11" s="1"/>
  <c r="X830" i="11"/>
  <c r="Y830" i="11" s="1"/>
  <c r="AF830" i="11"/>
  <c r="AJ830" i="11" s="1"/>
  <c r="Q830" i="11"/>
  <c r="AD827" i="11"/>
  <c r="AC827" i="11"/>
  <c r="S828" i="11"/>
  <c r="AB828" i="11"/>
  <c r="P830" i="11"/>
  <c r="U832" i="11" l="1"/>
  <c r="N832" i="11"/>
  <c r="O832" i="11" s="1"/>
  <c r="L833" i="11"/>
  <c r="X831" i="11"/>
  <c r="Q831" i="11"/>
  <c r="AF831" i="11"/>
  <c r="AJ831" i="11" s="1"/>
  <c r="W831" i="11"/>
  <c r="Y831" i="11"/>
  <c r="V831" i="11"/>
  <c r="AB829" i="11"/>
  <c r="S829" i="11"/>
  <c r="AA830" i="11"/>
  <c r="R830" i="11"/>
  <c r="P831" i="11"/>
  <c r="P832" i="11" s="1"/>
  <c r="AC828" i="11"/>
  <c r="AD828" i="11"/>
  <c r="AB830" i="11" l="1"/>
  <c r="S830" i="11"/>
  <c r="AA831" i="11"/>
  <c r="R831" i="11"/>
  <c r="N833" i="11"/>
  <c r="O833" i="11" s="1"/>
  <c r="U833" i="11"/>
  <c r="L834" i="11"/>
  <c r="V832" i="11"/>
  <c r="W832" i="11"/>
  <c r="P833" i="11"/>
  <c r="AD829" i="11"/>
  <c r="AC829" i="11"/>
  <c r="AF832" i="11"/>
  <c r="AJ832" i="11" s="1"/>
  <c r="X832" i="11"/>
  <c r="Y832" i="11" s="1"/>
  <c r="Q832" i="11"/>
  <c r="U834" i="11" l="1"/>
  <c r="L835" i="11"/>
  <c r="N834" i="11"/>
  <c r="O834" i="11" s="1"/>
  <c r="AF833" i="11"/>
  <c r="AJ833" i="11" s="1"/>
  <c r="Q833" i="11"/>
  <c r="X833" i="11"/>
  <c r="Y833" i="11" s="1"/>
  <c r="V833" i="11"/>
  <c r="W833" i="11"/>
  <c r="S831" i="11"/>
  <c r="AB831" i="11"/>
  <c r="R832" i="11"/>
  <c r="AA832" i="11"/>
  <c r="AC830" i="11"/>
  <c r="AD830" i="11"/>
  <c r="AB832" i="11" l="1"/>
  <c r="S832" i="11"/>
  <c r="AC831" i="11"/>
  <c r="AD831" i="11"/>
  <c r="N835" i="11"/>
  <c r="O835" i="11" s="1"/>
  <c r="L836" i="11"/>
  <c r="U835" i="11"/>
  <c r="X834" i="11"/>
  <c r="Y834" i="11" s="1"/>
  <c r="AF834" i="11"/>
  <c r="AJ834" i="11" s="1"/>
  <c r="Q834" i="11"/>
  <c r="W834" i="11"/>
  <c r="V834" i="11"/>
  <c r="R833" i="11"/>
  <c r="AA833" i="11"/>
  <c r="P834" i="11"/>
  <c r="N836" i="11" l="1"/>
  <c r="O836" i="11" s="1"/>
  <c r="U836" i="11"/>
  <c r="L837" i="11"/>
  <c r="V835" i="11"/>
  <c r="W835" i="11"/>
  <c r="AB833" i="11"/>
  <c r="S833" i="11"/>
  <c r="R834" i="11"/>
  <c r="AA834" i="11"/>
  <c r="Q835" i="11"/>
  <c r="X835" i="11"/>
  <c r="Y835" i="11" s="1"/>
  <c r="AF835" i="11"/>
  <c r="AJ835" i="11" s="1"/>
  <c r="P835" i="11"/>
  <c r="P836" i="11" s="1"/>
  <c r="AC832" i="11"/>
  <c r="AD832" i="11"/>
  <c r="S834" i="11" l="1"/>
  <c r="AB834" i="11"/>
  <c r="R835" i="11"/>
  <c r="AA835" i="11"/>
  <c r="AD833" i="11"/>
  <c r="AC833" i="11"/>
  <c r="U837" i="11"/>
  <c r="L838" i="11"/>
  <c r="N837" i="11"/>
  <c r="O837" i="11" s="1"/>
  <c r="Q836" i="11"/>
  <c r="AF836" i="11"/>
  <c r="AJ836" i="11" s="1"/>
  <c r="X836" i="11"/>
  <c r="Y836" i="11" s="1"/>
  <c r="W836" i="11"/>
  <c r="V836" i="11"/>
  <c r="R836" i="11" l="1"/>
  <c r="AA836" i="11"/>
  <c r="V837" i="11"/>
  <c r="W837" i="11"/>
  <c r="AD834" i="11"/>
  <c r="AC834" i="11"/>
  <c r="AF837" i="11"/>
  <c r="AJ837" i="11" s="1"/>
  <c r="X837" i="11"/>
  <c r="Y837" i="11" s="1"/>
  <c r="Q837" i="11"/>
  <c r="U838" i="11"/>
  <c r="L839" i="11"/>
  <c r="N838" i="11"/>
  <c r="O838" i="11" s="1"/>
  <c r="AB835" i="11"/>
  <c r="S835" i="11"/>
  <c r="P837" i="11"/>
  <c r="AF838" i="11" l="1"/>
  <c r="AJ838" i="11" s="1"/>
  <c r="Q838" i="11"/>
  <c r="X838" i="11"/>
  <c r="AC835" i="11"/>
  <c r="AD835" i="11"/>
  <c r="R837" i="11"/>
  <c r="AA837" i="11"/>
  <c r="L840" i="11"/>
  <c r="U839" i="11"/>
  <c r="N839" i="11"/>
  <c r="O839" i="11" s="1"/>
  <c r="V838" i="11"/>
  <c r="W838" i="11"/>
  <c r="Y838" i="11"/>
  <c r="P838" i="11"/>
  <c r="AB836" i="11"/>
  <c r="S836" i="11"/>
  <c r="P839" i="11" l="1"/>
  <c r="V839" i="11"/>
  <c r="W839" i="11"/>
  <c r="X839" i="11"/>
  <c r="Y839" i="11" s="1"/>
  <c r="AF839" i="11"/>
  <c r="AJ839" i="11" s="1"/>
  <c r="Q839" i="11"/>
  <c r="N840" i="11"/>
  <c r="O840" i="11" s="1"/>
  <c r="U840" i="11"/>
  <c r="L841" i="11"/>
  <c r="R838" i="11"/>
  <c r="AA838" i="11"/>
  <c r="S837" i="11"/>
  <c r="AB837" i="11"/>
  <c r="AD836" i="11"/>
  <c r="AC836" i="11"/>
  <c r="AC837" i="11" l="1"/>
  <c r="AD837" i="11"/>
  <c r="W840" i="11"/>
  <c r="V840" i="11"/>
  <c r="R839" i="11"/>
  <c r="AA839" i="11"/>
  <c r="AB838" i="11"/>
  <c r="S838" i="11"/>
  <c r="N841" i="11"/>
  <c r="O841" i="11" s="1"/>
  <c r="L842" i="11"/>
  <c r="U841" i="11"/>
  <c r="X840" i="11"/>
  <c r="Y840" i="11" s="1"/>
  <c r="AF840" i="11"/>
  <c r="AJ840" i="11" s="1"/>
  <c r="Q840" i="11"/>
  <c r="P840" i="11"/>
  <c r="V841" i="11" l="1"/>
  <c r="W841" i="11"/>
  <c r="L843" i="11"/>
  <c r="N842" i="11"/>
  <c r="O842" i="11" s="1"/>
  <c r="U842" i="11"/>
  <c r="S839" i="11"/>
  <c r="AB839" i="11"/>
  <c r="AF841" i="11"/>
  <c r="AJ841" i="11" s="1"/>
  <c r="Q841" i="11"/>
  <c r="X841" i="11"/>
  <c r="Y841" i="11" s="1"/>
  <c r="AC838" i="11"/>
  <c r="AD838" i="11"/>
  <c r="P841" i="11"/>
  <c r="P842" i="11" s="1"/>
  <c r="AA840" i="11"/>
  <c r="R840" i="11"/>
  <c r="AF842" i="11" l="1"/>
  <c r="AJ842" i="11" s="1"/>
  <c r="Q842" i="11"/>
  <c r="X842" i="11"/>
  <c r="AD839" i="11"/>
  <c r="AC839" i="11"/>
  <c r="R841" i="11"/>
  <c r="AA841" i="11"/>
  <c r="V842" i="11"/>
  <c r="Y842" i="11"/>
  <c r="W842" i="11"/>
  <c r="L844" i="11"/>
  <c r="U843" i="11"/>
  <c r="N843" i="11"/>
  <c r="O843" i="11" s="1"/>
  <c r="AB840" i="11"/>
  <c r="S840" i="11"/>
  <c r="AC840" i="11" l="1"/>
  <c r="AD840" i="11"/>
  <c r="W843" i="11"/>
  <c r="V843" i="11"/>
  <c r="AB841" i="11"/>
  <c r="S841" i="11"/>
  <c r="L845" i="11"/>
  <c r="U844" i="11"/>
  <c r="N844" i="11"/>
  <c r="O844" i="11" s="1"/>
  <c r="R842" i="11"/>
  <c r="AA842" i="11"/>
  <c r="AF843" i="11"/>
  <c r="AJ843" i="11" s="1"/>
  <c r="Q843" i="11"/>
  <c r="X843" i="11"/>
  <c r="Y843" i="11" s="1"/>
  <c r="P843" i="11"/>
  <c r="AB842" i="11" l="1"/>
  <c r="S842" i="11"/>
  <c r="N845" i="11"/>
  <c r="O845" i="11" s="1"/>
  <c r="L846" i="11"/>
  <c r="U845" i="11"/>
  <c r="AF844" i="11"/>
  <c r="AJ844" i="11" s="1"/>
  <c r="X844" i="11"/>
  <c r="Q844" i="11"/>
  <c r="AC841" i="11"/>
  <c r="AD841" i="11"/>
  <c r="V844" i="11"/>
  <c r="W844" i="11"/>
  <c r="Y844" i="11"/>
  <c r="P844" i="11"/>
  <c r="P845" i="11" s="1"/>
  <c r="R843" i="11"/>
  <c r="AA843" i="11"/>
  <c r="N846" i="11" l="1"/>
  <c r="O846" i="11" s="1"/>
  <c r="L847" i="11"/>
  <c r="U846" i="11"/>
  <c r="R844" i="11"/>
  <c r="AA844" i="11"/>
  <c r="V845" i="11"/>
  <c r="W845" i="11"/>
  <c r="Q845" i="11"/>
  <c r="AF845" i="11"/>
  <c r="AJ845" i="11" s="1"/>
  <c r="X845" i="11"/>
  <c r="Y845" i="11" s="1"/>
  <c r="AB843" i="11"/>
  <c r="S843" i="11"/>
  <c r="AC842" i="11"/>
  <c r="AD842" i="11"/>
  <c r="AC843" i="11" l="1"/>
  <c r="AD843" i="11"/>
  <c r="X846" i="11"/>
  <c r="Q846" i="11"/>
  <c r="AF846" i="11"/>
  <c r="AJ846" i="11" s="1"/>
  <c r="AA845" i="11"/>
  <c r="R845" i="11"/>
  <c r="S844" i="11"/>
  <c r="AB844" i="11"/>
  <c r="V846" i="11"/>
  <c r="W846" i="11"/>
  <c r="Y846" i="11"/>
  <c r="U847" i="11"/>
  <c r="N847" i="11"/>
  <c r="O847" i="11" s="1"/>
  <c r="L848" i="11"/>
  <c r="P846" i="11"/>
  <c r="Q847" i="11" l="1"/>
  <c r="AF847" i="11"/>
  <c r="AJ847" i="11" s="1"/>
  <c r="X847" i="11"/>
  <c r="S845" i="11"/>
  <c r="AB845" i="11"/>
  <c r="AD844" i="11"/>
  <c r="AC844" i="11"/>
  <c r="N848" i="11"/>
  <c r="O848" i="11" s="1"/>
  <c r="L849" i="11"/>
  <c r="U848" i="11"/>
  <c r="W847" i="11"/>
  <c r="V847" i="11"/>
  <c r="Y847" i="11"/>
  <c r="R846" i="11"/>
  <c r="AA846" i="11"/>
  <c r="P847" i="11"/>
  <c r="V848" i="11" l="1"/>
  <c r="W848" i="11"/>
  <c r="Q848" i="11"/>
  <c r="AF848" i="11"/>
  <c r="AJ848" i="11" s="1"/>
  <c r="X848" i="11"/>
  <c r="Y848" i="11" s="1"/>
  <c r="N849" i="11"/>
  <c r="O849" i="11" s="1"/>
  <c r="U849" i="11"/>
  <c r="L850" i="11"/>
  <c r="AB846" i="11"/>
  <c r="S846" i="11"/>
  <c r="AC845" i="11"/>
  <c r="AD845" i="11"/>
  <c r="P848" i="11"/>
  <c r="P849" i="11" s="1"/>
  <c r="R847" i="11"/>
  <c r="AA847" i="11"/>
  <c r="AD846" i="11" l="1"/>
  <c r="AC846" i="11"/>
  <c r="W849" i="11"/>
  <c r="V849" i="11"/>
  <c r="L851" i="11"/>
  <c r="N850" i="11"/>
  <c r="O850" i="11" s="1"/>
  <c r="U850" i="11"/>
  <c r="Q849" i="11"/>
  <c r="X849" i="11"/>
  <c r="Y849" i="11" s="1"/>
  <c r="AF849" i="11"/>
  <c r="AJ849" i="11" s="1"/>
  <c r="R848" i="11"/>
  <c r="AA848" i="11"/>
  <c r="S847" i="11"/>
  <c r="AB847" i="11"/>
  <c r="S848" i="11" l="1"/>
  <c r="AB848" i="11"/>
  <c r="W850" i="11"/>
  <c r="V850" i="11"/>
  <c r="R849" i="11"/>
  <c r="AA849" i="11"/>
  <c r="U851" i="11"/>
  <c r="L852" i="11"/>
  <c r="N851" i="11"/>
  <c r="O851" i="11" s="1"/>
  <c r="AD847" i="11"/>
  <c r="AC847" i="11"/>
  <c r="AF850" i="11"/>
  <c r="AJ850" i="11" s="1"/>
  <c r="Q850" i="11"/>
  <c r="X850" i="11"/>
  <c r="Y850" i="11" s="1"/>
  <c r="P850" i="11"/>
  <c r="R850" i="11" l="1"/>
  <c r="AA850" i="11"/>
  <c r="X851" i="11"/>
  <c r="Y851" i="11" s="1"/>
  <c r="Q851" i="11"/>
  <c r="AF851" i="11"/>
  <c r="AJ851" i="11" s="1"/>
  <c r="N852" i="11"/>
  <c r="O852" i="11" s="1"/>
  <c r="U852" i="11"/>
  <c r="L853" i="11"/>
  <c r="AB849" i="11"/>
  <c r="S849" i="11"/>
  <c r="P851" i="11"/>
  <c r="P852" i="11" s="1"/>
  <c r="AC848" i="11"/>
  <c r="AD848" i="11"/>
  <c r="W851" i="11"/>
  <c r="V851" i="11"/>
  <c r="N853" i="11" l="1"/>
  <c r="O853" i="11" s="1"/>
  <c r="U853" i="11"/>
  <c r="L854" i="11"/>
  <c r="X852" i="11"/>
  <c r="AF852" i="11"/>
  <c r="AJ852" i="11" s="1"/>
  <c r="Q852" i="11"/>
  <c r="AD849" i="11"/>
  <c r="AC849" i="11"/>
  <c r="Y852" i="11"/>
  <c r="V852" i="11"/>
  <c r="W852" i="11"/>
  <c r="AA851" i="11"/>
  <c r="R851" i="11"/>
  <c r="S850" i="11"/>
  <c r="AB850" i="11"/>
  <c r="S851" i="11" l="1"/>
  <c r="AB851" i="11"/>
  <c r="V853" i="11"/>
  <c r="W853" i="11"/>
  <c r="AD850" i="11"/>
  <c r="AC850" i="11"/>
  <c r="Q853" i="11"/>
  <c r="X853" i="11"/>
  <c r="Y853" i="11" s="1"/>
  <c r="AF853" i="11"/>
  <c r="AJ853" i="11" s="1"/>
  <c r="AA852" i="11"/>
  <c r="R852" i="11"/>
  <c r="U854" i="11"/>
  <c r="L855" i="11"/>
  <c r="N854" i="11"/>
  <c r="O854" i="11" s="1"/>
  <c r="P853" i="11"/>
  <c r="N855" i="11" l="1"/>
  <c r="O855" i="11" s="1"/>
  <c r="L856" i="11"/>
  <c r="U855" i="11"/>
  <c r="AF854" i="11"/>
  <c r="AJ854" i="11" s="1"/>
  <c r="Q854" i="11"/>
  <c r="X854" i="11"/>
  <c r="Y854" i="11" s="1"/>
  <c r="S852" i="11"/>
  <c r="AB852" i="11"/>
  <c r="AA853" i="11"/>
  <c r="R853" i="11"/>
  <c r="P854" i="11"/>
  <c r="P855" i="11" s="1"/>
  <c r="AC851" i="11"/>
  <c r="AD851" i="11"/>
  <c r="W854" i="11"/>
  <c r="V854" i="11"/>
  <c r="AA854" i="11" l="1"/>
  <c r="R854" i="11"/>
  <c r="AC852" i="11"/>
  <c r="AD852" i="11"/>
  <c r="N856" i="11"/>
  <c r="O856" i="11" s="1"/>
  <c r="U856" i="11"/>
  <c r="L857" i="11"/>
  <c r="V855" i="11"/>
  <c r="W855" i="11"/>
  <c r="X855" i="11"/>
  <c r="Y855" i="11" s="1"/>
  <c r="AF855" i="11"/>
  <c r="AJ855" i="11" s="1"/>
  <c r="Q855" i="11"/>
  <c r="S853" i="11"/>
  <c r="AB853" i="11"/>
  <c r="R855" i="11" l="1"/>
  <c r="AA855" i="11"/>
  <c r="N857" i="11"/>
  <c r="O857" i="11" s="1"/>
  <c r="U857" i="11"/>
  <c r="L858" i="11"/>
  <c r="AF856" i="11"/>
  <c r="AJ856" i="11" s="1"/>
  <c r="Q856" i="11"/>
  <c r="X856" i="11"/>
  <c r="AB854" i="11"/>
  <c r="S854" i="11"/>
  <c r="W856" i="11"/>
  <c r="V856" i="11"/>
  <c r="Y856" i="11"/>
  <c r="AD853" i="11"/>
  <c r="AC853" i="11"/>
  <c r="P856" i="11"/>
  <c r="AD854" i="11" l="1"/>
  <c r="AC854" i="11"/>
  <c r="U858" i="11"/>
  <c r="L859" i="11"/>
  <c r="N858" i="11"/>
  <c r="O858" i="11" s="1"/>
  <c r="R856" i="11"/>
  <c r="AA856" i="11"/>
  <c r="X857" i="11"/>
  <c r="AF857" i="11"/>
  <c r="AJ857" i="11" s="1"/>
  <c r="Q857" i="11"/>
  <c r="W857" i="11"/>
  <c r="V857" i="11"/>
  <c r="Y857" i="11"/>
  <c r="P857" i="11"/>
  <c r="P858" i="11" s="1"/>
  <c r="AB855" i="11"/>
  <c r="S855" i="11"/>
  <c r="AF858" i="11" l="1"/>
  <c r="AJ858" i="11" s="1"/>
  <c r="Q858" i="11"/>
  <c r="X858" i="11"/>
  <c r="S856" i="11"/>
  <c r="AB856" i="11"/>
  <c r="V858" i="11"/>
  <c r="W858" i="11"/>
  <c r="Y858" i="11"/>
  <c r="R857" i="11"/>
  <c r="AA857" i="11"/>
  <c r="N859" i="11"/>
  <c r="O859" i="11" s="1"/>
  <c r="L860" i="11"/>
  <c r="U859" i="11"/>
  <c r="AD855" i="11"/>
  <c r="AC855" i="11"/>
  <c r="AF859" i="11" l="1"/>
  <c r="AJ859" i="11" s="1"/>
  <c r="Q859" i="11"/>
  <c r="X859" i="11"/>
  <c r="U860" i="11"/>
  <c r="N860" i="11"/>
  <c r="O860" i="11" s="1"/>
  <c r="L861" i="11"/>
  <c r="S857" i="11"/>
  <c r="AB857" i="11"/>
  <c r="AC856" i="11"/>
  <c r="AD856" i="11"/>
  <c r="V859" i="11"/>
  <c r="Y859" i="11"/>
  <c r="W859" i="11"/>
  <c r="R858" i="11"/>
  <c r="AA858" i="11"/>
  <c r="P859" i="11"/>
  <c r="AB858" i="11" l="1"/>
  <c r="S858" i="11"/>
  <c r="Q860" i="11"/>
  <c r="AF860" i="11"/>
  <c r="AJ860" i="11" s="1"/>
  <c r="X860" i="11"/>
  <c r="AD857" i="11"/>
  <c r="AC857" i="11"/>
  <c r="U861" i="11"/>
  <c r="L862" i="11"/>
  <c r="N861" i="11"/>
  <c r="O861" i="11" s="1"/>
  <c r="P860" i="11"/>
  <c r="R859" i="11"/>
  <c r="AA859" i="11"/>
  <c r="Y860" i="11"/>
  <c r="V860" i="11"/>
  <c r="W860" i="11"/>
  <c r="X861" i="11" l="1"/>
  <c r="AF861" i="11"/>
  <c r="AJ861" i="11" s="1"/>
  <c r="Q861" i="11"/>
  <c r="P861" i="11"/>
  <c r="N862" i="11"/>
  <c r="O862" i="11" s="1"/>
  <c r="L863" i="11"/>
  <c r="U862" i="11"/>
  <c r="R860" i="11"/>
  <c r="AA860" i="11"/>
  <c r="Y861" i="11"/>
  <c r="V861" i="11"/>
  <c r="W861" i="11"/>
  <c r="S859" i="11"/>
  <c r="AB859" i="11"/>
  <c r="AD858" i="11"/>
  <c r="AC858" i="11"/>
  <c r="L864" i="11" l="1"/>
  <c r="N863" i="11"/>
  <c r="O863" i="11" s="1"/>
  <c r="U863" i="11"/>
  <c r="W862" i="11"/>
  <c r="V862" i="11"/>
  <c r="P862" i="11"/>
  <c r="P863" i="11" s="1"/>
  <c r="AA861" i="11"/>
  <c r="R861" i="11"/>
  <c r="AD859" i="11"/>
  <c r="AC859" i="11"/>
  <c r="AB860" i="11"/>
  <c r="S860" i="11"/>
  <c r="Q862" i="11"/>
  <c r="AF862" i="11"/>
  <c r="AJ862" i="11" s="1"/>
  <c r="X862" i="11"/>
  <c r="Y862" i="11" s="1"/>
  <c r="AA862" i="11" l="1"/>
  <c r="R862" i="11"/>
  <c r="W863" i="11"/>
  <c r="V863" i="11"/>
  <c r="AC860" i="11"/>
  <c r="AD860" i="11"/>
  <c r="Q863" i="11"/>
  <c r="X863" i="11"/>
  <c r="Y863" i="11" s="1"/>
  <c r="AF863" i="11"/>
  <c r="AJ863" i="11" s="1"/>
  <c r="AB861" i="11"/>
  <c r="S861" i="11"/>
  <c r="L865" i="11"/>
  <c r="N864" i="11"/>
  <c r="O864" i="11" s="1"/>
  <c r="P864" i="11" s="1"/>
  <c r="U864" i="11"/>
  <c r="AC861" i="11" l="1"/>
  <c r="AD861" i="11"/>
  <c r="W864" i="11"/>
  <c r="V864" i="11"/>
  <c r="AB862" i="11"/>
  <c r="S862" i="11"/>
  <c r="L866" i="11"/>
  <c r="N865" i="11"/>
  <c r="O865" i="11" s="1"/>
  <c r="U865" i="11"/>
  <c r="R863" i="11"/>
  <c r="AA863" i="11"/>
  <c r="Q864" i="11"/>
  <c r="AF864" i="11"/>
  <c r="AJ864" i="11" s="1"/>
  <c r="X864" i="11"/>
  <c r="Y864" i="11" s="1"/>
  <c r="AB863" i="11" l="1"/>
  <c r="S863" i="11"/>
  <c r="N866" i="11"/>
  <c r="O866" i="11" s="1"/>
  <c r="U866" i="11"/>
  <c r="L867" i="11"/>
  <c r="R864" i="11"/>
  <c r="AA864" i="11"/>
  <c r="Q865" i="11"/>
  <c r="AF865" i="11"/>
  <c r="AJ865" i="11" s="1"/>
  <c r="X865" i="11"/>
  <c r="AC862" i="11"/>
  <c r="AD862" i="11"/>
  <c r="V865" i="11"/>
  <c r="Y865" i="11"/>
  <c r="W865" i="11"/>
  <c r="P865" i="11"/>
  <c r="L868" i="11" l="1"/>
  <c r="U867" i="11"/>
  <c r="N867" i="11"/>
  <c r="O867" i="11" s="1"/>
  <c r="Q866" i="11"/>
  <c r="X866" i="11"/>
  <c r="AF866" i="11"/>
  <c r="AJ866" i="11" s="1"/>
  <c r="AB864" i="11"/>
  <c r="S864" i="11"/>
  <c r="Y866" i="11"/>
  <c r="W866" i="11"/>
  <c r="V866" i="11"/>
  <c r="R865" i="11"/>
  <c r="AA865" i="11"/>
  <c r="P866" i="11"/>
  <c r="P867" i="11" s="1"/>
  <c r="AD863" i="11"/>
  <c r="AC863" i="11"/>
  <c r="S865" i="11" l="1"/>
  <c r="AB865" i="11"/>
  <c r="AD864" i="11"/>
  <c r="AC864" i="11"/>
  <c r="R866" i="11"/>
  <c r="AA866" i="11"/>
  <c r="U868" i="11"/>
  <c r="L869" i="11"/>
  <c r="N868" i="11"/>
  <c r="O868" i="11" s="1"/>
  <c r="W867" i="11"/>
  <c r="V867" i="11"/>
  <c r="X867" i="11"/>
  <c r="Y867" i="11" s="1"/>
  <c r="Q867" i="11"/>
  <c r="AF867" i="11"/>
  <c r="AJ867" i="11" s="1"/>
  <c r="Q868" i="11" l="1"/>
  <c r="AF868" i="11"/>
  <c r="AJ868" i="11" s="1"/>
  <c r="X868" i="11"/>
  <c r="Y868" i="11" s="1"/>
  <c r="V868" i="11"/>
  <c r="W868" i="11"/>
  <c r="P868" i="11"/>
  <c r="AC865" i="11"/>
  <c r="AD865" i="11"/>
  <c r="N869" i="11"/>
  <c r="O869" i="11" s="1"/>
  <c r="U869" i="11"/>
  <c r="L870" i="11"/>
  <c r="AB866" i="11"/>
  <c r="S866" i="11"/>
  <c r="AA867" i="11"/>
  <c r="R867" i="11"/>
  <c r="V869" i="11" l="1"/>
  <c r="W869" i="11"/>
  <c r="P869" i="11"/>
  <c r="U870" i="11"/>
  <c r="N870" i="11"/>
  <c r="O870" i="11" s="1"/>
  <c r="L871" i="11"/>
  <c r="AD866" i="11"/>
  <c r="AC866" i="11"/>
  <c r="AF869" i="11"/>
  <c r="AJ869" i="11" s="1"/>
  <c r="X869" i="11"/>
  <c r="Y869" i="11" s="1"/>
  <c r="Q869" i="11"/>
  <c r="S867" i="11"/>
  <c r="AB867" i="11"/>
  <c r="R868" i="11"/>
  <c r="AA868" i="11"/>
  <c r="R869" i="11" l="1"/>
  <c r="AA869" i="11"/>
  <c r="U871" i="11"/>
  <c r="L872" i="11"/>
  <c r="N871" i="11"/>
  <c r="O871" i="11" s="1"/>
  <c r="P870" i="11"/>
  <c r="V870" i="11"/>
  <c r="W870" i="11"/>
  <c r="AD867" i="11"/>
  <c r="AC867" i="11"/>
  <c r="Q870" i="11"/>
  <c r="X870" i="11"/>
  <c r="Y870" i="11" s="1"/>
  <c r="AF870" i="11"/>
  <c r="AJ870" i="11" s="1"/>
  <c r="AB868" i="11"/>
  <c r="S868" i="11"/>
  <c r="P871" i="11" l="1"/>
  <c r="AF871" i="11"/>
  <c r="AJ871" i="11" s="1"/>
  <c r="X871" i="11"/>
  <c r="Q871" i="11"/>
  <c r="R870" i="11"/>
  <c r="AA870" i="11"/>
  <c r="U872" i="11"/>
  <c r="L873" i="11"/>
  <c r="N872" i="11"/>
  <c r="O872" i="11" s="1"/>
  <c r="W871" i="11"/>
  <c r="V871" i="11"/>
  <c r="Y871" i="11"/>
  <c r="AD868" i="11"/>
  <c r="AC868" i="11"/>
  <c r="AB869" i="11"/>
  <c r="S869" i="11"/>
  <c r="L874" i="11" l="1"/>
  <c r="U873" i="11"/>
  <c r="N873" i="11"/>
  <c r="O873" i="11" s="1"/>
  <c r="AF872" i="11"/>
  <c r="AJ872" i="11" s="1"/>
  <c r="X872" i="11"/>
  <c r="Q872" i="11"/>
  <c r="W872" i="11"/>
  <c r="V872" i="11"/>
  <c r="Y872" i="11"/>
  <c r="S870" i="11"/>
  <c r="AB870" i="11"/>
  <c r="R871" i="11"/>
  <c r="AA871" i="11"/>
  <c r="AD869" i="11"/>
  <c r="AC869" i="11"/>
  <c r="P872" i="11"/>
  <c r="S871" i="11" l="1"/>
  <c r="AB871" i="11"/>
  <c r="AD870" i="11"/>
  <c r="AC870" i="11"/>
  <c r="AF873" i="11"/>
  <c r="AJ873" i="11" s="1"/>
  <c r="Q873" i="11"/>
  <c r="X873" i="11"/>
  <c r="V873" i="11"/>
  <c r="W873" i="11"/>
  <c r="Y873" i="11"/>
  <c r="R872" i="11"/>
  <c r="AA872" i="11"/>
  <c r="P873" i="11"/>
  <c r="N874" i="11"/>
  <c r="O874" i="11" s="1"/>
  <c r="L875" i="11"/>
  <c r="U874" i="11"/>
  <c r="P874" i="11" l="1"/>
  <c r="X874" i="11"/>
  <c r="AF874" i="11"/>
  <c r="AJ874" i="11" s="1"/>
  <c r="Q874" i="11"/>
  <c r="R873" i="11"/>
  <c r="AA873" i="11"/>
  <c r="V874" i="11"/>
  <c r="W874" i="11"/>
  <c r="Y874" i="11"/>
  <c r="AC871" i="11"/>
  <c r="AD871" i="11"/>
  <c r="S872" i="11"/>
  <c r="AB872" i="11"/>
  <c r="N875" i="11"/>
  <c r="O875" i="11" s="1"/>
  <c r="L876" i="11"/>
  <c r="U875" i="11"/>
  <c r="AC872" i="11" l="1"/>
  <c r="AD872" i="11"/>
  <c r="AB873" i="11"/>
  <c r="S873" i="11"/>
  <c r="X875" i="11"/>
  <c r="AF875" i="11"/>
  <c r="AJ875" i="11" s="1"/>
  <c r="Q875" i="11"/>
  <c r="AA874" i="11"/>
  <c r="R874" i="11"/>
  <c r="Y875" i="11"/>
  <c r="V875" i="11"/>
  <c r="W875" i="11"/>
  <c r="L877" i="11"/>
  <c r="N876" i="11"/>
  <c r="O876" i="11" s="1"/>
  <c r="U876" i="11"/>
  <c r="P875" i="11"/>
  <c r="V876" i="11" l="1"/>
  <c r="W876" i="11"/>
  <c r="R875" i="11"/>
  <c r="AA875" i="11"/>
  <c r="AB874" i="11"/>
  <c r="S874" i="11"/>
  <c r="AD873" i="11"/>
  <c r="AC873" i="11"/>
  <c r="X876" i="11"/>
  <c r="Y876" i="11" s="1"/>
  <c r="Q876" i="11"/>
  <c r="AF876" i="11"/>
  <c r="AJ876" i="11" s="1"/>
  <c r="N877" i="11"/>
  <c r="O877" i="11" s="1"/>
  <c r="L878" i="11"/>
  <c r="U877" i="11"/>
  <c r="P876" i="11"/>
  <c r="L879" i="11" l="1"/>
  <c r="N878" i="11"/>
  <c r="O878" i="11" s="1"/>
  <c r="U878" i="11"/>
  <c r="Q877" i="11"/>
  <c r="X877" i="11"/>
  <c r="Y877" i="11" s="1"/>
  <c r="AF877" i="11"/>
  <c r="AJ877" i="11" s="1"/>
  <c r="AD874" i="11"/>
  <c r="AC874" i="11"/>
  <c r="R876" i="11"/>
  <c r="AA876" i="11"/>
  <c r="AB875" i="11"/>
  <c r="S875" i="11"/>
  <c r="P877" i="11"/>
  <c r="P878" i="11" s="1"/>
  <c r="W877" i="11"/>
  <c r="V877" i="11"/>
  <c r="AB876" i="11" l="1"/>
  <c r="S876" i="11"/>
  <c r="Q878" i="11"/>
  <c r="X878" i="11"/>
  <c r="Y878" i="11" s="1"/>
  <c r="AF878" i="11"/>
  <c r="AJ878" i="11" s="1"/>
  <c r="AC875" i="11"/>
  <c r="AD875" i="11"/>
  <c r="R877" i="11"/>
  <c r="AA877" i="11"/>
  <c r="L880" i="11"/>
  <c r="N879" i="11"/>
  <c r="O879" i="11" s="1"/>
  <c r="P879" i="11" s="1"/>
  <c r="U879" i="11"/>
  <c r="W878" i="11"/>
  <c r="V878" i="11"/>
  <c r="AB877" i="11" l="1"/>
  <c r="S877" i="11"/>
  <c r="V879" i="11"/>
  <c r="W879" i="11"/>
  <c r="L881" i="11"/>
  <c r="N880" i="11"/>
  <c r="O880" i="11" s="1"/>
  <c r="U880" i="11"/>
  <c r="AF879" i="11"/>
  <c r="AJ879" i="11" s="1"/>
  <c r="Q879" i="11"/>
  <c r="X879" i="11"/>
  <c r="Y879" i="11" s="1"/>
  <c r="AA878" i="11"/>
  <c r="R878" i="11"/>
  <c r="AC876" i="11"/>
  <c r="AD876" i="11"/>
  <c r="AF880" i="11" l="1"/>
  <c r="AJ880" i="11" s="1"/>
  <c r="X880" i="11"/>
  <c r="Y880" i="11" s="1"/>
  <c r="Q880" i="11"/>
  <c r="S878" i="11"/>
  <c r="AB878" i="11"/>
  <c r="AA879" i="11"/>
  <c r="R879" i="11"/>
  <c r="L882" i="11"/>
  <c r="U881" i="11"/>
  <c r="N881" i="11"/>
  <c r="O881" i="11" s="1"/>
  <c r="AC877" i="11"/>
  <c r="AD877" i="11"/>
  <c r="W880" i="11"/>
  <c r="V880" i="11"/>
  <c r="P880" i="11"/>
  <c r="R880" i="11" l="1"/>
  <c r="AA880" i="11"/>
  <c r="W881" i="11"/>
  <c r="V881" i="11"/>
  <c r="Q881" i="11"/>
  <c r="X881" i="11"/>
  <c r="Y881" i="11" s="1"/>
  <c r="AF881" i="11"/>
  <c r="AJ881" i="11" s="1"/>
  <c r="U882" i="11"/>
  <c r="L883" i="11"/>
  <c r="N882" i="11"/>
  <c r="O882" i="11" s="1"/>
  <c r="AB879" i="11"/>
  <c r="S879" i="11"/>
  <c r="AD878" i="11"/>
  <c r="AC878" i="11"/>
  <c r="P881" i="11"/>
  <c r="W882" i="11" l="1"/>
  <c r="V882" i="11"/>
  <c r="N883" i="11"/>
  <c r="O883" i="11" s="1"/>
  <c r="L884" i="11"/>
  <c r="U883" i="11"/>
  <c r="AD879" i="11"/>
  <c r="AC879" i="11"/>
  <c r="R881" i="11"/>
  <c r="AA881" i="11"/>
  <c r="Q882" i="11"/>
  <c r="X882" i="11"/>
  <c r="Y882" i="11" s="1"/>
  <c r="AF882" i="11"/>
  <c r="AJ882" i="11" s="1"/>
  <c r="P882" i="11"/>
  <c r="P883" i="11" s="1"/>
  <c r="S880" i="11"/>
  <c r="AB880" i="11"/>
  <c r="R882" i="11" l="1"/>
  <c r="AA882" i="11"/>
  <c r="N884" i="11"/>
  <c r="O884" i="11" s="1"/>
  <c r="P884" i="11" s="1"/>
  <c r="U884" i="11"/>
  <c r="L885" i="11"/>
  <c r="V883" i="11"/>
  <c r="W883" i="11"/>
  <c r="S881" i="11"/>
  <c r="AB881" i="11"/>
  <c r="Q883" i="11"/>
  <c r="X883" i="11"/>
  <c r="Y883" i="11" s="1"/>
  <c r="AF883" i="11"/>
  <c r="AJ883" i="11" s="1"/>
  <c r="AC880" i="11"/>
  <c r="AD880" i="11"/>
  <c r="AC881" i="11" l="1"/>
  <c r="AD881" i="11"/>
  <c r="N885" i="11"/>
  <c r="O885" i="11" s="1"/>
  <c r="U885" i="11"/>
  <c r="L886" i="11"/>
  <c r="W884" i="11"/>
  <c r="V884" i="11"/>
  <c r="AA883" i="11"/>
  <c r="R883" i="11"/>
  <c r="X884" i="11"/>
  <c r="Y884" i="11" s="1"/>
  <c r="AF884" i="11"/>
  <c r="AJ884" i="11" s="1"/>
  <c r="Q884" i="11"/>
  <c r="AB882" i="11"/>
  <c r="S882" i="11"/>
  <c r="AA884" i="11" l="1"/>
  <c r="R884" i="11"/>
  <c r="Q885" i="11"/>
  <c r="AF885" i="11"/>
  <c r="AJ885" i="11" s="1"/>
  <c r="X885" i="11"/>
  <c r="S883" i="11"/>
  <c r="AB883" i="11"/>
  <c r="N886" i="11"/>
  <c r="O886" i="11" s="1"/>
  <c r="U886" i="11"/>
  <c r="L887" i="11"/>
  <c r="Y885" i="11"/>
  <c r="V885" i="11"/>
  <c r="W885" i="11"/>
  <c r="AD882" i="11"/>
  <c r="AC882" i="11"/>
  <c r="P885" i="11"/>
  <c r="AD883" i="11" l="1"/>
  <c r="AC883" i="11"/>
  <c r="U887" i="11"/>
  <c r="L888" i="11"/>
  <c r="N887" i="11"/>
  <c r="O887" i="11" s="1"/>
  <c r="AA885" i="11"/>
  <c r="R885" i="11"/>
  <c r="V886" i="11"/>
  <c r="W886" i="11"/>
  <c r="P886" i="11"/>
  <c r="P887" i="11" s="1"/>
  <c r="AB884" i="11"/>
  <c r="S884" i="11"/>
  <c r="X886" i="11"/>
  <c r="Y886" i="11" s="1"/>
  <c r="Q886" i="11"/>
  <c r="AF886" i="11"/>
  <c r="AJ886" i="11" s="1"/>
  <c r="AC884" i="11" l="1"/>
  <c r="AD884" i="11"/>
  <c r="AB885" i="11"/>
  <c r="S885" i="11"/>
  <c r="N888" i="11"/>
  <c r="O888" i="11" s="1"/>
  <c r="U888" i="11"/>
  <c r="L889" i="11"/>
  <c r="W887" i="11"/>
  <c r="V887" i="11"/>
  <c r="X887" i="11"/>
  <c r="Y887" i="11" s="1"/>
  <c r="AF887" i="11"/>
  <c r="AJ887" i="11" s="1"/>
  <c r="Q887" i="11"/>
  <c r="P888" i="11"/>
  <c r="R886" i="11"/>
  <c r="AA886" i="11"/>
  <c r="R887" i="11" l="1"/>
  <c r="AA887" i="11"/>
  <c r="Q888" i="11"/>
  <c r="X888" i="11"/>
  <c r="AF888" i="11"/>
  <c r="AJ888" i="11" s="1"/>
  <c r="U889" i="11"/>
  <c r="N889" i="11"/>
  <c r="O889" i="11" s="1"/>
  <c r="L890" i="11"/>
  <c r="Y888" i="11"/>
  <c r="V888" i="11"/>
  <c r="W888" i="11"/>
  <c r="AD885" i="11"/>
  <c r="AC885" i="11"/>
  <c r="S886" i="11"/>
  <c r="AB886" i="11"/>
  <c r="V889" i="11" l="1"/>
  <c r="W889" i="11"/>
  <c r="N890" i="11"/>
  <c r="O890" i="11" s="1"/>
  <c r="U890" i="11"/>
  <c r="L891" i="11"/>
  <c r="S887" i="11"/>
  <c r="AB887" i="11"/>
  <c r="X889" i="11"/>
  <c r="Y889" i="11" s="1"/>
  <c r="Q889" i="11"/>
  <c r="AF889" i="11"/>
  <c r="AJ889" i="11" s="1"/>
  <c r="AA888" i="11"/>
  <c r="R888" i="11"/>
  <c r="AC886" i="11"/>
  <c r="AD886" i="11"/>
  <c r="P889" i="11"/>
  <c r="R889" i="11" l="1"/>
  <c r="AA889" i="11"/>
  <c r="AF890" i="11"/>
  <c r="AJ890" i="11" s="1"/>
  <c r="Q890" i="11"/>
  <c r="X890" i="11"/>
  <c r="Y890" i="11" s="1"/>
  <c r="AD887" i="11"/>
  <c r="AC887" i="11"/>
  <c r="U891" i="11"/>
  <c r="L892" i="11"/>
  <c r="N891" i="11"/>
  <c r="O891" i="11" s="1"/>
  <c r="AB888" i="11"/>
  <c r="S888" i="11"/>
  <c r="V890" i="11"/>
  <c r="W890" i="11"/>
  <c r="P890" i="11"/>
  <c r="U892" i="11" l="1"/>
  <c r="L893" i="11"/>
  <c r="N892" i="11"/>
  <c r="O892" i="11" s="1"/>
  <c r="AC888" i="11"/>
  <c r="AD888" i="11"/>
  <c r="W891" i="11"/>
  <c r="V891" i="11"/>
  <c r="P891" i="11"/>
  <c r="P892" i="11" s="1"/>
  <c r="Q891" i="11"/>
  <c r="X891" i="11"/>
  <c r="Y891" i="11" s="1"/>
  <c r="AF891" i="11"/>
  <c r="AJ891" i="11" s="1"/>
  <c r="R890" i="11"/>
  <c r="AA890" i="11"/>
  <c r="S889" i="11"/>
  <c r="AB889" i="11"/>
  <c r="AB890" i="11" l="1"/>
  <c r="S890" i="11"/>
  <c r="N893" i="11"/>
  <c r="O893" i="11" s="1"/>
  <c r="P893" i="11" s="1"/>
  <c r="U893" i="11"/>
  <c r="L894" i="11"/>
  <c r="R891" i="11"/>
  <c r="AA891" i="11"/>
  <c r="X892" i="11"/>
  <c r="Y892" i="11" s="1"/>
  <c r="Q892" i="11"/>
  <c r="AF892" i="11"/>
  <c r="AJ892" i="11" s="1"/>
  <c r="AD889" i="11"/>
  <c r="AC889" i="11"/>
  <c r="W892" i="11"/>
  <c r="V892" i="11"/>
  <c r="R892" i="11" l="1"/>
  <c r="AA892" i="11"/>
  <c r="W893" i="11"/>
  <c r="V893" i="11"/>
  <c r="L895" i="11"/>
  <c r="N894" i="11"/>
  <c r="O894" i="11" s="1"/>
  <c r="U894" i="11"/>
  <c r="AB891" i="11"/>
  <c r="S891" i="11"/>
  <c r="AF893" i="11"/>
  <c r="AJ893" i="11" s="1"/>
  <c r="Q893" i="11"/>
  <c r="X893" i="11"/>
  <c r="Y893" i="11" s="1"/>
  <c r="AD890" i="11"/>
  <c r="AC890" i="11"/>
  <c r="R893" i="11" l="1"/>
  <c r="AA893" i="11"/>
  <c r="Q894" i="11"/>
  <c r="X894" i="11"/>
  <c r="AF894" i="11"/>
  <c r="AJ894" i="11" s="1"/>
  <c r="L896" i="11"/>
  <c r="N895" i="11"/>
  <c r="O895" i="11" s="1"/>
  <c r="U895" i="11"/>
  <c r="Y894" i="11"/>
  <c r="V894" i="11"/>
  <c r="W894" i="11"/>
  <c r="S892" i="11"/>
  <c r="AB892" i="11"/>
  <c r="AC891" i="11"/>
  <c r="AD891" i="11"/>
  <c r="P894" i="11"/>
  <c r="N896" i="11" l="1"/>
  <c r="O896" i="11" s="1"/>
  <c r="L897" i="11"/>
  <c r="U896" i="11"/>
  <c r="AA894" i="11"/>
  <c r="R894" i="11"/>
  <c r="V895" i="11"/>
  <c r="W895" i="11"/>
  <c r="AD892" i="11"/>
  <c r="AC892" i="11"/>
  <c r="Q895" i="11"/>
  <c r="AF895" i="11"/>
  <c r="AJ895" i="11" s="1"/>
  <c r="X895" i="11"/>
  <c r="Y895" i="11" s="1"/>
  <c r="P895" i="11"/>
  <c r="P896" i="11" s="1"/>
  <c r="AB893" i="11"/>
  <c r="S893" i="11"/>
  <c r="R895" i="11" l="1"/>
  <c r="AA895" i="11"/>
  <c r="V896" i="11"/>
  <c r="W896" i="11"/>
  <c r="N897" i="11"/>
  <c r="O897" i="11" s="1"/>
  <c r="U897" i="11"/>
  <c r="L898" i="11"/>
  <c r="X896" i="11"/>
  <c r="AF896" i="11"/>
  <c r="AJ896" i="11" s="1"/>
  <c r="Q896" i="11"/>
  <c r="S894" i="11"/>
  <c r="AB894" i="11"/>
  <c r="AD893" i="11"/>
  <c r="AC893" i="11"/>
  <c r="R896" i="11" l="1"/>
  <c r="AA896" i="11"/>
  <c r="N898" i="11"/>
  <c r="O898" i="11" s="1"/>
  <c r="U898" i="11"/>
  <c r="L899" i="11"/>
  <c r="W897" i="11"/>
  <c r="V897" i="11"/>
  <c r="AF897" i="11"/>
  <c r="AJ897" i="11" s="1"/>
  <c r="X897" i="11"/>
  <c r="Y897" i="11" s="1"/>
  <c r="Q897" i="11"/>
  <c r="Y896" i="11"/>
  <c r="AB895" i="11"/>
  <c r="S895" i="11"/>
  <c r="AC894" i="11"/>
  <c r="AD894" i="11"/>
  <c r="P897" i="11"/>
  <c r="R897" i="11" l="1"/>
  <c r="AA897" i="11"/>
  <c r="AF898" i="11"/>
  <c r="AJ898" i="11" s="1"/>
  <c r="X898" i="11"/>
  <c r="Q898" i="11"/>
  <c r="U899" i="11"/>
  <c r="N899" i="11"/>
  <c r="O899" i="11" s="1"/>
  <c r="L900" i="11"/>
  <c r="P898" i="11"/>
  <c r="V898" i="11"/>
  <c r="W898" i="11"/>
  <c r="Y898" i="11"/>
  <c r="AD895" i="11"/>
  <c r="AC895" i="11"/>
  <c r="AB896" i="11"/>
  <c r="S896" i="11"/>
  <c r="AF899" i="11" l="1"/>
  <c r="AJ899" i="11" s="1"/>
  <c r="X899" i="11"/>
  <c r="Q899" i="11"/>
  <c r="V899" i="11"/>
  <c r="W899" i="11"/>
  <c r="Y899" i="11"/>
  <c r="P899" i="11"/>
  <c r="N900" i="11"/>
  <c r="O900" i="11" s="1"/>
  <c r="U900" i="11"/>
  <c r="L901" i="11"/>
  <c r="R898" i="11"/>
  <c r="AA898" i="11"/>
  <c r="AC896" i="11"/>
  <c r="AD896" i="11"/>
  <c r="AB897" i="11"/>
  <c r="S897" i="11"/>
  <c r="AB898" i="11" l="1"/>
  <c r="S898" i="11"/>
  <c r="P900" i="11"/>
  <c r="AF900" i="11"/>
  <c r="AJ900" i="11" s="1"/>
  <c r="X900" i="11"/>
  <c r="Y900" i="11" s="1"/>
  <c r="Q900" i="11"/>
  <c r="N901" i="11"/>
  <c r="O901" i="11" s="1"/>
  <c r="U901" i="11"/>
  <c r="L902" i="11"/>
  <c r="AA899" i="11"/>
  <c r="R899" i="11"/>
  <c r="W900" i="11"/>
  <c r="V900" i="11"/>
  <c r="AD897" i="11"/>
  <c r="AC897" i="11"/>
  <c r="N902" i="11" l="1"/>
  <c r="O902" i="11" s="1"/>
  <c r="L903" i="11"/>
  <c r="U902" i="11"/>
  <c r="P901" i="11"/>
  <c r="V901" i="11"/>
  <c r="W901" i="11"/>
  <c r="R900" i="11"/>
  <c r="AA900" i="11"/>
  <c r="AB899" i="11"/>
  <c r="S899" i="11"/>
  <c r="Q901" i="11"/>
  <c r="AF901" i="11"/>
  <c r="AJ901" i="11" s="1"/>
  <c r="X901" i="11"/>
  <c r="Y901" i="11" s="1"/>
  <c r="AD898" i="11"/>
  <c r="AC898" i="11"/>
  <c r="P902" i="11" l="1"/>
  <c r="W902" i="11"/>
  <c r="V902" i="11"/>
  <c r="AD899" i="11"/>
  <c r="AC899" i="11"/>
  <c r="N903" i="11"/>
  <c r="O903" i="11" s="1"/>
  <c r="L904" i="11"/>
  <c r="U903" i="11"/>
  <c r="Q902" i="11"/>
  <c r="X902" i="11"/>
  <c r="Y902" i="11" s="1"/>
  <c r="AF902" i="11"/>
  <c r="AJ902" i="11" s="1"/>
  <c r="AA901" i="11"/>
  <c r="R901" i="11"/>
  <c r="S900" i="11"/>
  <c r="AB900" i="11"/>
  <c r="V903" i="11" l="1"/>
  <c r="W903" i="11"/>
  <c r="AB901" i="11"/>
  <c r="S901" i="11"/>
  <c r="R902" i="11"/>
  <c r="AA902" i="11"/>
  <c r="Q903" i="11"/>
  <c r="X903" i="11"/>
  <c r="Y903" i="11" s="1"/>
  <c r="AF903" i="11"/>
  <c r="AJ903" i="11" s="1"/>
  <c r="AC900" i="11"/>
  <c r="AD900" i="11"/>
  <c r="U904" i="11"/>
  <c r="L905" i="11"/>
  <c r="N904" i="11"/>
  <c r="O904" i="11" s="1"/>
  <c r="P903" i="11"/>
  <c r="X904" i="11" l="1"/>
  <c r="AF904" i="11"/>
  <c r="AJ904" i="11" s="1"/>
  <c r="Q904" i="11"/>
  <c r="V904" i="11"/>
  <c r="Y904" i="11"/>
  <c r="W904" i="11"/>
  <c r="AB902" i="11"/>
  <c r="S902" i="11"/>
  <c r="AC901" i="11"/>
  <c r="AD901" i="11"/>
  <c r="R903" i="11"/>
  <c r="AA903" i="11"/>
  <c r="P904" i="11"/>
  <c r="L906" i="11"/>
  <c r="N905" i="11"/>
  <c r="O905" i="11" s="1"/>
  <c r="U905" i="11"/>
  <c r="P905" i="11" l="1"/>
  <c r="U906" i="11"/>
  <c r="L907" i="11"/>
  <c r="N906" i="11"/>
  <c r="O906" i="11" s="1"/>
  <c r="S903" i="11"/>
  <c r="AB903" i="11"/>
  <c r="AD902" i="11"/>
  <c r="AC902" i="11"/>
  <c r="AA904" i="11"/>
  <c r="R904" i="11"/>
  <c r="P906" i="11"/>
  <c r="W905" i="11"/>
  <c r="V905" i="11"/>
  <c r="Y905" i="11"/>
  <c r="Q905" i="11"/>
  <c r="AF905" i="11"/>
  <c r="AJ905" i="11" s="1"/>
  <c r="X905" i="11"/>
  <c r="S904" i="11" l="1"/>
  <c r="AB904" i="11"/>
  <c r="AC903" i="11"/>
  <c r="AD903" i="11"/>
  <c r="R905" i="11"/>
  <c r="AA905" i="11"/>
  <c r="Q906" i="11"/>
  <c r="AF906" i="11"/>
  <c r="AJ906" i="11" s="1"/>
  <c r="X906" i="11"/>
  <c r="W906" i="11"/>
  <c r="V906" i="11"/>
  <c r="Y906" i="11"/>
  <c r="N907" i="11"/>
  <c r="O907" i="11" s="1"/>
  <c r="L908" i="11"/>
  <c r="U907" i="11"/>
  <c r="AA906" i="11" l="1"/>
  <c r="R906" i="11"/>
  <c r="Q907" i="11"/>
  <c r="AF907" i="11"/>
  <c r="AJ907" i="11" s="1"/>
  <c r="X907" i="11"/>
  <c r="P907" i="11"/>
  <c r="V907" i="11"/>
  <c r="Y907" i="11"/>
  <c r="W907" i="11"/>
  <c r="U908" i="11"/>
  <c r="N908" i="11"/>
  <c r="O908" i="11" s="1"/>
  <c r="L909" i="11"/>
  <c r="S905" i="11"/>
  <c r="AB905" i="11"/>
  <c r="AC904" i="11"/>
  <c r="AD904" i="11"/>
  <c r="W908" i="11" l="1"/>
  <c r="V908" i="11"/>
  <c r="AC905" i="11"/>
  <c r="AD905" i="11"/>
  <c r="AA907" i="11"/>
  <c r="R907" i="11"/>
  <c r="L910" i="11"/>
  <c r="N909" i="11"/>
  <c r="O909" i="11" s="1"/>
  <c r="U909" i="11"/>
  <c r="P908" i="11"/>
  <c r="P909" i="11" s="1"/>
  <c r="S906" i="11"/>
  <c r="AB906" i="11"/>
  <c r="X908" i="11"/>
  <c r="Y908" i="11" s="1"/>
  <c r="AF908" i="11"/>
  <c r="AJ908" i="11" s="1"/>
  <c r="Q908" i="11"/>
  <c r="N910" i="11" l="1"/>
  <c r="O910" i="11" s="1"/>
  <c r="U910" i="11"/>
  <c r="L911" i="11"/>
  <c r="AC906" i="11"/>
  <c r="AD906" i="11"/>
  <c r="V909" i="11"/>
  <c r="W909" i="11"/>
  <c r="AB907" i="11"/>
  <c r="S907" i="11"/>
  <c r="R908" i="11"/>
  <c r="AA908" i="11"/>
  <c r="AF909" i="11"/>
  <c r="AJ909" i="11" s="1"/>
  <c r="Q909" i="11"/>
  <c r="X909" i="11"/>
  <c r="Y909" i="11" s="1"/>
  <c r="AD907" i="11" l="1"/>
  <c r="AC907" i="11"/>
  <c r="N911" i="11"/>
  <c r="O911" i="11" s="1"/>
  <c r="U911" i="11"/>
  <c r="L912" i="11"/>
  <c r="AF910" i="11"/>
  <c r="AJ910" i="11" s="1"/>
  <c r="Q910" i="11"/>
  <c r="X910" i="11"/>
  <c r="S908" i="11"/>
  <c r="AB908" i="11"/>
  <c r="V910" i="11"/>
  <c r="W910" i="11"/>
  <c r="Y910" i="11"/>
  <c r="R909" i="11"/>
  <c r="AA909" i="11"/>
  <c r="P910" i="11"/>
  <c r="AB909" i="11" l="1"/>
  <c r="S909" i="11"/>
  <c r="AC908" i="11"/>
  <c r="AD908" i="11"/>
  <c r="L913" i="11"/>
  <c r="U912" i="11"/>
  <c r="N912" i="11"/>
  <c r="O912" i="11" s="1"/>
  <c r="V911" i="11"/>
  <c r="W911" i="11"/>
  <c r="P911" i="11"/>
  <c r="P912" i="11" s="1"/>
  <c r="AA910" i="11"/>
  <c r="R910" i="11"/>
  <c r="X911" i="11"/>
  <c r="Y911" i="11" s="1"/>
  <c r="AF911" i="11"/>
  <c r="AJ911" i="11" s="1"/>
  <c r="Q911" i="11"/>
  <c r="X912" i="11" l="1"/>
  <c r="Q912" i="11"/>
  <c r="AF912" i="11"/>
  <c r="AJ912" i="11" s="1"/>
  <c r="W912" i="11"/>
  <c r="V912" i="11"/>
  <c r="Y912" i="11"/>
  <c r="AB910" i="11"/>
  <c r="S910" i="11"/>
  <c r="N913" i="11"/>
  <c r="O913" i="11" s="1"/>
  <c r="P913" i="11" s="1"/>
  <c r="L914" i="11"/>
  <c r="U913" i="11"/>
  <c r="AA911" i="11"/>
  <c r="R911" i="11"/>
  <c r="AC909" i="11"/>
  <c r="AD909" i="11"/>
  <c r="W913" i="11" l="1"/>
  <c r="V913" i="11"/>
  <c r="S911" i="11"/>
  <c r="AB911" i="11"/>
  <c r="N914" i="11"/>
  <c r="O914" i="11" s="1"/>
  <c r="L915" i="11"/>
  <c r="U914" i="11"/>
  <c r="AD910" i="11"/>
  <c r="AC910" i="11"/>
  <c r="R912" i="11"/>
  <c r="AA912" i="11"/>
  <c r="Q913" i="11"/>
  <c r="X913" i="11"/>
  <c r="Y913" i="11" s="1"/>
  <c r="AF913" i="11"/>
  <c r="AJ913" i="11" s="1"/>
  <c r="N915" i="11" l="1"/>
  <c r="O915" i="11" s="1"/>
  <c r="U915" i="11"/>
  <c r="L916" i="11"/>
  <c r="AB912" i="11"/>
  <c r="S912" i="11"/>
  <c r="W914" i="11"/>
  <c r="V914" i="11"/>
  <c r="AC911" i="11"/>
  <c r="AD911" i="11"/>
  <c r="Q914" i="11"/>
  <c r="X914" i="11"/>
  <c r="Y914" i="11" s="1"/>
  <c r="AF914" i="11"/>
  <c r="AJ914" i="11" s="1"/>
  <c r="AA913" i="11"/>
  <c r="R913" i="11"/>
  <c r="P914" i="11"/>
  <c r="P915" i="11" s="1"/>
  <c r="AA914" i="11" l="1"/>
  <c r="R914" i="11"/>
  <c r="AD912" i="11"/>
  <c r="AC912" i="11"/>
  <c r="N916" i="11"/>
  <c r="O916" i="11" s="1"/>
  <c r="U916" i="11"/>
  <c r="L917" i="11"/>
  <c r="V915" i="11"/>
  <c r="W915" i="11"/>
  <c r="P916" i="11"/>
  <c r="AB913" i="11"/>
  <c r="S913" i="11"/>
  <c r="AF915" i="11"/>
  <c r="AJ915" i="11" s="1"/>
  <c r="X915" i="11"/>
  <c r="Y915" i="11" s="1"/>
  <c r="Q915" i="11"/>
  <c r="U917" i="11" l="1"/>
  <c r="L918" i="11"/>
  <c r="N917" i="11"/>
  <c r="O917" i="11" s="1"/>
  <c r="P917" i="11" s="1"/>
  <c r="AD913" i="11"/>
  <c r="AC913" i="11"/>
  <c r="V916" i="11"/>
  <c r="W916" i="11"/>
  <c r="Q916" i="11"/>
  <c r="X916" i="11"/>
  <c r="Y916" i="11" s="1"/>
  <c r="AF916" i="11"/>
  <c r="AJ916" i="11" s="1"/>
  <c r="AA915" i="11"/>
  <c r="R915" i="11"/>
  <c r="S914" i="11"/>
  <c r="AB914" i="11"/>
  <c r="AB915" i="11" l="1"/>
  <c r="S915" i="11"/>
  <c r="U918" i="11"/>
  <c r="N918" i="11"/>
  <c r="O918" i="11" s="1"/>
  <c r="L919" i="11"/>
  <c r="V917" i="11"/>
  <c r="W917" i="11"/>
  <c r="R916" i="11"/>
  <c r="AA916" i="11"/>
  <c r="Q917" i="11"/>
  <c r="X917" i="11"/>
  <c r="Y917" i="11" s="1"/>
  <c r="AF917" i="11"/>
  <c r="AJ917" i="11" s="1"/>
  <c r="AC914" i="11"/>
  <c r="AD914" i="11"/>
  <c r="S916" i="11" l="1"/>
  <c r="AB916" i="11"/>
  <c r="Q918" i="11"/>
  <c r="AF918" i="11"/>
  <c r="AJ918" i="11" s="1"/>
  <c r="X918" i="11"/>
  <c r="L920" i="11"/>
  <c r="N919" i="11"/>
  <c r="O919" i="11" s="1"/>
  <c r="U919" i="11"/>
  <c r="AD915" i="11"/>
  <c r="AC915" i="11"/>
  <c r="R917" i="11"/>
  <c r="AA917" i="11"/>
  <c r="Y918" i="11"/>
  <c r="W918" i="11"/>
  <c r="V918" i="11"/>
  <c r="P918" i="11"/>
  <c r="Q919" i="11" l="1"/>
  <c r="AF919" i="11"/>
  <c r="AJ919" i="11" s="1"/>
  <c r="X919" i="11"/>
  <c r="AB917" i="11"/>
  <c r="S917" i="11"/>
  <c r="N920" i="11"/>
  <c r="O920" i="11" s="1"/>
  <c r="U920" i="11"/>
  <c r="L921" i="11"/>
  <c r="Y919" i="11"/>
  <c r="V919" i="11"/>
  <c r="W919" i="11"/>
  <c r="P919" i="11"/>
  <c r="P920" i="11" s="1"/>
  <c r="R918" i="11"/>
  <c r="AA918" i="11"/>
  <c r="AD916" i="11"/>
  <c r="AC916" i="11"/>
  <c r="AB918" i="11" l="1"/>
  <c r="S918" i="11"/>
  <c r="U921" i="11"/>
  <c r="N921" i="11"/>
  <c r="O921" i="11" s="1"/>
  <c r="L922" i="11"/>
  <c r="X920" i="11"/>
  <c r="Q920" i="11"/>
  <c r="AF920" i="11"/>
  <c r="AJ920" i="11" s="1"/>
  <c r="P921" i="11"/>
  <c r="Y920" i="11"/>
  <c r="W920" i="11"/>
  <c r="V920" i="11"/>
  <c r="AD917" i="11"/>
  <c r="AC917" i="11"/>
  <c r="AA919" i="11"/>
  <c r="R919" i="11"/>
  <c r="AA920" i="11" l="1"/>
  <c r="R920" i="11"/>
  <c r="Q921" i="11"/>
  <c r="X921" i="11"/>
  <c r="AF921" i="11"/>
  <c r="AJ921" i="11" s="1"/>
  <c r="AB919" i="11"/>
  <c r="S919" i="11"/>
  <c r="L923" i="11"/>
  <c r="U922" i="11"/>
  <c r="N922" i="11"/>
  <c r="O922" i="11" s="1"/>
  <c r="W921" i="11"/>
  <c r="V921" i="11"/>
  <c r="Y921" i="11"/>
  <c r="AD918" i="11"/>
  <c r="AC918" i="11"/>
  <c r="AF922" i="11" l="1"/>
  <c r="AJ922" i="11" s="1"/>
  <c r="Q922" i="11"/>
  <c r="X922" i="11"/>
  <c r="Y922" i="11" s="1"/>
  <c r="W922" i="11"/>
  <c r="V922" i="11"/>
  <c r="R921" i="11"/>
  <c r="AA921" i="11"/>
  <c r="AC919" i="11"/>
  <c r="AD919" i="11"/>
  <c r="N923" i="11"/>
  <c r="O923" i="11" s="1"/>
  <c r="U923" i="11"/>
  <c r="L924" i="11"/>
  <c r="P922" i="11"/>
  <c r="AB920" i="11"/>
  <c r="S920" i="11"/>
  <c r="L925" i="11" l="1"/>
  <c r="U924" i="11"/>
  <c r="N924" i="11"/>
  <c r="O924" i="11" s="1"/>
  <c r="V923" i="11"/>
  <c r="W923" i="11"/>
  <c r="S921" i="11"/>
  <c r="AB921" i="11"/>
  <c r="AF923" i="11"/>
  <c r="AJ923" i="11" s="1"/>
  <c r="X923" i="11"/>
  <c r="Y923" i="11" s="1"/>
  <c r="Q923" i="11"/>
  <c r="R922" i="11"/>
  <c r="AA922" i="11"/>
  <c r="P923" i="11"/>
  <c r="P924" i="11" s="1"/>
  <c r="AD920" i="11"/>
  <c r="AC920" i="11"/>
  <c r="S922" i="11" l="1"/>
  <c r="AB922" i="11"/>
  <c r="AD921" i="11"/>
  <c r="AC921" i="11"/>
  <c r="V924" i="11"/>
  <c r="W924" i="11"/>
  <c r="R923" i="11"/>
  <c r="AA923" i="11"/>
  <c r="X924" i="11"/>
  <c r="Y924" i="11" s="1"/>
  <c r="Q924" i="11"/>
  <c r="AF924" i="11"/>
  <c r="AJ924" i="11" s="1"/>
  <c r="U925" i="11"/>
  <c r="N925" i="11"/>
  <c r="O925" i="11" s="1"/>
  <c r="L926" i="11"/>
  <c r="AF925" i="11" l="1"/>
  <c r="AJ925" i="11" s="1"/>
  <c r="Q925" i="11"/>
  <c r="X925" i="11"/>
  <c r="S923" i="11"/>
  <c r="AB923" i="11"/>
  <c r="AC922" i="11"/>
  <c r="AD922" i="11"/>
  <c r="Y925" i="11"/>
  <c r="W925" i="11"/>
  <c r="V925" i="11"/>
  <c r="N926" i="11"/>
  <c r="O926" i="11" s="1"/>
  <c r="U926" i="11"/>
  <c r="L927" i="11"/>
  <c r="R924" i="11"/>
  <c r="AA924" i="11"/>
  <c r="P925" i="11"/>
  <c r="AB924" i="11" l="1"/>
  <c r="S924" i="11"/>
  <c r="W926" i="11"/>
  <c r="V926" i="11"/>
  <c r="AF926" i="11"/>
  <c r="AJ926" i="11" s="1"/>
  <c r="Q926" i="11"/>
  <c r="X926" i="11"/>
  <c r="Y926" i="11" s="1"/>
  <c r="P926" i="11"/>
  <c r="R925" i="11"/>
  <c r="AA925" i="11"/>
  <c r="U927" i="11"/>
  <c r="N927" i="11"/>
  <c r="O927" i="11" s="1"/>
  <c r="L928" i="11"/>
  <c r="AC923" i="11"/>
  <c r="AD923" i="11"/>
  <c r="N928" i="11" l="1"/>
  <c r="O928" i="11" s="1"/>
  <c r="U928" i="11"/>
  <c r="L929" i="11"/>
  <c r="P927" i="11"/>
  <c r="P928" i="11" s="1"/>
  <c r="AF927" i="11"/>
  <c r="AJ927" i="11" s="1"/>
  <c r="X927" i="11"/>
  <c r="Q927" i="11"/>
  <c r="S925" i="11"/>
  <c r="AB925" i="11"/>
  <c r="W927" i="11"/>
  <c r="Y927" i="11"/>
  <c r="V927" i="11"/>
  <c r="AA926" i="11"/>
  <c r="R926" i="11"/>
  <c r="AD924" i="11"/>
  <c r="AC924" i="11"/>
  <c r="AA927" i="11" l="1"/>
  <c r="R927" i="11"/>
  <c r="N929" i="11"/>
  <c r="O929" i="11" s="1"/>
  <c r="P929" i="11" s="1"/>
  <c r="U929" i="11"/>
  <c r="S926" i="11"/>
  <c r="AB926" i="11"/>
  <c r="AD925" i="11"/>
  <c r="AC925" i="11"/>
  <c r="V928" i="11"/>
  <c r="W928" i="11"/>
  <c r="U30" i="11" a="1"/>
  <c r="U30" i="11" s="1"/>
  <c r="AF928" i="11"/>
  <c r="AJ928" i="11" s="1"/>
  <c r="X928" i="11"/>
  <c r="Y928" i="11" s="1"/>
  <c r="Q928" i="11"/>
  <c r="W929" i="11" l="1"/>
  <c r="W30" i="11" s="1" a="1"/>
  <c r="W30" i="11" s="1"/>
  <c r="V929" i="11"/>
  <c r="V30" i="11" s="1" a="1"/>
  <c r="V30" i="11" s="1"/>
  <c r="S927" i="11"/>
  <c r="AB927" i="11"/>
  <c r="AC926" i="11"/>
  <c r="AD926" i="11"/>
  <c r="AF929" i="11"/>
  <c r="Q929" i="11"/>
  <c r="X929" i="11"/>
  <c r="X30" i="11" s="1" a="1"/>
  <c r="X30" i="11" s="1"/>
  <c r="R928" i="11"/>
  <c r="AA928" i="11"/>
  <c r="AD927" i="11" l="1"/>
  <c r="AC927" i="11"/>
  <c r="AB928" i="11"/>
  <c r="S928" i="11"/>
  <c r="AA929" i="11"/>
  <c r="AA30" i="11" s="1" a="1"/>
  <c r="AA30" i="11" s="1"/>
  <c r="R929" i="11"/>
  <c r="AJ929" i="11"/>
  <c r="AJ30" i="11" s="1"/>
  <c r="D10" i="11"/>
  <c r="AF30" i="11"/>
  <c r="Y929" i="11"/>
  <c r="Y30" i="11" s="1" a="1"/>
  <c r="Y30" i="11" s="1"/>
  <c r="D9" i="11" s="1"/>
  <c r="AB929" i="11" l="1"/>
  <c r="S929" i="11"/>
  <c r="AC928" i="11"/>
  <c r="AD928" i="11"/>
  <c r="AB30" i="11" a="1"/>
  <c r="AB30" i="11" s="1"/>
  <c r="AC929" i="11" l="1"/>
  <c r="AC30" i="11" s="1" a="1"/>
  <c r="AC30" i="11" s="1"/>
  <c r="AD929" i="11"/>
  <c r="AD30" i="11" s="1" a="1"/>
  <c r="AD30"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Keith Fleming</author>
  </authors>
  <commentList>
    <comment ref="C11" authorId="0" shapeId="0" xr:uid="{57F54F20-19AC-4646-9E6E-C53932F9CBC8}">
      <text>
        <r>
          <rPr>
            <b/>
            <sz val="9"/>
            <color indexed="81"/>
            <rFont val="Tahoma"/>
            <family val="2"/>
          </rPr>
          <t>Keith Fleming:</t>
        </r>
        <r>
          <rPr>
            <sz val="9"/>
            <color indexed="81"/>
            <rFont val="Tahoma"/>
            <family val="2"/>
          </rPr>
          <t xml:space="preserve">
The basic formula used to calculate Personalized Rate of Return is called the Modified Dietz method. Modified Dietz is a common way to evaluate a portfolio's return using time-weighted analysis, accounting for the timing of all cash flows. The basic formula is Net Earnings divided by Weighted Average Account Balance. Net Earnings are earnings after all expenses.
The time period used to calculate your Personalized Rate of Return typically starts with the beginning of the deposit year for your organization’s retirement plan. (The “deposit year” is the period your plan sponsor chooses for maintaining deposits and producing benefit plan reports. The deposit year may or may not coincide with the calendar year.) If the time period doesn’t start at the beginning of the deposit year, it starts once there is a balance in a specific investment option or the account during that time period. You may also specify a time period within the last 24 months.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Keith Fleming</author>
  </authors>
  <commentList>
    <comment ref="C2" authorId="0" shapeId="0" xr:uid="{FB1F90F1-02E5-4472-8FD3-7433E1936984}">
      <text>
        <r>
          <rPr>
            <b/>
            <sz val="9"/>
            <color indexed="81"/>
            <rFont val="Tahoma"/>
            <family val="2"/>
          </rPr>
          <t>Keith Fleming:</t>
        </r>
        <r>
          <rPr>
            <sz val="9"/>
            <color indexed="81"/>
            <rFont val="Tahoma"/>
            <family val="2"/>
          </rPr>
          <t xml:space="preserve">
WEEKNUM&amp;YEAR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<sst xmlns="http://schemas.openxmlformats.org/spreadsheetml/2006/main" count="87" uniqueCount="48">
  <si>
    <t>Date</t>
  </si>
  <si>
    <t>Initial Investment</t>
  </si>
  <si>
    <t>Total</t>
  </si>
  <si>
    <t>Interval</t>
  </si>
  <si>
    <t>Close</t>
  </si>
  <si>
    <t>Return</t>
  </si>
  <si>
    <t xml:space="preserve">Weekly </t>
  </si>
  <si>
    <t>Monthly</t>
  </si>
  <si>
    <t>Quarterly</t>
  </si>
  <si>
    <t>None</t>
  </si>
  <si>
    <t>Yearly</t>
  </si>
  <si>
    <t>Bi-weekly</t>
  </si>
  <si>
    <t>Return (%)</t>
  </si>
  <si>
    <t>NIKKEI</t>
  </si>
  <si>
    <t>IBEX</t>
  </si>
  <si>
    <t>Weight</t>
  </si>
  <si>
    <t>Symbol</t>
  </si>
  <si>
    <t>S&amp;P 500</t>
  </si>
  <si>
    <t>10-Yr Bond</t>
  </si>
  <si>
    <t xml:space="preserve">  Dollar Cost Average Method (DCA)</t>
  </si>
  <si>
    <t>Cash Flows</t>
  </si>
  <si>
    <t>Di</t>
  </si>
  <si>
    <t>Wi</t>
  </si>
  <si>
    <t>Wi x Fi</t>
  </si>
  <si>
    <t>Cash Flow</t>
  </si>
  <si>
    <t>Annual</t>
  </si>
  <si>
    <t>DJI</t>
  </si>
  <si>
    <t>Shares</t>
  </si>
  <si>
    <t>T</t>
  </si>
  <si>
    <t>Return(%)</t>
  </si>
  <si>
    <t>Gain($)</t>
  </si>
  <si>
    <t>Total Shares</t>
  </si>
  <si>
    <t>Dividends</t>
  </si>
  <si>
    <t>Open</t>
  </si>
  <si>
    <t>High</t>
  </si>
  <si>
    <t>Low</t>
  </si>
  <si>
    <t>Cost Basis($)</t>
  </si>
  <si>
    <t>Mkt Value($)</t>
  </si>
  <si>
    <t>Dividends($)</t>
  </si>
  <si>
    <t>Increment</t>
  </si>
  <si>
    <t>Date Range</t>
  </si>
  <si>
    <t>IRR</t>
  </si>
  <si>
    <t>ROI</t>
  </si>
  <si>
    <t>Time-weighted</t>
  </si>
  <si>
    <t>annual</t>
  </si>
  <si>
    <t>Price($)</t>
  </si>
  <si>
    <t>No</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</si>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</sst>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4" formatCode="_(&quot;$&quot;* #,##0.00_);_(&quot;$&quot;* \(#,##0.00\);_(&quot;$&quot;* &quot;-&quot;??_);_(@_)"/>
    <numFmt numFmtId="164" formatCode="0.000"/>
    <numFmt numFmtId="165" formatCode="0.0000"/>
    <numFmt numFmtId="166" formatCode="0.0000;[Red]0.0000"/>
    <numFmt numFmtId="167" formatCode="#,##0.00;[Red]#,##0.00"/>
  </numFmts>
  <fonts count="10" x14ac:knownFonts="1">
    <font>
      <sz val="11"/>
      <color theme="1"/>
      <name val="Calibri"/>
      <family val="2"/>
      <scheme val="minor"/>
    </font>
    <font>
      <sz val="9"/>
      <color indexed="81"/>
      <name val="Tahoma"/>
      <family val="2"/>
    </font>
    <font>
      <b/>
      <sz val="9"/>
      <color indexed="81"/>
      <name val="Tahoma"/>
      <family val="2"/>
    </font>
    <font>
      <sz val="10"/>
      <name val="Arial"/>
      <family val="2"/>
    </font>
    <font>
      <b/>
      <sz val="11"/>
      <color theme="1"/>
      <name val="Calibri"/>
      <family val="2"/>
      <scheme val="minor"/>
    </font>
    <font>
      <sz val="9"/>
      <color theme="1"/>
      <name val="Calibri"/>
      <family val="2"/>
      <scheme val="minor"/>
    </font>
    <font>
      <sz val="8"/>
      <color theme="1"/>
      <name val="Calibri"/>
      <family val="2"/>
      <scheme val="minor"/>
    </font>
    <font>
      <sz val="11"/>
      <color rgb="FF3F3F76"/>
      <name val="Calibri"/>
      <family val="2"/>
      <scheme val="minor"/>
    </font>
    <font>
      <b/>
      <sz val="9"/>
      <color theme="0"/>
      <name val="Arial Nova"/>
      <family val="2"/>
    </font>
    <font>
      <sz val="9"/>
      <color theme="0"/>
      <name val="Arial Nova"/>
      <family val="2"/>
    </font>
  </fonts>
  <fills count="10">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CC99"/>
      </patternFill>
    </fill>
    <fill>
      <patternFill patternType="solid">
        <fgColor theme="1" tint="0.14999847407452621"/>
        <bgColor indexed="64"/>
      </patternFill>
    </fill>
    <fill>
      <patternFill patternType="solid">
        <fgColor rgb="FF292929"/>
        <bgColor indexed="64"/>
      </patternFill>
    </fill>
  </fills>
  <borders count="10">
    <border>
      <left/>
      <right/>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thin">
        <color rgb="FF1C1C1C"/>
      </bottom>
      <diagonal/>
    </border>
    <border>
      <left/>
      <right/>
      <top style="thin">
        <color rgb="FF1C1C1C"/>
      </top>
      <bottom style="thin">
        <color rgb="FF1C1C1C"/>
      </bottom>
      <diagonal/>
    </border>
    <border>
      <left style="thin">
        <color rgb="FF292929"/>
      </left>
      <right style="thin">
        <color rgb="FF292929"/>
      </right>
      <top style="thin">
        <color rgb="FF292929"/>
      </top>
      <bottom style="thin">
        <color rgb="FF1C1C1C"/>
      </bottom>
      <diagonal/>
    </border>
    <border>
      <left style="thin">
        <color rgb="FF292929"/>
      </left>
      <right style="thin">
        <color rgb="FF292929"/>
      </right>
      <top style="thin">
        <color rgb="FF1C1C1C"/>
      </top>
      <bottom style="thin">
        <color rgb="FF1C1C1C"/>
      </bottom>
      <diagonal/>
    </border>
    <border>
      <left/>
      <right/>
      <top/>
      <bottom style="thin">
        <color rgb="FF808080"/>
      </bottom>
      <diagonal/>
    </border>
    <border>
      <left/>
      <right style="thin">
        <color rgb="FF1C1C1C"/>
      </right>
      <top style="thin">
        <color rgb="FF808080"/>
      </top>
      <bottom/>
      <diagonal/>
    </border>
    <border>
      <left/>
      <right style="thin">
        <color rgb="FF1C1C1C"/>
      </right>
      <top/>
      <bottom/>
      <diagonal/>
    </border>
  </borders>
  <cellStyleXfs count="3">
    <xf numFmtId="0" fontId="0" fillId="0" borderId="0"/>
    <xf numFmtId="0" fontId="3" fillId="0" borderId="0"/>
    <xf numFmtId="0" fontId="7" fillId="7" borderId="2" applyNumberFormat="0" applyAlignment="0" applyProtection="0"/>
  </cellStyleXfs>
  <cellXfs count="100">
    <xf numFmtId="0" fontId="0" fillId="0" borderId="0" xfId="0"/>
    <xf numFmtId="0" fontId="4" fillId="0" borderId="0" xfId="0" applyFont="1" applyAlignment="1">
      <alignment horizontal="center" vertical="center"/>
    </xf>
    <xf numFmtId="10" fontId="5" fillId="0" borderId="0" xfId="0" applyNumberFormat="1" applyFont="1" applyAlignment="1">
      <alignment horizontal="center" vertical="center"/>
    </xf>
    <xf numFmtId="0" fontId="5" fillId="0" borderId="0" xfId="0" applyFont="1" applyAlignment="1">
      <alignment horizontal="center" vertical="center"/>
    </xf>
    <xf numFmtId="14" fontId="5" fillId="0" borderId="0" xfId="0" applyNumberFormat="1" applyFont="1" applyAlignment="1">
      <alignment horizontal="center" vertical="center"/>
    </xf>
    <xf numFmtId="0" fontId="6" fillId="0" borderId="0" xfId="0" applyFont="1" applyAlignment="1">
      <alignment horizontal="center"/>
    </xf>
    <xf numFmtId="14" fontId="5" fillId="0" borderId="0" xfId="0" applyNumberFormat="1" applyFont="1" applyAlignment="1">
      <alignment horizontal="right" vertical="center"/>
    </xf>
    <xf numFmtId="44" fontId="5" fillId="0" borderId="1" xfId="0" applyNumberFormat="1" applyFont="1" applyBorder="1" applyAlignment="1">
      <alignment horizontal="left" vertical="center"/>
    </xf>
    <xf numFmtId="0" fontId="5" fillId="0" borderId="1" xfId="0" applyFont="1" applyBorder="1" applyAlignment="1">
      <alignment horizontal="left" vertical="center"/>
    </xf>
    <xf numFmtId="14" fontId="0" fillId="0" borderId="0" xfId="0" applyNumberFormat="1"/>
    <xf numFmtId="0" fontId="0" fillId="0" borderId="0" xfId="0" applyAlignment="1">
      <alignment horizontal="right" vertical="center" indent="1"/>
    </xf>
    <xf numFmtId="14" fontId="0" fillId="0" borderId="0" xfId="0" applyNumberFormat="1" applyAlignment="1">
      <alignment horizontal="right" vertical="center" indent="1"/>
    </xf>
    <xf numFmtId="165" fontId="0" fillId="0" borderId="0" xfId="0" applyNumberFormat="1" applyAlignment="1">
      <alignment horizontal="right" vertical="center" indent="1"/>
    </xf>
    <xf numFmtId="1" fontId="0" fillId="0" borderId="0" xfId="0" applyNumberFormat="1" applyAlignment="1">
      <alignment horizontal="right" vertical="center" indent="1"/>
    </xf>
    <xf numFmtId="0" fontId="8" fillId="8" borderId="0" xfId="0" applyFont="1" applyFill="1" applyAlignment="1">
      <alignment vertical="center"/>
    </xf>
    <xf numFmtId="44" fontId="9" fillId="8" borderId="0" xfId="0" applyNumberFormat="1" applyFont="1" applyFill="1" applyAlignment="1">
      <alignment horizontal="right" vertical="center" indent="2"/>
    </xf>
    <xf numFmtId="166" fontId="9" fillId="8" borderId="0" xfId="0" applyNumberFormat="1" applyFont="1" applyFill="1" applyAlignment="1">
      <alignment horizontal="right" vertical="center" indent="2"/>
    </xf>
    <xf numFmtId="7" fontId="9" fillId="8" borderId="0" xfId="0" applyNumberFormat="1" applyFont="1" applyFill="1" applyAlignment="1">
      <alignment horizontal="right" vertical="center" indent="1"/>
    </xf>
    <xf numFmtId="44" fontId="9" fillId="8" borderId="0" xfId="0" applyNumberFormat="1" applyFont="1" applyFill="1" applyAlignment="1">
      <alignment horizontal="left" vertical="center" indent="1"/>
    </xf>
    <xf numFmtId="164" fontId="9" fillId="8" borderId="0" xfId="0" applyNumberFormat="1" applyFont="1" applyFill="1" applyAlignment="1">
      <alignment horizontal="right" vertical="center" indent="2"/>
    </xf>
    <xf numFmtId="0" fontId="9" fillId="8" borderId="0" xfId="0" applyFont="1" applyFill="1" applyAlignment="1">
      <alignment horizontal="right" vertical="center" indent="2"/>
    </xf>
    <xf numFmtId="4" fontId="9" fillId="8" borderId="0" xfId="0" applyNumberFormat="1" applyFont="1" applyFill="1" applyAlignment="1">
      <alignment horizontal="right" vertical="center" indent="2"/>
    </xf>
    <xf numFmtId="10" fontId="9" fillId="8" borderId="0" xfId="0" applyNumberFormat="1" applyFont="1" applyFill="1" applyAlignment="1">
      <alignment horizontal="right" vertical="center" indent="2"/>
    </xf>
    <xf numFmtId="39" fontId="9" fillId="8" borderId="0" xfId="0" applyNumberFormat="1" applyFont="1" applyFill="1" applyAlignment="1">
      <alignment horizontal="right" vertical="center" indent="2"/>
    </xf>
    <xf numFmtId="7" fontId="8" fillId="8" borderId="0" xfId="0" applyNumberFormat="1" applyFont="1" applyFill="1" applyAlignment="1">
      <alignment horizontal="right" vertical="center" indent="1"/>
    </xf>
    <xf numFmtId="0" fontId="8" fillId="8" borderId="0" xfId="0" applyFont="1" applyFill="1" applyAlignment="1">
      <alignment horizontal="right" vertical="center" indent="2"/>
    </xf>
    <xf numFmtId="10" fontId="8" fillId="8" borderId="0" xfId="0" applyNumberFormat="1" applyFont="1" applyFill="1" applyAlignment="1">
      <alignment horizontal="right" vertical="center" indent="2"/>
    </xf>
    <xf numFmtId="2" fontId="8" fillId="8" borderId="0" xfId="0" applyNumberFormat="1" applyFont="1" applyFill="1" applyAlignment="1">
      <alignment horizontal="right" vertical="center" indent="2"/>
    </xf>
    <xf numFmtId="44" fontId="8" fillId="8" borderId="0" xfId="0" applyNumberFormat="1" applyFont="1" applyFill="1" applyAlignment="1">
      <alignment horizontal="right" vertical="center" indent="2"/>
    </xf>
    <xf numFmtId="164" fontId="8" fillId="8" borderId="0" xfId="0" applyNumberFormat="1" applyFont="1" applyFill="1" applyAlignment="1">
      <alignment horizontal="right" vertical="center" indent="2"/>
    </xf>
    <xf numFmtId="4" fontId="8" fillId="8" borderId="0" xfId="0" applyNumberFormat="1" applyFont="1" applyFill="1" applyAlignment="1">
      <alignment horizontal="right" vertical="center" indent="2"/>
    </xf>
    <xf numFmtId="39" fontId="8" fillId="8" borderId="0" xfId="0" applyNumberFormat="1" applyFont="1" applyFill="1" applyAlignment="1">
      <alignment horizontal="right" vertical="center" indent="2"/>
    </xf>
    <xf numFmtId="9" fontId="9" fillId="8" borderId="0" xfId="0" applyNumberFormat="1" applyFont="1" applyFill="1" applyAlignment="1">
      <alignment horizontal="right" vertical="center" indent="2"/>
    </xf>
    <xf numFmtId="0" fontId="5" fillId="8" borderId="0" xfId="0" applyFont="1" applyFill="1"/>
    <xf numFmtId="0" fontId="5" fillId="8" borderId="0" xfId="0" applyFont="1" applyFill="1" applyAlignment="1">
      <alignment horizontal="right" vertical="center" indent="2"/>
    </xf>
    <xf numFmtId="14" fontId="9" fillId="8" borderId="5" xfId="0" applyNumberFormat="1" applyFont="1" applyFill="1" applyBorder="1" applyAlignment="1">
      <alignment horizontal="right" vertical="center" indent="2"/>
    </xf>
    <xf numFmtId="7" fontId="9" fillId="8" borderId="3" xfId="0" applyNumberFormat="1" applyFont="1" applyFill="1" applyBorder="1" applyAlignment="1">
      <alignment horizontal="right" vertical="center" indent="1"/>
    </xf>
    <xf numFmtId="44" fontId="9" fillId="8" borderId="3" xfId="0" applyNumberFormat="1" applyFont="1" applyFill="1" applyBorder="1" applyAlignment="1">
      <alignment horizontal="left" vertical="center" indent="1"/>
    </xf>
    <xf numFmtId="164" fontId="9" fillId="8" borderId="3" xfId="0" applyNumberFormat="1" applyFont="1" applyFill="1" applyBorder="1" applyAlignment="1">
      <alignment horizontal="right" vertical="center" indent="2"/>
    </xf>
    <xf numFmtId="39" fontId="9" fillId="8" borderId="3" xfId="0" applyNumberFormat="1" applyFont="1" applyFill="1" applyBorder="1" applyAlignment="1">
      <alignment horizontal="right" vertical="center" indent="2"/>
    </xf>
    <xf numFmtId="4" fontId="9" fillId="8" borderId="3" xfId="0" applyNumberFormat="1" applyFont="1" applyFill="1" applyBorder="1" applyAlignment="1">
      <alignment horizontal="right" vertical="center" indent="2"/>
    </xf>
    <xf numFmtId="10" fontId="9" fillId="8" borderId="3" xfId="0" applyNumberFormat="1" applyFont="1" applyFill="1" applyBorder="1" applyAlignment="1">
      <alignment horizontal="right" vertical="center" indent="2"/>
    </xf>
    <xf numFmtId="0" fontId="9" fillId="8" borderId="3" xfId="0" applyFont="1" applyFill="1" applyBorder="1" applyAlignment="1">
      <alignment horizontal="right" vertical="center" indent="2"/>
    </xf>
    <xf numFmtId="1" fontId="9" fillId="8" borderId="3" xfId="0" applyNumberFormat="1" applyFont="1" applyFill="1" applyBorder="1" applyAlignment="1">
      <alignment horizontal="right" vertical="center" indent="2"/>
    </xf>
    <xf numFmtId="2" fontId="9" fillId="8" borderId="3" xfId="0" applyNumberFormat="1" applyFont="1" applyFill="1" applyBorder="1" applyAlignment="1">
      <alignment horizontal="right" vertical="center" indent="2"/>
    </xf>
    <xf numFmtId="166" fontId="9" fillId="8" borderId="6" xfId="0" applyNumberFormat="1" applyFont="1" applyFill="1" applyBorder="1" applyAlignment="1">
      <alignment horizontal="right" vertical="center" indent="2"/>
    </xf>
    <xf numFmtId="7" fontId="9" fillId="8" borderId="4" xfId="0" applyNumberFormat="1" applyFont="1" applyFill="1" applyBorder="1" applyAlignment="1">
      <alignment horizontal="right" vertical="center" indent="1"/>
    </xf>
    <xf numFmtId="44" fontId="9" fillId="8" borderId="4" xfId="0" applyNumberFormat="1" applyFont="1" applyFill="1" applyBorder="1" applyAlignment="1">
      <alignment horizontal="left" vertical="center" indent="1"/>
    </xf>
    <xf numFmtId="164" fontId="9" fillId="8" borderId="4" xfId="0" applyNumberFormat="1" applyFont="1" applyFill="1" applyBorder="1" applyAlignment="1">
      <alignment horizontal="right" vertical="center" indent="2"/>
    </xf>
    <xf numFmtId="44" fontId="9" fillId="8" borderId="4" xfId="0" applyNumberFormat="1" applyFont="1" applyFill="1" applyBorder="1" applyAlignment="1">
      <alignment horizontal="right" vertical="center" indent="2"/>
    </xf>
    <xf numFmtId="39" fontId="9" fillId="8" borderId="4" xfId="0" applyNumberFormat="1" applyFont="1" applyFill="1" applyBorder="1" applyAlignment="1">
      <alignment horizontal="right" vertical="center" indent="2"/>
    </xf>
    <xf numFmtId="4" fontId="9" fillId="8" borderId="4" xfId="0" applyNumberFormat="1" applyFont="1" applyFill="1" applyBorder="1" applyAlignment="1">
      <alignment horizontal="right" vertical="center" indent="2"/>
    </xf>
    <xf numFmtId="10" fontId="9" fillId="8" borderId="4" xfId="0" applyNumberFormat="1" applyFont="1" applyFill="1" applyBorder="1" applyAlignment="1">
      <alignment horizontal="right" vertical="center" indent="2"/>
    </xf>
    <xf numFmtId="0" fontId="9" fillId="8" borderId="4" xfId="0" applyFont="1" applyFill="1" applyBorder="1" applyAlignment="1">
      <alignment horizontal="right" vertical="center" indent="2"/>
    </xf>
    <xf numFmtId="1" fontId="9" fillId="8" borderId="4" xfId="0" applyNumberFormat="1" applyFont="1" applyFill="1" applyBorder="1" applyAlignment="1">
      <alignment horizontal="right" vertical="center" indent="2"/>
    </xf>
    <xf numFmtId="2" fontId="9" fillId="8" borderId="4" xfId="0" applyNumberFormat="1" applyFont="1" applyFill="1" applyBorder="1" applyAlignment="1">
      <alignment horizontal="right" vertical="center" indent="2"/>
    </xf>
    <xf numFmtId="166" fontId="9" fillId="8" borderId="3" xfId="0" applyNumberFormat="1" applyFont="1" applyFill="1" applyBorder="1" applyAlignment="1">
      <alignment horizontal="right" vertical="center" indent="2"/>
    </xf>
    <xf numFmtId="2" fontId="9" fillId="9" borderId="0" xfId="0" applyNumberFormat="1" applyFont="1" applyFill="1" applyAlignment="1">
      <alignment horizontal="right" vertical="center" indent="2"/>
    </xf>
    <xf numFmtId="44" fontId="9" fillId="9" borderId="0" xfId="0" applyNumberFormat="1" applyFont="1" applyFill="1" applyAlignment="1">
      <alignment horizontal="right" vertical="center" indent="2"/>
    </xf>
    <xf numFmtId="166" fontId="9" fillId="9" borderId="0" xfId="0" applyNumberFormat="1" applyFont="1" applyFill="1" applyAlignment="1">
      <alignment horizontal="right" vertical="center" indent="2"/>
    </xf>
    <xf numFmtId="7" fontId="9" fillId="9" borderId="0" xfId="0" applyNumberFormat="1" applyFont="1" applyFill="1" applyAlignment="1">
      <alignment horizontal="right" vertical="center" indent="1"/>
    </xf>
    <xf numFmtId="164" fontId="9" fillId="9" borderId="0" xfId="0" applyNumberFormat="1" applyFont="1" applyFill="1" applyAlignment="1">
      <alignment horizontal="right" vertical="center" indent="2"/>
    </xf>
    <xf numFmtId="0" fontId="9" fillId="9" borderId="0" xfId="0" applyFont="1" applyFill="1" applyAlignment="1">
      <alignment horizontal="right" vertical="center" indent="2"/>
    </xf>
    <xf numFmtId="4" fontId="9" fillId="9" borderId="0" xfId="0" applyNumberFormat="1" applyFont="1" applyFill="1" applyAlignment="1">
      <alignment horizontal="right" vertical="center" indent="2"/>
    </xf>
    <xf numFmtId="10" fontId="9" fillId="9" borderId="0" xfId="0" applyNumberFormat="1" applyFont="1" applyFill="1" applyAlignment="1">
      <alignment horizontal="right" vertical="center" indent="2"/>
    </xf>
    <xf numFmtId="39" fontId="9" fillId="9" borderId="0" xfId="0" applyNumberFormat="1" applyFont="1" applyFill="1" applyAlignment="1">
      <alignment horizontal="right" vertical="center" indent="2"/>
    </xf>
    <xf numFmtId="166" fontId="9" fillId="8" borderId="7" xfId="0" applyNumberFormat="1" applyFont="1" applyFill="1" applyBorder="1" applyAlignment="1">
      <alignment horizontal="right" vertical="center" indent="2"/>
    </xf>
    <xf numFmtId="0" fontId="9" fillId="8" borderId="7" xfId="0" applyFont="1" applyFill="1" applyBorder="1" applyAlignment="1">
      <alignment horizontal="right" vertical="center" indent="2"/>
    </xf>
    <xf numFmtId="44" fontId="9" fillId="8" borderId="7" xfId="0" applyNumberFormat="1" applyFont="1" applyFill="1" applyBorder="1" applyAlignment="1">
      <alignment horizontal="right" vertical="center" indent="2"/>
    </xf>
    <xf numFmtId="7" fontId="9" fillId="8" borderId="7" xfId="0" applyNumberFormat="1" applyFont="1" applyFill="1" applyBorder="1" applyAlignment="1">
      <alignment horizontal="right" vertical="center" indent="1"/>
    </xf>
    <xf numFmtId="44" fontId="9" fillId="8" borderId="7" xfId="0" applyNumberFormat="1" applyFont="1" applyFill="1" applyBorder="1" applyAlignment="1">
      <alignment horizontal="left" vertical="center" indent="1"/>
    </xf>
    <xf numFmtId="164" fontId="9" fillId="8" borderId="7" xfId="0" applyNumberFormat="1" applyFont="1" applyFill="1" applyBorder="1" applyAlignment="1">
      <alignment horizontal="right" vertical="center" indent="2"/>
    </xf>
    <xf numFmtId="4" fontId="9" fillId="8" borderId="7" xfId="0" applyNumberFormat="1" applyFont="1" applyFill="1" applyBorder="1" applyAlignment="1">
      <alignment horizontal="right" vertical="center" indent="2"/>
    </xf>
    <xf numFmtId="10" fontId="9" fillId="8" borderId="7" xfId="0" applyNumberFormat="1" applyFont="1" applyFill="1" applyBorder="1" applyAlignment="1">
      <alignment horizontal="right" vertical="center" indent="2"/>
    </xf>
    <xf numFmtId="39" fontId="9" fillId="8" borderId="7" xfId="0" applyNumberFormat="1" applyFont="1" applyFill="1" applyBorder="1" applyAlignment="1">
      <alignment horizontal="right" vertical="center" indent="2"/>
    </xf>
    <xf numFmtId="167" fontId="9" fillId="8" borderId="0" xfId="0" applyNumberFormat="1" applyFont="1" applyFill="1" applyAlignment="1">
      <alignment horizontal="right" vertical="center" indent="2"/>
    </xf>
    <xf numFmtId="167" fontId="9" fillId="9" borderId="0" xfId="0" applyNumberFormat="1" applyFont="1" applyFill="1" applyAlignment="1">
      <alignment horizontal="right" vertical="center" indent="2"/>
    </xf>
    <xf numFmtId="167" fontId="9" fillId="8" borderId="0" xfId="2" applyNumberFormat="1" applyFont="1" applyFill="1" applyBorder="1" applyAlignment="1">
      <alignment horizontal="right" vertical="center" indent="2"/>
    </xf>
    <xf numFmtId="167" fontId="8" fillId="8" borderId="0" xfId="0" applyNumberFormat="1" applyFont="1" applyFill="1" applyAlignment="1">
      <alignment horizontal="right" vertical="center" indent="2"/>
    </xf>
    <xf numFmtId="167" fontId="9" fillId="8" borderId="7" xfId="0" applyNumberFormat="1" applyFont="1" applyFill="1" applyBorder="1" applyAlignment="1">
      <alignment horizontal="right" vertical="center" indent="2"/>
    </xf>
    <xf numFmtId="167" fontId="9" fillId="8" borderId="6" xfId="0" applyNumberFormat="1" applyFont="1" applyFill="1" applyBorder="1" applyAlignment="1">
      <alignment horizontal="right" vertical="center" indent="2"/>
    </xf>
    <xf numFmtId="14" fontId="9" fillId="8" borderId="3" xfId="0" applyNumberFormat="1" applyFont="1" applyFill="1" applyBorder="1" applyAlignment="1">
      <alignment horizontal="right" vertical="center" indent="2"/>
    </xf>
    <xf numFmtId="167" fontId="9" fillId="8" borderId="3" xfId="0" applyNumberFormat="1" applyFont="1" applyFill="1" applyBorder="1" applyAlignment="1">
      <alignment horizontal="right" vertical="center" indent="2"/>
    </xf>
    <xf numFmtId="7" fontId="9" fillId="8" borderId="3" xfId="0" applyNumberFormat="1" applyFont="1" applyFill="1" applyBorder="1" applyAlignment="1">
      <alignment horizontal="right" vertical="center" indent="2"/>
    </xf>
    <xf numFmtId="7" fontId="9" fillId="8" borderId="4" xfId="0" applyNumberFormat="1" applyFont="1" applyFill="1" applyBorder="1" applyAlignment="1">
      <alignment horizontal="right" vertical="center" indent="2"/>
    </xf>
    <xf numFmtId="10" fontId="9" fillId="9" borderId="8" xfId="0" applyNumberFormat="1" applyFont="1" applyFill="1" applyBorder="1" applyAlignment="1">
      <alignment horizontal="right" vertical="center" indent="2"/>
    </xf>
    <xf numFmtId="10" fontId="9" fillId="9" borderId="9" xfId="0" applyNumberFormat="1" applyFont="1" applyFill="1" applyBorder="1" applyAlignment="1">
      <alignment horizontal="right" vertical="center" indent="2"/>
    </xf>
    <xf numFmtId="14" fontId="9" fillId="9" borderId="0" xfId="0" applyNumberFormat="1" applyFont="1" applyFill="1" applyAlignment="1">
      <alignment horizontal="right" vertical="center" indent="2"/>
    </xf>
    <xf numFmtId="0" fontId="9" fillId="8" borderId="0" xfId="0" applyFont="1" applyFill="1" applyAlignment="1">
      <alignment horizontal="right" vertical="center" indent="1"/>
    </xf>
    <xf numFmtId="0" fontId="9" fillId="8" borderId="7" xfId="0" applyFont="1" applyFill="1" applyBorder="1" applyAlignment="1">
      <alignment horizontal="right" vertical="center" indent="1"/>
    </xf>
    <xf numFmtId="0" fontId="9" fillId="9" borderId="0" xfId="0" applyFont="1" applyFill="1" applyAlignment="1">
      <alignment horizontal="right" vertical="center" indent="1"/>
    </xf>
    <xf numFmtId="0" fontId="9" fillId="8" borderId="3" xfId="0" applyFont="1" applyFill="1" applyBorder="1" applyAlignment="1">
      <alignment horizontal="right" vertical="center" indent="1"/>
    </xf>
    <xf numFmtId="44" fontId="8" fillId="8" borderId="0" xfId="2" applyNumberFormat="1" applyFont="1" applyFill="1" applyBorder="1" applyAlignment="1">
      <alignment horizontal="right" vertical="center" indent="2"/>
    </xf>
    <xf numFmtId="167" fontId="8" fillId="8" borderId="0" xfId="2" applyNumberFormat="1" applyFont="1" applyFill="1" applyBorder="1" applyAlignment="1">
      <alignment horizontal="right" vertical="center"/>
    </xf>
    <xf numFmtId="10" fontId="5" fillId="0" borderId="0" xfId="0" applyNumberFormat="1" applyFont="1" applyAlignment="1">
      <alignment horizontal="right" vertical="center"/>
    </xf>
    <xf numFmtId="0" fontId="4" fillId="3" borderId="0" xfId="0" applyFont="1" applyFill="1" applyAlignment="1">
      <alignment horizontal="center" vertical="center"/>
    </xf>
    <xf numFmtId="0" fontId="4" fillId="4" borderId="0" xfId="0" applyFont="1" applyFill="1" applyAlignment="1">
      <alignment horizontal="center" vertical="center"/>
    </xf>
    <xf numFmtId="0" fontId="4" fillId="2" borderId="0" xfId="0" applyFont="1" applyFill="1" applyAlignment="1">
      <alignment horizontal="center" vertical="center"/>
    </xf>
    <xf numFmtId="0" fontId="4" fillId="6" borderId="0" xfId="0" applyFont="1" applyFill="1" applyAlignment="1">
      <alignment horizontal="center" vertical="center"/>
    </xf>
    <xf numFmtId="0" fontId="4" fillId="5" borderId="0" xfId="0" applyFont="1" applyFill="1" applyAlignment="1">
      <alignment horizontal="center" vertical="center"/>
    </xf>
  </cellXfs>
  <cellStyles count="3">
    <cellStyle name="Input" xfId="2" builtinId="20"/>
    <cellStyle name="Normal" xfId="0" builtinId="0"/>
    <cellStyle name="Normal 2" xfId="1" xr:uid="{00000000-0005-0000-0000-00000200000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1C1C1C"/>
      <color rgb="FF808080"/>
      <color rgb="FF777777"/>
      <color rgb="FF292929"/>
      <color rgb="FF333333"/>
      <color rgb="FF4D4D4D"/>
      <color rgb="FFFF9933"/>
      <color rgb="FFFFFFCC"/>
      <color rgb="FF0033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77184572088972E-2"/>
          <c:y val="6.5727715728984934E-2"/>
          <c:w val="0.93151201636405279"/>
          <c:h val="0.85954576159741758"/>
        </c:manualLayout>
      </c:layout>
      <c:scatterChart>
        <c:scatterStyle val="smoothMarker"/>
        <c:varyColors val="0"/>
        <c:ser>
          <c:idx val="0"/>
          <c:order val="0"/>
          <c:spPr>
            <a:ln w="12700" cap="rnd">
              <a:solidFill>
                <a:schemeClr val="accent5">
                  <a:lumMod val="50000"/>
                </a:schemeClr>
              </a:solidFill>
              <a:round/>
            </a:ln>
            <a:effectLst/>
          </c:spPr>
          <c:marker>
            <c:symbol val="none"/>
          </c:marker>
          <c:xVal>
            <c:strRef>
              <c:f>Sheet1!plot_date</c:f>
              <c:strCache>
                <c:ptCount val="899"/>
                <c:pt idx="0">
                  <c:v>1/6/2003</c:v>
                </c:pt>
                <c:pt idx="1">
                  <c:v>1/13/2003</c:v>
                </c:pt>
                <c:pt idx="2">
                  <c:v>1/20/2003</c:v>
                </c:pt>
                <c:pt idx="3">
                  <c:v>1/27/2003</c:v>
                </c:pt>
                <c:pt idx="4">
                  <c:v>2/3/2003</c:v>
                </c:pt>
                <c:pt idx="5">
                  <c:v>2/10/2003</c:v>
                </c:pt>
                <c:pt idx="6">
                  <c:v>2/17/2003</c:v>
                </c:pt>
                <c:pt idx="7">
                  <c:v>2/24/2003</c:v>
                </c:pt>
                <c:pt idx="8">
                  <c:v>3/3/2003</c:v>
                </c:pt>
                <c:pt idx="9">
                  <c:v>3/10/2003</c:v>
                </c:pt>
                <c:pt idx="10">
                  <c:v>3/17/2003</c:v>
                </c:pt>
                <c:pt idx="11">
                  <c:v>3/24/2003</c:v>
                </c:pt>
                <c:pt idx="12">
                  <c:v>3/31/2003</c:v>
                </c:pt>
                <c:pt idx="13">
                  <c:v>4/7/2003</c:v>
                </c:pt>
                <c:pt idx="14">
                  <c:v>4/14/2003</c:v>
                </c:pt>
                <c:pt idx="15">
                  <c:v>4/21/2003</c:v>
                </c:pt>
                <c:pt idx="16">
                  <c:v>4/28/2003</c:v>
                </c:pt>
                <c:pt idx="17">
                  <c:v>5/5/2003</c:v>
                </c:pt>
                <c:pt idx="18">
                  <c:v>5/12/2003</c:v>
                </c:pt>
                <c:pt idx="19">
                  <c:v>5/19/2003</c:v>
                </c:pt>
                <c:pt idx="20">
                  <c:v>5/26/2003</c:v>
                </c:pt>
                <c:pt idx="21">
                  <c:v>6/2/2003</c:v>
                </c:pt>
                <c:pt idx="22">
                  <c:v>6/9/2003</c:v>
                </c:pt>
                <c:pt idx="23">
                  <c:v>6/16/2003</c:v>
                </c:pt>
                <c:pt idx="24">
                  <c:v>6/23/2003</c:v>
                </c:pt>
                <c:pt idx="25">
                  <c:v>6/30/2003</c:v>
                </c:pt>
                <c:pt idx="26">
                  <c:v>7/7/2003</c:v>
                </c:pt>
                <c:pt idx="27">
                  <c:v>7/14/2003</c:v>
                </c:pt>
                <c:pt idx="28">
                  <c:v>7/21/2003</c:v>
                </c:pt>
                <c:pt idx="29">
                  <c:v>7/28/2003</c:v>
                </c:pt>
                <c:pt idx="30">
                  <c:v>8/4/2003</c:v>
                </c:pt>
                <c:pt idx="31">
                  <c:v>8/11/2003</c:v>
                </c:pt>
                <c:pt idx="32">
                  <c:v>8/18/2003</c:v>
                </c:pt>
                <c:pt idx="33">
                  <c:v>8/25/2003</c:v>
                </c:pt>
                <c:pt idx="34">
                  <c:v>9/1/2003</c:v>
                </c:pt>
                <c:pt idx="35">
                  <c:v>9/8/2003</c:v>
                </c:pt>
                <c:pt idx="36">
                  <c:v>9/15/2003</c:v>
                </c:pt>
                <c:pt idx="37">
                  <c:v>9/22/2003</c:v>
                </c:pt>
                <c:pt idx="38">
                  <c:v>9/29/2003</c:v>
                </c:pt>
                <c:pt idx="39">
                  <c:v>10/6/2003</c:v>
                </c:pt>
                <c:pt idx="40">
                  <c:v>10/13/2003</c:v>
                </c:pt>
                <c:pt idx="41">
                  <c:v>10/20/2003</c:v>
                </c:pt>
                <c:pt idx="42">
                  <c:v>10/27/2003</c:v>
                </c:pt>
                <c:pt idx="43">
                  <c:v>11/3/2003</c:v>
                </c:pt>
                <c:pt idx="44">
                  <c:v>11/10/2003</c:v>
                </c:pt>
                <c:pt idx="45">
                  <c:v>11/17/2003</c:v>
                </c:pt>
                <c:pt idx="46">
                  <c:v>11/24/2003</c:v>
                </c:pt>
                <c:pt idx="47">
                  <c:v>12/1/2003</c:v>
                </c:pt>
                <c:pt idx="48">
                  <c:v>12/8/2003</c:v>
                </c:pt>
                <c:pt idx="49">
                  <c:v>12/15/2003</c:v>
                </c:pt>
                <c:pt idx="50">
                  <c:v>12/22/2003</c:v>
                </c:pt>
                <c:pt idx="51">
                  <c:v>12/29/2003</c:v>
                </c:pt>
                <c:pt idx="52">
                  <c:v>1/5/2004</c:v>
                </c:pt>
                <c:pt idx="53">
                  <c:v>1/12/2004</c:v>
                </c:pt>
                <c:pt idx="54">
                  <c:v>1/19/2004</c:v>
                </c:pt>
                <c:pt idx="55">
                  <c:v>1/26/2004</c:v>
                </c:pt>
                <c:pt idx="56">
                  <c:v>2/2/2004</c:v>
                </c:pt>
                <c:pt idx="57">
                  <c:v>2/9/2004</c:v>
                </c:pt>
                <c:pt idx="58">
                  <c:v>2/16/2004</c:v>
                </c:pt>
                <c:pt idx="59">
                  <c:v>2/23/2004</c:v>
                </c:pt>
                <c:pt idx="60">
                  <c:v>3/1/2004</c:v>
                </c:pt>
                <c:pt idx="61">
                  <c:v>3/8/2004</c:v>
                </c:pt>
                <c:pt idx="62">
                  <c:v>3/15/2004</c:v>
                </c:pt>
                <c:pt idx="63">
                  <c:v>3/22/2004</c:v>
                </c:pt>
                <c:pt idx="64">
                  <c:v>3/29/2004</c:v>
                </c:pt>
                <c:pt idx="65">
                  <c:v>4/5/2004</c:v>
                </c:pt>
                <c:pt idx="66">
                  <c:v>4/12/2004</c:v>
                </c:pt>
                <c:pt idx="67">
                  <c:v>4/19/2004</c:v>
                </c:pt>
                <c:pt idx="68">
                  <c:v>4/26/2004</c:v>
                </c:pt>
                <c:pt idx="69">
                  <c:v>5/3/2004</c:v>
                </c:pt>
                <c:pt idx="70">
                  <c:v>5/10/2004</c:v>
                </c:pt>
                <c:pt idx="71">
                  <c:v>5/17/2004</c:v>
                </c:pt>
                <c:pt idx="72">
                  <c:v>5/24/2004</c:v>
                </c:pt>
                <c:pt idx="73">
                  <c:v>5/31/2004</c:v>
                </c:pt>
                <c:pt idx="74">
                  <c:v>6/7/2004</c:v>
                </c:pt>
                <c:pt idx="75">
                  <c:v>6/14/2004</c:v>
                </c:pt>
                <c:pt idx="76">
                  <c:v>6/21/2004</c:v>
                </c:pt>
                <c:pt idx="77">
                  <c:v>6/28/2004</c:v>
                </c:pt>
                <c:pt idx="78">
                  <c:v>7/5/2004</c:v>
                </c:pt>
                <c:pt idx="79">
                  <c:v>7/12/2004</c:v>
                </c:pt>
                <c:pt idx="80">
                  <c:v>7/19/2004</c:v>
                </c:pt>
                <c:pt idx="81">
                  <c:v>7/26/2004</c:v>
                </c:pt>
                <c:pt idx="82">
                  <c:v>8/2/2004</c:v>
                </c:pt>
                <c:pt idx="83">
                  <c:v>8/9/2004</c:v>
                </c:pt>
                <c:pt idx="84">
                  <c:v>8/16/2004</c:v>
                </c:pt>
                <c:pt idx="85">
                  <c:v>8/23/2004</c:v>
                </c:pt>
                <c:pt idx="86">
                  <c:v>8/30/2004</c:v>
                </c:pt>
                <c:pt idx="87">
                  <c:v>9/6/2004</c:v>
                </c:pt>
                <c:pt idx="88">
                  <c:v>9/13/2004</c:v>
                </c:pt>
                <c:pt idx="89">
                  <c:v>9/20/2004</c:v>
                </c:pt>
                <c:pt idx="90">
                  <c:v>9/27/2004</c:v>
                </c:pt>
                <c:pt idx="91">
                  <c:v>10/4/2004</c:v>
                </c:pt>
                <c:pt idx="92">
                  <c:v>10/11/2004</c:v>
                </c:pt>
                <c:pt idx="93">
                  <c:v>10/18/2004</c:v>
                </c:pt>
                <c:pt idx="94">
                  <c:v>10/25/2004</c:v>
                </c:pt>
                <c:pt idx="95">
                  <c:v>11/1/2004</c:v>
                </c:pt>
                <c:pt idx="96">
                  <c:v>11/8/2004</c:v>
                </c:pt>
                <c:pt idx="97">
                  <c:v>11/15/2004</c:v>
                </c:pt>
                <c:pt idx="98">
                  <c:v>11/22/2004</c:v>
                </c:pt>
                <c:pt idx="99">
                  <c:v>11/29/2004</c:v>
                </c:pt>
                <c:pt idx="100">
                  <c:v>12/6/2004</c:v>
                </c:pt>
                <c:pt idx="101">
                  <c:v>12/13/2004</c:v>
                </c:pt>
                <c:pt idx="102">
                  <c:v>12/20/2004</c:v>
                </c:pt>
                <c:pt idx="103">
                  <c:v>12/27/2004</c:v>
                </c:pt>
                <c:pt idx="104">
                  <c:v>1/3/2005</c:v>
                </c:pt>
                <c:pt idx="105">
                  <c:v>1/10/2005</c:v>
                </c:pt>
                <c:pt idx="106">
                  <c:v>1/17/2005</c:v>
                </c:pt>
                <c:pt idx="107">
                  <c:v>1/24/2005</c:v>
                </c:pt>
                <c:pt idx="108">
                  <c:v>1/31/2005</c:v>
                </c:pt>
                <c:pt idx="109">
                  <c:v>2/7/2005</c:v>
                </c:pt>
                <c:pt idx="110">
                  <c:v>2/14/2005</c:v>
                </c:pt>
                <c:pt idx="111">
                  <c:v>2/21/2005</c:v>
                </c:pt>
                <c:pt idx="112">
                  <c:v>2/28/2005</c:v>
                </c:pt>
                <c:pt idx="113">
                  <c:v>3/7/2005</c:v>
                </c:pt>
                <c:pt idx="114">
                  <c:v>3/14/2005</c:v>
                </c:pt>
                <c:pt idx="115">
                  <c:v>3/21/2005</c:v>
                </c:pt>
                <c:pt idx="116">
                  <c:v>3/28/2005</c:v>
                </c:pt>
                <c:pt idx="117">
                  <c:v>4/4/2005</c:v>
                </c:pt>
                <c:pt idx="118">
                  <c:v>4/11/2005</c:v>
                </c:pt>
                <c:pt idx="119">
                  <c:v>4/18/2005</c:v>
                </c:pt>
                <c:pt idx="120">
                  <c:v>4/25/2005</c:v>
                </c:pt>
                <c:pt idx="121">
                  <c:v>5/2/2005</c:v>
                </c:pt>
                <c:pt idx="122">
                  <c:v>5/9/2005</c:v>
                </c:pt>
                <c:pt idx="123">
                  <c:v>5/16/2005</c:v>
                </c:pt>
                <c:pt idx="124">
                  <c:v>5/23/2005</c:v>
                </c:pt>
                <c:pt idx="125">
                  <c:v>5/30/2005</c:v>
                </c:pt>
                <c:pt idx="126">
                  <c:v>6/6/2005</c:v>
                </c:pt>
                <c:pt idx="127">
                  <c:v>6/13/2005</c:v>
                </c:pt>
                <c:pt idx="128">
                  <c:v>6/20/2005</c:v>
                </c:pt>
                <c:pt idx="129">
                  <c:v>6/27/2005</c:v>
                </c:pt>
                <c:pt idx="130">
                  <c:v>7/4/2005</c:v>
                </c:pt>
                <c:pt idx="131">
                  <c:v>7/11/2005</c:v>
                </c:pt>
                <c:pt idx="132">
                  <c:v>7/18/2005</c:v>
                </c:pt>
                <c:pt idx="133">
                  <c:v>7/25/2005</c:v>
                </c:pt>
                <c:pt idx="134">
                  <c:v>8/1/2005</c:v>
                </c:pt>
                <c:pt idx="135">
                  <c:v>8/8/2005</c:v>
                </c:pt>
                <c:pt idx="136">
                  <c:v>8/15/2005</c:v>
                </c:pt>
                <c:pt idx="137">
                  <c:v>8/22/2005</c:v>
                </c:pt>
                <c:pt idx="138">
                  <c:v>8/29/2005</c:v>
                </c:pt>
                <c:pt idx="139">
                  <c:v>9/5/2005</c:v>
                </c:pt>
                <c:pt idx="140">
                  <c:v>9/12/2005</c:v>
                </c:pt>
                <c:pt idx="141">
                  <c:v>9/19/2005</c:v>
                </c:pt>
                <c:pt idx="142">
                  <c:v>9/26/2005</c:v>
                </c:pt>
                <c:pt idx="143">
                  <c:v>10/3/2005</c:v>
                </c:pt>
                <c:pt idx="144">
                  <c:v>10/10/2005</c:v>
                </c:pt>
                <c:pt idx="145">
                  <c:v>10/17/2005</c:v>
                </c:pt>
                <c:pt idx="146">
                  <c:v>10/24/2005</c:v>
                </c:pt>
                <c:pt idx="147">
                  <c:v>10/31/2005</c:v>
                </c:pt>
                <c:pt idx="148">
                  <c:v>11/7/2005</c:v>
                </c:pt>
                <c:pt idx="149">
                  <c:v>11/14/2005</c:v>
                </c:pt>
                <c:pt idx="150">
                  <c:v>11/21/2005</c:v>
                </c:pt>
                <c:pt idx="151">
                  <c:v>11/28/2005</c:v>
                </c:pt>
                <c:pt idx="152">
                  <c:v>12/5/2005</c:v>
                </c:pt>
                <c:pt idx="153">
                  <c:v>12/12/2005</c:v>
                </c:pt>
                <c:pt idx="154">
                  <c:v>12/19/2005</c:v>
                </c:pt>
                <c:pt idx="155">
                  <c:v>12/26/2005</c:v>
                </c:pt>
                <c:pt idx="156">
                  <c:v>1/2/2006</c:v>
                </c:pt>
                <c:pt idx="157">
                  <c:v>1/9/2006</c:v>
                </c:pt>
                <c:pt idx="158">
                  <c:v>1/16/2006</c:v>
                </c:pt>
                <c:pt idx="159">
                  <c:v>1/23/2006</c:v>
                </c:pt>
                <c:pt idx="160">
                  <c:v>1/30/2006</c:v>
                </c:pt>
                <c:pt idx="161">
                  <c:v>2/6/2006</c:v>
                </c:pt>
                <c:pt idx="162">
                  <c:v>2/13/2006</c:v>
                </c:pt>
                <c:pt idx="163">
                  <c:v>2/20/2006</c:v>
                </c:pt>
                <c:pt idx="164">
                  <c:v>2/27/2006</c:v>
                </c:pt>
                <c:pt idx="165">
                  <c:v>3/6/2006</c:v>
                </c:pt>
                <c:pt idx="166">
                  <c:v>3/13/2006</c:v>
                </c:pt>
                <c:pt idx="167">
                  <c:v>3/20/2006</c:v>
                </c:pt>
                <c:pt idx="168">
                  <c:v>3/27/2006</c:v>
                </c:pt>
                <c:pt idx="169">
                  <c:v>4/3/2006</c:v>
                </c:pt>
                <c:pt idx="170">
                  <c:v>4/10/2006</c:v>
                </c:pt>
                <c:pt idx="171">
                  <c:v>4/17/2006</c:v>
                </c:pt>
                <c:pt idx="172">
                  <c:v>4/24/2006</c:v>
                </c:pt>
                <c:pt idx="173">
                  <c:v>5/1/2006</c:v>
                </c:pt>
                <c:pt idx="174">
                  <c:v>5/8/2006</c:v>
                </c:pt>
                <c:pt idx="175">
                  <c:v>5/15/2006</c:v>
                </c:pt>
                <c:pt idx="176">
                  <c:v>5/22/2006</c:v>
                </c:pt>
                <c:pt idx="177">
                  <c:v>5/29/2006</c:v>
                </c:pt>
                <c:pt idx="178">
                  <c:v>6/5/2006</c:v>
                </c:pt>
                <c:pt idx="179">
                  <c:v>6/12/2006</c:v>
                </c:pt>
                <c:pt idx="180">
                  <c:v>6/19/2006</c:v>
                </c:pt>
                <c:pt idx="181">
                  <c:v>6/26/2006</c:v>
                </c:pt>
                <c:pt idx="182">
                  <c:v>7/3/2006</c:v>
                </c:pt>
                <c:pt idx="183">
                  <c:v>7/10/2006</c:v>
                </c:pt>
                <c:pt idx="184">
                  <c:v>7/17/2006</c:v>
                </c:pt>
                <c:pt idx="185">
                  <c:v>7/24/2006</c:v>
                </c:pt>
                <c:pt idx="186">
                  <c:v>7/31/2006</c:v>
                </c:pt>
                <c:pt idx="187">
                  <c:v>8/7/2006</c:v>
                </c:pt>
                <c:pt idx="188">
                  <c:v>8/14/2006</c:v>
                </c:pt>
                <c:pt idx="189">
                  <c:v>8/21/2006</c:v>
                </c:pt>
                <c:pt idx="190">
                  <c:v>8/28/2006</c:v>
                </c:pt>
                <c:pt idx="191">
                  <c:v>9/4/2006</c:v>
                </c:pt>
                <c:pt idx="192">
                  <c:v>9/11/2006</c:v>
                </c:pt>
                <c:pt idx="193">
                  <c:v>9/18/2006</c:v>
                </c:pt>
                <c:pt idx="194">
                  <c:v>9/25/2006</c:v>
                </c:pt>
                <c:pt idx="195">
                  <c:v>10/2/2006</c:v>
                </c:pt>
                <c:pt idx="196">
                  <c:v>10/9/2006</c:v>
                </c:pt>
                <c:pt idx="197">
                  <c:v>10/16/2006</c:v>
                </c:pt>
                <c:pt idx="198">
                  <c:v>10/23/2006</c:v>
                </c:pt>
                <c:pt idx="199">
                  <c:v>10/30/2006</c:v>
                </c:pt>
                <c:pt idx="200">
                  <c:v>11/6/2006</c:v>
                </c:pt>
                <c:pt idx="201">
                  <c:v>11/13/2006</c:v>
                </c:pt>
                <c:pt idx="202">
                  <c:v>11/20/2006</c:v>
                </c:pt>
                <c:pt idx="203">
                  <c:v>11/27/2006</c:v>
                </c:pt>
                <c:pt idx="204">
                  <c:v>12/4/2006</c:v>
                </c:pt>
                <c:pt idx="205">
                  <c:v>12/11/2006</c:v>
                </c:pt>
                <c:pt idx="206">
                  <c:v>12/18/2006</c:v>
                </c:pt>
                <c:pt idx="207">
                  <c:v>12/25/2006</c:v>
                </c:pt>
                <c:pt idx="208">
                  <c:v>1/1/2007</c:v>
                </c:pt>
                <c:pt idx="209">
                  <c:v>1/8/2007</c:v>
                </c:pt>
                <c:pt idx="210">
                  <c:v>1/15/2007</c:v>
                </c:pt>
                <c:pt idx="211">
                  <c:v>1/22/2007</c:v>
                </c:pt>
                <c:pt idx="212">
                  <c:v>1/29/2007</c:v>
                </c:pt>
                <c:pt idx="213">
                  <c:v>2/5/2007</c:v>
                </c:pt>
                <c:pt idx="214">
                  <c:v>2/12/2007</c:v>
                </c:pt>
                <c:pt idx="215">
                  <c:v>2/19/2007</c:v>
                </c:pt>
                <c:pt idx="216">
                  <c:v>2/26/2007</c:v>
                </c:pt>
                <c:pt idx="217">
                  <c:v>3/5/2007</c:v>
                </c:pt>
                <c:pt idx="218">
                  <c:v>3/12/2007</c:v>
                </c:pt>
                <c:pt idx="219">
                  <c:v>3/19/2007</c:v>
                </c:pt>
                <c:pt idx="220">
                  <c:v>3/26/2007</c:v>
                </c:pt>
                <c:pt idx="221">
                  <c:v>4/2/2007</c:v>
                </c:pt>
                <c:pt idx="222">
                  <c:v>4/9/2007</c:v>
                </c:pt>
                <c:pt idx="223">
                  <c:v>4/16/2007</c:v>
                </c:pt>
                <c:pt idx="224">
                  <c:v>4/23/2007</c:v>
                </c:pt>
                <c:pt idx="225">
                  <c:v>4/30/2007</c:v>
                </c:pt>
                <c:pt idx="226">
                  <c:v>5/7/2007</c:v>
                </c:pt>
                <c:pt idx="227">
                  <c:v>5/14/2007</c:v>
                </c:pt>
                <c:pt idx="228">
                  <c:v>5/21/2007</c:v>
                </c:pt>
                <c:pt idx="229">
                  <c:v>5/28/2007</c:v>
                </c:pt>
                <c:pt idx="230">
                  <c:v>6/4/2007</c:v>
                </c:pt>
                <c:pt idx="231">
                  <c:v>6/11/2007</c:v>
                </c:pt>
                <c:pt idx="232">
                  <c:v>6/18/2007</c:v>
                </c:pt>
                <c:pt idx="233">
                  <c:v>6/25/2007</c:v>
                </c:pt>
                <c:pt idx="234">
                  <c:v>7/2/2007</c:v>
                </c:pt>
                <c:pt idx="235">
                  <c:v>7/9/2007</c:v>
                </c:pt>
                <c:pt idx="236">
                  <c:v>7/16/2007</c:v>
                </c:pt>
                <c:pt idx="237">
                  <c:v>7/23/2007</c:v>
                </c:pt>
                <c:pt idx="238">
                  <c:v>7/30/2007</c:v>
                </c:pt>
                <c:pt idx="239">
                  <c:v>8/6/2007</c:v>
                </c:pt>
                <c:pt idx="240">
                  <c:v>8/13/2007</c:v>
                </c:pt>
                <c:pt idx="241">
                  <c:v>8/20/2007</c:v>
                </c:pt>
                <c:pt idx="242">
                  <c:v>8/27/2007</c:v>
                </c:pt>
                <c:pt idx="243">
                  <c:v>9/3/2007</c:v>
                </c:pt>
                <c:pt idx="244">
                  <c:v>9/10/2007</c:v>
                </c:pt>
                <c:pt idx="245">
                  <c:v>9/17/2007</c:v>
                </c:pt>
                <c:pt idx="246">
                  <c:v>9/24/2007</c:v>
                </c:pt>
                <c:pt idx="247">
                  <c:v>10/1/2007</c:v>
                </c:pt>
                <c:pt idx="248">
                  <c:v>10/8/2007</c:v>
                </c:pt>
                <c:pt idx="249">
                  <c:v>10/15/2007</c:v>
                </c:pt>
                <c:pt idx="250">
                  <c:v>10/22/2007</c:v>
                </c:pt>
                <c:pt idx="251">
                  <c:v>10/29/2007</c:v>
                </c:pt>
                <c:pt idx="252">
                  <c:v>11/5/2007</c:v>
                </c:pt>
                <c:pt idx="253">
                  <c:v>11/12/2007</c:v>
                </c:pt>
                <c:pt idx="254">
                  <c:v>11/19/2007</c:v>
                </c:pt>
                <c:pt idx="255">
                  <c:v>11/26/2007</c:v>
                </c:pt>
                <c:pt idx="256">
                  <c:v>12/3/2007</c:v>
                </c:pt>
                <c:pt idx="257">
                  <c:v>12/10/2007</c:v>
                </c:pt>
                <c:pt idx="258">
                  <c:v>12/17/2007</c:v>
                </c:pt>
                <c:pt idx="259">
                  <c:v>12/24/2007</c:v>
                </c:pt>
                <c:pt idx="260">
                  <c:v>12/31/2007</c:v>
                </c:pt>
                <c:pt idx="261">
                  <c:v>1/7/2008</c:v>
                </c:pt>
                <c:pt idx="262">
                  <c:v>1/14/2008</c:v>
                </c:pt>
                <c:pt idx="263">
                  <c:v>1/21/2008</c:v>
                </c:pt>
                <c:pt idx="264">
                  <c:v>1/28/2008</c:v>
                </c:pt>
                <c:pt idx="265">
                  <c:v>2/4/2008</c:v>
                </c:pt>
                <c:pt idx="266">
                  <c:v>2/11/2008</c:v>
                </c:pt>
                <c:pt idx="267">
                  <c:v>2/18/2008</c:v>
                </c:pt>
                <c:pt idx="268">
                  <c:v>2/25/2008</c:v>
                </c:pt>
                <c:pt idx="269">
                  <c:v>3/3/2008</c:v>
                </c:pt>
                <c:pt idx="270">
                  <c:v>3/10/2008</c:v>
                </c:pt>
                <c:pt idx="271">
                  <c:v>3/17/2008</c:v>
                </c:pt>
                <c:pt idx="272">
                  <c:v>3/24/2008</c:v>
                </c:pt>
                <c:pt idx="273">
                  <c:v>3/31/2008</c:v>
                </c:pt>
                <c:pt idx="274">
                  <c:v>4/7/2008</c:v>
                </c:pt>
                <c:pt idx="275">
                  <c:v>4/14/2008</c:v>
                </c:pt>
                <c:pt idx="276">
                  <c:v>4/21/2008</c:v>
                </c:pt>
                <c:pt idx="277">
                  <c:v>4/28/2008</c:v>
                </c:pt>
                <c:pt idx="278">
                  <c:v>5/5/2008</c:v>
                </c:pt>
                <c:pt idx="279">
                  <c:v>5/12/2008</c:v>
                </c:pt>
                <c:pt idx="280">
                  <c:v>5/19/2008</c:v>
                </c:pt>
                <c:pt idx="281">
                  <c:v>5/26/2008</c:v>
                </c:pt>
                <c:pt idx="282">
                  <c:v>6/2/2008</c:v>
                </c:pt>
                <c:pt idx="283">
                  <c:v>6/9/2008</c:v>
                </c:pt>
                <c:pt idx="284">
                  <c:v>6/16/2008</c:v>
                </c:pt>
                <c:pt idx="285">
                  <c:v>6/23/2008</c:v>
                </c:pt>
                <c:pt idx="286">
                  <c:v>6/30/2008</c:v>
                </c:pt>
                <c:pt idx="287">
                  <c:v>7/7/2008</c:v>
                </c:pt>
                <c:pt idx="288">
                  <c:v>7/14/2008</c:v>
                </c:pt>
                <c:pt idx="289">
                  <c:v>7/21/2008</c:v>
                </c:pt>
                <c:pt idx="290">
                  <c:v>7/28/2008</c:v>
                </c:pt>
                <c:pt idx="291">
                  <c:v>8/4/2008</c:v>
                </c:pt>
                <c:pt idx="292">
                  <c:v>8/11/2008</c:v>
                </c:pt>
                <c:pt idx="293">
                  <c:v>8/18/2008</c:v>
                </c:pt>
                <c:pt idx="294">
                  <c:v>8/25/2008</c:v>
                </c:pt>
                <c:pt idx="295">
                  <c:v>9/1/2008</c:v>
                </c:pt>
                <c:pt idx="296">
                  <c:v>9/8/2008</c:v>
                </c:pt>
                <c:pt idx="297">
                  <c:v>9/15/2008</c:v>
                </c:pt>
                <c:pt idx="298">
                  <c:v>9/22/2008</c:v>
                </c:pt>
                <c:pt idx="299">
                  <c:v>9/29/2008</c:v>
                </c:pt>
                <c:pt idx="300">
                  <c:v>10/6/2008</c:v>
                </c:pt>
                <c:pt idx="301">
                  <c:v>10/13/2008</c:v>
                </c:pt>
                <c:pt idx="302">
                  <c:v>10/20/2008</c:v>
                </c:pt>
                <c:pt idx="303">
                  <c:v>10/27/2008</c:v>
                </c:pt>
                <c:pt idx="304">
                  <c:v>11/3/2008</c:v>
                </c:pt>
                <c:pt idx="305">
                  <c:v>11/10/2008</c:v>
                </c:pt>
                <c:pt idx="306">
                  <c:v>11/17/2008</c:v>
                </c:pt>
                <c:pt idx="307">
                  <c:v>11/24/2008</c:v>
                </c:pt>
                <c:pt idx="308">
                  <c:v>12/1/2008</c:v>
                </c:pt>
                <c:pt idx="309">
                  <c:v>12/8/2008</c:v>
                </c:pt>
                <c:pt idx="310">
                  <c:v>12/15/2008</c:v>
                </c:pt>
                <c:pt idx="311">
                  <c:v>12/22/2008</c:v>
                </c:pt>
                <c:pt idx="312">
                  <c:v>12/29/2008</c:v>
                </c:pt>
                <c:pt idx="313">
                  <c:v>1/5/2009</c:v>
                </c:pt>
                <c:pt idx="314">
                  <c:v>1/12/2009</c:v>
                </c:pt>
                <c:pt idx="315">
                  <c:v>1/19/2009</c:v>
                </c:pt>
                <c:pt idx="316">
                  <c:v>1/26/2009</c:v>
                </c:pt>
                <c:pt idx="317">
                  <c:v>2/2/2009</c:v>
                </c:pt>
                <c:pt idx="318">
                  <c:v>2/9/2009</c:v>
                </c:pt>
                <c:pt idx="319">
                  <c:v>2/16/2009</c:v>
                </c:pt>
                <c:pt idx="320">
                  <c:v>2/23/2009</c:v>
                </c:pt>
                <c:pt idx="321">
                  <c:v>3/2/2009</c:v>
                </c:pt>
                <c:pt idx="322">
                  <c:v>3/9/2009</c:v>
                </c:pt>
                <c:pt idx="323">
                  <c:v>3/16/2009</c:v>
                </c:pt>
                <c:pt idx="324">
                  <c:v>3/23/2009</c:v>
                </c:pt>
                <c:pt idx="325">
                  <c:v>3/30/2009</c:v>
                </c:pt>
                <c:pt idx="326">
                  <c:v>4/6/2009</c:v>
                </c:pt>
                <c:pt idx="327">
                  <c:v>4/13/2009</c:v>
                </c:pt>
                <c:pt idx="328">
                  <c:v>4/20/2009</c:v>
                </c:pt>
                <c:pt idx="329">
                  <c:v>4/27/2009</c:v>
                </c:pt>
                <c:pt idx="330">
                  <c:v>5/4/2009</c:v>
                </c:pt>
                <c:pt idx="331">
                  <c:v>5/11/2009</c:v>
                </c:pt>
                <c:pt idx="332">
                  <c:v>5/18/2009</c:v>
                </c:pt>
                <c:pt idx="333">
                  <c:v>5/25/2009</c:v>
                </c:pt>
                <c:pt idx="334">
                  <c:v>6/1/2009</c:v>
                </c:pt>
                <c:pt idx="335">
                  <c:v>6/8/2009</c:v>
                </c:pt>
                <c:pt idx="336">
                  <c:v>6/15/2009</c:v>
                </c:pt>
                <c:pt idx="337">
                  <c:v>6/22/2009</c:v>
                </c:pt>
                <c:pt idx="338">
                  <c:v>6/29/2009</c:v>
                </c:pt>
                <c:pt idx="339">
                  <c:v>7/6/2009</c:v>
                </c:pt>
                <c:pt idx="340">
                  <c:v>7/13/2009</c:v>
                </c:pt>
                <c:pt idx="341">
                  <c:v>7/20/2009</c:v>
                </c:pt>
                <c:pt idx="342">
                  <c:v>7/27/2009</c:v>
                </c:pt>
                <c:pt idx="343">
                  <c:v>8/3/2009</c:v>
                </c:pt>
                <c:pt idx="344">
                  <c:v>8/10/2009</c:v>
                </c:pt>
                <c:pt idx="345">
                  <c:v>8/17/2009</c:v>
                </c:pt>
                <c:pt idx="346">
                  <c:v>8/24/2009</c:v>
                </c:pt>
                <c:pt idx="347">
                  <c:v>8/31/2009</c:v>
                </c:pt>
                <c:pt idx="348">
                  <c:v>9/7/2009</c:v>
                </c:pt>
                <c:pt idx="349">
                  <c:v>9/14/2009</c:v>
                </c:pt>
                <c:pt idx="350">
                  <c:v>9/21/2009</c:v>
                </c:pt>
                <c:pt idx="351">
                  <c:v>9/28/2009</c:v>
                </c:pt>
                <c:pt idx="352">
                  <c:v>10/5/2009</c:v>
                </c:pt>
                <c:pt idx="353">
                  <c:v>10/12/2009</c:v>
                </c:pt>
                <c:pt idx="354">
                  <c:v>10/19/2009</c:v>
                </c:pt>
                <c:pt idx="355">
                  <c:v>10/26/2009</c:v>
                </c:pt>
                <c:pt idx="356">
                  <c:v>11/2/2009</c:v>
                </c:pt>
                <c:pt idx="357">
                  <c:v>11/9/2009</c:v>
                </c:pt>
                <c:pt idx="358">
                  <c:v>11/16/2009</c:v>
                </c:pt>
                <c:pt idx="359">
                  <c:v>11/23/2009</c:v>
                </c:pt>
                <c:pt idx="360">
                  <c:v>11/30/2009</c:v>
                </c:pt>
                <c:pt idx="361">
                  <c:v>12/7/2009</c:v>
                </c:pt>
                <c:pt idx="362">
                  <c:v>12/14/2009</c:v>
                </c:pt>
                <c:pt idx="363">
                  <c:v>12/21/2009</c:v>
                </c:pt>
                <c:pt idx="364">
                  <c:v>12/28/2009</c:v>
                </c:pt>
                <c:pt idx="365">
                  <c:v>1/4/2010</c:v>
                </c:pt>
                <c:pt idx="366">
                  <c:v>1/11/2010</c:v>
                </c:pt>
                <c:pt idx="367">
                  <c:v>1/18/2010</c:v>
                </c:pt>
                <c:pt idx="368">
                  <c:v>1/25/2010</c:v>
                </c:pt>
                <c:pt idx="369">
                  <c:v>2/1/2010</c:v>
                </c:pt>
                <c:pt idx="370">
                  <c:v>2/8/2010</c:v>
                </c:pt>
                <c:pt idx="371">
                  <c:v>2/15/2010</c:v>
                </c:pt>
                <c:pt idx="372">
                  <c:v>2/22/2010</c:v>
                </c:pt>
                <c:pt idx="373">
                  <c:v>3/1/2010</c:v>
                </c:pt>
                <c:pt idx="374">
                  <c:v>3/8/2010</c:v>
                </c:pt>
                <c:pt idx="375">
                  <c:v>3/15/2010</c:v>
                </c:pt>
                <c:pt idx="376">
                  <c:v>3/22/2010</c:v>
                </c:pt>
                <c:pt idx="377">
                  <c:v>3/29/2010</c:v>
                </c:pt>
                <c:pt idx="378">
                  <c:v>4/5/2010</c:v>
                </c:pt>
                <c:pt idx="379">
                  <c:v>4/12/2010</c:v>
                </c:pt>
                <c:pt idx="380">
                  <c:v>4/19/2010</c:v>
                </c:pt>
                <c:pt idx="381">
                  <c:v>4/26/2010</c:v>
                </c:pt>
                <c:pt idx="382">
                  <c:v>5/3/2010</c:v>
                </c:pt>
                <c:pt idx="383">
                  <c:v>5/10/2010</c:v>
                </c:pt>
                <c:pt idx="384">
                  <c:v>5/17/2010</c:v>
                </c:pt>
                <c:pt idx="385">
                  <c:v>5/24/2010</c:v>
                </c:pt>
                <c:pt idx="386">
                  <c:v>5/31/2010</c:v>
                </c:pt>
                <c:pt idx="387">
                  <c:v>6/7/2010</c:v>
                </c:pt>
                <c:pt idx="388">
                  <c:v>6/14/2010</c:v>
                </c:pt>
                <c:pt idx="389">
                  <c:v>6/21/2010</c:v>
                </c:pt>
                <c:pt idx="390">
                  <c:v>6/28/2010</c:v>
                </c:pt>
                <c:pt idx="391">
                  <c:v>7/5/2010</c:v>
                </c:pt>
                <c:pt idx="392">
                  <c:v>7/12/2010</c:v>
                </c:pt>
                <c:pt idx="393">
                  <c:v>7/19/2010</c:v>
                </c:pt>
                <c:pt idx="394">
                  <c:v>7/26/2010</c:v>
                </c:pt>
                <c:pt idx="395">
                  <c:v>8/2/2010</c:v>
                </c:pt>
                <c:pt idx="396">
                  <c:v>8/9/2010</c:v>
                </c:pt>
                <c:pt idx="397">
                  <c:v>8/16/2010</c:v>
                </c:pt>
                <c:pt idx="398">
                  <c:v>8/23/2010</c:v>
                </c:pt>
                <c:pt idx="399">
                  <c:v>8/30/2010</c:v>
                </c:pt>
                <c:pt idx="400">
                  <c:v>9/6/2010</c:v>
                </c:pt>
                <c:pt idx="401">
                  <c:v>9/13/2010</c:v>
                </c:pt>
                <c:pt idx="402">
                  <c:v>9/20/2010</c:v>
                </c:pt>
                <c:pt idx="403">
                  <c:v>9/27/2010</c:v>
                </c:pt>
                <c:pt idx="404">
                  <c:v>10/4/2010</c:v>
                </c:pt>
                <c:pt idx="405">
                  <c:v>10/11/2010</c:v>
                </c:pt>
                <c:pt idx="406">
                  <c:v>10/18/2010</c:v>
                </c:pt>
                <c:pt idx="407">
                  <c:v>10/25/2010</c:v>
                </c:pt>
                <c:pt idx="408">
                  <c:v>11/1/2010</c:v>
                </c:pt>
                <c:pt idx="409">
                  <c:v>11/8/2010</c:v>
                </c:pt>
                <c:pt idx="410">
                  <c:v>11/15/2010</c:v>
                </c:pt>
                <c:pt idx="411">
                  <c:v>11/22/2010</c:v>
                </c:pt>
                <c:pt idx="412">
                  <c:v>11/29/2010</c:v>
                </c:pt>
                <c:pt idx="413">
                  <c:v>12/6/2010</c:v>
                </c:pt>
                <c:pt idx="414">
                  <c:v>12/13/2010</c:v>
                </c:pt>
                <c:pt idx="415">
                  <c:v>12/20/2010</c:v>
                </c:pt>
                <c:pt idx="416">
                  <c:v>12/27/2010</c:v>
                </c:pt>
                <c:pt idx="417">
                  <c:v>1/3/2011</c:v>
                </c:pt>
                <c:pt idx="418">
                  <c:v>1/10/2011</c:v>
                </c:pt>
                <c:pt idx="419">
                  <c:v>1/17/2011</c:v>
                </c:pt>
                <c:pt idx="420">
                  <c:v>1/24/2011</c:v>
                </c:pt>
                <c:pt idx="421">
                  <c:v>1/31/2011</c:v>
                </c:pt>
                <c:pt idx="422">
                  <c:v>2/7/2011</c:v>
                </c:pt>
                <c:pt idx="423">
                  <c:v>2/14/2011</c:v>
                </c:pt>
                <c:pt idx="424">
                  <c:v>2/21/2011</c:v>
                </c:pt>
                <c:pt idx="425">
                  <c:v>2/28/2011</c:v>
                </c:pt>
                <c:pt idx="426">
                  <c:v>3/7/2011</c:v>
                </c:pt>
                <c:pt idx="427">
                  <c:v>3/14/2011</c:v>
                </c:pt>
                <c:pt idx="428">
                  <c:v>3/21/2011</c:v>
                </c:pt>
                <c:pt idx="429">
                  <c:v>3/28/2011</c:v>
                </c:pt>
                <c:pt idx="430">
                  <c:v>4/4/2011</c:v>
                </c:pt>
                <c:pt idx="431">
                  <c:v>4/11/2011</c:v>
                </c:pt>
                <c:pt idx="432">
                  <c:v>4/18/2011</c:v>
                </c:pt>
                <c:pt idx="433">
                  <c:v>4/25/2011</c:v>
                </c:pt>
                <c:pt idx="434">
                  <c:v>5/2/2011</c:v>
                </c:pt>
                <c:pt idx="435">
                  <c:v>5/9/2011</c:v>
                </c:pt>
                <c:pt idx="436">
                  <c:v>5/16/2011</c:v>
                </c:pt>
                <c:pt idx="437">
                  <c:v>5/23/2011</c:v>
                </c:pt>
                <c:pt idx="438">
                  <c:v>5/30/2011</c:v>
                </c:pt>
                <c:pt idx="439">
                  <c:v>6/6/2011</c:v>
                </c:pt>
                <c:pt idx="440">
                  <c:v>6/13/2011</c:v>
                </c:pt>
                <c:pt idx="441">
                  <c:v>6/20/2011</c:v>
                </c:pt>
                <c:pt idx="442">
                  <c:v>6/27/2011</c:v>
                </c:pt>
                <c:pt idx="443">
                  <c:v>7/4/2011</c:v>
                </c:pt>
                <c:pt idx="444">
                  <c:v>7/11/2011</c:v>
                </c:pt>
                <c:pt idx="445">
                  <c:v>7/18/2011</c:v>
                </c:pt>
                <c:pt idx="446">
                  <c:v>7/25/2011</c:v>
                </c:pt>
                <c:pt idx="447">
                  <c:v>8/1/2011</c:v>
                </c:pt>
                <c:pt idx="448">
                  <c:v>8/8/2011</c:v>
                </c:pt>
                <c:pt idx="449">
                  <c:v>8/15/2011</c:v>
                </c:pt>
                <c:pt idx="450">
                  <c:v>8/22/2011</c:v>
                </c:pt>
                <c:pt idx="451">
                  <c:v>8/29/2011</c:v>
                </c:pt>
                <c:pt idx="452">
                  <c:v>9/5/2011</c:v>
                </c:pt>
                <c:pt idx="453">
                  <c:v>9/12/2011</c:v>
                </c:pt>
                <c:pt idx="454">
                  <c:v>9/19/2011</c:v>
                </c:pt>
                <c:pt idx="455">
                  <c:v>9/26/2011</c:v>
                </c:pt>
                <c:pt idx="456">
                  <c:v>10/3/2011</c:v>
                </c:pt>
                <c:pt idx="457">
                  <c:v>10/10/2011</c:v>
                </c:pt>
                <c:pt idx="458">
                  <c:v>10/17/2011</c:v>
                </c:pt>
                <c:pt idx="459">
                  <c:v>10/24/2011</c:v>
                </c:pt>
                <c:pt idx="460">
                  <c:v>10/31/2011</c:v>
                </c:pt>
                <c:pt idx="461">
                  <c:v>11/7/2011</c:v>
                </c:pt>
                <c:pt idx="462">
                  <c:v>11/14/2011</c:v>
                </c:pt>
                <c:pt idx="463">
                  <c:v>11/21/2011</c:v>
                </c:pt>
                <c:pt idx="464">
                  <c:v>11/28/2011</c:v>
                </c:pt>
                <c:pt idx="465">
                  <c:v>12/5/2011</c:v>
                </c:pt>
                <c:pt idx="466">
                  <c:v>12/12/2011</c:v>
                </c:pt>
                <c:pt idx="467">
                  <c:v>12/19/2011</c:v>
                </c:pt>
                <c:pt idx="468">
                  <c:v>12/26/2011</c:v>
                </c:pt>
                <c:pt idx="469">
                  <c:v>1/2/2012</c:v>
                </c:pt>
                <c:pt idx="470">
                  <c:v>1/9/2012</c:v>
                </c:pt>
                <c:pt idx="471">
                  <c:v>1/16/2012</c:v>
                </c:pt>
                <c:pt idx="472">
                  <c:v>1/23/2012</c:v>
                </c:pt>
                <c:pt idx="473">
                  <c:v>1/30/2012</c:v>
                </c:pt>
                <c:pt idx="474">
                  <c:v>2/6/2012</c:v>
                </c:pt>
                <c:pt idx="475">
                  <c:v>2/13/2012</c:v>
                </c:pt>
                <c:pt idx="476">
                  <c:v>2/20/2012</c:v>
                </c:pt>
                <c:pt idx="477">
                  <c:v>2/27/2012</c:v>
                </c:pt>
                <c:pt idx="478">
                  <c:v>3/5/2012</c:v>
                </c:pt>
                <c:pt idx="479">
                  <c:v>3/12/2012</c:v>
                </c:pt>
                <c:pt idx="480">
                  <c:v>3/19/2012</c:v>
                </c:pt>
                <c:pt idx="481">
                  <c:v>3/26/2012</c:v>
                </c:pt>
                <c:pt idx="482">
                  <c:v>4/2/2012</c:v>
                </c:pt>
                <c:pt idx="483">
                  <c:v>4/9/2012</c:v>
                </c:pt>
                <c:pt idx="484">
                  <c:v>4/16/2012</c:v>
                </c:pt>
                <c:pt idx="485">
                  <c:v>4/23/2012</c:v>
                </c:pt>
                <c:pt idx="486">
                  <c:v>4/30/2012</c:v>
                </c:pt>
                <c:pt idx="487">
                  <c:v>5/7/2012</c:v>
                </c:pt>
                <c:pt idx="488">
                  <c:v>5/14/2012</c:v>
                </c:pt>
                <c:pt idx="489">
                  <c:v>5/21/2012</c:v>
                </c:pt>
                <c:pt idx="490">
                  <c:v>5/28/2012</c:v>
                </c:pt>
                <c:pt idx="491">
                  <c:v>6/4/2012</c:v>
                </c:pt>
                <c:pt idx="492">
                  <c:v>6/11/2012</c:v>
                </c:pt>
                <c:pt idx="493">
                  <c:v>6/18/2012</c:v>
                </c:pt>
                <c:pt idx="494">
                  <c:v>6/25/2012</c:v>
                </c:pt>
                <c:pt idx="495">
                  <c:v>7/2/2012</c:v>
                </c:pt>
                <c:pt idx="496">
                  <c:v>7/9/2012</c:v>
                </c:pt>
                <c:pt idx="497">
                  <c:v>7/16/2012</c:v>
                </c:pt>
                <c:pt idx="498">
                  <c:v>7/23/2012</c:v>
                </c:pt>
                <c:pt idx="499">
                  <c:v>7/30/2012</c:v>
                </c:pt>
                <c:pt idx="500">
                  <c:v>8/6/2012</c:v>
                </c:pt>
                <c:pt idx="501">
                  <c:v>8/13/2012</c:v>
                </c:pt>
                <c:pt idx="502">
                  <c:v>8/20/2012</c:v>
                </c:pt>
                <c:pt idx="503">
                  <c:v>8/27/2012</c:v>
                </c:pt>
                <c:pt idx="504">
                  <c:v>9/3/2012</c:v>
                </c:pt>
                <c:pt idx="505">
                  <c:v>9/10/2012</c:v>
                </c:pt>
                <c:pt idx="506">
                  <c:v>9/17/2012</c:v>
                </c:pt>
                <c:pt idx="507">
                  <c:v>9/24/2012</c:v>
                </c:pt>
                <c:pt idx="508">
                  <c:v>10/1/2012</c:v>
                </c:pt>
                <c:pt idx="509">
                  <c:v>10/8/2012</c:v>
                </c:pt>
                <c:pt idx="510">
                  <c:v>10/15/2012</c:v>
                </c:pt>
                <c:pt idx="511">
                  <c:v>10/22/2012</c:v>
                </c:pt>
                <c:pt idx="512">
                  <c:v>10/29/2012</c:v>
                </c:pt>
                <c:pt idx="513">
                  <c:v>11/5/2012</c:v>
                </c:pt>
                <c:pt idx="514">
                  <c:v>11/12/2012</c:v>
                </c:pt>
                <c:pt idx="515">
                  <c:v>11/19/2012</c:v>
                </c:pt>
                <c:pt idx="516">
                  <c:v>11/26/2012</c:v>
                </c:pt>
                <c:pt idx="517">
                  <c:v>12/3/2012</c:v>
                </c:pt>
                <c:pt idx="518">
                  <c:v>12/10/2012</c:v>
                </c:pt>
                <c:pt idx="519">
                  <c:v>12/17/2012</c:v>
                </c:pt>
                <c:pt idx="520">
                  <c:v>12/24/2012</c:v>
                </c:pt>
                <c:pt idx="521">
                  <c:v>12/31/2012</c:v>
                </c:pt>
                <c:pt idx="522">
                  <c:v>1/7/2013</c:v>
                </c:pt>
                <c:pt idx="523">
                  <c:v>1/14/2013</c:v>
                </c:pt>
                <c:pt idx="524">
                  <c:v>1/21/2013</c:v>
                </c:pt>
                <c:pt idx="525">
                  <c:v>1/28/2013</c:v>
                </c:pt>
                <c:pt idx="526">
                  <c:v>2/4/2013</c:v>
                </c:pt>
                <c:pt idx="527">
                  <c:v>2/11/2013</c:v>
                </c:pt>
                <c:pt idx="528">
                  <c:v>2/18/2013</c:v>
                </c:pt>
                <c:pt idx="529">
                  <c:v>2/25/2013</c:v>
                </c:pt>
                <c:pt idx="530">
                  <c:v>3/4/2013</c:v>
                </c:pt>
                <c:pt idx="531">
                  <c:v>3/11/2013</c:v>
                </c:pt>
                <c:pt idx="532">
                  <c:v>3/18/2013</c:v>
                </c:pt>
                <c:pt idx="533">
                  <c:v>3/25/2013</c:v>
                </c:pt>
                <c:pt idx="534">
                  <c:v>4/1/2013</c:v>
                </c:pt>
                <c:pt idx="535">
                  <c:v>4/8/2013</c:v>
                </c:pt>
                <c:pt idx="536">
                  <c:v>4/15/2013</c:v>
                </c:pt>
                <c:pt idx="537">
                  <c:v>4/22/2013</c:v>
                </c:pt>
                <c:pt idx="538">
                  <c:v>4/29/2013</c:v>
                </c:pt>
                <c:pt idx="539">
                  <c:v>5/6/2013</c:v>
                </c:pt>
                <c:pt idx="540">
                  <c:v>5/13/2013</c:v>
                </c:pt>
                <c:pt idx="541">
                  <c:v>5/20/2013</c:v>
                </c:pt>
                <c:pt idx="542">
                  <c:v>5/27/2013</c:v>
                </c:pt>
                <c:pt idx="543">
                  <c:v>6/3/2013</c:v>
                </c:pt>
                <c:pt idx="544">
                  <c:v>6/10/2013</c:v>
                </c:pt>
                <c:pt idx="545">
                  <c:v>6/17/2013</c:v>
                </c:pt>
                <c:pt idx="546">
                  <c:v>6/24/2013</c:v>
                </c:pt>
                <c:pt idx="547">
                  <c:v>7/1/2013</c:v>
                </c:pt>
                <c:pt idx="548">
                  <c:v>7/8/2013</c:v>
                </c:pt>
                <c:pt idx="549">
                  <c:v>7/15/2013</c:v>
                </c:pt>
                <c:pt idx="550">
                  <c:v>7/22/2013</c:v>
                </c:pt>
                <c:pt idx="551">
                  <c:v>7/29/2013</c:v>
                </c:pt>
                <c:pt idx="552">
                  <c:v>8/5/2013</c:v>
                </c:pt>
                <c:pt idx="553">
                  <c:v>8/12/2013</c:v>
                </c:pt>
                <c:pt idx="554">
                  <c:v>8/19/2013</c:v>
                </c:pt>
                <c:pt idx="555">
                  <c:v>8/26/2013</c:v>
                </c:pt>
                <c:pt idx="556">
                  <c:v>9/2/2013</c:v>
                </c:pt>
                <c:pt idx="557">
                  <c:v>9/9/2013</c:v>
                </c:pt>
                <c:pt idx="558">
                  <c:v>9/16/2013</c:v>
                </c:pt>
                <c:pt idx="559">
                  <c:v>9/23/2013</c:v>
                </c:pt>
                <c:pt idx="560">
                  <c:v>9/30/2013</c:v>
                </c:pt>
                <c:pt idx="561">
                  <c:v>10/7/2013</c:v>
                </c:pt>
                <c:pt idx="562">
                  <c:v>10/14/2013</c:v>
                </c:pt>
                <c:pt idx="563">
                  <c:v>10/21/2013</c:v>
                </c:pt>
                <c:pt idx="564">
                  <c:v>10/28/2013</c:v>
                </c:pt>
                <c:pt idx="565">
                  <c:v>11/4/2013</c:v>
                </c:pt>
                <c:pt idx="566">
                  <c:v>11/11/2013</c:v>
                </c:pt>
                <c:pt idx="567">
                  <c:v>11/18/2013</c:v>
                </c:pt>
                <c:pt idx="568">
                  <c:v>11/25/2013</c:v>
                </c:pt>
                <c:pt idx="569">
                  <c:v>12/2/2013</c:v>
                </c:pt>
                <c:pt idx="570">
                  <c:v>12/9/2013</c:v>
                </c:pt>
                <c:pt idx="571">
                  <c:v>12/16/2013</c:v>
                </c:pt>
                <c:pt idx="572">
                  <c:v>12/23/2013</c:v>
                </c:pt>
                <c:pt idx="573">
                  <c:v>12/30/2013</c:v>
                </c:pt>
                <c:pt idx="574">
                  <c:v>1/6/2014</c:v>
                </c:pt>
                <c:pt idx="575">
                  <c:v>1/13/2014</c:v>
                </c:pt>
                <c:pt idx="576">
                  <c:v>1/20/2014</c:v>
                </c:pt>
                <c:pt idx="577">
                  <c:v>1/27/2014</c:v>
                </c:pt>
                <c:pt idx="578">
                  <c:v>2/3/2014</c:v>
                </c:pt>
                <c:pt idx="579">
                  <c:v>2/10/2014</c:v>
                </c:pt>
                <c:pt idx="580">
                  <c:v>2/17/2014</c:v>
                </c:pt>
                <c:pt idx="581">
                  <c:v>2/24/2014</c:v>
                </c:pt>
                <c:pt idx="582">
                  <c:v>3/3/2014</c:v>
                </c:pt>
                <c:pt idx="583">
                  <c:v>3/10/2014</c:v>
                </c:pt>
                <c:pt idx="584">
                  <c:v>3/17/2014</c:v>
                </c:pt>
                <c:pt idx="585">
                  <c:v>3/24/2014</c:v>
                </c:pt>
                <c:pt idx="586">
                  <c:v>3/31/2014</c:v>
                </c:pt>
                <c:pt idx="587">
                  <c:v>4/7/2014</c:v>
                </c:pt>
                <c:pt idx="588">
                  <c:v>4/14/2014</c:v>
                </c:pt>
                <c:pt idx="589">
                  <c:v>4/21/2014</c:v>
                </c:pt>
                <c:pt idx="590">
                  <c:v>4/28/2014</c:v>
                </c:pt>
                <c:pt idx="591">
                  <c:v>5/5/2014</c:v>
                </c:pt>
                <c:pt idx="592">
                  <c:v>5/12/2014</c:v>
                </c:pt>
                <c:pt idx="593">
                  <c:v>5/19/2014</c:v>
                </c:pt>
                <c:pt idx="594">
                  <c:v>5/26/2014</c:v>
                </c:pt>
                <c:pt idx="595">
                  <c:v>6/2/2014</c:v>
                </c:pt>
                <c:pt idx="596">
                  <c:v>6/9/2014</c:v>
                </c:pt>
                <c:pt idx="597">
                  <c:v>6/16/2014</c:v>
                </c:pt>
                <c:pt idx="598">
                  <c:v>6/23/2014</c:v>
                </c:pt>
                <c:pt idx="599">
                  <c:v>6/30/2014</c:v>
                </c:pt>
                <c:pt idx="600">
                  <c:v>7/7/2014</c:v>
                </c:pt>
                <c:pt idx="601">
                  <c:v>7/14/2014</c:v>
                </c:pt>
                <c:pt idx="602">
                  <c:v>7/21/2014</c:v>
                </c:pt>
                <c:pt idx="603">
                  <c:v>7/28/2014</c:v>
                </c:pt>
                <c:pt idx="604">
                  <c:v>8/4/2014</c:v>
                </c:pt>
                <c:pt idx="605">
                  <c:v>8/11/2014</c:v>
                </c:pt>
                <c:pt idx="606">
                  <c:v>8/18/2014</c:v>
                </c:pt>
                <c:pt idx="607">
                  <c:v>8/25/2014</c:v>
                </c:pt>
                <c:pt idx="608">
                  <c:v>9/1/2014</c:v>
                </c:pt>
                <c:pt idx="609">
                  <c:v>9/8/2014</c:v>
                </c:pt>
                <c:pt idx="610">
                  <c:v>9/15/2014</c:v>
                </c:pt>
                <c:pt idx="611">
                  <c:v>9/22/2014</c:v>
                </c:pt>
                <c:pt idx="612">
                  <c:v>9/29/2014</c:v>
                </c:pt>
                <c:pt idx="613">
                  <c:v>10/6/2014</c:v>
                </c:pt>
                <c:pt idx="614">
                  <c:v>10/13/2014</c:v>
                </c:pt>
                <c:pt idx="615">
                  <c:v>10/20/2014</c:v>
                </c:pt>
                <c:pt idx="616">
                  <c:v>10/27/2014</c:v>
                </c:pt>
                <c:pt idx="617">
                  <c:v>11/3/2014</c:v>
                </c:pt>
                <c:pt idx="618">
                  <c:v>11/10/2014</c:v>
                </c:pt>
                <c:pt idx="619">
                  <c:v>11/17/2014</c:v>
                </c:pt>
                <c:pt idx="620">
                  <c:v>11/24/2014</c:v>
                </c:pt>
                <c:pt idx="621">
                  <c:v>12/1/2014</c:v>
                </c:pt>
                <c:pt idx="622">
                  <c:v>12/8/2014</c:v>
                </c:pt>
                <c:pt idx="623">
                  <c:v>12/15/2014</c:v>
                </c:pt>
                <c:pt idx="624">
                  <c:v>12/22/2014</c:v>
                </c:pt>
                <c:pt idx="625">
                  <c:v>12/29/2014</c:v>
                </c:pt>
                <c:pt idx="626">
                  <c:v>1/5/2015</c:v>
                </c:pt>
                <c:pt idx="627">
                  <c:v>1/12/2015</c:v>
                </c:pt>
                <c:pt idx="628">
                  <c:v>1/19/2015</c:v>
                </c:pt>
                <c:pt idx="629">
                  <c:v>1/26/2015</c:v>
                </c:pt>
                <c:pt idx="630">
                  <c:v>2/2/2015</c:v>
                </c:pt>
                <c:pt idx="631">
                  <c:v>2/9/2015</c:v>
                </c:pt>
                <c:pt idx="632">
                  <c:v>2/16/2015</c:v>
                </c:pt>
                <c:pt idx="633">
                  <c:v>2/23/2015</c:v>
                </c:pt>
                <c:pt idx="634">
                  <c:v>3/2/2015</c:v>
                </c:pt>
                <c:pt idx="635">
                  <c:v>3/9/2015</c:v>
                </c:pt>
                <c:pt idx="636">
                  <c:v>3/16/2015</c:v>
                </c:pt>
                <c:pt idx="637">
                  <c:v>3/23/2015</c:v>
                </c:pt>
                <c:pt idx="638">
                  <c:v>3/30/2015</c:v>
                </c:pt>
                <c:pt idx="639">
                  <c:v>4/6/2015</c:v>
                </c:pt>
                <c:pt idx="640">
                  <c:v>4/13/2015</c:v>
                </c:pt>
                <c:pt idx="641">
                  <c:v>4/20/2015</c:v>
                </c:pt>
                <c:pt idx="642">
                  <c:v>4/27/2015</c:v>
                </c:pt>
                <c:pt idx="643">
                  <c:v>5/4/2015</c:v>
                </c:pt>
                <c:pt idx="644">
                  <c:v>5/11/2015</c:v>
                </c:pt>
                <c:pt idx="645">
                  <c:v>5/18/2015</c:v>
                </c:pt>
                <c:pt idx="646">
                  <c:v>5/25/2015</c:v>
                </c:pt>
                <c:pt idx="647">
                  <c:v>6/1/2015</c:v>
                </c:pt>
                <c:pt idx="648">
                  <c:v>6/8/2015</c:v>
                </c:pt>
                <c:pt idx="649">
                  <c:v>6/15/2015</c:v>
                </c:pt>
                <c:pt idx="650">
                  <c:v>6/22/2015</c:v>
                </c:pt>
                <c:pt idx="651">
                  <c:v>6/29/2015</c:v>
                </c:pt>
                <c:pt idx="652">
                  <c:v>7/6/2015</c:v>
                </c:pt>
                <c:pt idx="653">
                  <c:v>7/13/2015</c:v>
                </c:pt>
                <c:pt idx="654">
                  <c:v>7/20/2015</c:v>
                </c:pt>
                <c:pt idx="655">
                  <c:v>7/27/2015</c:v>
                </c:pt>
                <c:pt idx="656">
                  <c:v>8/3/2015</c:v>
                </c:pt>
                <c:pt idx="657">
                  <c:v>8/10/2015</c:v>
                </c:pt>
                <c:pt idx="658">
                  <c:v>8/17/2015</c:v>
                </c:pt>
                <c:pt idx="659">
                  <c:v>8/24/2015</c:v>
                </c:pt>
                <c:pt idx="660">
                  <c:v>8/31/2015</c:v>
                </c:pt>
                <c:pt idx="661">
                  <c:v>9/7/2015</c:v>
                </c:pt>
                <c:pt idx="662">
                  <c:v>9/14/2015</c:v>
                </c:pt>
                <c:pt idx="663">
                  <c:v>9/21/2015</c:v>
                </c:pt>
                <c:pt idx="664">
                  <c:v>9/28/2015</c:v>
                </c:pt>
                <c:pt idx="665">
                  <c:v>10/5/2015</c:v>
                </c:pt>
                <c:pt idx="666">
                  <c:v>10/12/2015</c:v>
                </c:pt>
                <c:pt idx="667">
                  <c:v>10/19/2015</c:v>
                </c:pt>
                <c:pt idx="668">
                  <c:v>10/26/2015</c:v>
                </c:pt>
                <c:pt idx="669">
                  <c:v>11/2/2015</c:v>
                </c:pt>
                <c:pt idx="670">
                  <c:v>11/9/2015</c:v>
                </c:pt>
                <c:pt idx="671">
                  <c:v>11/16/2015</c:v>
                </c:pt>
                <c:pt idx="672">
                  <c:v>11/23/2015</c:v>
                </c:pt>
                <c:pt idx="673">
                  <c:v>11/30/2015</c:v>
                </c:pt>
                <c:pt idx="674">
                  <c:v>12/7/2015</c:v>
                </c:pt>
                <c:pt idx="675">
                  <c:v>12/14/2015</c:v>
                </c:pt>
                <c:pt idx="676">
                  <c:v>12/21/2015</c:v>
                </c:pt>
                <c:pt idx="677">
                  <c:v>12/28/2015</c:v>
                </c:pt>
                <c:pt idx="678">
                  <c:v>1/4/2016</c:v>
                </c:pt>
                <c:pt idx="679">
                  <c:v>1/11/2016</c:v>
                </c:pt>
                <c:pt idx="680">
                  <c:v>1/18/2016</c:v>
                </c:pt>
                <c:pt idx="681">
                  <c:v>1/25/2016</c:v>
                </c:pt>
                <c:pt idx="682">
                  <c:v>2/1/2016</c:v>
                </c:pt>
                <c:pt idx="683">
                  <c:v>2/8/2016</c:v>
                </c:pt>
                <c:pt idx="684">
                  <c:v>2/15/2016</c:v>
                </c:pt>
                <c:pt idx="685">
                  <c:v>2/22/2016</c:v>
                </c:pt>
                <c:pt idx="686">
                  <c:v>2/29/2016</c:v>
                </c:pt>
                <c:pt idx="687">
                  <c:v>3/7/2016</c:v>
                </c:pt>
                <c:pt idx="688">
                  <c:v>3/14/2016</c:v>
                </c:pt>
                <c:pt idx="689">
                  <c:v>3/21/2016</c:v>
                </c:pt>
                <c:pt idx="690">
                  <c:v>3/28/2016</c:v>
                </c:pt>
                <c:pt idx="691">
                  <c:v>4/4/2016</c:v>
                </c:pt>
                <c:pt idx="692">
                  <c:v>4/11/2016</c:v>
                </c:pt>
                <c:pt idx="693">
                  <c:v>4/18/2016</c:v>
                </c:pt>
                <c:pt idx="694">
                  <c:v>4/25/2016</c:v>
                </c:pt>
                <c:pt idx="695">
                  <c:v>5/2/2016</c:v>
                </c:pt>
                <c:pt idx="696">
                  <c:v>5/9/2016</c:v>
                </c:pt>
                <c:pt idx="697">
                  <c:v>5/16/2016</c:v>
                </c:pt>
                <c:pt idx="698">
                  <c:v>5/23/2016</c:v>
                </c:pt>
                <c:pt idx="699">
                  <c:v>5/30/2016</c:v>
                </c:pt>
                <c:pt idx="700">
                  <c:v>6/6/2016</c:v>
                </c:pt>
                <c:pt idx="701">
                  <c:v>6/13/2016</c:v>
                </c:pt>
                <c:pt idx="702">
                  <c:v>6/20/2016</c:v>
                </c:pt>
                <c:pt idx="703">
                  <c:v>6/27/2016</c:v>
                </c:pt>
                <c:pt idx="704">
                  <c:v>7/4/2016</c:v>
                </c:pt>
                <c:pt idx="705">
                  <c:v>7/11/2016</c:v>
                </c:pt>
                <c:pt idx="706">
                  <c:v>7/18/2016</c:v>
                </c:pt>
                <c:pt idx="707">
                  <c:v>7/25/2016</c:v>
                </c:pt>
                <c:pt idx="708">
                  <c:v>8/1/2016</c:v>
                </c:pt>
                <c:pt idx="709">
                  <c:v>8/8/2016</c:v>
                </c:pt>
                <c:pt idx="710">
                  <c:v>8/15/2016</c:v>
                </c:pt>
                <c:pt idx="711">
                  <c:v>8/22/2016</c:v>
                </c:pt>
                <c:pt idx="712">
                  <c:v>8/29/2016</c:v>
                </c:pt>
                <c:pt idx="713">
                  <c:v>9/5/2016</c:v>
                </c:pt>
                <c:pt idx="714">
                  <c:v>9/12/2016</c:v>
                </c:pt>
                <c:pt idx="715">
                  <c:v>9/19/2016</c:v>
                </c:pt>
                <c:pt idx="716">
                  <c:v>9/26/2016</c:v>
                </c:pt>
                <c:pt idx="717">
                  <c:v>10/3/2016</c:v>
                </c:pt>
                <c:pt idx="718">
                  <c:v>10/10/2016</c:v>
                </c:pt>
                <c:pt idx="719">
                  <c:v>10/17/2016</c:v>
                </c:pt>
                <c:pt idx="720">
                  <c:v>10/24/2016</c:v>
                </c:pt>
                <c:pt idx="721">
                  <c:v>10/31/2016</c:v>
                </c:pt>
                <c:pt idx="722">
                  <c:v>11/7/2016</c:v>
                </c:pt>
                <c:pt idx="723">
                  <c:v>11/14/2016</c:v>
                </c:pt>
                <c:pt idx="724">
                  <c:v>11/21/2016</c:v>
                </c:pt>
                <c:pt idx="725">
                  <c:v>11/28/2016</c:v>
                </c:pt>
                <c:pt idx="726">
                  <c:v>12/5/2016</c:v>
                </c:pt>
                <c:pt idx="727">
                  <c:v>12/12/2016</c:v>
                </c:pt>
                <c:pt idx="728">
                  <c:v>12/19/2016</c:v>
                </c:pt>
                <c:pt idx="729">
                  <c:v>12/26/2016</c:v>
                </c:pt>
                <c:pt idx="730">
                  <c:v>1/2/2017</c:v>
                </c:pt>
                <c:pt idx="731">
                  <c:v>1/9/2017</c:v>
                </c:pt>
                <c:pt idx="732">
                  <c:v>1/16/2017</c:v>
                </c:pt>
                <c:pt idx="733">
                  <c:v>1/23/2017</c:v>
                </c:pt>
                <c:pt idx="734">
                  <c:v>1/30/2017</c:v>
                </c:pt>
                <c:pt idx="735">
                  <c:v>2/6/2017</c:v>
                </c:pt>
                <c:pt idx="736">
                  <c:v>2/13/2017</c:v>
                </c:pt>
                <c:pt idx="737">
                  <c:v>2/20/2017</c:v>
                </c:pt>
                <c:pt idx="738">
                  <c:v>2/27/2017</c:v>
                </c:pt>
                <c:pt idx="739">
                  <c:v>3/6/2017</c:v>
                </c:pt>
                <c:pt idx="740">
                  <c:v>3/13/2017</c:v>
                </c:pt>
                <c:pt idx="741">
                  <c:v>3/20/2017</c:v>
                </c:pt>
                <c:pt idx="742">
                  <c:v>3/27/2017</c:v>
                </c:pt>
                <c:pt idx="743">
                  <c:v>4/3/2017</c:v>
                </c:pt>
                <c:pt idx="744">
                  <c:v>4/10/2017</c:v>
                </c:pt>
                <c:pt idx="745">
                  <c:v>4/17/2017</c:v>
                </c:pt>
                <c:pt idx="746">
                  <c:v>4/24/2017</c:v>
                </c:pt>
                <c:pt idx="747">
                  <c:v>5/1/2017</c:v>
                </c:pt>
                <c:pt idx="748">
                  <c:v>5/8/2017</c:v>
                </c:pt>
                <c:pt idx="749">
                  <c:v>5/15/2017</c:v>
                </c:pt>
                <c:pt idx="750">
                  <c:v>5/22/2017</c:v>
                </c:pt>
                <c:pt idx="751">
                  <c:v>5/29/2017</c:v>
                </c:pt>
                <c:pt idx="752">
                  <c:v>6/5/2017</c:v>
                </c:pt>
                <c:pt idx="753">
                  <c:v>6/12/2017</c:v>
                </c:pt>
                <c:pt idx="754">
                  <c:v>6/19/2017</c:v>
                </c:pt>
                <c:pt idx="755">
                  <c:v>6/26/2017</c:v>
                </c:pt>
                <c:pt idx="756">
                  <c:v>7/3/2017</c:v>
                </c:pt>
                <c:pt idx="757">
                  <c:v>7/10/2017</c:v>
                </c:pt>
                <c:pt idx="758">
                  <c:v>7/17/2017</c:v>
                </c:pt>
                <c:pt idx="759">
                  <c:v>7/24/2017</c:v>
                </c:pt>
                <c:pt idx="760">
                  <c:v>7/31/2017</c:v>
                </c:pt>
                <c:pt idx="761">
                  <c:v>8/7/2017</c:v>
                </c:pt>
                <c:pt idx="762">
                  <c:v>8/14/2017</c:v>
                </c:pt>
                <c:pt idx="763">
                  <c:v>8/21/2017</c:v>
                </c:pt>
                <c:pt idx="764">
                  <c:v>8/28/2017</c:v>
                </c:pt>
                <c:pt idx="765">
                  <c:v>9/4/2017</c:v>
                </c:pt>
                <c:pt idx="766">
                  <c:v>9/11/2017</c:v>
                </c:pt>
                <c:pt idx="767">
                  <c:v>9/18/2017</c:v>
                </c:pt>
                <c:pt idx="768">
                  <c:v>9/25/2017</c:v>
                </c:pt>
                <c:pt idx="769">
                  <c:v>10/2/2017</c:v>
                </c:pt>
                <c:pt idx="770">
                  <c:v>10/9/2017</c:v>
                </c:pt>
                <c:pt idx="771">
                  <c:v>10/16/2017</c:v>
                </c:pt>
                <c:pt idx="772">
                  <c:v>10/23/2017</c:v>
                </c:pt>
                <c:pt idx="773">
                  <c:v>10/30/2017</c:v>
                </c:pt>
                <c:pt idx="774">
                  <c:v>11/6/2017</c:v>
                </c:pt>
                <c:pt idx="775">
                  <c:v>11/13/2017</c:v>
                </c:pt>
                <c:pt idx="776">
                  <c:v>11/20/2017</c:v>
                </c:pt>
                <c:pt idx="777">
                  <c:v>11/27/2017</c:v>
                </c:pt>
                <c:pt idx="778">
                  <c:v>12/4/2017</c:v>
                </c:pt>
                <c:pt idx="779">
                  <c:v>12/11/2017</c:v>
                </c:pt>
                <c:pt idx="780">
                  <c:v>12/18/2017</c:v>
                </c:pt>
                <c:pt idx="781">
                  <c:v>12/25/2017</c:v>
                </c:pt>
                <c:pt idx="782">
                  <c:v>1/1/2018</c:v>
                </c:pt>
                <c:pt idx="783">
                  <c:v>1/8/2018</c:v>
                </c:pt>
                <c:pt idx="784">
                  <c:v>1/15/2018</c:v>
                </c:pt>
                <c:pt idx="785">
                  <c:v>1/22/2018</c:v>
                </c:pt>
                <c:pt idx="786">
                  <c:v>1/29/2018</c:v>
                </c:pt>
                <c:pt idx="787">
                  <c:v>2/5/2018</c:v>
                </c:pt>
                <c:pt idx="788">
                  <c:v>2/12/2018</c:v>
                </c:pt>
                <c:pt idx="789">
                  <c:v>2/19/2018</c:v>
                </c:pt>
                <c:pt idx="790">
                  <c:v>2/26/2018</c:v>
                </c:pt>
                <c:pt idx="791">
                  <c:v>3/5/2018</c:v>
                </c:pt>
                <c:pt idx="792">
                  <c:v>3/12/2018</c:v>
                </c:pt>
                <c:pt idx="793">
                  <c:v>3/19/2018</c:v>
                </c:pt>
                <c:pt idx="794">
                  <c:v>3/26/2018</c:v>
                </c:pt>
                <c:pt idx="795">
                  <c:v>4/2/2018</c:v>
                </c:pt>
                <c:pt idx="796">
                  <c:v>4/9/2018</c:v>
                </c:pt>
                <c:pt idx="797">
                  <c:v>4/16/2018</c:v>
                </c:pt>
                <c:pt idx="798">
                  <c:v>4/23/2018</c:v>
                </c:pt>
                <c:pt idx="799">
                  <c:v>4/30/2018</c:v>
                </c:pt>
                <c:pt idx="800">
                  <c:v>5/7/2018</c:v>
                </c:pt>
                <c:pt idx="801">
                  <c:v>5/14/2018</c:v>
                </c:pt>
                <c:pt idx="802">
                  <c:v>5/21/2018</c:v>
                </c:pt>
                <c:pt idx="803">
                  <c:v>5/28/2018</c:v>
                </c:pt>
                <c:pt idx="804">
                  <c:v>6/4/2018</c:v>
                </c:pt>
                <c:pt idx="805">
                  <c:v>6/11/2018</c:v>
                </c:pt>
                <c:pt idx="806">
                  <c:v>6/18/2018</c:v>
                </c:pt>
                <c:pt idx="807">
                  <c:v>6/25/2018</c:v>
                </c:pt>
                <c:pt idx="808">
                  <c:v>7/2/2018</c:v>
                </c:pt>
                <c:pt idx="809">
                  <c:v>7/9/2018</c:v>
                </c:pt>
                <c:pt idx="810">
                  <c:v>7/16/2018</c:v>
                </c:pt>
                <c:pt idx="811">
                  <c:v>7/23/2018</c:v>
                </c:pt>
                <c:pt idx="812">
                  <c:v>7/30/2018</c:v>
                </c:pt>
                <c:pt idx="813">
                  <c:v>8/6/2018</c:v>
                </c:pt>
                <c:pt idx="814">
                  <c:v>8/13/2018</c:v>
                </c:pt>
                <c:pt idx="815">
                  <c:v>8/20/2018</c:v>
                </c:pt>
                <c:pt idx="816">
                  <c:v>8/27/2018</c:v>
                </c:pt>
                <c:pt idx="817">
                  <c:v>9/3/2018</c:v>
                </c:pt>
                <c:pt idx="818">
                  <c:v>9/10/2018</c:v>
                </c:pt>
                <c:pt idx="819">
                  <c:v>9/17/2018</c:v>
                </c:pt>
                <c:pt idx="820">
                  <c:v>9/24/2018</c:v>
                </c:pt>
                <c:pt idx="821">
                  <c:v>10/1/2018</c:v>
                </c:pt>
                <c:pt idx="822">
                  <c:v>10/8/2018</c:v>
                </c:pt>
                <c:pt idx="823">
                  <c:v>10/15/2018</c:v>
                </c:pt>
                <c:pt idx="824">
                  <c:v>10/22/2018</c:v>
                </c:pt>
                <c:pt idx="825">
                  <c:v>10/29/2018</c:v>
                </c:pt>
                <c:pt idx="826">
                  <c:v>11/5/2018</c:v>
                </c:pt>
                <c:pt idx="827">
                  <c:v>11/12/2018</c:v>
                </c:pt>
                <c:pt idx="828">
                  <c:v>11/19/2018</c:v>
                </c:pt>
                <c:pt idx="829">
                  <c:v>11/26/2018</c:v>
                </c:pt>
                <c:pt idx="830">
                  <c:v>12/3/2018</c:v>
                </c:pt>
                <c:pt idx="831">
                  <c:v>12/10/2018</c:v>
                </c:pt>
                <c:pt idx="832">
                  <c:v>12/17/2018</c:v>
                </c:pt>
                <c:pt idx="833">
                  <c:v>12/24/2018</c:v>
                </c:pt>
                <c:pt idx="834">
                  <c:v>12/31/2018</c:v>
                </c:pt>
                <c:pt idx="835">
                  <c:v>1/7/2019</c:v>
                </c:pt>
                <c:pt idx="836">
                  <c:v>1/14/2019</c:v>
                </c:pt>
                <c:pt idx="837">
                  <c:v>1/21/2019</c:v>
                </c:pt>
                <c:pt idx="838">
                  <c:v>1/28/2019</c:v>
                </c:pt>
                <c:pt idx="839">
                  <c:v>2/4/2019</c:v>
                </c:pt>
                <c:pt idx="840">
                  <c:v>2/11/2019</c:v>
                </c:pt>
                <c:pt idx="841">
                  <c:v>2/18/2019</c:v>
                </c:pt>
                <c:pt idx="842">
                  <c:v>2/25/2019</c:v>
                </c:pt>
                <c:pt idx="843">
                  <c:v>3/4/2019</c:v>
                </c:pt>
                <c:pt idx="844">
                  <c:v>3/11/2019</c:v>
                </c:pt>
                <c:pt idx="845">
                  <c:v>3/18/2019</c:v>
                </c:pt>
                <c:pt idx="846">
                  <c:v>3/25/2019</c:v>
                </c:pt>
                <c:pt idx="847">
                  <c:v>4/1/2019</c:v>
                </c:pt>
                <c:pt idx="848">
                  <c:v>4/8/2019</c:v>
                </c:pt>
                <c:pt idx="849">
                  <c:v>4/15/2019</c:v>
                </c:pt>
                <c:pt idx="850">
                  <c:v>4/22/2019</c:v>
                </c:pt>
                <c:pt idx="851">
                  <c:v>4/29/2019</c:v>
                </c:pt>
                <c:pt idx="852">
                  <c:v>5/6/2019</c:v>
                </c:pt>
                <c:pt idx="853">
                  <c:v>5/13/2019</c:v>
                </c:pt>
                <c:pt idx="854">
                  <c:v>5/20/2019</c:v>
                </c:pt>
                <c:pt idx="855">
                  <c:v>5/27/2019</c:v>
                </c:pt>
                <c:pt idx="856">
                  <c:v>6/3/2019</c:v>
                </c:pt>
                <c:pt idx="857">
                  <c:v>6/10/2019</c:v>
                </c:pt>
                <c:pt idx="858">
                  <c:v>6/17/2019</c:v>
                </c:pt>
                <c:pt idx="859">
                  <c:v>6/24/2019</c:v>
                </c:pt>
                <c:pt idx="860">
                  <c:v>7/1/2019</c:v>
                </c:pt>
                <c:pt idx="861">
                  <c:v>7/8/2019</c:v>
                </c:pt>
                <c:pt idx="862">
                  <c:v>7/15/2019</c:v>
                </c:pt>
                <c:pt idx="863">
                  <c:v>7/22/2019</c:v>
                </c:pt>
                <c:pt idx="864">
                  <c:v>7/29/2019</c:v>
                </c:pt>
                <c:pt idx="865">
                  <c:v>8/5/2019</c:v>
                </c:pt>
                <c:pt idx="866">
                  <c:v>8/12/2019</c:v>
                </c:pt>
                <c:pt idx="867">
                  <c:v>8/19/2019</c:v>
                </c:pt>
                <c:pt idx="868">
                  <c:v>8/26/2019</c:v>
                </c:pt>
                <c:pt idx="869">
                  <c:v>9/2/2019</c:v>
                </c:pt>
                <c:pt idx="870">
                  <c:v>9/9/2019</c:v>
                </c:pt>
                <c:pt idx="871">
                  <c:v>9/16/2019</c:v>
                </c:pt>
                <c:pt idx="872">
                  <c:v>9/23/2019</c:v>
                </c:pt>
                <c:pt idx="873">
                  <c:v>9/30/2019</c:v>
                </c:pt>
                <c:pt idx="874">
                  <c:v>10/7/2019</c:v>
                </c:pt>
                <c:pt idx="875">
                  <c:v>10/14/2019</c:v>
                </c:pt>
                <c:pt idx="876">
                  <c:v>10/21/2019</c:v>
                </c:pt>
                <c:pt idx="877">
                  <c:v>10/28/2019</c:v>
                </c:pt>
                <c:pt idx="878">
                  <c:v>11/4/2019</c:v>
                </c:pt>
                <c:pt idx="879">
                  <c:v>11/11/2019</c:v>
                </c:pt>
                <c:pt idx="880">
                  <c:v>11/18/2019</c:v>
                </c:pt>
                <c:pt idx="881">
                  <c:v>11/25/2019</c:v>
                </c:pt>
                <c:pt idx="882">
                  <c:v>12/2/2019</c:v>
                </c:pt>
                <c:pt idx="883">
                  <c:v>12/9/2019</c:v>
                </c:pt>
                <c:pt idx="884">
                  <c:v>12/16/2019</c:v>
                </c:pt>
                <c:pt idx="885">
                  <c:v>12/23/2019</c:v>
                </c:pt>
                <c:pt idx="886">
                  <c:v>12/30/2019</c:v>
                </c:pt>
                <c:pt idx="887">
                  <c:v>1/6/2020</c:v>
                </c:pt>
                <c:pt idx="888">
                  <c:v>1/13/2020</c:v>
                </c:pt>
                <c:pt idx="889">
                  <c:v>1/20/2020</c:v>
                </c:pt>
                <c:pt idx="890">
                  <c:v>1/27/2020</c:v>
                </c:pt>
                <c:pt idx="891">
                  <c:v>2/3/2020</c:v>
                </c:pt>
                <c:pt idx="892">
                  <c:v>2/10/2020</c:v>
                </c:pt>
                <c:pt idx="893">
                  <c:v>2/17/2020</c:v>
                </c:pt>
                <c:pt idx="894">
                  <c:v>2/24/2020</c:v>
                </c:pt>
                <c:pt idx="895">
                  <c:v>3/2/2020</c:v>
                </c:pt>
                <c:pt idx="896">
                  <c:v>3/9/2020</c:v>
                </c:pt>
                <c:pt idx="897">
                  <c:v>3/16/2020</c:v>
                </c:pt>
                <c:pt idx="898">
                  <c:v>3/23/2020</c:v>
                </c:pt>
              </c:strCache>
            </c:strRef>
          </c:xVal>
          <c:yVal>
            <c:numRef>
              <c:f>Sheet1!plot_return</c:f>
              <c:numCache>
                <c:formatCode>0.00%</c:formatCode>
                <c:ptCount val="900"/>
                <c:pt idx="0">
                  <c:v>9.3750003255208547E-3</c:v>
                </c:pt>
                <c:pt idx="1">
                  <c:v>-4.3402709840371867E-2</c:v>
                </c:pt>
                <c:pt idx="2">
                  <c:v>-0.13854160203269461</c:v>
                </c:pt>
                <c:pt idx="3">
                  <c:v>-0.14201382437548005</c:v>
                </c:pt>
                <c:pt idx="4">
                  <c:v>-3.8773137920363521E-2</c:v>
                </c:pt>
                <c:pt idx="5">
                  <c:v>-0.10840484591905952</c:v>
                </c:pt>
                <c:pt idx="6">
                  <c:v>-0.20809614370954244</c:v>
                </c:pt>
                <c:pt idx="7">
                  <c:v>-0.20543267380342178</c:v>
                </c:pt>
                <c:pt idx="8">
                  <c:v>-0.13033690259283615</c:v>
                </c:pt>
                <c:pt idx="9">
                  <c:v>-0.11509025959414676</c:v>
                </c:pt>
                <c:pt idx="10">
                  <c:v>-8.1632390921031694E-2</c:v>
                </c:pt>
                <c:pt idx="11">
                  <c:v>-0.1409248491197036</c:v>
                </c:pt>
                <c:pt idx="12">
                  <c:v>-5.0443488700931183E-2</c:v>
                </c:pt>
                <c:pt idx="13">
                  <c:v>-8.9736095111580094E-2</c:v>
                </c:pt>
                <c:pt idx="14">
                  <c:v>-9.4498786736784801E-2</c:v>
                </c:pt>
                <c:pt idx="15">
                  <c:v>-2.8686406324209046E-2</c:v>
                </c:pt>
                <c:pt idx="16">
                  <c:v>4.1335774565447014E-2</c:v>
                </c:pt>
                <c:pt idx="17">
                  <c:v>2.6739130411234768E-2</c:v>
                </c:pt>
                <c:pt idx="18">
                  <c:v>8.1691245452517158E-2</c:v>
                </c:pt>
                <c:pt idx="19">
                  <c:v>9.0277463788394519E-2</c:v>
                </c:pt>
                <c:pt idx="20">
                  <c:v>8.4752284762818819E-2</c:v>
                </c:pt>
                <c:pt idx="21">
                  <c:v>0.1253285907870707</c:v>
                </c:pt>
                <c:pt idx="22">
                  <c:v>7.8834955231819048E-2</c:v>
                </c:pt>
                <c:pt idx="23">
                  <c:v>0.11180316953463376</c:v>
                </c:pt>
                <c:pt idx="24">
                  <c:v>7.0998256550205197E-2</c:v>
                </c:pt>
                <c:pt idx="25">
                  <c:v>0.10402949448339505</c:v>
                </c:pt>
                <c:pt idx="26">
                  <c:v>8.1555680732884772E-2</c:v>
                </c:pt>
                <c:pt idx="27">
                  <c:v>3.0127232522414227E-2</c:v>
                </c:pt>
                <c:pt idx="28">
                  <c:v>2.9187223572961773E-3</c:v>
                </c:pt>
                <c:pt idx="29">
                  <c:v>-2.9474545807525176E-3</c:v>
                </c:pt>
                <c:pt idx="30">
                  <c:v>-2.9474545807525176E-3</c:v>
                </c:pt>
                <c:pt idx="31">
                  <c:v>-1.0070618554354649E-2</c:v>
                </c:pt>
                <c:pt idx="32">
                  <c:v>-1.1843555045649268E-2</c:v>
                </c:pt>
                <c:pt idx="33">
                  <c:v>-4.0860433228460447E-2</c:v>
                </c:pt>
                <c:pt idx="34">
                  <c:v>-1.8151562899872298E-2</c:v>
                </c:pt>
                <c:pt idx="35">
                  <c:v>-6.8607051099900396E-5</c:v>
                </c:pt>
                <c:pt idx="36">
                  <c:v>1.6118139182525582E-2</c:v>
                </c:pt>
                <c:pt idx="37">
                  <c:v>-6.9640265701189419E-2</c:v>
                </c:pt>
                <c:pt idx="38">
                  <c:v>-3.6429877266801469E-2</c:v>
                </c:pt>
                <c:pt idx="39">
                  <c:v>-5.2299378234498262E-2</c:v>
                </c:pt>
                <c:pt idx="40">
                  <c:v>-4.541678536589655E-2</c:v>
                </c:pt>
                <c:pt idx="41">
                  <c:v>-5.5948094553502914E-3</c:v>
                </c:pt>
                <c:pt idx="42">
                  <c:v>3.8463457636910503E-2</c:v>
                </c:pt>
                <c:pt idx="43">
                  <c:v>-4.74761900102183E-3</c:v>
                </c:pt>
                <c:pt idx="44">
                  <c:v>2.0807264863768937E-2</c:v>
                </c:pt>
                <c:pt idx="45">
                  <c:v>-3.7632702453355149E-3</c:v>
                </c:pt>
                <c:pt idx="46">
                  <c:v>6.8274776465198084E-3</c:v>
                </c:pt>
                <c:pt idx="47">
                  <c:v>5.3850313560374063E-2</c:v>
                </c:pt>
                <c:pt idx="48">
                  <c:v>5.6167860356688859E-2</c:v>
                </c:pt>
                <c:pt idx="49">
                  <c:v>8.4885173916090517E-2</c:v>
                </c:pt>
                <c:pt idx="50">
                  <c:v>8.361819324386266E-2</c:v>
                </c:pt>
                <c:pt idx="51">
                  <c:v>0.12289328491320384</c:v>
                </c:pt>
                <c:pt idx="52">
                  <c:v>0.12923955566763712</c:v>
                </c:pt>
                <c:pt idx="53">
                  <c:v>0.14056065089776215</c:v>
                </c:pt>
                <c:pt idx="54">
                  <c:v>0.13846417818162715</c:v>
                </c:pt>
                <c:pt idx="55">
                  <c:v>9.9888308687352989E-2</c:v>
                </c:pt>
                <c:pt idx="56">
                  <c:v>0.11329950507846531</c:v>
                </c:pt>
                <c:pt idx="57">
                  <c:v>7.2861104627993889E-2</c:v>
                </c:pt>
                <c:pt idx="58">
                  <c:v>2.4084939936358074E-2</c:v>
                </c:pt>
                <c:pt idx="59">
                  <c:v>2.9504555480013961E-2</c:v>
                </c:pt>
                <c:pt idx="60">
                  <c:v>6.6990444754753131E-2</c:v>
                </c:pt>
                <c:pt idx="61">
                  <c:v>3.9549008226796412E-2</c:v>
                </c:pt>
                <c:pt idx="62">
                  <c:v>5.0359287480656878E-2</c:v>
                </c:pt>
                <c:pt idx="63">
                  <c:v>2.1254647911496782E-2</c:v>
                </c:pt>
                <c:pt idx="64">
                  <c:v>5.7071739080596151E-2</c:v>
                </c:pt>
                <c:pt idx="65">
                  <c:v>5.3025890392793151E-2</c:v>
                </c:pt>
                <c:pt idx="66">
                  <c:v>4.0992372376607022E-2</c:v>
                </c:pt>
                <c:pt idx="67">
                  <c:v>9.2861163373240574E-2</c:v>
                </c:pt>
                <c:pt idx="68">
                  <c:v>6.7210389386147096E-2</c:v>
                </c:pt>
                <c:pt idx="69">
                  <c:v>6.0583384277796304E-2</c:v>
                </c:pt>
                <c:pt idx="70">
                  <c:v>5.0642876615270671E-2</c:v>
                </c:pt>
                <c:pt idx="71">
                  <c:v>4.3601683687648052E-2</c:v>
                </c:pt>
                <c:pt idx="72">
                  <c:v>1.6561519925148316E-2</c:v>
                </c:pt>
                <c:pt idx="73">
                  <c:v>2.6097437285953928E-2</c:v>
                </c:pt>
                <c:pt idx="74">
                  <c:v>6.2582803490117911E-2</c:v>
                </c:pt>
                <c:pt idx="75">
                  <c:v>5.3876099939877298E-2</c:v>
                </c:pt>
                <c:pt idx="76">
                  <c:v>1.9645582669074235E-2</c:v>
                </c:pt>
                <c:pt idx="77">
                  <c:v>3.2507320560866582E-2</c:v>
                </c:pt>
                <c:pt idx="78">
                  <c:v>2.3898268121576471E-2</c:v>
                </c:pt>
                <c:pt idx="79">
                  <c:v>3.5685555165663185E-3</c:v>
                </c:pt>
                <c:pt idx="80">
                  <c:v>4.7595627160260667E-2</c:v>
                </c:pt>
                <c:pt idx="81">
                  <c:v>9.4052600821500132E-2</c:v>
                </c:pt>
                <c:pt idx="82">
                  <c:v>7.3727692991947036E-2</c:v>
                </c:pt>
                <c:pt idx="83">
                  <c:v>8.2438326296637499E-2</c:v>
                </c:pt>
                <c:pt idx="84">
                  <c:v>9.8774590950955199E-2</c:v>
                </c:pt>
                <c:pt idx="85">
                  <c:v>0.1099442536852131</c:v>
                </c:pt>
                <c:pt idx="86">
                  <c:v>0.12483717870001176</c:v>
                </c:pt>
                <c:pt idx="87">
                  <c:v>0.14014371218894772</c:v>
                </c:pt>
                <c:pt idx="88">
                  <c:v>0.13035735833186046</c:v>
                </c:pt>
                <c:pt idx="89">
                  <c:v>0.1126374861656132</c:v>
                </c:pt>
                <c:pt idx="90">
                  <c:v>0.12376393285936249</c:v>
                </c:pt>
                <c:pt idx="91">
                  <c:v>0.15765826067892164</c:v>
                </c:pt>
                <c:pt idx="92">
                  <c:v>0.14503109773256329</c:v>
                </c:pt>
                <c:pt idx="93">
                  <c:v>8.591868617196452E-2</c:v>
                </c:pt>
                <c:pt idx="94">
                  <c:v>8.673969188808428E-2</c:v>
                </c:pt>
                <c:pt idx="95">
                  <c:v>0.12737947483599577</c:v>
                </c:pt>
                <c:pt idx="96">
                  <c:v>0.13871771345105444</c:v>
                </c:pt>
                <c:pt idx="97">
                  <c:v>0.10681162834054603</c:v>
                </c:pt>
                <c:pt idx="98">
                  <c:v>9.0040543445496724E-2</c:v>
                </c:pt>
                <c:pt idx="99">
                  <c:v>0.10353921355025641</c:v>
                </c:pt>
                <c:pt idx="100">
                  <c:v>7.9828322243850502E-2</c:v>
                </c:pt>
                <c:pt idx="101">
                  <c:v>9.5760089097779888E-2</c:v>
                </c:pt>
                <c:pt idx="102">
                  <c:v>0.10924074576568588</c:v>
                </c:pt>
                <c:pt idx="103">
                  <c:v>9.8619581479891361E-2</c:v>
                </c:pt>
                <c:pt idx="104">
                  <c:v>8.0937289354694242E-2</c:v>
                </c:pt>
                <c:pt idx="105">
                  <c:v>5.3592199744075808E-2</c:v>
                </c:pt>
                <c:pt idx="106">
                  <c:v>6.0530506063187994E-2</c:v>
                </c:pt>
                <c:pt idx="107">
                  <c:v>2.1349522957062161E-2</c:v>
                </c:pt>
                <c:pt idx="108">
                  <c:v>5.911598548958108E-2</c:v>
                </c:pt>
                <c:pt idx="109">
                  <c:v>4.5241390103242018E-2</c:v>
                </c:pt>
                <c:pt idx="110">
                  <c:v>4.1976779424103272E-2</c:v>
                </c:pt>
                <c:pt idx="111">
                  <c:v>4.3200967621146669E-2</c:v>
                </c:pt>
                <c:pt idx="112">
                  <c:v>5.271040384766823E-2</c:v>
                </c:pt>
                <c:pt idx="113">
                  <c:v>3.2714227431316578E-2</c:v>
                </c:pt>
                <c:pt idx="114">
                  <c:v>6.1886872871765863E-3</c:v>
                </c:pt>
                <c:pt idx="115">
                  <c:v>4.1482203137193085E-3</c:v>
                </c:pt>
                <c:pt idx="116">
                  <c:v>1.8200708170452273E-2</c:v>
                </c:pt>
                <c:pt idx="117">
                  <c:v>3.5054595988025516E-2</c:v>
                </c:pt>
                <c:pt idx="118">
                  <c:v>4.4111635924379833E-3</c:v>
                </c:pt>
                <c:pt idx="119">
                  <c:v>1.2582786422504322E-2</c:v>
                </c:pt>
                <c:pt idx="120">
                  <c:v>3.5881140766657715E-2</c:v>
                </c:pt>
                <c:pt idx="121">
                  <c:v>2.8519959381794857E-2</c:v>
                </c:pt>
                <c:pt idx="122">
                  <c:v>6.4361289558603207E-3</c:v>
                </c:pt>
                <c:pt idx="123">
                  <c:v>2.8928836655352841E-2</c:v>
                </c:pt>
                <c:pt idx="124">
                  <c:v>2.9594405437735061E-2</c:v>
                </c:pt>
                <c:pt idx="125">
                  <c:v>1.608459598858758E-2</c:v>
                </c:pt>
                <c:pt idx="126">
                  <c:v>2.7956811838415918E-2</c:v>
                </c:pt>
                <c:pt idx="127">
                  <c:v>4.3922991217133722E-2</c:v>
                </c:pt>
                <c:pt idx="128">
                  <c:v>2.1938351041964621E-2</c:v>
                </c:pt>
                <c:pt idx="129">
                  <c:v>3.9563401565138712E-2</c:v>
                </c:pt>
                <c:pt idx="130">
                  <c:v>3.8026333205559482E-2</c:v>
                </c:pt>
                <c:pt idx="131">
                  <c:v>6.0570043467876422E-2</c:v>
                </c:pt>
                <c:pt idx="132">
                  <c:v>4.285592190447951E-2</c:v>
                </c:pt>
                <c:pt idx="133">
                  <c:v>7.2803097488205459E-2</c:v>
                </c:pt>
                <c:pt idx="134">
                  <c:v>7.9366844016840021E-2</c:v>
                </c:pt>
                <c:pt idx="135">
                  <c:v>7.3213249599413555E-2</c:v>
                </c:pt>
                <c:pt idx="136">
                  <c:v>5.8344140410488299E-2</c:v>
                </c:pt>
                <c:pt idx="137">
                  <c:v>4.0699066082940716E-2</c:v>
                </c:pt>
                <c:pt idx="138">
                  <c:v>4.7264757205164543E-2</c:v>
                </c:pt>
                <c:pt idx="139">
                  <c:v>5.4650985318676071E-2</c:v>
                </c:pt>
                <c:pt idx="140">
                  <c:v>6.0289805930671125E-2</c:v>
                </c:pt>
                <c:pt idx="141">
                  <c:v>4.1410620648130614E-2</c:v>
                </c:pt>
                <c:pt idx="142">
                  <c:v>4.9618921033615093E-2</c:v>
                </c:pt>
                <c:pt idx="143">
                  <c:v>1.2784029920799966E-2</c:v>
                </c:pt>
                <c:pt idx="144">
                  <c:v>-9.5206797989196845E-3</c:v>
                </c:pt>
                <c:pt idx="145">
                  <c:v>2.340038910651443E-2</c:v>
                </c:pt>
                <c:pt idx="146">
                  <c:v>6.0025082893340853E-2</c:v>
                </c:pt>
                <c:pt idx="147">
                  <c:v>5.056030490339225E-2</c:v>
                </c:pt>
                <c:pt idx="148">
                  <c:v>6.082773515836748E-2</c:v>
                </c:pt>
                <c:pt idx="149">
                  <c:v>7.8529655441040402E-2</c:v>
                </c:pt>
                <c:pt idx="150">
                  <c:v>9.4585001308143735E-2</c:v>
                </c:pt>
                <c:pt idx="151">
                  <c:v>0.10693523569249419</c:v>
                </c:pt>
                <c:pt idx="152">
                  <c:v>9.7341009293534952E-2</c:v>
                </c:pt>
                <c:pt idx="153">
                  <c:v>9.9809445981766221E-2</c:v>
                </c:pt>
                <c:pt idx="154">
                  <c:v>8.6232817919359883E-2</c:v>
                </c:pt>
                <c:pt idx="155">
                  <c:v>8.0473077458423914E-2</c:v>
                </c:pt>
                <c:pt idx="156">
                  <c:v>0.10975049191996122</c:v>
                </c:pt>
                <c:pt idx="157">
                  <c:v>0.11221740673782654</c:v>
                </c:pt>
                <c:pt idx="158">
                  <c:v>0.10070509647254178</c:v>
                </c:pt>
                <c:pt idx="159">
                  <c:v>0.14922108789055821</c:v>
                </c:pt>
                <c:pt idx="160">
                  <c:v>0.18162674689794378</c:v>
                </c:pt>
                <c:pt idx="161">
                  <c:v>0.20993169190371241</c:v>
                </c:pt>
                <c:pt idx="162">
                  <c:v>0.24274910802976435</c:v>
                </c:pt>
                <c:pt idx="163">
                  <c:v>0.21362364660294975</c:v>
                </c:pt>
                <c:pt idx="164">
                  <c:v>0.22529005121868328</c:v>
                </c:pt>
                <c:pt idx="165">
                  <c:v>0.19421050756511771</c:v>
                </c:pt>
                <c:pt idx="166">
                  <c:v>0.18480485619627562</c:v>
                </c:pt>
                <c:pt idx="167">
                  <c:v>0.199935727553332</c:v>
                </c:pt>
                <c:pt idx="168">
                  <c:v>0.18205382342713672</c:v>
                </c:pt>
                <c:pt idx="169">
                  <c:v>0.15971463729133117</c:v>
                </c:pt>
                <c:pt idx="170">
                  <c:v>0.1360494239697716</c:v>
                </c:pt>
                <c:pt idx="171">
                  <c:v>0.12666494282501528</c:v>
                </c:pt>
                <c:pt idx="172">
                  <c:v>0.15803620221038694</c:v>
                </c:pt>
                <c:pt idx="173">
                  <c:v>0.14825831374024756</c:v>
                </c:pt>
                <c:pt idx="174">
                  <c:v>0.13399897453703158</c:v>
                </c:pt>
                <c:pt idx="175">
                  <c:v>0.12014696587100082</c:v>
                </c:pt>
                <c:pt idx="176">
                  <c:v>0.15528138009209802</c:v>
                </c:pt>
                <c:pt idx="177">
                  <c:v>0.17562257751212518</c:v>
                </c:pt>
                <c:pt idx="178">
                  <c:v>0.17114755476211396</c:v>
                </c:pt>
                <c:pt idx="179">
                  <c:v>0.21874595672497699</c:v>
                </c:pt>
                <c:pt idx="180">
                  <c:v>0.19722727724617295</c:v>
                </c:pt>
                <c:pt idx="181">
                  <c:v>0.21833465803756291</c:v>
                </c:pt>
                <c:pt idx="182">
                  <c:v>0.22574260595622686</c:v>
                </c:pt>
                <c:pt idx="183">
                  <c:v>0.17865672924513909</c:v>
                </c:pt>
                <c:pt idx="184">
                  <c:v>0.20500058928861442</c:v>
                </c:pt>
                <c:pt idx="185">
                  <c:v>0.31517396554862787</c:v>
                </c:pt>
                <c:pt idx="186">
                  <c:v>0.35203345424572374</c:v>
                </c:pt>
                <c:pt idx="187">
                  <c:v>0.32165475477009542</c:v>
                </c:pt>
                <c:pt idx="188">
                  <c:v>0.32638225256548625</c:v>
                </c:pt>
                <c:pt idx="189">
                  <c:v>0.33122327876590041</c:v>
                </c:pt>
                <c:pt idx="190">
                  <c:v>0.37075873621519739</c:v>
                </c:pt>
                <c:pt idx="191">
                  <c:v>0.36026971836393318</c:v>
                </c:pt>
                <c:pt idx="192">
                  <c:v>0.37299183189354257</c:v>
                </c:pt>
                <c:pt idx="193">
                  <c:v>0.4147557594325173</c:v>
                </c:pt>
                <c:pt idx="194">
                  <c:v>0.40110214070794026</c:v>
                </c:pt>
                <c:pt idx="195">
                  <c:v>0.38313162185873595</c:v>
                </c:pt>
                <c:pt idx="196">
                  <c:v>0.44700177290334864</c:v>
                </c:pt>
                <c:pt idx="197">
                  <c:v>0.48055777193144489</c:v>
                </c:pt>
                <c:pt idx="198">
                  <c:v>0.47176938635311472</c:v>
                </c:pt>
                <c:pt idx="199">
                  <c:v>0.45179560118613482</c:v>
                </c:pt>
                <c:pt idx="200">
                  <c:v>0.41661420066888</c:v>
                </c:pt>
                <c:pt idx="201">
                  <c:v>0.42257763241349511</c:v>
                </c:pt>
                <c:pt idx="202">
                  <c:v>0.40150700192229327</c:v>
                </c:pt>
                <c:pt idx="203">
                  <c:v>0.45438213790182447</c:v>
                </c:pt>
                <c:pt idx="204">
                  <c:v>0.48337343752769701</c:v>
                </c:pt>
                <c:pt idx="205">
                  <c:v>0.51065529937492427</c:v>
                </c:pt>
                <c:pt idx="206">
                  <c:v>0.4837687878638719</c:v>
                </c:pt>
                <c:pt idx="207">
                  <c:v>0.51421380825138718</c:v>
                </c:pt>
                <c:pt idx="208">
                  <c:v>0.43499252427624269</c:v>
                </c:pt>
                <c:pt idx="209">
                  <c:v>0.47925765502639961</c:v>
                </c:pt>
                <c:pt idx="210">
                  <c:v>0.49263554931720788</c:v>
                </c:pt>
                <c:pt idx="211">
                  <c:v>0.54496680273651221</c:v>
                </c:pt>
                <c:pt idx="212">
                  <c:v>0.60119181837758995</c:v>
                </c:pt>
                <c:pt idx="213">
                  <c:v>0.55348794685982461</c:v>
                </c:pt>
                <c:pt idx="214">
                  <c:v>0.57616681416241677</c:v>
                </c:pt>
                <c:pt idx="215">
                  <c:v>0.55739803167481483</c:v>
                </c:pt>
                <c:pt idx="216">
                  <c:v>0.52567537178711032</c:v>
                </c:pt>
                <c:pt idx="217">
                  <c:v>0.52995301865902178</c:v>
                </c:pt>
                <c:pt idx="218">
                  <c:v>0.54667476804601112</c:v>
                </c:pt>
                <c:pt idx="219">
                  <c:v>0.62056143472127179</c:v>
                </c:pt>
                <c:pt idx="220">
                  <c:v>0.63038297018965039</c:v>
                </c:pt>
                <c:pt idx="221">
                  <c:v>0.63791854662865988</c:v>
                </c:pt>
                <c:pt idx="222">
                  <c:v>0.62130163448110087</c:v>
                </c:pt>
                <c:pt idx="223">
                  <c:v>0.66110489702778352</c:v>
                </c:pt>
                <c:pt idx="224">
                  <c:v>0.60271310392323318</c:v>
                </c:pt>
                <c:pt idx="225">
                  <c:v>0.63498432038814601</c:v>
                </c:pt>
                <c:pt idx="226">
                  <c:v>0.63921030798951839</c:v>
                </c:pt>
                <c:pt idx="227">
                  <c:v>0.69722151549949229</c:v>
                </c:pt>
                <c:pt idx="228">
                  <c:v>0.6722609481433961</c:v>
                </c:pt>
                <c:pt idx="229">
                  <c:v>0.66348036727093107</c:v>
                </c:pt>
                <c:pt idx="230">
                  <c:v>0.65317264586281021</c:v>
                </c:pt>
                <c:pt idx="231">
                  <c:v>0.6539362161306379</c:v>
                </c:pt>
                <c:pt idx="232">
                  <c:v>0.58909844311648873</c:v>
                </c:pt>
                <c:pt idx="233">
                  <c:v>0.68970315480060318</c:v>
                </c:pt>
                <c:pt idx="234">
                  <c:v>0.67129060825656439</c:v>
                </c:pt>
                <c:pt idx="235">
                  <c:v>0.661420040676447</c:v>
                </c:pt>
                <c:pt idx="236">
                  <c:v>0.60028690993229961</c:v>
                </c:pt>
                <c:pt idx="237">
                  <c:v>0.6070830713337978</c:v>
                </c:pt>
                <c:pt idx="238">
                  <c:v>0.61501184449702118</c:v>
                </c:pt>
                <c:pt idx="239">
                  <c:v>0.59311314834982198</c:v>
                </c:pt>
                <c:pt idx="240">
                  <c:v>0.58999341625962209</c:v>
                </c:pt>
                <c:pt idx="241">
                  <c:v>0.63919112865023031</c:v>
                </c:pt>
                <c:pt idx="242">
                  <c:v>0.62078888386982345</c:v>
                </c:pt>
                <c:pt idx="243">
                  <c:v>0.57797571035743078</c:v>
                </c:pt>
                <c:pt idx="244">
                  <c:v>0.63175328632400829</c:v>
                </c:pt>
                <c:pt idx="245">
                  <c:v>0.70980824836760559</c:v>
                </c:pt>
                <c:pt idx="246">
                  <c:v>0.70159201126728621</c:v>
                </c:pt>
                <c:pt idx="247">
                  <c:v>0.70850110785491371</c:v>
                </c:pt>
                <c:pt idx="248">
                  <c:v>0.70267756190425912</c:v>
                </c:pt>
                <c:pt idx="249">
                  <c:v>0.66852003873157662</c:v>
                </c:pt>
                <c:pt idx="250">
                  <c:v>0.67186152829957924</c:v>
                </c:pt>
                <c:pt idx="251">
                  <c:v>0.63324872283055544</c:v>
                </c:pt>
                <c:pt idx="252">
                  <c:v>0.57869398300804509</c:v>
                </c:pt>
                <c:pt idx="253">
                  <c:v>0.59162455753649534</c:v>
                </c:pt>
                <c:pt idx="254">
                  <c:v>0.52069078867645735</c:v>
                </c:pt>
                <c:pt idx="255">
                  <c:v>0.54211864645093666</c:v>
                </c:pt>
                <c:pt idx="256">
                  <c:v>0.54317047906726224</c:v>
                </c:pt>
                <c:pt idx="257">
                  <c:v>0.64135948375491147</c:v>
                </c:pt>
                <c:pt idx="258">
                  <c:v>0.65386299865747133</c:v>
                </c:pt>
                <c:pt idx="259">
                  <c:v>0.68916690012523985</c:v>
                </c:pt>
                <c:pt idx="260">
                  <c:v>0.62251436434383756</c:v>
                </c:pt>
                <c:pt idx="261">
                  <c:v>0.53873053236690027</c:v>
                </c:pt>
                <c:pt idx="262">
                  <c:v>0.46226399884512448</c:v>
                </c:pt>
                <c:pt idx="263">
                  <c:v>0.43116505966181884</c:v>
                </c:pt>
                <c:pt idx="264">
                  <c:v>0.53351218366661879</c:v>
                </c:pt>
                <c:pt idx="265">
                  <c:v>0.46393181680572515</c:v>
                </c:pt>
                <c:pt idx="266">
                  <c:v>0.51894045194744409</c:v>
                </c:pt>
                <c:pt idx="267">
                  <c:v>0.41329483232599973</c:v>
                </c:pt>
                <c:pt idx="268">
                  <c:v>0.40178854545385501</c:v>
                </c:pt>
                <c:pt idx="269">
                  <c:v>0.40832512923561182</c:v>
                </c:pt>
                <c:pt idx="270">
                  <c:v>0.40905146877770626</c:v>
                </c:pt>
                <c:pt idx="271">
                  <c:v>0.47514502611349974</c:v>
                </c:pt>
                <c:pt idx="272">
                  <c:v>0.49719453447938178</c:v>
                </c:pt>
                <c:pt idx="273">
                  <c:v>0.52685611033057644</c:v>
                </c:pt>
                <c:pt idx="274">
                  <c:v>0.49864140444581118</c:v>
                </c:pt>
                <c:pt idx="275">
                  <c:v>0.50623762550334184</c:v>
                </c:pt>
                <c:pt idx="276">
                  <c:v>0.5371016099983823</c:v>
                </c:pt>
                <c:pt idx="277">
                  <c:v>0.59294053423184878</c:v>
                </c:pt>
                <c:pt idx="278">
                  <c:v>0.53746178930461785</c:v>
                </c:pt>
                <c:pt idx="279">
                  <c:v>0.59077899006767032</c:v>
                </c:pt>
                <c:pt idx="280">
                  <c:v>0.52770733386185165</c:v>
                </c:pt>
                <c:pt idx="281">
                  <c:v>0.57686616492660847</c:v>
                </c:pt>
                <c:pt idx="282">
                  <c:v>0.51622500430438212</c:v>
                </c:pt>
                <c:pt idx="283">
                  <c:v>0.4613251519900099</c:v>
                </c:pt>
                <c:pt idx="284">
                  <c:v>0.3752670849143791</c:v>
                </c:pt>
                <c:pt idx="285">
                  <c:v>0.31550331499709183</c:v>
                </c:pt>
                <c:pt idx="286">
                  <c:v>0.30906186191498075</c:v>
                </c:pt>
                <c:pt idx="287">
                  <c:v>0.32337652020096752</c:v>
                </c:pt>
                <c:pt idx="288">
                  <c:v>0.30268125159404691</c:v>
                </c:pt>
                <c:pt idx="289">
                  <c:v>0.27696111542232082</c:v>
                </c:pt>
                <c:pt idx="290">
                  <c:v>0.24266758861919913</c:v>
                </c:pt>
                <c:pt idx="291">
                  <c:v>0.26160042148527607</c:v>
                </c:pt>
                <c:pt idx="292">
                  <c:v>0.28235441166384323</c:v>
                </c:pt>
                <c:pt idx="293">
                  <c:v>0.26487798488471959</c:v>
                </c:pt>
                <c:pt idx="294">
                  <c:v>0.29412425010692655</c:v>
                </c:pt>
                <c:pt idx="295">
                  <c:v>0.27664782332780291</c:v>
                </c:pt>
                <c:pt idx="296">
                  <c:v>0.27434196237224517</c:v>
                </c:pt>
                <c:pt idx="297">
                  <c:v>0.23481147759401932</c:v>
                </c:pt>
                <c:pt idx="298">
                  <c:v>0.21949788016965965</c:v>
                </c:pt>
                <c:pt idx="299">
                  <c:v>0.15254544332268427</c:v>
                </c:pt>
                <c:pt idx="300">
                  <c:v>-3.5487758674026648E-2</c:v>
                </c:pt>
                <c:pt idx="301">
                  <c:v>6.7063376282537224E-2</c:v>
                </c:pt>
                <c:pt idx="302">
                  <c:v>4.5266765453956026E-2</c:v>
                </c:pt>
                <c:pt idx="303">
                  <c:v>0.11994683422717878</c:v>
                </c:pt>
                <c:pt idx="304">
                  <c:v>0.12648985271366731</c:v>
                </c:pt>
                <c:pt idx="305">
                  <c:v>0.14972679920558796</c:v>
                </c:pt>
                <c:pt idx="306">
                  <c:v>6.1783929769929191E-2</c:v>
                </c:pt>
                <c:pt idx="307">
                  <c:v>0.18225848854512838</c:v>
                </c:pt>
                <c:pt idx="308">
                  <c:v>0.16543877506330174</c:v>
                </c:pt>
                <c:pt idx="309">
                  <c:v>0.16651116235428609</c:v>
                </c:pt>
                <c:pt idx="310">
                  <c:v>0.16436642351856068</c:v>
                </c:pt>
                <c:pt idx="311">
                  <c:v>0.15793209977265565</c:v>
                </c:pt>
                <c:pt idx="312">
                  <c:v>0.20815068838101647</c:v>
                </c:pt>
                <c:pt idx="313">
                  <c:v>0.12491405576626513</c:v>
                </c:pt>
                <c:pt idx="314">
                  <c:v>7.3114434611162515E-2</c:v>
                </c:pt>
                <c:pt idx="315">
                  <c:v>0.10490872056127443</c:v>
                </c:pt>
                <c:pt idx="316">
                  <c:v>5.0677334433951504E-2</c:v>
                </c:pt>
                <c:pt idx="317">
                  <c:v>0.1029240267294651</c:v>
                </c:pt>
                <c:pt idx="318">
                  <c:v>3.5289599451207687E-2</c:v>
                </c:pt>
                <c:pt idx="319">
                  <c:v>1.3460451248396899E-2</c:v>
                </c:pt>
                <c:pt idx="320">
                  <c:v>2.0008009904399771E-2</c:v>
                </c:pt>
                <c:pt idx="321">
                  <c:v>-2.2669551935457166E-2</c:v>
                </c:pt>
                <c:pt idx="322">
                  <c:v>3.7939758576608362E-2</c:v>
                </c:pt>
                <c:pt idx="323">
                  <c:v>7.5955065761690754E-2</c:v>
                </c:pt>
                <c:pt idx="324">
                  <c:v>9.8756816234199629E-2</c:v>
                </c:pt>
                <c:pt idx="325">
                  <c:v>0.12854997760831388</c:v>
                </c:pt>
                <c:pt idx="326">
                  <c:v>0.11706345756046277</c:v>
                </c:pt>
                <c:pt idx="327">
                  <c:v>0.11167918718340752</c:v>
                </c:pt>
                <c:pt idx="328">
                  <c:v>8.2311843648143146E-2</c:v>
                </c:pt>
                <c:pt idx="329">
                  <c:v>0.1128625817968445</c:v>
                </c:pt>
                <c:pt idx="330">
                  <c:v>8.5546627687417276E-2</c:v>
                </c:pt>
                <c:pt idx="331">
                  <c:v>7.2248035139467204E-2</c:v>
                </c:pt>
                <c:pt idx="332">
                  <c:v>2.8768903245785404E-2</c:v>
                </c:pt>
                <c:pt idx="333">
                  <c:v>6.874819387344977E-2</c:v>
                </c:pt>
                <c:pt idx="334">
                  <c:v>6.0464132144727012E-2</c:v>
                </c:pt>
                <c:pt idx="335">
                  <c:v>7.6671974085175343E-2</c:v>
                </c:pt>
                <c:pt idx="336">
                  <c:v>4.1241276498635626E-2</c:v>
                </c:pt>
                <c:pt idx="337">
                  <c:v>6.9386278277756785E-2</c:v>
                </c:pt>
                <c:pt idx="338">
                  <c:v>6.1087100446505893E-2</c:v>
                </c:pt>
                <c:pt idx="339">
                  <c:v>3.4385433942384802E-2</c:v>
                </c:pt>
                <c:pt idx="340">
                  <c:v>5.3240360632072159E-2</c:v>
                </c:pt>
                <c:pt idx="341">
                  <c:v>0.10637955893134343</c:v>
                </c:pt>
                <c:pt idx="342">
                  <c:v>0.13457581290275766</c:v>
                </c:pt>
                <c:pt idx="343">
                  <c:v>0.11252490421401729</c:v>
                </c:pt>
                <c:pt idx="344">
                  <c:v>0.10514973744080769</c:v>
                </c:pt>
                <c:pt idx="345">
                  <c:v>0.12505168915795073</c:v>
                </c:pt>
                <c:pt idx="346">
                  <c:v>0.13265059380804689</c:v>
                </c:pt>
                <c:pt idx="347">
                  <c:v>0.10732082720838321</c:v>
                </c:pt>
                <c:pt idx="348">
                  <c:v>0.14723197093085827</c:v>
                </c:pt>
                <c:pt idx="349">
                  <c:v>0.16135015443593126</c:v>
                </c:pt>
                <c:pt idx="350">
                  <c:v>0.15809210373463056</c:v>
                </c:pt>
                <c:pt idx="351">
                  <c:v>0.14216389206216817</c:v>
                </c:pt>
                <c:pt idx="352">
                  <c:v>0.12463188191830854</c:v>
                </c:pt>
                <c:pt idx="353">
                  <c:v>0.12608119293177</c:v>
                </c:pt>
                <c:pt idx="354">
                  <c:v>0.12716811278609419</c:v>
                </c:pt>
                <c:pt idx="355">
                  <c:v>0.12499420061370659</c:v>
                </c:pt>
                <c:pt idx="356">
                  <c:v>0.13291264885389631</c:v>
                </c:pt>
                <c:pt idx="357">
                  <c:v>0.14451519034241866</c:v>
                </c:pt>
                <c:pt idx="358">
                  <c:v>0.13617586364754319</c:v>
                </c:pt>
                <c:pt idx="359">
                  <c:v>0.171346067534627</c:v>
                </c:pt>
                <c:pt idx="360">
                  <c:v>0.19132569498472396</c:v>
                </c:pt>
                <c:pt idx="361">
                  <c:v>0.20619133321365135</c:v>
                </c:pt>
                <c:pt idx="362">
                  <c:v>0.18117355180399297</c:v>
                </c:pt>
                <c:pt idx="363">
                  <c:v>0.20945452209317184</c:v>
                </c:pt>
                <c:pt idx="364">
                  <c:v>0.20465513979547234</c:v>
                </c:pt>
                <c:pt idx="365">
                  <c:v>0.18616694156573987</c:v>
                </c:pt>
                <c:pt idx="366">
                  <c:v>0.1386777774410588</c:v>
                </c:pt>
                <c:pt idx="367">
                  <c:v>0.1241771857396905</c:v>
                </c:pt>
                <c:pt idx="368">
                  <c:v>0.12175901963424485</c:v>
                </c:pt>
                <c:pt idx="369">
                  <c:v>0.1174047010456567</c:v>
                </c:pt>
                <c:pt idx="370">
                  <c:v>0.11123613444987868</c:v>
                </c:pt>
                <c:pt idx="371">
                  <c:v>0.11232470502560421</c:v>
                </c:pt>
                <c:pt idx="372">
                  <c:v>0.10071303032421963</c:v>
                </c:pt>
                <c:pt idx="373">
                  <c:v>0.10725223038421094</c:v>
                </c:pt>
                <c:pt idx="374">
                  <c:v>0.13013933977246284</c:v>
                </c:pt>
                <c:pt idx="375">
                  <c:v>0.15266308962937813</c:v>
                </c:pt>
                <c:pt idx="376">
                  <c:v>0.15104760719943777</c:v>
                </c:pt>
                <c:pt idx="377">
                  <c:v>0.14632246403805516</c:v>
                </c:pt>
                <c:pt idx="378">
                  <c:v>0.17358311505103985</c:v>
                </c:pt>
                <c:pt idx="379">
                  <c:v>0.15504583601467559</c:v>
                </c:pt>
                <c:pt idx="380">
                  <c:v>0.16493173771968994</c:v>
                </c:pt>
                <c:pt idx="381">
                  <c:v>0.15802219265763529</c:v>
                </c:pt>
                <c:pt idx="382">
                  <c:v>0.12311102718994116</c:v>
                </c:pt>
                <c:pt idx="383">
                  <c:v>0.13402077776291899</c:v>
                </c:pt>
                <c:pt idx="384">
                  <c:v>0.11283801844773644</c:v>
                </c:pt>
                <c:pt idx="385">
                  <c:v>9.2814683669377507E-2</c:v>
                </c:pt>
                <c:pt idx="386">
                  <c:v>8.8081940460089214E-2</c:v>
                </c:pt>
                <c:pt idx="387">
                  <c:v>0.12885669355162266</c:v>
                </c:pt>
                <c:pt idx="388">
                  <c:v>0.13257961471356072</c:v>
                </c:pt>
                <c:pt idx="389">
                  <c:v>0.10926066137847279</c:v>
                </c:pt>
                <c:pt idx="390">
                  <c:v>9.1042700619871741E-2</c:v>
                </c:pt>
                <c:pt idx="391">
                  <c:v>0.12602114884046389</c:v>
                </c:pt>
                <c:pt idx="392">
                  <c:v>0.11969254046434297</c:v>
                </c:pt>
                <c:pt idx="393">
                  <c:v>0.15069816369097144</c:v>
                </c:pt>
                <c:pt idx="394">
                  <c:v>0.1652890452093847</c:v>
                </c:pt>
                <c:pt idx="395">
                  <c:v>0.18717536748700492</c:v>
                </c:pt>
                <c:pt idx="396">
                  <c:v>0.19179404356547236</c:v>
                </c:pt>
                <c:pt idx="397">
                  <c:v>0.18194269919468464</c:v>
                </c:pt>
                <c:pt idx="398">
                  <c:v>0.19982119733795245</c:v>
                </c:pt>
                <c:pt idx="399">
                  <c:v>0.21806456279026665</c:v>
                </c:pt>
                <c:pt idx="400">
                  <c:v>0.22998296477568081</c:v>
                </c:pt>
                <c:pt idx="401">
                  <c:v>0.24238657809392428</c:v>
                </c:pt>
                <c:pt idx="402">
                  <c:v>0.25734387650710011</c:v>
                </c:pt>
                <c:pt idx="403">
                  <c:v>0.26573451962351968</c:v>
                </c:pt>
                <c:pt idx="404">
                  <c:v>0.25712237157741669</c:v>
                </c:pt>
                <c:pt idx="405">
                  <c:v>0.26113420887374517</c:v>
                </c:pt>
                <c:pt idx="406">
                  <c:v>0.25967540868087569</c:v>
                </c:pt>
                <c:pt idx="407">
                  <c:v>0.26806368302672934</c:v>
                </c:pt>
                <c:pt idx="408">
                  <c:v>0.29253475466322909</c:v>
                </c:pt>
                <c:pt idx="409">
                  <c:v>0.26301150071677748</c:v>
                </c:pt>
                <c:pt idx="410">
                  <c:v>0.25790875883220044</c:v>
                </c:pt>
                <c:pt idx="411">
                  <c:v>0.24369387633314665</c:v>
                </c:pt>
                <c:pt idx="412">
                  <c:v>0.2615532506345406</c:v>
                </c:pt>
                <c:pt idx="413">
                  <c:v>0.27612736972836793</c:v>
                </c:pt>
                <c:pt idx="414">
                  <c:v>0.28778669415174085</c:v>
                </c:pt>
                <c:pt idx="415">
                  <c:v>0.28742241313428818</c:v>
                </c:pt>
                <c:pt idx="416">
                  <c:v>0.29116749771336448</c:v>
                </c:pt>
                <c:pt idx="417">
                  <c:v>0.28752629058126078</c:v>
                </c:pt>
                <c:pt idx="418">
                  <c:v>0.27223306769419509</c:v>
                </c:pt>
                <c:pt idx="419">
                  <c:v>0.26859182414965566</c:v>
                </c:pt>
                <c:pt idx="420">
                  <c:v>0.23574940322504556</c:v>
                </c:pt>
                <c:pt idx="421">
                  <c:v>0.2532271739865195</c:v>
                </c:pt>
                <c:pt idx="422">
                  <c:v>0.27143322312565643</c:v>
                </c:pt>
                <c:pt idx="423">
                  <c:v>0.275074469365582</c:v>
                </c:pt>
                <c:pt idx="424">
                  <c:v>0.25662068614568145</c:v>
                </c:pt>
                <c:pt idx="425">
                  <c:v>0.24897588332793341</c:v>
                </c:pt>
                <c:pt idx="426">
                  <c:v>0.26863400492270784</c:v>
                </c:pt>
                <c:pt idx="427">
                  <c:v>0.24970399965781009</c:v>
                </c:pt>
                <c:pt idx="428">
                  <c:v>0.28020060825456872</c:v>
                </c:pt>
                <c:pt idx="429">
                  <c:v>0.34460703665316661</c:v>
                </c:pt>
                <c:pt idx="430">
                  <c:v>0.36352861576776285</c:v>
                </c:pt>
                <c:pt idx="431">
                  <c:v>0.36134538462976473</c:v>
                </c:pt>
                <c:pt idx="432">
                  <c:v>0.3590965850434189</c:v>
                </c:pt>
                <c:pt idx="433">
                  <c:v>0.37509186708083297</c:v>
                </c:pt>
                <c:pt idx="434">
                  <c:v>0.38018122708218738</c:v>
                </c:pt>
                <c:pt idx="435">
                  <c:v>0.38563415174738602</c:v>
                </c:pt>
                <c:pt idx="436">
                  <c:v>0.37887050291220947</c:v>
                </c:pt>
                <c:pt idx="437">
                  <c:v>0.37778116644252657</c:v>
                </c:pt>
                <c:pt idx="438">
                  <c:v>0.35454117744510683</c:v>
                </c:pt>
                <c:pt idx="439">
                  <c:v>0.34328432536331333</c:v>
                </c:pt>
                <c:pt idx="440">
                  <c:v>0.35565071682174643</c:v>
                </c:pt>
                <c:pt idx="441">
                  <c:v>0.34367904044869446</c:v>
                </c:pt>
                <c:pt idx="442">
                  <c:v>0.38866362140472166</c:v>
                </c:pt>
                <c:pt idx="443">
                  <c:v>0.38467301424314826</c:v>
                </c:pt>
                <c:pt idx="444">
                  <c:v>0.35138241170248063</c:v>
                </c:pt>
                <c:pt idx="445">
                  <c:v>0.35174493245811078</c:v>
                </c:pt>
                <c:pt idx="446">
                  <c:v>0.31332157469707655</c:v>
                </c:pt>
                <c:pt idx="447">
                  <c:v>0.30135958596015056</c:v>
                </c:pt>
                <c:pt idx="448">
                  <c:v>0.27317316614904419</c:v>
                </c:pt>
                <c:pt idx="449">
                  <c:v>0.2648377200169223</c:v>
                </c:pt>
                <c:pt idx="450">
                  <c:v>0.30289104535387712</c:v>
                </c:pt>
                <c:pt idx="451">
                  <c:v>0.26701215743830731</c:v>
                </c:pt>
                <c:pt idx="452">
                  <c:v>0.24633951917367525</c:v>
                </c:pt>
                <c:pt idx="453">
                  <c:v>0.29707809636651739</c:v>
                </c:pt>
                <c:pt idx="454">
                  <c:v>0.25757445359596387</c:v>
                </c:pt>
                <c:pt idx="455">
                  <c:v>0.28185648696682386</c:v>
                </c:pt>
                <c:pt idx="456">
                  <c:v>0.29210080402994221</c:v>
                </c:pt>
                <c:pt idx="457">
                  <c:v>0.31855042540477352</c:v>
                </c:pt>
                <c:pt idx="458">
                  <c:v>0.31710109286511989</c:v>
                </c:pt>
                <c:pt idx="459">
                  <c:v>0.33920289778302837</c:v>
                </c:pt>
                <c:pt idx="460">
                  <c:v>0.31543322599178913</c:v>
                </c:pt>
                <c:pt idx="461">
                  <c:v>0.32484928746710473</c:v>
                </c:pt>
                <c:pt idx="462">
                  <c:v>0.29660106682553677</c:v>
                </c:pt>
                <c:pt idx="463">
                  <c:v>0.25205588913870369</c:v>
                </c:pt>
                <c:pt idx="464">
                  <c:v>0.30554465727628055</c:v>
                </c:pt>
                <c:pt idx="465">
                  <c:v>0.30807881056628728</c:v>
                </c:pt>
                <c:pt idx="466">
                  <c:v>0.3015625663682</c:v>
                </c:pt>
                <c:pt idx="467">
                  <c:v>0.33848778121863465</c:v>
                </c:pt>
                <c:pt idx="468">
                  <c:v>0.34888743067254269</c:v>
                </c:pt>
                <c:pt idx="469">
                  <c:v>0.34454649102661428</c:v>
                </c:pt>
                <c:pt idx="470">
                  <c:v>0.35865454487588222</c:v>
                </c:pt>
                <c:pt idx="471">
                  <c:v>0.37457132357762046</c:v>
                </c:pt>
                <c:pt idx="472">
                  <c:v>0.32298692764479742</c:v>
                </c:pt>
                <c:pt idx="473">
                  <c:v>0.35155227684420298</c:v>
                </c:pt>
                <c:pt idx="474">
                  <c:v>0.34757479203433062</c:v>
                </c:pt>
                <c:pt idx="475">
                  <c:v>0.35372175813171403</c:v>
                </c:pt>
                <c:pt idx="476">
                  <c:v>0.36259423710566319</c:v>
                </c:pt>
                <c:pt idx="477">
                  <c:v>0.38174415670984096</c:v>
                </c:pt>
                <c:pt idx="478">
                  <c:v>0.39294499581651365</c:v>
                </c:pt>
                <c:pt idx="479">
                  <c:v>0.4077590566158571</c:v>
                </c:pt>
                <c:pt idx="480">
                  <c:v>0.40186692359695164</c:v>
                </c:pt>
                <c:pt idx="481">
                  <c:v>0.39139928904330179</c:v>
                </c:pt>
                <c:pt idx="482">
                  <c:v>0.39681361887323985</c:v>
                </c:pt>
                <c:pt idx="483">
                  <c:v>0.38237550224751593</c:v>
                </c:pt>
                <c:pt idx="484">
                  <c:v>0.39068380628432475</c:v>
                </c:pt>
                <c:pt idx="485">
                  <c:v>0.45596119225750198</c:v>
                </c:pt>
                <c:pt idx="486">
                  <c:v>0.46281363409417975</c:v>
                </c:pt>
                <c:pt idx="487">
                  <c:v>0.48914098517986315</c:v>
                </c:pt>
                <c:pt idx="488">
                  <c:v>0.48765193299685516</c:v>
                </c:pt>
                <c:pt idx="489">
                  <c:v>0.4887322878146898</c:v>
                </c:pt>
                <c:pt idx="490">
                  <c:v>0.49629513166980765</c:v>
                </c:pt>
                <c:pt idx="491">
                  <c:v>0.51970349163273699</c:v>
                </c:pt>
                <c:pt idx="492">
                  <c:v>0.55693221830386364</c:v>
                </c:pt>
                <c:pt idx="493">
                  <c:v>0.53752016942377101</c:v>
                </c:pt>
                <c:pt idx="494">
                  <c:v>0.55513484564722804</c:v>
                </c:pt>
                <c:pt idx="495">
                  <c:v>0.56304340756020888</c:v>
                </c:pt>
                <c:pt idx="496">
                  <c:v>0.55531158603403874</c:v>
                </c:pt>
                <c:pt idx="497">
                  <c:v>0.55315849475489443</c:v>
                </c:pt>
                <c:pt idx="498">
                  <c:v>0.61954872360358504</c:v>
                </c:pt>
                <c:pt idx="499">
                  <c:v>0.63533895681686969</c:v>
                </c:pt>
                <c:pt idx="500">
                  <c:v>0.62707243204641383</c:v>
                </c:pt>
                <c:pt idx="501">
                  <c:v>0.61561205210343717</c:v>
                </c:pt>
                <c:pt idx="502">
                  <c:v>0.60773324681876861</c:v>
                </c:pt>
                <c:pt idx="503">
                  <c:v>0.59663107089883427</c:v>
                </c:pt>
                <c:pt idx="504">
                  <c:v>0.61536450623348293</c:v>
                </c:pt>
                <c:pt idx="505">
                  <c:v>0.61393478788934375</c:v>
                </c:pt>
                <c:pt idx="506">
                  <c:v>0.6432434242001257</c:v>
                </c:pt>
                <c:pt idx="507">
                  <c:v>0.62966140373835544</c:v>
                </c:pt>
                <c:pt idx="508">
                  <c:v>0.64609107509353714</c:v>
                </c:pt>
                <c:pt idx="509">
                  <c:v>0.56654943545235903</c:v>
                </c:pt>
                <c:pt idx="510">
                  <c:v>0.55549204180643752</c:v>
                </c:pt>
                <c:pt idx="511">
                  <c:v>0.53088053875227903</c:v>
                </c:pt>
                <c:pt idx="512">
                  <c:v>0.5373665326218624</c:v>
                </c:pt>
                <c:pt idx="513">
                  <c:v>0.48786295663182422</c:v>
                </c:pt>
                <c:pt idx="514">
                  <c:v>0.47361724177651388</c:v>
                </c:pt>
                <c:pt idx="515">
                  <c:v>0.51706652606736436</c:v>
                </c:pt>
                <c:pt idx="516">
                  <c:v>0.50494574213250609</c:v>
                </c:pt>
                <c:pt idx="517">
                  <c:v>0.49107529142177442</c:v>
                </c:pt>
                <c:pt idx="518">
                  <c:v>0.50067779350535613</c:v>
                </c:pt>
                <c:pt idx="519">
                  <c:v>0.4885855747005674</c:v>
                </c:pt>
                <c:pt idx="520">
                  <c:v>0.47248920821779627</c:v>
                </c:pt>
                <c:pt idx="521">
                  <c:v>0.54033774678414237</c:v>
                </c:pt>
                <c:pt idx="522">
                  <c:v>0.52222112130307652</c:v>
                </c:pt>
                <c:pt idx="523">
                  <c:v>0.49273716587972238</c:v>
                </c:pt>
                <c:pt idx="524">
                  <c:v>0.50943669308889095</c:v>
                </c:pt>
                <c:pt idx="525">
                  <c:v>0.56229614800448768</c:v>
                </c:pt>
                <c:pt idx="526">
                  <c:v>0.55378193291102229</c:v>
                </c:pt>
                <c:pt idx="527">
                  <c:v>0.55697482565440737</c:v>
                </c:pt>
                <c:pt idx="528">
                  <c:v>0.56403790990043468</c:v>
                </c:pt>
                <c:pt idx="529">
                  <c:v>0.57572642943474883</c:v>
                </c:pt>
                <c:pt idx="530">
                  <c:v>0.59945788073151274</c:v>
                </c:pt>
                <c:pt idx="531">
                  <c:v>0.59060288802374328</c:v>
                </c:pt>
                <c:pt idx="532">
                  <c:v>0.58617889635315334</c:v>
                </c:pt>
                <c:pt idx="533">
                  <c:v>0.59537253118128208</c:v>
                </c:pt>
                <c:pt idx="534">
                  <c:v>0.64240172558220698</c:v>
                </c:pt>
                <c:pt idx="535">
                  <c:v>0.67846920093669416</c:v>
                </c:pt>
                <c:pt idx="536">
                  <c:v>0.66254460098400902</c:v>
                </c:pt>
                <c:pt idx="537">
                  <c:v>0.61878309548004684</c:v>
                </c:pt>
                <c:pt idx="538">
                  <c:v>0.6293705382740542</c:v>
                </c:pt>
                <c:pt idx="539">
                  <c:v>0.63007640543802101</c:v>
                </c:pt>
                <c:pt idx="540">
                  <c:v>0.62822881612776427</c:v>
                </c:pt>
                <c:pt idx="541">
                  <c:v>0.60392135443017336</c:v>
                </c:pt>
                <c:pt idx="542">
                  <c:v>0.54191969359756853</c:v>
                </c:pt>
                <c:pt idx="543">
                  <c:v>0.55812465631987718</c:v>
                </c:pt>
                <c:pt idx="544">
                  <c:v>0.57012207604553944</c:v>
                </c:pt>
                <c:pt idx="545">
                  <c:v>0.51947128600229386</c:v>
                </c:pt>
                <c:pt idx="546">
                  <c:v>0.55218331246273467</c:v>
                </c:pt>
                <c:pt idx="547">
                  <c:v>0.56730821165960621</c:v>
                </c:pt>
                <c:pt idx="548">
                  <c:v>0.57828859020027967</c:v>
                </c:pt>
                <c:pt idx="549">
                  <c:v>0.57828859020027967</c:v>
                </c:pt>
                <c:pt idx="550">
                  <c:v>0.57091297739559455</c:v>
                </c:pt>
                <c:pt idx="551">
                  <c:v>0.57688369651876004</c:v>
                </c:pt>
                <c:pt idx="552">
                  <c:v>0.53889659336420115</c:v>
                </c:pt>
                <c:pt idx="553">
                  <c:v>0.51714990715013509</c:v>
                </c:pt>
                <c:pt idx="554">
                  <c:v>0.52100823148651898</c:v>
                </c:pt>
                <c:pt idx="555">
                  <c:v>0.50487360237940049</c:v>
                </c:pt>
                <c:pt idx="556">
                  <c:v>0.48662832044249749</c:v>
                </c:pt>
                <c:pt idx="557">
                  <c:v>0.51851333810055622</c:v>
                </c:pt>
                <c:pt idx="558">
                  <c:v>0.51816298832960772</c:v>
                </c:pt>
                <c:pt idx="559">
                  <c:v>0.50660025457996283</c:v>
                </c:pt>
                <c:pt idx="560">
                  <c:v>0.49499306656833597</c:v>
                </c:pt>
                <c:pt idx="561">
                  <c:v>0.52649308697081398</c:v>
                </c:pt>
                <c:pt idx="562">
                  <c:v>0.54084308032083905</c:v>
                </c:pt>
                <c:pt idx="563">
                  <c:v>0.56114300091359026</c:v>
                </c:pt>
                <c:pt idx="564">
                  <c:v>0.5936676960288203</c:v>
                </c:pt>
                <c:pt idx="565">
                  <c:v>0.55627357781893316</c:v>
                </c:pt>
                <c:pt idx="566">
                  <c:v>0.56536003499367937</c:v>
                </c:pt>
                <c:pt idx="567">
                  <c:v>0.56501048866456727</c:v>
                </c:pt>
                <c:pt idx="568">
                  <c:v>0.55375803416151403</c:v>
                </c:pt>
                <c:pt idx="569">
                  <c:v>0.53002487667328113</c:v>
                </c:pt>
                <c:pt idx="570">
                  <c:v>0.50629168428334625</c:v>
                </c:pt>
                <c:pt idx="571">
                  <c:v>0.52199748516990829</c:v>
                </c:pt>
                <c:pt idx="572">
                  <c:v>0.54885937327283729</c:v>
                </c:pt>
                <c:pt idx="573">
                  <c:v>0.53561384179379323</c:v>
                </c:pt>
                <c:pt idx="574">
                  <c:v>0.51051711135121081</c:v>
                </c:pt>
                <c:pt idx="575">
                  <c:v>0.51330570666908248</c:v>
                </c:pt>
                <c:pt idx="576">
                  <c:v>0.50006101672168568</c:v>
                </c:pt>
                <c:pt idx="577">
                  <c:v>0.49657884414677134</c:v>
                </c:pt>
                <c:pt idx="578">
                  <c:v>0.46105993868280826</c:v>
                </c:pt>
                <c:pt idx="579">
                  <c:v>0.49065910201802554</c:v>
                </c:pt>
                <c:pt idx="580">
                  <c:v>0.47518268827107635</c:v>
                </c:pt>
                <c:pt idx="581">
                  <c:v>0.44491313407661126</c:v>
                </c:pt>
                <c:pt idx="582">
                  <c:v>0.46613667379122892</c:v>
                </c:pt>
                <c:pt idx="583">
                  <c:v>0.46439707703287758</c:v>
                </c:pt>
                <c:pt idx="584">
                  <c:v>0.5237718284196613</c:v>
                </c:pt>
                <c:pt idx="585">
                  <c:v>0.55053255530031131</c:v>
                </c:pt>
                <c:pt idx="586">
                  <c:v>0.56721451044320736</c:v>
                </c:pt>
                <c:pt idx="587">
                  <c:v>0.57103753596957074</c:v>
                </c:pt>
                <c:pt idx="588">
                  <c:v>0.59616165545353339</c:v>
                </c:pt>
                <c:pt idx="589">
                  <c:v>0.54236639941882059</c:v>
                </c:pt>
                <c:pt idx="590">
                  <c:v>0.58193193338646632</c:v>
                </c:pt>
                <c:pt idx="591">
                  <c:v>0.61004424171544303</c:v>
                </c:pt>
                <c:pt idx="592">
                  <c:v>0.61627818043625116</c:v>
                </c:pt>
                <c:pt idx="593">
                  <c:v>0.56706628924774605</c:v>
                </c:pt>
                <c:pt idx="594">
                  <c:v>0.57226475579227709</c:v>
                </c:pt>
                <c:pt idx="595">
                  <c:v>0.55666942547110931</c:v>
                </c:pt>
                <c:pt idx="596">
                  <c:v>0.55329009372378946</c:v>
                </c:pt>
                <c:pt idx="597">
                  <c:v>0.56575161901341908</c:v>
                </c:pt>
                <c:pt idx="598">
                  <c:v>0.56644396058930169</c:v>
                </c:pt>
                <c:pt idx="599">
                  <c:v>0.58132856024080337</c:v>
                </c:pt>
                <c:pt idx="600">
                  <c:v>0.59061774659671551</c:v>
                </c:pt>
                <c:pt idx="601">
                  <c:v>0.60479191990120396</c:v>
                </c:pt>
                <c:pt idx="602">
                  <c:v>0.58301219634191614</c:v>
                </c:pt>
                <c:pt idx="603">
                  <c:v>0.57575228848882043</c:v>
                </c:pt>
                <c:pt idx="604">
                  <c:v>0.54241696171922404</c:v>
                </c:pt>
                <c:pt idx="605">
                  <c:v>0.55174129828032625</c:v>
                </c:pt>
                <c:pt idx="606">
                  <c:v>0.54345296074328897</c:v>
                </c:pt>
                <c:pt idx="607">
                  <c:v>0.55933877410609312</c:v>
                </c:pt>
                <c:pt idx="608">
                  <c:v>0.5621896011303491</c:v>
                </c:pt>
                <c:pt idx="609">
                  <c:v>0.53976807423196416</c:v>
                </c:pt>
                <c:pt idx="610">
                  <c:v>0.57322782283729246</c:v>
                </c:pt>
                <c:pt idx="611">
                  <c:v>0.56667378922855405</c:v>
                </c:pt>
                <c:pt idx="612">
                  <c:v>0.56572375827931176</c:v>
                </c:pt>
                <c:pt idx="613">
                  <c:v>0.5433285793067606</c:v>
                </c:pt>
                <c:pt idx="614">
                  <c:v>0.53747145657160234</c:v>
                </c:pt>
                <c:pt idx="615">
                  <c:v>0.53023599882650219</c:v>
                </c:pt>
                <c:pt idx="616">
                  <c:v>0.56000821771121201</c:v>
                </c:pt>
                <c:pt idx="617">
                  <c:v>0.56241739668059521</c:v>
                </c:pt>
                <c:pt idx="618">
                  <c:v>0.59649013950984875</c:v>
                </c:pt>
                <c:pt idx="619">
                  <c:v>0.57515159395906634</c:v>
                </c:pt>
                <c:pt idx="620">
                  <c:v>0.57487248949752723</c:v>
                </c:pt>
                <c:pt idx="621">
                  <c:v>0.52536914060538864</c:v>
                </c:pt>
                <c:pt idx="622">
                  <c:v>0.46417762036815491</c:v>
                </c:pt>
                <c:pt idx="623">
                  <c:v>0.51161829821061588</c:v>
                </c:pt>
                <c:pt idx="624">
                  <c:v>0.52986836652786318</c:v>
                </c:pt>
                <c:pt idx="625">
                  <c:v>0.51956501656219123</c:v>
                </c:pt>
                <c:pt idx="626">
                  <c:v>0.51956511959603446</c:v>
                </c:pt>
                <c:pt idx="627">
                  <c:v>0.53330286230923973</c:v>
                </c:pt>
                <c:pt idx="628">
                  <c:v>0.51524239446048847</c:v>
                </c:pt>
                <c:pt idx="629">
                  <c:v>0.4997997910416947</c:v>
                </c:pt>
                <c:pt idx="630">
                  <c:v>0.56671762480040133</c:v>
                </c:pt>
                <c:pt idx="631">
                  <c:v>0.55951112686963356</c:v>
                </c:pt>
                <c:pt idx="632">
                  <c:v>0.53620297642943227</c:v>
                </c:pt>
                <c:pt idx="633">
                  <c:v>0.55265995233545984</c:v>
                </c:pt>
                <c:pt idx="634">
                  <c:v>0.51563164511922444</c:v>
                </c:pt>
                <c:pt idx="635">
                  <c:v>0.49094606126115026</c:v>
                </c:pt>
                <c:pt idx="636">
                  <c:v>0.50388122429249949</c:v>
                </c:pt>
                <c:pt idx="637">
                  <c:v>0.4874368299717371</c:v>
                </c:pt>
                <c:pt idx="638">
                  <c:v>0.50045534306816242</c:v>
                </c:pt>
                <c:pt idx="639">
                  <c:v>0.50422381584084919</c:v>
                </c:pt>
                <c:pt idx="640">
                  <c:v>0.49223028378156264</c:v>
                </c:pt>
                <c:pt idx="641">
                  <c:v>0.54358631148518999</c:v>
                </c:pt>
                <c:pt idx="642">
                  <c:v>0.55762362572418134</c:v>
                </c:pt>
                <c:pt idx="643">
                  <c:v>0.53263039314576788</c:v>
                </c:pt>
                <c:pt idx="644">
                  <c:v>0.55110870193390138</c:v>
                </c:pt>
                <c:pt idx="645">
                  <c:v>0.56410677344437432</c:v>
                </c:pt>
                <c:pt idx="646">
                  <c:v>0.5582918692197687</c:v>
                </c:pt>
                <c:pt idx="647">
                  <c:v>0.55931800665570308</c:v>
                </c:pt>
                <c:pt idx="648">
                  <c:v>0.55859573565343812</c:v>
                </c:pt>
                <c:pt idx="649">
                  <c:v>0.57021449608845054</c:v>
                </c:pt>
                <c:pt idx="650">
                  <c:v>0.6088296856039892</c:v>
                </c:pt>
                <c:pt idx="651">
                  <c:v>0.59550231810135812</c:v>
                </c:pt>
                <c:pt idx="652">
                  <c:v>0.57122520337150884</c:v>
                </c:pt>
                <c:pt idx="653">
                  <c:v>0.5835155858383716</c:v>
                </c:pt>
                <c:pt idx="654">
                  <c:v>0.55893465020299282</c:v>
                </c:pt>
                <c:pt idx="655">
                  <c:v>0.57429783312855509</c:v>
                </c:pt>
                <c:pt idx="656">
                  <c:v>0.55282218005842276</c:v>
                </c:pt>
                <c:pt idx="657">
                  <c:v>0.54736450197605868</c:v>
                </c:pt>
                <c:pt idx="658">
                  <c:v>0.52451054322713575</c:v>
                </c:pt>
                <c:pt idx="659">
                  <c:v>0.521440599305806</c:v>
                </c:pt>
                <c:pt idx="660">
                  <c:v>0.49353970170725625</c:v>
                </c:pt>
                <c:pt idx="661">
                  <c:v>0.49899409475445822</c:v>
                </c:pt>
                <c:pt idx="662">
                  <c:v>0.49319873396189307</c:v>
                </c:pt>
                <c:pt idx="663">
                  <c:v>0.48569904579185974</c:v>
                </c:pt>
                <c:pt idx="664">
                  <c:v>0.49328624848907654</c:v>
                </c:pt>
                <c:pt idx="665">
                  <c:v>0.52633339150480696</c:v>
                </c:pt>
                <c:pt idx="666">
                  <c:v>0.5498412552391192</c:v>
                </c:pt>
                <c:pt idx="667">
                  <c:v>0.54677502547477275</c:v>
                </c:pt>
                <c:pt idx="668">
                  <c:v>0.53572142260728461</c:v>
                </c:pt>
                <c:pt idx="669">
                  <c:v>0.52380609716433701</c:v>
                </c:pt>
                <c:pt idx="670">
                  <c:v>0.49486874691896454</c:v>
                </c:pt>
                <c:pt idx="671">
                  <c:v>0.54082808792278025</c:v>
                </c:pt>
                <c:pt idx="672">
                  <c:v>0.5345726510723956</c:v>
                </c:pt>
                <c:pt idx="673">
                  <c:v>0.55294279737057117</c:v>
                </c:pt>
                <c:pt idx="674">
                  <c:v>0.52096509245757328</c:v>
                </c:pt>
                <c:pt idx="675">
                  <c:v>0.5355931448282456</c:v>
                </c:pt>
                <c:pt idx="676">
                  <c:v>0.56828047845386509</c:v>
                </c:pt>
                <c:pt idx="677">
                  <c:v>0.55978341782264462</c:v>
                </c:pt>
                <c:pt idx="678">
                  <c:v>0.54652803722618359</c:v>
                </c:pt>
                <c:pt idx="679">
                  <c:v>0.56182278035062283</c:v>
                </c:pt>
                <c:pt idx="680">
                  <c:v>0.59738476340511304</c:v>
                </c:pt>
                <c:pt idx="681">
                  <c:v>0.62862417167097129</c:v>
                </c:pt>
                <c:pt idx="682">
                  <c:v>0.65646793155193262</c:v>
                </c:pt>
                <c:pt idx="683">
                  <c:v>0.64254605161145228</c:v>
                </c:pt>
                <c:pt idx="684">
                  <c:v>0.64217517481623032</c:v>
                </c:pt>
                <c:pt idx="685">
                  <c:v>0.66116887248895773</c:v>
                </c:pt>
                <c:pt idx="686">
                  <c:v>0.68830264393665908</c:v>
                </c:pt>
                <c:pt idx="687">
                  <c:v>0.70288709823758033</c:v>
                </c:pt>
                <c:pt idx="688">
                  <c:v>0.70555651740734859</c:v>
                </c:pt>
                <c:pt idx="689">
                  <c:v>0.71639522930884225</c:v>
                </c:pt>
                <c:pt idx="690">
                  <c:v>0.72215322726456144</c:v>
                </c:pt>
                <c:pt idx="691">
                  <c:v>0.71978229290708451</c:v>
                </c:pt>
                <c:pt idx="692">
                  <c:v>0.71496017673650769</c:v>
                </c:pt>
                <c:pt idx="693">
                  <c:v>0.70109170658804443</c:v>
                </c:pt>
                <c:pt idx="694">
                  <c:v>0.72646085929864812</c:v>
                </c:pt>
                <c:pt idx="695">
                  <c:v>0.73221126823079219</c:v>
                </c:pt>
                <c:pt idx="696">
                  <c:v>0.73339628621033981</c:v>
                </c:pt>
                <c:pt idx="697">
                  <c:v>0.70975160251667258</c:v>
                </c:pt>
                <c:pt idx="698">
                  <c:v>0.72799179480106058</c:v>
                </c:pt>
                <c:pt idx="699">
                  <c:v>0.73542286915460564</c:v>
                </c:pt>
                <c:pt idx="700">
                  <c:v>0.76884840231756924</c:v>
                </c:pt>
                <c:pt idx="701">
                  <c:v>0.78233909014505731</c:v>
                </c:pt>
                <c:pt idx="702">
                  <c:v>0.80898333182555504</c:v>
                </c:pt>
                <c:pt idx="703">
                  <c:v>0.87475079754860774</c:v>
                </c:pt>
                <c:pt idx="704">
                  <c:v>0.85711492213328144</c:v>
                </c:pt>
                <c:pt idx="705">
                  <c:v>0.86654210983008295</c:v>
                </c:pt>
                <c:pt idx="706">
                  <c:v>0.87394930612316934</c:v>
                </c:pt>
                <c:pt idx="707">
                  <c:v>0.88000968435952931</c:v>
                </c:pt>
                <c:pt idx="708">
                  <c:v>0.87069956882041355</c:v>
                </c:pt>
                <c:pt idx="709">
                  <c:v>0.8747326893403149</c:v>
                </c:pt>
                <c:pt idx="710">
                  <c:v>0.79843882344729789</c:v>
                </c:pt>
                <c:pt idx="711">
                  <c:v>0.78734771681035642</c:v>
                </c:pt>
                <c:pt idx="712">
                  <c:v>0.79196059736707025</c:v>
                </c:pt>
                <c:pt idx="713">
                  <c:v>0.75034844232119768</c:v>
                </c:pt>
                <c:pt idx="714">
                  <c:v>0.7667919957967464</c:v>
                </c:pt>
                <c:pt idx="715">
                  <c:v>0.80303471494174161</c:v>
                </c:pt>
                <c:pt idx="716">
                  <c:v>0.77620235872396326</c:v>
                </c:pt>
                <c:pt idx="717">
                  <c:v>0.73398175087812723</c:v>
                </c:pt>
                <c:pt idx="718">
                  <c:v>0.74570974590294337</c:v>
                </c:pt>
                <c:pt idx="719">
                  <c:v>0.68774030668563357</c:v>
                </c:pt>
                <c:pt idx="720">
                  <c:v>0.65127370844432875</c:v>
                </c:pt>
                <c:pt idx="721">
                  <c:v>0.65093903071694292</c:v>
                </c:pt>
                <c:pt idx="722">
                  <c:v>0.65127370844432875</c:v>
                </c:pt>
                <c:pt idx="723">
                  <c:v>0.68642199988142516</c:v>
                </c:pt>
                <c:pt idx="724">
                  <c:v>0.73756855215890593</c:v>
                </c:pt>
                <c:pt idx="725">
                  <c:v>0.71751028809016182</c:v>
                </c:pt>
                <c:pt idx="726">
                  <c:v>0.77668236433321103</c:v>
                </c:pt>
                <c:pt idx="727">
                  <c:v>0.81980767554072798</c:v>
                </c:pt>
                <c:pt idx="728">
                  <c:v>0.85055785785527571</c:v>
                </c:pt>
                <c:pt idx="729">
                  <c:v>0.84388270352865224</c:v>
                </c:pt>
                <c:pt idx="730">
                  <c:v>0.81985230148058941</c:v>
                </c:pt>
                <c:pt idx="731">
                  <c:v>0.80783705039315112</c:v>
                </c:pt>
                <c:pt idx="732">
                  <c:v>0.81969965849629478</c:v>
                </c:pt>
                <c:pt idx="733">
                  <c:v>0.83836166783385302</c:v>
                </c:pt>
                <c:pt idx="734">
                  <c:v>0.81303458613069068</c:v>
                </c:pt>
                <c:pt idx="735">
                  <c:v>0.81736689483215175</c:v>
                </c:pt>
                <c:pt idx="736">
                  <c:v>0.81625114589964198</c:v>
                </c:pt>
                <c:pt idx="737">
                  <c:v>0.84553338819721158</c:v>
                </c:pt>
                <c:pt idx="738">
                  <c:v>0.83388695523761736</c:v>
                </c:pt>
                <c:pt idx="739">
                  <c:v>0.84520053599624556</c:v>
                </c:pt>
                <c:pt idx="740">
                  <c:v>0.84924922077220266</c:v>
                </c:pt>
                <c:pt idx="741">
                  <c:v>0.81835238165897772</c:v>
                </c:pt>
                <c:pt idx="742">
                  <c:v>0.81403344008627143</c:v>
                </c:pt>
                <c:pt idx="743">
                  <c:v>0.79841895850358902</c:v>
                </c:pt>
                <c:pt idx="744">
                  <c:v>0.78389414553394787</c:v>
                </c:pt>
                <c:pt idx="745">
                  <c:v>0.77228210539624387</c:v>
                </c:pt>
                <c:pt idx="746">
                  <c:v>0.76232893287497627</c:v>
                </c:pt>
                <c:pt idx="747">
                  <c:v>0.72682916588323154</c:v>
                </c:pt>
                <c:pt idx="748">
                  <c:v>0.72064274821411867</c:v>
                </c:pt>
                <c:pt idx="749">
                  <c:v>0.71235800557120443</c:v>
                </c:pt>
                <c:pt idx="750">
                  <c:v>0.70838122968569395</c:v>
                </c:pt>
                <c:pt idx="751">
                  <c:v>0.73323545761443709</c:v>
                </c:pt>
                <c:pt idx="752">
                  <c:v>0.72670862690316196</c:v>
                </c:pt>
                <c:pt idx="753">
                  <c:v>0.7323355488183505</c:v>
                </c:pt>
                <c:pt idx="754">
                  <c:v>0.69890468562880459</c:v>
                </c:pt>
                <c:pt idx="755">
                  <c:v>0.69162266790939975</c:v>
                </c:pt>
                <c:pt idx="756">
                  <c:v>0.67948229938210081</c:v>
                </c:pt>
                <c:pt idx="757">
                  <c:v>0.65699605334972722</c:v>
                </c:pt>
                <c:pt idx="758">
                  <c:v>0.66394029193254167</c:v>
                </c:pt>
                <c:pt idx="759">
                  <c:v>0.74627957907050546</c:v>
                </c:pt>
                <c:pt idx="760">
                  <c:v>0.7236123071304168</c:v>
                </c:pt>
                <c:pt idx="761">
                  <c:v>0.71271202093675012</c:v>
                </c:pt>
                <c:pt idx="762">
                  <c:v>0.68859944579753729</c:v>
                </c:pt>
                <c:pt idx="763">
                  <c:v>0.70907874635005497</c:v>
                </c:pt>
                <c:pt idx="764">
                  <c:v>0.68861809240310823</c:v>
                </c:pt>
                <c:pt idx="765">
                  <c:v>0.62625223066624813</c:v>
                </c:pt>
                <c:pt idx="766">
                  <c:v>0.6760788584392301</c:v>
                </c:pt>
                <c:pt idx="767">
                  <c:v>0.72524566199459817</c:v>
                </c:pt>
                <c:pt idx="768">
                  <c:v>0.74051739449186527</c:v>
                </c:pt>
                <c:pt idx="769">
                  <c:v>0.7375511490338329</c:v>
                </c:pt>
                <c:pt idx="770">
                  <c:v>0.64229962780593186</c:v>
                </c:pt>
                <c:pt idx="771">
                  <c:v>0.6370261853595971</c:v>
                </c:pt>
                <c:pt idx="772">
                  <c:v>0.58225582576654289</c:v>
                </c:pt>
                <c:pt idx="773">
                  <c:v>0.56018541217614271</c:v>
                </c:pt>
                <c:pt idx="774">
                  <c:v>0.59049103013548465</c:v>
                </c:pt>
                <c:pt idx="775">
                  <c:v>0.60004376838100515</c:v>
                </c:pt>
                <c:pt idx="776">
                  <c:v>0.6067902455441514</c:v>
                </c:pt>
                <c:pt idx="777">
                  <c:v>0.66242358379669652</c:v>
                </c:pt>
                <c:pt idx="778">
                  <c:v>0.66999498934077417</c:v>
                </c:pt>
                <c:pt idx="779">
                  <c:v>0.71970297853367904</c:v>
                </c:pt>
                <c:pt idx="780">
                  <c:v>0.73894707420471817</c:v>
                </c:pt>
                <c:pt idx="781">
                  <c:v>0.73697421226787774</c:v>
                </c:pt>
                <c:pt idx="782">
                  <c:v>0.71264137152342499</c:v>
                </c:pt>
                <c:pt idx="783">
                  <c:v>0.6883086951896138</c:v>
                </c:pt>
                <c:pt idx="784">
                  <c:v>0.69494733848830004</c:v>
                </c:pt>
                <c:pt idx="785">
                  <c:v>0.71498681998940006</c:v>
                </c:pt>
                <c:pt idx="786">
                  <c:v>0.72319970878019668</c:v>
                </c:pt>
                <c:pt idx="787">
                  <c:v>0.6568395344990019</c:v>
                </c:pt>
                <c:pt idx="788">
                  <c:v>0.68914065251484202</c:v>
                </c:pt>
                <c:pt idx="789">
                  <c:v>0.67535566798011804</c:v>
                </c:pt>
                <c:pt idx="790">
                  <c:v>0.66321159673977492</c:v>
                </c:pt>
                <c:pt idx="791">
                  <c:v>0.68618671319102331</c:v>
                </c:pt>
                <c:pt idx="792">
                  <c:v>0.68109707582148027</c:v>
                </c:pt>
                <c:pt idx="793">
                  <c:v>0.60567468866202079</c:v>
                </c:pt>
                <c:pt idx="794">
                  <c:v>0.63682746013012737</c:v>
                </c:pt>
                <c:pt idx="795">
                  <c:v>0.63617158020775499</c:v>
                </c:pt>
                <c:pt idx="796">
                  <c:v>0.63338028711690342</c:v>
                </c:pt>
                <c:pt idx="797">
                  <c:v>0.6179780590015842</c:v>
                </c:pt>
                <c:pt idx="798">
                  <c:v>0.56456203303294639</c:v>
                </c:pt>
                <c:pt idx="799">
                  <c:v>0.53506840193802674</c:v>
                </c:pt>
                <c:pt idx="800">
                  <c:v>0.53729087439788681</c:v>
                </c:pt>
                <c:pt idx="801">
                  <c:v>0.52942801421669561</c:v>
                </c:pt>
                <c:pt idx="802">
                  <c:v>0.54449833788269775</c:v>
                </c:pt>
                <c:pt idx="803">
                  <c:v>0.54318797039131383</c:v>
                </c:pt>
                <c:pt idx="804">
                  <c:v>0.58482699667157045</c:v>
                </c:pt>
                <c:pt idx="805">
                  <c:v>0.56255988451325334</c:v>
                </c:pt>
                <c:pt idx="806">
                  <c:v>0.51475105213346595</c:v>
                </c:pt>
                <c:pt idx="807">
                  <c:v>0.52850426846654419</c:v>
                </c:pt>
                <c:pt idx="808">
                  <c:v>0.54446724433846283</c:v>
                </c:pt>
                <c:pt idx="809">
                  <c:v>0.52777231495535815</c:v>
                </c:pt>
                <c:pt idx="810">
                  <c:v>0.50911327623306457</c:v>
                </c:pt>
                <c:pt idx="811">
                  <c:v>0.50845857312000153</c:v>
                </c:pt>
                <c:pt idx="812">
                  <c:v>0.54472341616863562</c:v>
                </c:pt>
                <c:pt idx="813">
                  <c:v>0.5443960849880205</c:v>
                </c:pt>
                <c:pt idx="814">
                  <c:v>0.56959557872974531</c:v>
                </c:pt>
                <c:pt idx="815">
                  <c:v>0.55683221535843463</c:v>
                </c:pt>
                <c:pt idx="816">
                  <c:v>0.53131280614842735</c:v>
                </c:pt>
                <c:pt idx="817">
                  <c:v>0.53720227580074709</c:v>
                </c:pt>
                <c:pt idx="818">
                  <c:v>0.58562730938980678</c:v>
                </c:pt>
                <c:pt idx="819">
                  <c:v>0.59151687720104484</c:v>
                </c:pt>
                <c:pt idx="820">
                  <c:v>0.58212646330775497</c:v>
                </c:pt>
                <c:pt idx="821">
                  <c:v>0.59553564974658291</c:v>
                </c:pt>
                <c:pt idx="822">
                  <c:v>0.55498097169165694</c:v>
                </c:pt>
                <c:pt idx="823">
                  <c:v>0.57525824530845449</c:v>
                </c:pt>
                <c:pt idx="824">
                  <c:v>0.44944503962953308</c:v>
                </c:pt>
                <c:pt idx="825">
                  <c:v>0.49622523528512086</c:v>
                </c:pt>
                <c:pt idx="826">
                  <c:v>0.50178654999955841</c:v>
                </c:pt>
                <c:pt idx="827">
                  <c:v>0.48870118058540779</c:v>
                </c:pt>
                <c:pt idx="828">
                  <c:v>0.45606912948450828</c:v>
                </c:pt>
                <c:pt idx="829">
                  <c:v>0.51758253281409128</c:v>
                </c:pt>
                <c:pt idx="830">
                  <c:v>0.48159059602266496</c:v>
                </c:pt>
                <c:pt idx="831">
                  <c:v>0.4842081890460479</c:v>
                </c:pt>
                <c:pt idx="832">
                  <c:v>0.41969055054989224</c:v>
                </c:pt>
                <c:pt idx="833">
                  <c:v>0.42460041034341334</c:v>
                </c:pt>
                <c:pt idx="834">
                  <c:v>0.48613735248794088</c:v>
                </c:pt>
                <c:pt idx="835">
                  <c:v>0.52017907978875133</c:v>
                </c:pt>
                <c:pt idx="836">
                  <c:v>0.52062791382679663</c:v>
                </c:pt>
                <c:pt idx="837">
                  <c:v>0.5108088465251881</c:v>
                </c:pt>
                <c:pt idx="838">
                  <c:v>0.48920682645491587</c:v>
                </c:pt>
                <c:pt idx="839">
                  <c:v>0.47447814367666941</c:v>
                </c:pt>
                <c:pt idx="840">
                  <c:v>0.50219294806389825</c:v>
                </c:pt>
                <c:pt idx="841">
                  <c:v>0.52444989450351165</c:v>
                </c:pt>
                <c:pt idx="842">
                  <c:v>0.51364874520362469</c:v>
                </c:pt>
                <c:pt idx="843">
                  <c:v>0.48550026278225467</c:v>
                </c:pt>
                <c:pt idx="844">
                  <c:v>0.50633374591913238</c:v>
                </c:pt>
                <c:pt idx="845">
                  <c:v>0.51942581055217962</c:v>
                </c:pt>
                <c:pt idx="846">
                  <c:v>0.52891759014130035</c:v>
                </c:pt>
                <c:pt idx="847">
                  <c:v>0.56132035191760732</c:v>
                </c:pt>
                <c:pt idx="848">
                  <c:v>0.5704808856921737</c:v>
                </c:pt>
                <c:pt idx="849">
                  <c:v>0.56491803218810377</c:v>
                </c:pt>
                <c:pt idx="850">
                  <c:v>0.52074298326138213</c:v>
                </c:pt>
                <c:pt idx="851">
                  <c:v>0.52139746163772416</c:v>
                </c:pt>
                <c:pt idx="852">
                  <c:v>0.51634979762091771</c:v>
                </c:pt>
                <c:pt idx="853">
                  <c:v>0.55496167264765162</c:v>
                </c:pt>
                <c:pt idx="854">
                  <c:v>0.57034103759101584</c:v>
                </c:pt>
                <c:pt idx="855">
                  <c:v>0.51504088556094452</c:v>
                </c:pt>
                <c:pt idx="856">
                  <c:v>0.57484744550397804</c:v>
                </c:pt>
                <c:pt idx="857">
                  <c:v>0.57026750531332215</c:v>
                </c:pt>
                <c:pt idx="858">
                  <c:v>0.57353889583706574</c:v>
                </c:pt>
                <c:pt idx="859">
                  <c:v>0.60821449697899777</c:v>
                </c:pt>
                <c:pt idx="860">
                  <c:v>0.63111547624070274</c:v>
                </c:pt>
                <c:pt idx="861">
                  <c:v>0.62653807671518491</c:v>
                </c:pt>
                <c:pt idx="862">
                  <c:v>0.59841913009957981</c:v>
                </c:pt>
                <c:pt idx="863">
                  <c:v>0.64288628248215818</c:v>
                </c:pt>
                <c:pt idx="864">
                  <c:v>0.64056760842637228</c:v>
                </c:pt>
                <c:pt idx="865">
                  <c:v>0.65265951518018817</c:v>
                </c:pt>
                <c:pt idx="866">
                  <c:v>0.66671215773752102</c:v>
                </c:pt>
                <c:pt idx="867">
                  <c:v>0.66181004044393377</c:v>
                </c:pt>
                <c:pt idx="868">
                  <c:v>0.67308050639235861</c:v>
                </c:pt>
                <c:pt idx="869">
                  <c:v>0.70541466755917903</c:v>
                </c:pt>
                <c:pt idx="870">
                  <c:v>0.7596314343302788</c:v>
                </c:pt>
                <c:pt idx="871">
                  <c:v>0.7596314343302788</c:v>
                </c:pt>
                <c:pt idx="872">
                  <c:v>0.74054947179301478</c:v>
                </c:pt>
                <c:pt idx="873">
                  <c:v>0.74316008640250897</c:v>
                </c:pt>
                <c:pt idx="874">
                  <c:v>0.76208764604106172</c:v>
                </c:pt>
                <c:pt idx="875">
                  <c:v>0.79113142703352479</c:v>
                </c:pt>
                <c:pt idx="876">
                  <c:v>0.736850821834383</c:v>
                </c:pt>
                <c:pt idx="877">
                  <c:v>0.80337169807124642</c:v>
                </c:pt>
                <c:pt idx="878">
                  <c:v>0.81739324844394301</c:v>
                </c:pt>
                <c:pt idx="879">
                  <c:v>0.82130620663736931</c:v>
                </c:pt>
                <c:pt idx="880">
                  <c:v>0.76077580843280135</c:v>
                </c:pt>
                <c:pt idx="881">
                  <c:v>0.74872105239278719</c:v>
                </c:pt>
                <c:pt idx="882">
                  <c:v>0.77543707041665066</c:v>
                </c:pt>
                <c:pt idx="883">
                  <c:v>0.77739180326223356</c:v>
                </c:pt>
                <c:pt idx="884">
                  <c:v>0.80274800676356062</c:v>
                </c:pt>
                <c:pt idx="885">
                  <c:v>0.80567739307121067</c:v>
                </c:pt>
                <c:pt idx="886">
                  <c:v>0.79981858790717308</c:v>
                </c:pt>
                <c:pt idx="887">
                  <c:v>0.8007950174609868</c:v>
                </c:pt>
                <c:pt idx="888">
                  <c:v>0.7910395055773467</c:v>
                </c:pt>
                <c:pt idx="889">
                  <c:v>0.79494181935545849</c:v>
                </c:pt>
                <c:pt idx="890">
                  <c:v>0.76632458065303566</c:v>
                </c:pt>
                <c:pt idx="891">
                  <c:v>0.79331587425098404</c:v>
                </c:pt>
                <c:pt idx="892">
                  <c:v>0.78329151990988732</c:v>
                </c:pt>
                <c:pt idx="893">
                  <c:v>0.79303879509371877</c:v>
                </c:pt>
                <c:pt idx="894">
                  <c:v>0.68484374488485522</c:v>
                </c:pt>
                <c:pt idx="895">
                  <c:v>0.74365243620777544</c:v>
                </c:pt>
                <c:pt idx="896">
                  <c:v>0.65753349139616346</c:v>
                </c:pt>
                <c:pt idx="897">
                  <c:v>0.46203084193331567</c:v>
                </c:pt>
                <c:pt idx="898">
                  <c:v>0.45033962111782144</c:v>
                </c:pt>
              </c:numCache>
            </c:numRef>
          </c:yVal>
          <c:smooth val="1"/>
          <c:extLst>
            <c:ext xmlns:c16="http://schemas.microsoft.com/office/drawing/2014/chart" uri="{C3380CC4-5D6E-409C-BE32-E72D297353CC}">
              <c16:uniqueId val="{00000001-7DAF-40ED-B528-82606285DBA2}"/>
            </c:ext>
          </c:extLst>
        </c:ser>
        <c:ser>
          <c:idx val="1"/>
          <c:order val="1"/>
          <c:spPr>
            <a:ln w="12700" cap="rnd">
              <a:solidFill>
                <a:schemeClr val="accent5">
                  <a:lumMod val="60000"/>
                  <a:lumOff val="40000"/>
                </a:schemeClr>
              </a:solidFill>
              <a:round/>
            </a:ln>
            <a:effectLst/>
          </c:spPr>
          <c:marker>
            <c:symbol val="none"/>
          </c:marker>
          <c:xVal>
            <c:strRef>
              <c:f>Sheet1!plot_date</c:f>
              <c:strCache>
                <c:ptCount val="899"/>
                <c:pt idx="0">
                  <c:v>1/6/2003</c:v>
                </c:pt>
                <c:pt idx="1">
                  <c:v>1/13/2003</c:v>
                </c:pt>
                <c:pt idx="2">
                  <c:v>1/20/2003</c:v>
                </c:pt>
                <c:pt idx="3">
                  <c:v>1/27/2003</c:v>
                </c:pt>
                <c:pt idx="4">
                  <c:v>2/3/2003</c:v>
                </c:pt>
                <c:pt idx="5">
                  <c:v>2/10/2003</c:v>
                </c:pt>
                <c:pt idx="6">
                  <c:v>2/17/2003</c:v>
                </c:pt>
                <c:pt idx="7">
                  <c:v>2/24/2003</c:v>
                </c:pt>
                <c:pt idx="8">
                  <c:v>3/3/2003</c:v>
                </c:pt>
                <c:pt idx="9">
                  <c:v>3/10/2003</c:v>
                </c:pt>
                <c:pt idx="10">
                  <c:v>3/17/2003</c:v>
                </c:pt>
                <c:pt idx="11">
                  <c:v>3/24/2003</c:v>
                </c:pt>
                <c:pt idx="12">
                  <c:v>3/31/2003</c:v>
                </c:pt>
                <c:pt idx="13">
                  <c:v>4/7/2003</c:v>
                </c:pt>
                <c:pt idx="14">
                  <c:v>4/14/2003</c:v>
                </c:pt>
                <c:pt idx="15">
                  <c:v>4/21/2003</c:v>
                </c:pt>
                <c:pt idx="16">
                  <c:v>4/28/2003</c:v>
                </c:pt>
                <c:pt idx="17">
                  <c:v>5/5/2003</c:v>
                </c:pt>
                <c:pt idx="18">
                  <c:v>5/12/2003</c:v>
                </c:pt>
                <c:pt idx="19">
                  <c:v>5/19/2003</c:v>
                </c:pt>
                <c:pt idx="20">
                  <c:v>5/26/2003</c:v>
                </c:pt>
                <c:pt idx="21">
                  <c:v>6/2/2003</c:v>
                </c:pt>
                <c:pt idx="22">
                  <c:v>6/9/2003</c:v>
                </c:pt>
                <c:pt idx="23">
                  <c:v>6/16/2003</c:v>
                </c:pt>
                <c:pt idx="24">
                  <c:v>6/23/2003</c:v>
                </c:pt>
                <c:pt idx="25">
                  <c:v>6/30/2003</c:v>
                </c:pt>
                <c:pt idx="26">
                  <c:v>7/7/2003</c:v>
                </c:pt>
                <c:pt idx="27">
                  <c:v>7/14/2003</c:v>
                </c:pt>
                <c:pt idx="28">
                  <c:v>7/21/2003</c:v>
                </c:pt>
                <c:pt idx="29">
                  <c:v>7/28/2003</c:v>
                </c:pt>
                <c:pt idx="30">
                  <c:v>8/4/2003</c:v>
                </c:pt>
                <c:pt idx="31">
                  <c:v>8/11/2003</c:v>
                </c:pt>
                <c:pt idx="32">
                  <c:v>8/18/2003</c:v>
                </c:pt>
                <c:pt idx="33">
                  <c:v>8/25/2003</c:v>
                </c:pt>
                <c:pt idx="34">
                  <c:v>9/1/2003</c:v>
                </c:pt>
                <c:pt idx="35">
                  <c:v>9/8/2003</c:v>
                </c:pt>
                <c:pt idx="36">
                  <c:v>9/15/2003</c:v>
                </c:pt>
                <c:pt idx="37">
                  <c:v>9/22/2003</c:v>
                </c:pt>
                <c:pt idx="38">
                  <c:v>9/29/2003</c:v>
                </c:pt>
                <c:pt idx="39">
                  <c:v>10/6/2003</c:v>
                </c:pt>
                <c:pt idx="40">
                  <c:v>10/13/2003</c:v>
                </c:pt>
                <c:pt idx="41">
                  <c:v>10/20/2003</c:v>
                </c:pt>
                <c:pt idx="42">
                  <c:v>10/27/2003</c:v>
                </c:pt>
                <c:pt idx="43">
                  <c:v>11/3/2003</c:v>
                </c:pt>
                <c:pt idx="44">
                  <c:v>11/10/2003</c:v>
                </c:pt>
                <c:pt idx="45">
                  <c:v>11/17/2003</c:v>
                </c:pt>
                <c:pt idx="46">
                  <c:v>11/24/2003</c:v>
                </c:pt>
                <c:pt idx="47">
                  <c:v>12/1/2003</c:v>
                </c:pt>
                <c:pt idx="48">
                  <c:v>12/8/2003</c:v>
                </c:pt>
                <c:pt idx="49">
                  <c:v>12/15/2003</c:v>
                </c:pt>
                <c:pt idx="50">
                  <c:v>12/22/2003</c:v>
                </c:pt>
                <c:pt idx="51">
                  <c:v>12/29/2003</c:v>
                </c:pt>
                <c:pt idx="52">
                  <c:v>1/5/2004</c:v>
                </c:pt>
                <c:pt idx="53">
                  <c:v>1/12/2004</c:v>
                </c:pt>
                <c:pt idx="54">
                  <c:v>1/19/2004</c:v>
                </c:pt>
                <c:pt idx="55">
                  <c:v>1/26/2004</c:v>
                </c:pt>
                <c:pt idx="56">
                  <c:v>2/2/2004</c:v>
                </c:pt>
                <c:pt idx="57">
                  <c:v>2/9/2004</c:v>
                </c:pt>
                <c:pt idx="58">
                  <c:v>2/16/2004</c:v>
                </c:pt>
                <c:pt idx="59">
                  <c:v>2/23/2004</c:v>
                </c:pt>
                <c:pt idx="60">
                  <c:v>3/1/2004</c:v>
                </c:pt>
                <c:pt idx="61">
                  <c:v>3/8/2004</c:v>
                </c:pt>
                <c:pt idx="62">
                  <c:v>3/15/2004</c:v>
                </c:pt>
                <c:pt idx="63">
                  <c:v>3/22/2004</c:v>
                </c:pt>
                <c:pt idx="64">
                  <c:v>3/29/2004</c:v>
                </c:pt>
                <c:pt idx="65">
                  <c:v>4/5/2004</c:v>
                </c:pt>
                <c:pt idx="66">
                  <c:v>4/12/2004</c:v>
                </c:pt>
                <c:pt idx="67">
                  <c:v>4/19/2004</c:v>
                </c:pt>
                <c:pt idx="68">
                  <c:v>4/26/2004</c:v>
                </c:pt>
                <c:pt idx="69">
                  <c:v>5/3/2004</c:v>
                </c:pt>
                <c:pt idx="70">
                  <c:v>5/10/2004</c:v>
                </c:pt>
                <c:pt idx="71">
                  <c:v>5/17/2004</c:v>
                </c:pt>
                <c:pt idx="72">
                  <c:v>5/24/2004</c:v>
                </c:pt>
                <c:pt idx="73">
                  <c:v>5/31/2004</c:v>
                </c:pt>
                <c:pt idx="74">
                  <c:v>6/7/2004</c:v>
                </c:pt>
                <c:pt idx="75">
                  <c:v>6/14/2004</c:v>
                </c:pt>
                <c:pt idx="76">
                  <c:v>6/21/2004</c:v>
                </c:pt>
                <c:pt idx="77">
                  <c:v>6/28/2004</c:v>
                </c:pt>
                <c:pt idx="78">
                  <c:v>7/5/2004</c:v>
                </c:pt>
                <c:pt idx="79">
                  <c:v>7/12/2004</c:v>
                </c:pt>
                <c:pt idx="80">
                  <c:v>7/19/2004</c:v>
                </c:pt>
                <c:pt idx="81">
                  <c:v>7/26/2004</c:v>
                </c:pt>
                <c:pt idx="82">
                  <c:v>8/2/2004</c:v>
                </c:pt>
                <c:pt idx="83">
                  <c:v>8/9/2004</c:v>
                </c:pt>
                <c:pt idx="84">
                  <c:v>8/16/2004</c:v>
                </c:pt>
                <c:pt idx="85">
                  <c:v>8/23/2004</c:v>
                </c:pt>
                <c:pt idx="86">
                  <c:v>8/30/2004</c:v>
                </c:pt>
                <c:pt idx="87">
                  <c:v>9/6/2004</c:v>
                </c:pt>
                <c:pt idx="88">
                  <c:v>9/13/2004</c:v>
                </c:pt>
                <c:pt idx="89">
                  <c:v>9/20/2004</c:v>
                </c:pt>
                <c:pt idx="90">
                  <c:v>9/27/2004</c:v>
                </c:pt>
                <c:pt idx="91">
                  <c:v>10/4/2004</c:v>
                </c:pt>
                <c:pt idx="92">
                  <c:v>10/11/2004</c:v>
                </c:pt>
                <c:pt idx="93">
                  <c:v>10/18/2004</c:v>
                </c:pt>
                <c:pt idx="94">
                  <c:v>10/25/2004</c:v>
                </c:pt>
                <c:pt idx="95">
                  <c:v>11/1/2004</c:v>
                </c:pt>
                <c:pt idx="96">
                  <c:v>11/8/2004</c:v>
                </c:pt>
                <c:pt idx="97">
                  <c:v>11/15/2004</c:v>
                </c:pt>
                <c:pt idx="98">
                  <c:v>11/22/2004</c:v>
                </c:pt>
                <c:pt idx="99">
                  <c:v>11/29/2004</c:v>
                </c:pt>
                <c:pt idx="100">
                  <c:v>12/6/2004</c:v>
                </c:pt>
                <c:pt idx="101">
                  <c:v>12/13/2004</c:v>
                </c:pt>
                <c:pt idx="102">
                  <c:v>12/20/2004</c:v>
                </c:pt>
                <c:pt idx="103">
                  <c:v>12/27/2004</c:v>
                </c:pt>
                <c:pt idx="104">
                  <c:v>1/3/2005</c:v>
                </c:pt>
                <c:pt idx="105">
                  <c:v>1/10/2005</c:v>
                </c:pt>
                <c:pt idx="106">
                  <c:v>1/17/2005</c:v>
                </c:pt>
                <c:pt idx="107">
                  <c:v>1/24/2005</c:v>
                </c:pt>
                <c:pt idx="108">
                  <c:v>1/31/2005</c:v>
                </c:pt>
                <c:pt idx="109">
                  <c:v>2/7/2005</c:v>
                </c:pt>
                <c:pt idx="110">
                  <c:v>2/14/2005</c:v>
                </c:pt>
                <c:pt idx="111">
                  <c:v>2/21/2005</c:v>
                </c:pt>
                <c:pt idx="112">
                  <c:v>2/28/2005</c:v>
                </c:pt>
                <c:pt idx="113">
                  <c:v>3/7/2005</c:v>
                </c:pt>
                <c:pt idx="114">
                  <c:v>3/14/2005</c:v>
                </c:pt>
                <c:pt idx="115">
                  <c:v>3/21/2005</c:v>
                </c:pt>
                <c:pt idx="116">
                  <c:v>3/28/2005</c:v>
                </c:pt>
                <c:pt idx="117">
                  <c:v>4/4/2005</c:v>
                </c:pt>
                <c:pt idx="118">
                  <c:v>4/11/2005</c:v>
                </c:pt>
                <c:pt idx="119">
                  <c:v>4/18/2005</c:v>
                </c:pt>
                <c:pt idx="120">
                  <c:v>4/25/2005</c:v>
                </c:pt>
                <c:pt idx="121">
                  <c:v>5/2/2005</c:v>
                </c:pt>
                <c:pt idx="122">
                  <c:v>5/9/2005</c:v>
                </c:pt>
                <c:pt idx="123">
                  <c:v>5/16/2005</c:v>
                </c:pt>
                <c:pt idx="124">
                  <c:v>5/23/2005</c:v>
                </c:pt>
                <c:pt idx="125">
                  <c:v>5/30/2005</c:v>
                </c:pt>
                <c:pt idx="126">
                  <c:v>6/6/2005</c:v>
                </c:pt>
                <c:pt idx="127">
                  <c:v>6/13/2005</c:v>
                </c:pt>
                <c:pt idx="128">
                  <c:v>6/20/2005</c:v>
                </c:pt>
                <c:pt idx="129">
                  <c:v>6/27/2005</c:v>
                </c:pt>
                <c:pt idx="130">
                  <c:v>7/4/2005</c:v>
                </c:pt>
                <c:pt idx="131">
                  <c:v>7/11/2005</c:v>
                </c:pt>
                <c:pt idx="132">
                  <c:v>7/18/2005</c:v>
                </c:pt>
                <c:pt idx="133">
                  <c:v>7/25/2005</c:v>
                </c:pt>
                <c:pt idx="134">
                  <c:v>8/1/2005</c:v>
                </c:pt>
                <c:pt idx="135">
                  <c:v>8/8/2005</c:v>
                </c:pt>
                <c:pt idx="136">
                  <c:v>8/15/2005</c:v>
                </c:pt>
                <c:pt idx="137">
                  <c:v>8/22/2005</c:v>
                </c:pt>
                <c:pt idx="138">
                  <c:v>8/29/2005</c:v>
                </c:pt>
                <c:pt idx="139">
                  <c:v>9/5/2005</c:v>
                </c:pt>
                <c:pt idx="140">
                  <c:v>9/12/2005</c:v>
                </c:pt>
                <c:pt idx="141">
                  <c:v>9/19/2005</c:v>
                </c:pt>
                <c:pt idx="142">
                  <c:v>9/26/2005</c:v>
                </c:pt>
                <c:pt idx="143">
                  <c:v>10/3/2005</c:v>
                </c:pt>
                <c:pt idx="144">
                  <c:v>10/10/2005</c:v>
                </c:pt>
                <c:pt idx="145">
                  <c:v>10/17/2005</c:v>
                </c:pt>
                <c:pt idx="146">
                  <c:v>10/24/2005</c:v>
                </c:pt>
                <c:pt idx="147">
                  <c:v>10/31/2005</c:v>
                </c:pt>
                <c:pt idx="148">
                  <c:v>11/7/2005</c:v>
                </c:pt>
                <c:pt idx="149">
                  <c:v>11/14/2005</c:v>
                </c:pt>
                <c:pt idx="150">
                  <c:v>11/21/2005</c:v>
                </c:pt>
                <c:pt idx="151">
                  <c:v>11/28/2005</c:v>
                </c:pt>
                <c:pt idx="152">
                  <c:v>12/5/2005</c:v>
                </c:pt>
                <c:pt idx="153">
                  <c:v>12/12/2005</c:v>
                </c:pt>
                <c:pt idx="154">
                  <c:v>12/19/2005</c:v>
                </c:pt>
                <c:pt idx="155">
                  <c:v>12/26/2005</c:v>
                </c:pt>
                <c:pt idx="156">
                  <c:v>1/2/2006</c:v>
                </c:pt>
                <c:pt idx="157">
                  <c:v>1/9/2006</c:v>
                </c:pt>
                <c:pt idx="158">
                  <c:v>1/16/2006</c:v>
                </c:pt>
                <c:pt idx="159">
                  <c:v>1/23/2006</c:v>
                </c:pt>
                <c:pt idx="160">
                  <c:v>1/30/2006</c:v>
                </c:pt>
                <c:pt idx="161">
                  <c:v>2/6/2006</c:v>
                </c:pt>
                <c:pt idx="162">
                  <c:v>2/13/2006</c:v>
                </c:pt>
                <c:pt idx="163">
                  <c:v>2/20/2006</c:v>
                </c:pt>
                <c:pt idx="164">
                  <c:v>2/27/2006</c:v>
                </c:pt>
                <c:pt idx="165">
                  <c:v>3/6/2006</c:v>
                </c:pt>
                <c:pt idx="166">
                  <c:v>3/13/2006</c:v>
                </c:pt>
                <c:pt idx="167">
                  <c:v>3/20/2006</c:v>
                </c:pt>
                <c:pt idx="168">
                  <c:v>3/27/2006</c:v>
                </c:pt>
                <c:pt idx="169">
                  <c:v>4/3/2006</c:v>
                </c:pt>
                <c:pt idx="170">
                  <c:v>4/10/2006</c:v>
                </c:pt>
                <c:pt idx="171">
                  <c:v>4/17/2006</c:v>
                </c:pt>
                <c:pt idx="172">
                  <c:v>4/24/2006</c:v>
                </c:pt>
                <c:pt idx="173">
                  <c:v>5/1/2006</c:v>
                </c:pt>
                <c:pt idx="174">
                  <c:v>5/8/2006</c:v>
                </c:pt>
                <c:pt idx="175">
                  <c:v>5/15/2006</c:v>
                </c:pt>
                <c:pt idx="176">
                  <c:v>5/22/2006</c:v>
                </c:pt>
                <c:pt idx="177">
                  <c:v>5/29/2006</c:v>
                </c:pt>
                <c:pt idx="178">
                  <c:v>6/5/2006</c:v>
                </c:pt>
                <c:pt idx="179">
                  <c:v>6/12/2006</c:v>
                </c:pt>
                <c:pt idx="180">
                  <c:v>6/19/2006</c:v>
                </c:pt>
                <c:pt idx="181">
                  <c:v>6/26/2006</c:v>
                </c:pt>
                <c:pt idx="182">
                  <c:v>7/3/2006</c:v>
                </c:pt>
                <c:pt idx="183">
                  <c:v>7/10/2006</c:v>
                </c:pt>
                <c:pt idx="184">
                  <c:v>7/17/2006</c:v>
                </c:pt>
                <c:pt idx="185">
                  <c:v>7/24/2006</c:v>
                </c:pt>
                <c:pt idx="186">
                  <c:v>7/31/2006</c:v>
                </c:pt>
                <c:pt idx="187">
                  <c:v>8/7/2006</c:v>
                </c:pt>
                <c:pt idx="188">
                  <c:v>8/14/2006</c:v>
                </c:pt>
                <c:pt idx="189">
                  <c:v>8/21/2006</c:v>
                </c:pt>
                <c:pt idx="190">
                  <c:v>8/28/2006</c:v>
                </c:pt>
                <c:pt idx="191">
                  <c:v>9/4/2006</c:v>
                </c:pt>
                <c:pt idx="192">
                  <c:v>9/11/2006</c:v>
                </c:pt>
                <c:pt idx="193">
                  <c:v>9/18/2006</c:v>
                </c:pt>
                <c:pt idx="194">
                  <c:v>9/25/2006</c:v>
                </c:pt>
                <c:pt idx="195">
                  <c:v>10/2/2006</c:v>
                </c:pt>
                <c:pt idx="196">
                  <c:v>10/9/2006</c:v>
                </c:pt>
                <c:pt idx="197">
                  <c:v>10/16/2006</c:v>
                </c:pt>
                <c:pt idx="198">
                  <c:v>10/23/2006</c:v>
                </c:pt>
                <c:pt idx="199">
                  <c:v>10/30/2006</c:v>
                </c:pt>
                <c:pt idx="200">
                  <c:v>11/6/2006</c:v>
                </c:pt>
                <c:pt idx="201">
                  <c:v>11/13/2006</c:v>
                </c:pt>
                <c:pt idx="202">
                  <c:v>11/20/2006</c:v>
                </c:pt>
                <c:pt idx="203">
                  <c:v>11/27/2006</c:v>
                </c:pt>
                <c:pt idx="204">
                  <c:v>12/4/2006</c:v>
                </c:pt>
                <c:pt idx="205">
                  <c:v>12/11/2006</c:v>
                </c:pt>
                <c:pt idx="206">
                  <c:v>12/18/2006</c:v>
                </c:pt>
                <c:pt idx="207">
                  <c:v>12/25/2006</c:v>
                </c:pt>
                <c:pt idx="208">
                  <c:v>1/1/2007</c:v>
                </c:pt>
                <c:pt idx="209">
                  <c:v>1/8/2007</c:v>
                </c:pt>
                <c:pt idx="210">
                  <c:v>1/15/2007</c:v>
                </c:pt>
                <c:pt idx="211">
                  <c:v>1/22/2007</c:v>
                </c:pt>
                <c:pt idx="212">
                  <c:v>1/29/2007</c:v>
                </c:pt>
                <c:pt idx="213">
                  <c:v>2/5/2007</c:v>
                </c:pt>
                <c:pt idx="214">
                  <c:v>2/12/2007</c:v>
                </c:pt>
                <c:pt idx="215">
                  <c:v>2/19/2007</c:v>
                </c:pt>
                <c:pt idx="216">
                  <c:v>2/26/2007</c:v>
                </c:pt>
                <c:pt idx="217">
                  <c:v>3/5/2007</c:v>
                </c:pt>
                <c:pt idx="218">
                  <c:v>3/12/2007</c:v>
                </c:pt>
                <c:pt idx="219">
                  <c:v>3/19/2007</c:v>
                </c:pt>
                <c:pt idx="220">
                  <c:v>3/26/2007</c:v>
                </c:pt>
                <c:pt idx="221">
                  <c:v>4/2/2007</c:v>
                </c:pt>
                <c:pt idx="222">
                  <c:v>4/9/2007</c:v>
                </c:pt>
                <c:pt idx="223">
                  <c:v>4/16/2007</c:v>
                </c:pt>
                <c:pt idx="224">
                  <c:v>4/23/2007</c:v>
                </c:pt>
                <c:pt idx="225">
                  <c:v>4/30/2007</c:v>
                </c:pt>
                <c:pt idx="226">
                  <c:v>5/7/2007</c:v>
                </c:pt>
                <c:pt idx="227">
                  <c:v>5/14/2007</c:v>
                </c:pt>
                <c:pt idx="228">
                  <c:v>5/21/2007</c:v>
                </c:pt>
                <c:pt idx="229">
                  <c:v>5/28/2007</c:v>
                </c:pt>
                <c:pt idx="230">
                  <c:v>6/4/2007</c:v>
                </c:pt>
                <c:pt idx="231">
                  <c:v>6/11/2007</c:v>
                </c:pt>
                <c:pt idx="232">
                  <c:v>6/18/2007</c:v>
                </c:pt>
                <c:pt idx="233">
                  <c:v>6/25/2007</c:v>
                </c:pt>
                <c:pt idx="234">
                  <c:v>7/2/2007</c:v>
                </c:pt>
                <c:pt idx="235">
                  <c:v>7/9/2007</c:v>
                </c:pt>
                <c:pt idx="236">
                  <c:v>7/16/2007</c:v>
                </c:pt>
                <c:pt idx="237">
                  <c:v>7/23/2007</c:v>
                </c:pt>
                <c:pt idx="238">
                  <c:v>7/30/2007</c:v>
                </c:pt>
                <c:pt idx="239">
                  <c:v>8/6/2007</c:v>
                </c:pt>
                <c:pt idx="240">
                  <c:v>8/13/2007</c:v>
                </c:pt>
                <c:pt idx="241">
                  <c:v>8/20/2007</c:v>
                </c:pt>
                <c:pt idx="242">
                  <c:v>8/27/2007</c:v>
                </c:pt>
                <c:pt idx="243">
                  <c:v>9/3/2007</c:v>
                </c:pt>
                <c:pt idx="244">
                  <c:v>9/10/2007</c:v>
                </c:pt>
                <c:pt idx="245">
                  <c:v>9/17/2007</c:v>
                </c:pt>
                <c:pt idx="246">
                  <c:v>9/24/2007</c:v>
                </c:pt>
                <c:pt idx="247">
                  <c:v>10/1/2007</c:v>
                </c:pt>
                <c:pt idx="248">
                  <c:v>10/8/2007</c:v>
                </c:pt>
                <c:pt idx="249">
                  <c:v>10/15/2007</c:v>
                </c:pt>
                <c:pt idx="250">
                  <c:v>10/22/2007</c:v>
                </c:pt>
                <c:pt idx="251">
                  <c:v>10/29/2007</c:v>
                </c:pt>
                <c:pt idx="252">
                  <c:v>11/5/2007</c:v>
                </c:pt>
                <c:pt idx="253">
                  <c:v>11/12/2007</c:v>
                </c:pt>
                <c:pt idx="254">
                  <c:v>11/19/2007</c:v>
                </c:pt>
                <c:pt idx="255">
                  <c:v>11/26/2007</c:v>
                </c:pt>
                <c:pt idx="256">
                  <c:v>12/3/2007</c:v>
                </c:pt>
                <c:pt idx="257">
                  <c:v>12/10/2007</c:v>
                </c:pt>
                <c:pt idx="258">
                  <c:v>12/17/2007</c:v>
                </c:pt>
                <c:pt idx="259">
                  <c:v>12/24/2007</c:v>
                </c:pt>
                <c:pt idx="260">
                  <c:v>12/31/2007</c:v>
                </c:pt>
                <c:pt idx="261">
                  <c:v>1/7/2008</c:v>
                </c:pt>
                <c:pt idx="262">
                  <c:v>1/14/2008</c:v>
                </c:pt>
                <c:pt idx="263">
                  <c:v>1/21/2008</c:v>
                </c:pt>
                <c:pt idx="264">
                  <c:v>1/28/2008</c:v>
                </c:pt>
                <c:pt idx="265">
                  <c:v>2/4/2008</c:v>
                </c:pt>
                <c:pt idx="266">
                  <c:v>2/11/2008</c:v>
                </c:pt>
                <c:pt idx="267">
                  <c:v>2/18/2008</c:v>
                </c:pt>
                <c:pt idx="268">
                  <c:v>2/25/2008</c:v>
                </c:pt>
                <c:pt idx="269">
                  <c:v>3/3/2008</c:v>
                </c:pt>
                <c:pt idx="270">
                  <c:v>3/10/2008</c:v>
                </c:pt>
                <c:pt idx="271">
                  <c:v>3/17/2008</c:v>
                </c:pt>
                <c:pt idx="272">
                  <c:v>3/24/2008</c:v>
                </c:pt>
                <c:pt idx="273">
                  <c:v>3/31/2008</c:v>
                </c:pt>
                <c:pt idx="274">
                  <c:v>4/7/2008</c:v>
                </c:pt>
                <c:pt idx="275">
                  <c:v>4/14/2008</c:v>
                </c:pt>
                <c:pt idx="276">
                  <c:v>4/21/2008</c:v>
                </c:pt>
                <c:pt idx="277">
                  <c:v>4/28/2008</c:v>
                </c:pt>
                <c:pt idx="278">
                  <c:v>5/5/2008</c:v>
                </c:pt>
                <c:pt idx="279">
                  <c:v>5/12/2008</c:v>
                </c:pt>
                <c:pt idx="280">
                  <c:v>5/19/2008</c:v>
                </c:pt>
                <c:pt idx="281">
                  <c:v>5/26/2008</c:v>
                </c:pt>
                <c:pt idx="282">
                  <c:v>6/2/2008</c:v>
                </c:pt>
                <c:pt idx="283">
                  <c:v>6/9/2008</c:v>
                </c:pt>
                <c:pt idx="284">
                  <c:v>6/16/2008</c:v>
                </c:pt>
                <c:pt idx="285">
                  <c:v>6/23/2008</c:v>
                </c:pt>
                <c:pt idx="286">
                  <c:v>6/30/2008</c:v>
                </c:pt>
                <c:pt idx="287">
                  <c:v>7/7/2008</c:v>
                </c:pt>
                <c:pt idx="288">
                  <c:v>7/14/2008</c:v>
                </c:pt>
                <c:pt idx="289">
                  <c:v>7/21/2008</c:v>
                </c:pt>
                <c:pt idx="290">
                  <c:v>7/28/2008</c:v>
                </c:pt>
                <c:pt idx="291">
                  <c:v>8/4/2008</c:v>
                </c:pt>
                <c:pt idx="292">
                  <c:v>8/11/2008</c:v>
                </c:pt>
                <c:pt idx="293">
                  <c:v>8/18/2008</c:v>
                </c:pt>
                <c:pt idx="294">
                  <c:v>8/25/2008</c:v>
                </c:pt>
                <c:pt idx="295">
                  <c:v>9/1/2008</c:v>
                </c:pt>
                <c:pt idx="296">
                  <c:v>9/8/2008</c:v>
                </c:pt>
                <c:pt idx="297">
                  <c:v>9/15/2008</c:v>
                </c:pt>
                <c:pt idx="298">
                  <c:v>9/22/2008</c:v>
                </c:pt>
                <c:pt idx="299">
                  <c:v>9/29/2008</c:v>
                </c:pt>
                <c:pt idx="300">
                  <c:v>10/6/2008</c:v>
                </c:pt>
                <c:pt idx="301">
                  <c:v>10/13/2008</c:v>
                </c:pt>
                <c:pt idx="302">
                  <c:v>10/20/2008</c:v>
                </c:pt>
                <c:pt idx="303">
                  <c:v>10/27/2008</c:v>
                </c:pt>
                <c:pt idx="304">
                  <c:v>11/3/2008</c:v>
                </c:pt>
                <c:pt idx="305">
                  <c:v>11/10/2008</c:v>
                </c:pt>
                <c:pt idx="306">
                  <c:v>11/17/2008</c:v>
                </c:pt>
                <c:pt idx="307">
                  <c:v>11/24/2008</c:v>
                </c:pt>
                <c:pt idx="308">
                  <c:v>12/1/2008</c:v>
                </c:pt>
                <c:pt idx="309">
                  <c:v>12/8/2008</c:v>
                </c:pt>
                <c:pt idx="310">
                  <c:v>12/15/2008</c:v>
                </c:pt>
                <c:pt idx="311">
                  <c:v>12/22/2008</c:v>
                </c:pt>
                <c:pt idx="312">
                  <c:v>12/29/2008</c:v>
                </c:pt>
                <c:pt idx="313">
                  <c:v>1/5/2009</c:v>
                </c:pt>
                <c:pt idx="314">
                  <c:v>1/12/2009</c:v>
                </c:pt>
                <c:pt idx="315">
                  <c:v>1/19/2009</c:v>
                </c:pt>
                <c:pt idx="316">
                  <c:v>1/26/2009</c:v>
                </c:pt>
                <c:pt idx="317">
                  <c:v>2/2/2009</c:v>
                </c:pt>
                <c:pt idx="318">
                  <c:v>2/9/2009</c:v>
                </c:pt>
                <c:pt idx="319">
                  <c:v>2/16/2009</c:v>
                </c:pt>
                <c:pt idx="320">
                  <c:v>2/23/2009</c:v>
                </c:pt>
                <c:pt idx="321">
                  <c:v>3/2/2009</c:v>
                </c:pt>
                <c:pt idx="322">
                  <c:v>3/9/2009</c:v>
                </c:pt>
                <c:pt idx="323">
                  <c:v>3/16/2009</c:v>
                </c:pt>
                <c:pt idx="324">
                  <c:v>3/23/2009</c:v>
                </c:pt>
                <c:pt idx="325">
                  <c:v>3/30/2009</c:v>
                </c:pt>
                <c:pt idx="326">
                  <c:v>4/6/2009</c:v>
                </c:pt>
                <c:pt idx="327">
                  <c:v>4/13/2009</c:v>
                </c:pt>
                <c:pt idx="328">
                  <c:v>4/20/2009</c:v>
                </c:pt>
                <c:pt idx="329">
                  <c:v>4/27/2009</c:v>
                </c:pt>
                <c:pt idx="330">
                  <c:v>5/4/2009</c:v>
                </c:pt>
                <c:pt idx="331">
                  <c:v>5/11/2009</c:v>
                </c:pt>
                <c:pt idx="332">
                  <c:v>5/18/2009</c:v>
                </c:pt>
                <c:pt idx="333">
                  <c:v>5/25/2009</c:v>
                </c:pt>
                <c:pt idx="334">
                  <c:v>6/1/2009</c:v>
                </c:pt>
                <c:pt idx="335">
                  <c:v>6/8/2009</c:v>
                </c:pt>
                <c:pt idx="336">
                  <c:v>6/15/2009</c:v>
                </c:pt>
                <c:pt idx="337">
                  <c:v>6/22/2009</c:v>
                </c:pt>
                <c:pt idx="338">
                  <c:v>6/29/2009</c:v>
                </c:pt>
                <c:pt idx="339">
                  <c:v>7/6/2009</c:v>
                </c:pt>
                <c:pt idx="340">
                  <c:v>7/13/2009</c:v>
                </c:pt>
                <c:pt idx="341">
                  <c:v>7/20/2009</c:v>
                </c:pt>
                <c:pt idx="342">
                  <c:v>7/27/2009</c:v>
                </c:pt>
                <c:pt idx="343">
                  <c:v>8/3/2009</c:v>
                </c:pt>
                <c:pt idx="344">
                  <c:v>8/10/2009</c:v>
                </c:pt>
                <c:pt idx="345">
                  <c:v>8/17/2009</c:v>
                </c:pt>
                <c:pt idx="346">
                  <c:v>8/24/2009</c:v>
                </c:pt>
                <c:pt idx="347">
                  <c:v>8/31/2009</c:v>
                </c:pt>
                <c:pt idx="348">
                  <c:v>9/7/2009</c:v>
                </c:pt>
                <c:pt idx="349">
                  <c:v>9/14/2009</c:v>
                </c:pt>
                <c:pt idx="350">
                  <c:v>9/21/2009</c:v>
                </c:pt>
                <c:pt idx="351">
                  <c:v>9/28/2009</c:v>
                </c:pt>
                <c:pt idx="352">
                  <c:v>10/5/2009</c:v>
                </c:pt>
                <c:pt idx="353">
                  <c:v>10/12/2009</c:v>
                </c:pt>
                <c:pt idx="354">
                  <c:v>10/19/2009</c:v>
                </c:pt>
                <c:pt idx="355">
                  <c:v>10/26/2009</c:v>
                </c:pt>
                <c:pt idx="356">
                  <c:v>11/2/2009</c:v>
                </c:pt>
                <c:pt idx="357">
                  <c:v>11/9/2009</c:v>
                </c:pt>
                <c:pt idx="358">
                  <c:v>11/16/2009</c:v>
                </c:pt>
                <c:pt idx="359">
                  <c:v>11/23/2009</c:v>
                </c:pt>
                <c:pt idx="360">
                  <c:v>11/30/2009</c:v>
                </c:pt>
                <c:pt idx="361">
                  <c:v>12/7/2009</c:v>
                </c:pt>
                <c:pt idx="362">
                  <c:v>12/14/2009</c:v>
                </c:pt>
                <c:pt idx="363">
                  <c:v>12/21/2009</c:v>
                </c:pt>
                <c:pt idx="364">
                  <c:v>12/28/2009</c:v>
                </c:pt>
                <c:pt idx="365">
                  <c:v>1/4/2010</c:v>
                </c:pt>
                <c:pt idx="366">
                  <c:v>1/11/2010</c:v>
                </c:pt>
                <c:pt idx="367">
                  <c:v>1/18/2010</c:v>
                </c:pt>
                <c:pt idx="368">
                  <c:v>1/25/2010</c:v>
                </c:pt>
                <c:pt idx="369">
                  <c:v>2/1/2010</c:v>
                </c:pt>
                <c:pt idx="370">
                  <c:v>2/8/2010</c:v>
                </c:pt>
                <c:pt idx="371">
                  <c:v>2/15/2010</c:v>
                </c:pt>
                <c:pt idx="372">
                  <c:v>2/22/2010</c:v>
                </c:pt>
                <c:pt idx="373">
                  <c:v>3/1/2010</c:v>
                </c:pt>
                <c:pt idx="374">
                  <c:v>3/8/2010</c:v>
                </c:pt>
                <c:pt idx="375">
                  <c:v>3/15/2010</c:v>
                </c:pt>
                <c:pt idx="376">
                  <c:v>3/22/2010</c:v>
                </c:pt>
                <c:pt idx="377">
                  <c:v>3/29/2010</c:v>
                </c:pt>
                <c:pt idx="378">
                  <c:v>4/5/2010</c:v>
                </c:pt>
                <c:pt idx="379">
                  <c:v>4/12/2010</c:v>
                </c:pt>
                <c:pt idx="380">
                  <c:v>4/19/2010</c:v>
                </c:pt>
                <c:pt idx="381">
                  <c:v>4/26/2010</c:v>
                </c:pt>
                <c:pt idx="382">
                  <c:v>5/3/2010</c:v>
                </c:pt>
                <c:pt idx="383">
                  <c:v>5/10/2010</c:v>
                </c:pt>
                <c:pt idx="384">
                  <c:v>5/17/2010</c:v>
                </c:pt>
                <c:pt idx="385">
                  <c:v>5/24/2010</c:v>
                </c:pt>
                <c:pt idx="386">
                  <c:v>5/31/2010</c:v>
                </c:pt>
                <c:pt idx="387">
                  <c:v>6/7/2010</c:v>
                </c:pt>
                <c:pt idx="388">
                  <c:v>6/14/2010</c:v>
                </c:pt>
                <c:pt idx="389">
                  <c:v>6/21/2010</c:v>
                </c:pt>
                <c:pt idx="390">
                  <c:v>6/28/2010</c:v>
                </c:pt>
                <c:pt idx="391">
                  <c:v>7/5/2010</c:v>
                </c:pt>
                <c:pt idx="392">
                  <c:v>7/12/2010</c:v>
                </c:pt>
                <c:pt idx="393">
                  <c:v>7/19/2010</c:v>
                </c:pt>
                <c:pt idx="394">
                  <c:v>7/26/2010</c:v>
                </c:pt>
                <c:pt idx="395">
                  <c:v>8/2/2010</c:v>
                </c:pt>
                <c:pt idx="396">
                  <c:v>8/9/2010</c:v>
                </c:pt>
                <c:pt idx="397">
                  <c:v>8/16/2010</c:v>
                </c:pt>
                <c:pt idx="398">
                  <c:v>8/23/2010</c:v>
                </c:pt>
                <c:pt idx="399">
                  <c:v>8/30/2010</c:v>
                </c:pt>
                <c:pt idx="400">
                  <c:v>9/6/2010</c:v>
                </c:pt>
                <c:pt idx="401">
                  <c:v>9/13/2010</c:v>
                </c:pt>
                <c:pt idx="402">
                  <c:v>9/20/2010</c:v>
                </c:pt>
                <c:pt idx="403">
                  <c:v>9/27/2010</c:v>
                </c:pt>
                <c:pt idx="404">
                  <c:v>10/4/2010</c:v>
                </c:pt>
                <c:pt idx="405">
                  <c:v>10/11/2010</c:v>
                </c:pt>
                <c:pt idx="406">
                  <c:v>10/18/2010</c:v>
                </c:pt>
                <c:pt idx="407">
                  <c:v>10/25/2010</c:v>
                </c:pt>
                <c:pt idx="408">
                  <c:v>11/1/2010</c:v>
                </c:pt>
                <c:pt idx="409">
                  <c:v>11/8/2010</c:v>
                </c:pt>
                <c:pt idx="410">
                  <c:v>11/15/2010</c:v>
                </c:pt>
                <c:pt idx="411">
                  <c:v>11/22/2010</c:v>
                </c:pt>
                <c:pt idx="412">
                  <c:v>11/29/2010</c:v>
                </c:pt>
                <c:pt idx="413">
                  <c:v>12/6/2010</c:v>
                </c:pt>
                <c:pt idx="414">
                  <c:v>12/13/2010</c:v>
                </c:pt>
                <c:pt idx="415">
                  <c:v>12/20/2010</c:v>
                </c:pt>
                <c:pt idx="416">
                  <c:v>12/27/2010</c:v>
                </c:pt>
                <c:pt idx="417">
                  <c:v>1/3/2011</c:v>
                </c:pt>
                <c:pt idx="418">
                  <c:v>1/10/2011</c:v>
                </c:pt>
                <c:pt idx="419">
                  <c:v>1/17/2011</c:v>
                </c:pt>
                <c:pt idx="420">
                  <c:v>1/24/2011</c:v>
                </c:pt>
                <c:pt idx="421">
                  <c:v>1/31/2011</c:v>
                </c:pt>
                <c:pt idx="422">
                  <c:v>2/7/2011</c:v>
                </c:pt>
                <c:pt idx="423">
                  <c:v>2/14/2011</c:v>
                </c:pt>
                <c:pt idx="424">
                  <c:v>2/21/2011</c:v>
                </c:pt>
                <c:pt idx="425">
                  <c:v>2/28/2011</c:v>
                </c:pt>
                <c:pt idx="426">
                  <c:v>3/7/2011</c:v>
                </c:pt>
                <c:pt idx="427">
                  <c:v>3/14/2011</c:v>
                </c:pt>
                <c:pt idx="428">
                  <c:v>3/21/2011</c:v>
                </c:pt>
                <c:pt idx="429">
                  <c:v>3/28/2011</c:v>
                </c:pt>
                <c:pt idx="430">
                  <c:v>4/4/2011</c:v>
                </c:pt>
                <c:pt idx="431">
                  <c:v>4/11/2011</c:v>
                </c:pt>
                <c:pt idx="432">
                  <c:v>4/18/2011</c:v>
                </c:pt>
                <c:pt idx="433">
                  <c:v>4/25/2011</c:v>
                </c:pt>
                <c:pt idx="434">
                  <c:v>5/2/2011</c:v>
                </c:pt>
                <c:pt idx="435">
                  <c:v>5/9/2011</c:v>
                </c:pt>
                <c:pt idx="436">
                  <c:v>5/16/2011</c:v>
                </c:pt>
                <c:pt idx="437">
                  <c:v>5/23/2011</c:v>
                </c:pt>
                <c:pt idx="438">
                  <c:v>5/30/2011</c:v>
                </c:pt>
                <c:pt idx="439">
                  <c:v>6/6/2011</c:v>
                </c:pt>
                <c:pt idx="440">
                  <c:v>6/13/2011</c:v>
                </c:pt>
                <c:pt idx="441">
                  <c:v>6/20/2011</c:v>
                </c:pt>
                <c:pt idx="442">
                  <c:v>6/27/2011</c:v>
                </c:pt>
                <c:pt idx="443">
                  <c:v>7/4/2011</c:v>
                </c:pt>
                <c:pt idx="444">
                  <c:v>7/11/2011</c:v>
                </c:pt>
                <c:pt idx="445">
                  <c:v>7/18/2011</c:v>
                </c:pt>
                <c:pt idx="446">
                  <c:v>7/25/2011</c:v>
                </c:pt>
                <c:pt idx="447">
                  <c:v>8/1/2011</c:v>
                </c:pt>
                <c:pt idx="448">
                  <c:v>8/8/2011</c:v>
                </c:pt>
                <c:pt idx="449">
                  <c:v>8/15/2011</c:v>
                </c:pt>
                <c:pt idx="450">
                  <c:v>8/22/2011</c:v>
                </c:pt>
                <c:pt idx="451">
                  <c:v>8/29/2011</c:v>
                </c:pt>
                <c:pt idx="452">
                  <c:v>9/5/2011</c:v>
                </c:pt>
                <c:pt idx="453">
                  <c:v>9/12/2011</c:v>
                </c:pt>
                <c:pt idx="454">
                  <c:v>9/19/2011</c:v>
                </c:pt>
                <c:pt idx="455">
                  <c:v>9/26/2011</c:v>
                </c:pt>
                <c:pt idx="456">
                  <c:v>10/3/2011</c:v>
                </c:pt>
                <c:pt idx="457">
                  <c:v>10/10/2011</c:v>
                </c:pt>
                <c:pt idx="458">
                  <c:v>10/17/2011</c:v>
                </c:pt>
                <c:pt idx="459">
                  <c:v>10/24/2011</c:v>
                </c:pt>
                <c:pt idx="460">
                  <c:v>10/31/2011</c:v>
                </c:pt>
                <c:pt idx="461">
                  <c:v>11/7/2011</c:v>
                </c:pt>
                <c:pt idx="462">
                  <c:v>11/14/2011</c:v>
                </c:pt>
                <c:pt idx="463">
                  <c:v>11/21/2011</c:v>
                </c:pt>
                <c:pt idx="464">
                  <c:v>11/28/2011</c:v>
                </c:pt>
                <c:pt idx="465">
                  <c:v>12/5/2011</c:v>
                </c:pt>
                <c:pt idx="466">
                  <c:v>12/12/2011</c:v>
                </c:pt>
                <c:pt idx="467">
                  <c:v>12/19/2011</c:v>
                </c:pt>
                <c:pt idx="468">
                  <c:v>12/26/2011</c:v>
                </c:pt>
                <c:pt idx="469">
                  <c:v>1/2/2012</c:v>
                </c:pt>
                <c:pt idx="470">
                  <c:v>1/9/2012</c:v>
                </c:pt>
                <c:pt idx="471">
                  <c:v>1/16/2012</c:v>
                </c:pt>
                <c:pt idx="472">
                  <c:v>1/23/2012</c:v>
                </c:pt>
                <c:pt idx="473">
                  <c:v>1/30/2012</c:v>
                </c:pt>
                <c:pt idx="474">
                  <c:v>2/6/2012</c:v>
                </c:pt>
                <c:pt idx="475">
                  <c:v>2/13/2012</c:v>
                </c:pt>
                <c:pt idx="476">
                  <c:v>2/20/2012</c:v>
                </c:pt>
                <c:pt idx="477">
                  <c:v>2/27/2012</c:v>
                </c:pt>
                <c:pt idx="478">
                  <c:v>3/5/2012</c:v>
                </c:pt>
                <c:pt idx="479">
                  <c:v>3/12/2012</c:v>
                </c:pt>
                <c:pt idx="480">
                  <c:v>3/19/2012</c:v>
                </c:pt>
                <c:pt idx="481">
                  <c:v>3/26/2012</c:v>
                </c:pt>
                <c:pt idx="482">
                  <c:v>4/2/2012</c:v>
                </c:pt>
                <c:pt idx="483">
                  <c:v>4/9/2012</c:v>
                </c:pt>
                <c:pt idx="484">
                  <c:v>4/16/2012</c:v>
                </c:pt>
                <c:pt idx="485">
                  <c:v>4/23/2012</c:v>
                </c:pt>
                <c:pt idx="486">
                  <c:v>4/30/2012</c:v>
                </c:pt>
                <c:pt idx="487">
                  <c:v>5/7/2012</c:v>
                </c:pt>
                <c:pt idx="488">
                  <c:v>5/14/2012</c:v>
                </c:pt>
                <c:pt idx="489">
                  <c:v>5/21/2012</c:v>
                </c:pt>
                <c:pt idx="490">
                  <c:v>5/28/2012</c:v>
                </c:pt>
                <c:pt idx="491">
                  <c:v>6/4/2012</c:v>
                </c:pt>
                <c:pt idx="492">
                  <c:v>6/11/2012</c:v>
                </c:pt>
                <c:pt idx="493">
                  <c:v>6/18/2012</c:v>
                </c:pt>
                <c:pt idx="494">
                  <c:v>6/25/2012</c:v>
                </c:pt>
                <c:pt idx="495">
                  <c:v>7/2/2012</c:v>
                </c:pt>
                <c:pt idx="496">
                  <c:v>7/9/2012</c:v>
                </c:pt>
                <c:pt idx="497">
                  <c:v>7/16/2012</c:v>
                </c:pt>
                <c:pt idx="498">
                  <c:v>7/23/2012</c:v>
                </c:pt>
                <c:pt idx="499">
                  <c:v>7/30/2012</c:v>
                </c:pt>
                <c:pt idx="500">
                  <c:v>8/6/2012</c:v>
                </c:pt>
                <c:pt idx="501">
                  <c:v>8/13/2012</c:v>
                </c:pt>
                <c:pt idx="502">
                  <c:v>8/20/2012</c:v>
                </c:pt>
                <c:pt idx="503">
                  <c:v>8/27/2012</c:v>
                </c:pt>
                <c:pt idx="504">
                  <c:v>9/3/2012</c:v>
                </c:pt>
                <c:pt idx="505">
                  <c:v>9/10/2012</c:v>
                </c:pt>
                <c:pt idx="506">
                  <c:v>9/17/2012</c:v>
                </c:pt>
                <c:pt idx="507">
                  <c:v>9/24/2012</c:v>
                </c:pt>
                <c:pt idx="508">
                  <c:v>10/1/2012</c:v>
                </c:pt>
                <c:pt idx="509">
                  <c:v>10/8/2012</c:v>
                </c:pt>
                <c:pt idx="510">
                  <c:v>10/15/2012</c:v>
                </c:pt>
                <c:pt idx="511">
                  <c:v>10/22/2012</c:v>
                </c:pt>
                <c:pt idx="512">
                  <c:v>10/29/2012</c:v>
                </c:pt>
                <c:pt idx="513">
                  <c:v>11/5/2012</c:v>
                </c:pt>
                <c:pt idx="514">
                  <c:v>11/12/2012</c:v>
                </c:pt>
                <c:pt idx="515">
                  <c:v>11/19/2012</c:v>
                </c:pt>
                <c:pt idx="516">
                  <c:v>11/26/2012</c:v>
                </c:pt>
                <c:pt idx="517">
                  <c:v>12/3/2012</c:v>
                </c:pt>
                <c:pt idx="518">
                  <c:v>12/10/2012</c:v>
                </c:pt>
                <c:pt idx="519">
                  <c:v>12/17/2012</c:v>
                </c:pt>
                <c:pt idx="520">
                  <c:v>12/24/2012</c:v>
                </c:pt>
                <c:pt idx="521">
                  <c:v>12/31/2012</c:v>
                </c:pt>
                <c:pt idx="522">
                  <c:v>1/7/2013</c:v>
                </c:pt>
                <c:pt idx="523">
                  <c:v>1/14/2013</c:v>
                </c:pt>
                <c:pt idx="524">
                  <c:v>1/21/2013</c:v>
                </c:pt>
                <c:pt idx="525">
                  <c:v>1/28/2013</c:v>
                </c:pt>
                <c:pt idx="526">
                  <c:v>2/4/2013</c:v>
                </c:pt>
                <c:pt idx="527">
                  <c:v>2/11/2013</c:v>
                </c:pt>
                <c:pt idx="528">
                  <c:v>2/18/2013</c:v>
                </c:pt>
                <c:pt idx="529">
                  <c:v>2/25/2013</c:v>
                </c:pt>
                <c:pt idx="530">
                  <c:v>3/4/2013</c:v>
                </c:pt>
                <c:pt idx="531">
                  <c:v>3/11/2013</c:v>
                </c:pt>
                <c:pt idx="532">
                  <c:v>3/18/2013</c:v>
                </c:pt>
                <c:pt idx="533">
                  <c:v>3/25/2013</c:v>
                </c:pt>
                <c:pt idx="534">
                  <c:v>4/1/2013</c:v>
                </c:pt>
                <c:pt idx="535">
                  <c:v>4/8/2013</c:v>
                </c:pt>
                <c:pt idx="536">
                  <c:v>4/15/2013</c:v>
                </c:pt>
                <c:pt idx="537">
                  <c:v>4/22/2013</c:v>
                </c:pt>
                <c:pt idx="538">
                  <c:v>4/29/2013</c:v>
                </c:pt>
                <c:pt idx="539">
                  <c:v>5/6/2013</c:v>
                </c:pt>
                <c:pt idx="540">
                  <c:v>5/13/2013</c:v>
                </c:pt>
                <c:pt idx="541">
                  <c:v>5/20/2013</c:v>
                </c:pt>
                <c:pt idx="542">
                  <c:v>5/27/2013</c:v>
                </c:pt>
                <c:pt idx="543">
                  <c:v>6/3/2013</c:v>
                </c:pt>
                <c:pt idx="544">
                  <c:v>6/10/2013</c:v>
                </c:pt>
                <c:pt idx="545">
                  <c:v>6/17/2013</c:v>
                </c:pt>
                <c:pt idx="546">
                  <c:v>6/24/2013</c:v>
                </c:pt>
                <c:pt idx="547">
                  <c:v>7/1/2013</c:v>
                </c:pt>
                <c:pt idx="548">
                  <c:v>7/8/2013</c:v>
                </c:pt>
                <c:pt idx="549">
                  <c:v>7/15/2013</c:v>
                </c:pt>
                <c:pt idx="550">
                  <c:v>7/22/2013</c:v>
                </c:pt>
                <c:pt idx="551">
                  <c:v>7/29/2013</c:v>
                </c:pt>
                <c:pt idx="552">
                  <c:v>8/5/2013</c:v>
                </c:pt>
                <c:pt idx="553">
                  <c:v>8/12/2013</c:v>
                </c:pt>
                <c:pt idx="554">
                  <c:v>8/19/2013</c:v>
                </c:pt>
                <c:pt idx="555">
                  <c:v>8/26/2013</c:v>
                </c:pt>
                <c:pt idx="556">
                  <c:v>9/2/2013</c:v>
                </c:pt>
                <c:pt idx="557">
                  <c:v>9/9/2013</c:v>
                </c:pt>
                <c:pt idx="558">
                  <c:v>9/16/2013</c:v>
                </c:pt>
                <c:pt idx="559">
                  <c:v>9/23/2013</c:v>
                </c:pt>
                <c:pt idx="560">
                  <c:v>9/30/2013</c:v>
                </c:pt>
                <c:pt idx="561">
                  <c:v>10/7/2013</c:v>
                </c:pt>
                <c:pt idx="562">
                  <c:v>10/14/2013</c:v>
                </c:pt>
                <c:pt idx="563">
                  <c:v>10/21/2013</c:v>
                </c:pt>
                <c:pt idx="564">
                  <c:v>10/28/2013</c:v>
                </c:pt>
                <c:pt idx="565">
                  <c:v>11/4/2013</c:v>
                </c:pt>
                <c:pt idx="566">
                  <c:v>11/11/2013</c:v>
                </c:pt>
                <c:pt idx="567">
                  <c:v>11/18/2013</c:v>
                </c:pt>
                <c:pt idx="568">
                  <c:v>11/25/2013</c:v>
                </c:pt>
                <c:pt idx="569">
                  <c:v>12/2/2013</c:v>
                </c:pt>
                <c:pt idx="570">
                  <c:v>12/9/2013</c:v>
                </c:pt>
                <c:pt idx="571">
                  <c:v>12/16/2013</c:v>
                </c:pt>
                <c:pt idx="572">
                  <c:v>12/23/2013</c:v>
                </c:pt>
                <c:pt idx="573">
                  <c:v>12/30/2013</c:v>
                </c:pt>
                <c:pt idx="574">
                  <c:v>1/6/2014</c:v>
                </c:pt>
                <c:pt idx="575">
                  <c:v>1/13/2014</c:v>
                </c:pt>
                <c:pt idx="576">
                  <c:v>1/20/2014</c:v>
                </c:pt>
                <c:pt idx="577">
                  <c:v>1/27/2014</c:v>
                </c:pt>
                <c:pt idx="578">
                  <c:v>2/3/2014</c:v>
                </c:pt>
                <c:pt idx="579">
                  <c:v>2/10/2014</c:v>
                </c:pt>
                <c:pt idx="580">
                  <c:v>2/17/2014</c:v>
                </c:pt>
                <c:pt idx="581">
                  <c:v>2/24/2014</c:v>
                </c:pt>
                <c:pt idx="582">
                  <c:v>3/3/2014</c:v>
                </c:pt>
                <c:pt idx="583">
                  <c:v>3/10/2014</c:v>
                </c:pt>
                <c:pt idx="584">
                  <c:v>3/17/2014</c:v>
                </c:pt>
                <c:pt idx="585">
                  <c:v>3/24/2014</c:v>
                </c:pt>
                <c:pt idx="586">
                  <c:v>3/31/2014</c:v>
                </c:pt>
                <c:pt idx="587">
                  <c:v>4/7/2014</c:v>
                </c:pt>
                <c:pt idx="588">
                  <c:v>4/14/2014</c:v>
                </c:pt>
                <c:pt idx="589">
                  <c:v>4/21/2014</c:v>
                </c:pt>
                <c:pt idx="590">
                  <c:v>4/28/2014</c:v>
                </c:pt>
                <c:pt idx="591">
                  <c:v>5/5/2014</c:v>
                </c:pt>
                <c:pt idx="592">
                  <c:v>5/12/2014</c:v>
                </c:pt>
                <c:pt idx="593">
                  <c:v>5/19/2014</c:v>
                </c:pt>
                <c:pt idx="594">
                  <c:v>5/26/2014</c:v>
                </c:pt>
                <c:pt idx="595">
                  <c:v>6/2/2014</c:v>
                </c:pt>
                <c:pt idx="596">
                  <c:v>6/9/2014</c:v>
                </c:pt>
                <c:pt idx="597">
                  <c:v>6/16/2014</c:v>
                </c:pt>
                <c:pt idx="598">
                  <c:v>6/23/2014</c:v>
                </c:pt>
                <c:pt idx="599">
                  <c:v>6/30/2014</c:v>
                </c:pt>
                <c:pt idx="600">
                  <c:v>7/7/2014</c:v>
                </c:pt>
                <c:pt idx="601">
                  <c:v>7/14/2014</c:v>
                </c:pt>
                <c:pt idx="602">
                  <c:v>7/21/2014</c:v>
                </c:pt>
                <c:pt idx="603">
                  <c:v>7/28/2014</c:v>
                </c:pt>
                <c:pt idx="604">
                  <c:v>8/4/2014</c:v>
                </c:pt>
                <c:pt idx="605">
                  <c:v>8/11/2014</c:v>
                </c:pt>
                <c:pt idx="606">
                  <c:v>8/18/2014</c:v>
                </c:pt>
                <c:pt idx="607">
                  <c:v>8/25/2014</c:v>
                </c:pt>
                <c:pt idx="608">
                  <c:v>9/1/2014</c:v>
                </c:pt>
                <c:pt idx="609">
                  <c:v>9/8/2014</c:v>
                </c:pt>
                <c:pt idx="610">
                  <c:v>9/15/2014</c:v>
                </c:pt>
                <c:pt idx="611">
                  <c:v>9/22/2014</c:v>
                </c:pt>
                <c:pt idx="612">
                  <c:v>9/29/2014</c:v>
                </c:pt>
                <c:pt idx="613">
                  <c:v>10/6/2014</c:v>
                </c:pt>
                <c:pt idx="614">
                  <c:v>10/13/2014</c:v>
                </c:pt>
                <c:pt idx="615">
                  <c:v>10/20/2014</c:v>
                </c:pt>
                <c:pt idx="616">
                  <c:v>10/27/2014</c:v>
                </c:pt>
                <c:pt idx="617">
                  <c:v>11/3/2014</c:v>
                </c:pt>
                <c:pt idx="618">
                  <c:v>11/10/2014</c:v>
                </c:pt>
                <c:pt idx="619">
                  <c:v>11/17/2014</c:v>
                </c:pt>
                <c:pt idx="620">
                  <c:v>11/24/2014</c:v>
                </c:pt>
                <c:pt idx="621">
                  <c:v>12/1/2014</c:v>
                </c:pt>
                <c:pt idx="622">
                  <c:v>12/8/2014</c:v>
                </c:pt>
                <c:pt idx="623">
                  <c:v>12/15/2014</c:v>
                </c:pt>
                <c:pt idx="624">
                  <c:v>12/22/2014</c:v>
                </c:pt>
                <c:pt idx="625">
                  <c:v>12/29/2014</c:v>
                </c:pt>
                <c:pt idx="626">
                  <c:v>1/5/2015</c:v>
                </c:pt>
                <c:pt idx="627">
                  <c:v>1/12/2015</c:v>
                </c:pt>
                <c:pt idx="628">
                  <c:v>1/19/2015</c:v>
                </c:pt>
                <c:pt idx="629">
                  <c:v>1/26/2015</c:v>
                </c:pt>
                <c:pt idx="630">
                  <c:v>2/2/2015</c:v>
                </c:pt>
                <c:pt idx="631">
                  <c:v>2/9/2015</c:v>
                </c:pt>
                <c:pt idx="632">
                  <c:v>2/16/2015</c:v>
                </c:pt>
                <c:pt idx="633">
                  <c:v>2/23/2015</c:v>
                </c:pt>
                <c:pt idx="634">
                  <c:v>3/2/2015</c:v>
                </c:pt>
                <c:pt idx="635">
                  <c:v>3/9/2015</c:v>
                </c:pt>
                <c:pt idx="636">
                  <c:v>3/16/2015</c:v>
                </c:pt>
                <c:pt idx="637">
                  <c:v>3/23/2015</c:v>
                </c:pt>
                <c:pt idx="638">
                  <c:v>3/30/2015</c:v>
                </c:pt>
                <c:pt idx="639">
                  <c:v>4/6/2015</c:v>
                </c:pt>
                <c:pt idx="640">
                  <c:v>4/13/2015</c:v>
                </c:pt>
                <c:pt idx="641">
                  <c:v>4/20/2015</c:v>
                </c:pt>
                <c:pt idx="642">
                  <c:v>4/27/2015</c:v>
                </c:pt>
                <c:pt idx="643">
                  <c:v>5/4/2015</c:v>
                </c:pt>
                <c:pt idx="644">
                  <c:v>5/11/2015</c:v>
                </c:pt>
                <c:pt idx="645">
                  <c:v>5/18/2015</c:v>
                </c:pt>
                <c:pt idx="646">
                  <c:v>5/25/2015</c:v>
                </c:pt>
                <c:pt idx="647">
                  <c:v>6/1/2015</c:v>
                </c:pt>
                <c:pt idx="648">
                  <c:v>6/8/2015</c:v>
                </c:pt>
                <c:pt idx="649">
                  <c:v>6/15/2015</c:v>
                </c:pt>
                <c:pt idx="650">
                  <c:v>6/22/2015</c:v>
                </c:pt>
                <c:pt idx="651">
                  <c:v>6/29/2015</c:v>
                </c:pt>
                <c:pt idx="652">
                  <c:v>7/6/2015</c:v>
                </c:pt>
                <c:pt idx="653">
                  <c:v>7/13/2015</c:v>
                </c:pt>
                <c:pt idx="654">
                  <c:v>7/20/2015</c:v>
                </c:pt>
                <c:pt idx="655">
                  <c:v>7/27/2015</c:v>
                </c:pt>
                <c:pt idx="656">
                  <c:v>8/3/2015</c:v>
                </c:pt>
                <c:pt idx="657">
                  <c:v>8/10/2015</c:v>
                </c:pt>
                <c:pt idx="658">
                  <c:v>8/17/2015</c:v>
                </c:pt>
                <c:pt idx="659">
                  <c:v>8/24/2015</c:v>
                </c:pt>
                <c:pt idx="660">
                  <c:v>8/31/2015</c:v>
                </c:pt>
                <c:pt idx="661">
                  <c:v>9/7/2015</c:v>
                </c:pt>
                <c:pt idx="662">
                  <c:v>9/14/2015</c:v>
                </c:pt>
                <c:pt idx="663">
                  <c:v>9/21/2015</c:v>
                </c:pt>
                <c:pt idx="664">
                  <c:v>9/28/2015</c:v>
                </c:pt>
                <c:pt idx="665">
                  <c:v>10/5/2015</c:v>
                </c:pt>
                <c:pt idx="666">
                  <c:v>10/12/2015</c:v>
                </c:pt>
                <c:pt idx="667">
                  <c:v>10/19/2015</c:v>
                </c:pt>
                <c:pt idx="668">
                  <c:v>10/26/2015</c:v>
                </c:pt>
                <c:pt idx="669">
                  <c:v>11/2/2015</c:v>
                </c:pt>
                <c:pt idx="670">
                  <c:v>11/9/2015</c:v>
                </c:pt>
                <c:pt idx="671">
                  <c:v>11/16/2015</c:v>
                </c:pt>
                <c:pt idx="672">
                  <c:v>11/23/2015</c:v>
                </c:pt>
                <c:pt idx="673">
                  <c:v>11/30/2015</c:v>
                </c:pt>
                <c:pt idx="674">
                  <c:v>12/7/2015</c:v>
                </c:pt>
                <c:pt idx="675">
                  <c:v>12/14/2015</c:v>
                </c:pt>
                <c:pt idx="676">
                  <c:v>12/21/2015</c:v>
                </c:pt>
                <c:pt idx="677">
                  <c:v>12/28/2015</c:v>
                </c:pt>
                <c:pt idx="678">
                  <c:v>1/4/2016</c:v>
                </c:pt>
                <c:pt idx="679">
                  <c:v>1/11/2016</c:v>
                </c:pt>
                <c:pt idx="680">
                  <c:v>1/18/2016</c:v>
                </c:pt>
                <c:pt idx="681">
                  <c:v>1/25/2016</c:v>
                </c:pt>
                <c:pt idx="682">
                  <c:v>2/1/2016</c:v>
                </c:pt>
                <c:pt idx="683">
                  <c:v>2/8/2016</c:v>
                </c:pt>
                <c:pt idx="684">
                  <c:v>2/15/2016</c:v>
                </c:pt>
                <c:pt idx="685">
                  <c:v>2/22/2016</c:v>
                </c:pt>
                <c:pt idx="686">
                  <c:v>2/29/2016</c:v>
                </c:pt>
                <c:pt idx="687">
                  <c:v>3/7/2016</c:v>
                </c:pt>
                <c:pt idx="688">
                  <c:v>3/14/2016</c:v>
                </c:pt>
                <c:pt idx="689">
                  <c:v>3/21/2016</c:v>
                </c:pt>
                <c:pt idx="690">
                  <c:v>3/28/2016</c:v>
                </c:pt>
                <c:pt idx="691">
                  <c:v>4/4/2016</c:v>
                </c:pt>
                <c:pt idx="692">
                  <c:v>4/11/2016</c:v>
                </c:pt>
                <c:pt idx="693">
                  <c:v>4/18/2016</c:v>
                </c:pt>
                <c:pt idx="694">
                  <c:v>4/25/2016</c:v>
                </c:pt>
                <c:pt idx="695">
                  <c:v>5/2/2016</c:v>
                </c:pt>
                <c:pt idx="696">
                  <c:v>5/9/2016</c:v>
                </c:pt>
                <c:pt idx="697">
                  <c:v>5/16/2016</c:v>
                </c:pt>
                <c:pt idx="698">
                  <c:v>5/23/2016</c:v>
                </c:pt>
                <c:pt idx="699">
                  <c:v>5/30/2016</c:v>
                </c:pt>
                <c:pt idx="700">
                  <c:v>6/6/2016</c:v>
                </c:pt>
                <c:pt idx="701">
                  <c:v>6/13/2016</c:v>
                </c:pt>
                <c:pt idx="702">
                  <c:v>6/20/2016</c:v>
                </c:pt>
                <c:pt idx="703">
                  <c:v>6/27/2016</c:v>
                </c:pt>
                <c:pt idx="704">
                  <c:v>7/4/2016</c:v>
                </c:pt>
                <c:pt idx="705">
                  <c:v>7/11/2016</c:v>
                </c:pt>
                <c:pt idx="706">
                  <c:v>7/18/2016</c:v>
                </c:pt>
                <c:pt idx="707">
                  <c:v>7/25/2016</c:v>
                </c:pt>
                <c:pt idx="708">
                  <c:v>8/1/2016</c:v>
                </c:pt>
                <c:pt idx="709">
                  <c:v>8/8/2016</c:v>
                </c:pt>
                <c:pt idx="710">
                  <c:v>8/15/2016</c:v>
                </c:pt>
                <c:pt idx="711">
                  <c:v>8/22/2016</c:v>
                </c:pt>
                <c:pt idx="712">
                  <c:v>8/29/2016</c:v>
                </c:pt>
                <c:pt idx="713">
                  <c:v>9/5/2016</c:v>
                </c:pt>
                <c:pt idx="714">
                  <c:v>9/12/2016</c:v>
                </c:pt>
                <c:pt idx="715">
                  <c:v>9/19/2016</c:v>
                </c:pt>
                <c:pt idx="716">
                  <c:v>9/26/2016</c:v>
                </c:pt>
                <c:pt idx="717">
                  <c:v>10/3/2016</c:v>
                </c:pt>
                <c:pt idx="718">
                  <c:v>10/10/2016</c:v>
                </c:pt>
                <c:pt idx="719">
                  <c:v>10/17/2016</c:v>
                </c:pt>
                <c:pt idx="720">
                  <c:v>10/24/2016</c:v>
                </c:pt>
                <c:pt idx="721">
                  <c:v>10/31/2016</c:v>
                </c:pt>
                <c:pt idx="722">
                  <c:v>11/7/2016</c:v>
                </c:pt>
                <c:pt idx="723">
                  <c:v>11/14/2016</c:v>
                </c:pt>
                <c:pt idx="724">
                  <c:v>11/21/2016</c:v>
                </c:pt>
                <c:pt idx="725">
                  <c:v>11/28/2016</c:v>
                </c:pt>
                <c:pt idx="726">
                  <c:v>12/5/2016</c:v>
                </c:pt>
                <c:pt idx="727">
                  <c:v>12/12/2016</c:v>
                </c:pt>
                <c:pt idx="728">
                  <c:v>12/19/2016</c:v>
                </c:pt>
                <c:pt idx="729">
                  <c:v>12/26/2016</c:v>
                </c:pt>
                <c:pt idx="730">
                  <c:v>1/2/2017</c:v>
                </c:pt>
                <c:pt idx="731">
                  <c:v>1/9/2017</c:v>
                </c:pt>
                <c:pt idx="732">
                  <c:v>1/16/2017</c:v>
                </c:pt>
                <c:pt idx="733">
                  <c:v>1/23/2017</c:v>
                </c:pt>
                <c:pt idx="734">
                  <c:v>1/30/2017</c:v>
                </c:pt>
                <c:pt idx="735">
                  <c:v>2/6/2017</c:v>
                </c:pt>
                <c:pt idx="736">
                  <c:v>2/13/2017</c:v>
                </c:pt>
                <c:pt idx="737">
                  <c:v>2/20/2017</c:v>
                </c:pt>
                <c:pt idx="738">
                  <c:v>2/27/2017</c:v>
                </c:pt>
                <c:pt idx="739">
                  <c:v>3/6/2017</c:v>
                </c:pt>
                <c:pt idx="740">
                  <c:v>3/13/2017</c:v>
                </c:pt>
                <c:pt idx="741">
                  <c:v>3/20/2017</c:v>
                </c:pt>
                <c:pt idx="742">
                  <c:v>3/27/2017</c:v>
                </c:pt>
                <c:pt idx="743">
                  <c:v>4/3/2017</c:v>
                </c:pt>
                <c:pt idx="744">
                  <c:v>4/10/2017</c:v>
                </c:pt>
                <c:pt idx="745">
                  <c:v>4/17/2017</c:v>
                </c:pt>
                <c:pt idx="746">
                  <c:v>4/24/2017</c:v>
                </c:pt>
                <c:pt idx="747">
                  <c:v>5/1/2017</c:v>
                </c:pt>
                <c:pt idx="748">
                  <c:v>5/8/2017</c:v>
                </c:pt>
                <c:pt idx="749">
                  <c:v>5/15/2017</c:v>
                </c:pt>
                <c:pt idx="750">
                  <c:v>5/22/2017</c:v>
                </c:pt>
                <c:pt idx="751">
                  <c:v>5/29/2017</c:v>
                </c:pt>
                <c:pt idx="752">
                  <c:v>6/5/2017</c:v>
                </c:pt>
                <c:pt idx="753">
                  <c:v>6/12/2017</c:v>
                </c:pt>
                <c:pt idx="754">
                  <c:v>6/19/2017</c:v>
                </c:pt>
                <c:pt idx="755">
                  <c:v>6/26/2017</c:v>
                </c:pt>
                <c:pt idx="756">
                  <c:v>7/3/2017</c:v>
                </c:pt>
                <c:pt idx="757">
                  <c:v>7/10/2017</c:v>
                </c:pt>
                <c:pt idx="758">
                  <c:v>7/17/2017</c:v>
                </c:pt>
                <c:pt idx="759">
                  <c:v>7/24/2017</c:v>
                </c:pt>
                <c:pt idx="760">
                  <c:v>7/31/2017</c:v>
                </c:pt>
                <c:pt idx="761">
                  <c:v>8/7/2017</c:v>
                </c:pt>
                <c:pt idx="762">
                  <c:v>8/14/2017</c:v>
                </c:pt>
                <c:pt idx="763">
                  <c:v>8/21/2017</c:v>
                </c:pt>
                <c:pt idx="764">
                  <c:v>8/28/2017</c:v>
                </c:pt>
                <c:pt idx="765">
                  <c:v>9/4/2017</c:v>
                </c:pt>
                <c:pt idx="766">
                  <c:v>9/11/2017</c:v>
                </c:pt>
                <c:pt idx="767">
                  <c:v>9/18/2017</c:v>
                </c:pt>
                <c:pt idx="768">
                  <c:v>9/25/2017</c:v>
                </c:pt>
                <c:pt idx="769">
                  <c:v>10/2/2017</c:v>
                </c:pt>
                <c:pt idx="770">
                  <c:v>10/9/2017</c:v>
                </c:pt>
                <c:pt idx="771">
                  <c:v>10/16/2017</c:v>
                </c:pt>
                <c:pt idx="772">
                  <c:v>10/23/2017</c:v>
                </c:pt>
                <c:pt idx="773">
                  <c:v>10/30/2017</c:v>
                </c:pt>
                <c:pt idx="774">
                  <c:v>11/6/2017</c:v>
                </c:pt>
                <c:pt idx="775">
                  <c:v>11/13/2017</c:v>
                </c:pt>
                <c:pt idx="776">
                  <c:v>11/20/2017</c:v>
                </c:pt>
                <c:pt idx="777">
                  <c:v>11/27/2017</c:v>
                </c:pt>
                <c:pt idx="778">
                  <c:v>12/4/2017</c:v>
                </c:pt>
                <c:pt idx="779">
                  <c:v>12/11/2017</c:v>
                </c:pt>
                <c:pt idx="780">
                  <c:v>12/18/2017</c:v>
                </c:pt>
                <c:pt idx="781">
                  <c:v>12/25/2017</c:v>
                </c:pt>
                <c:pt idx="782">
                  <c:v>1/1/2018</c:v>
                </c:pt>
                <c:pt idx="783">
                  <c:v>1/8/2018</c:v>
                </c:pt>
                <c:pt idx="784">
                  <c:v>1/15/2018</c:v>
                </c:pt>
                <c:pt idx="785">
                  <c:v>1/22/2018</c:v>
                </c:pt>
                <c:pt idx="786">
                  <c:v>1/29/2018</c:v>
                </c:pt>
                <c:pt idx="787">
                  <c:v>2/5/2018</c:v>
                </c:pt>
                <c:pt idx="788">
                  <c:v>2/12/2018</c:v>
                </c:pt>
                <c:pt idx="789">
                  <c:v>2/19/2018</c:v>
                </c:pt>
                <c:pt idx="790">
                  <c:v>2/26/2018</c:v>
                </c:pt>
                <c:pt idx="791">
                  <c:v>3/5/2018</c:v>
                </c:pt>
                <c:pt idx="792">
                  <c:v>3/12/2018</c:v>
                </c:pt>
                <c:pt idx="793">
                  <c:v>3/19/2018</c:v>
                </c:pt>
                <c:pt idx="794">
                  <c:v>3/26/2018</c:v>
                </c:pt>
                <c:pt idx="795">
                  <c:v>4/2/2018</c:v>
                </c:pt>
                <c:pt idx="796">
                  <c:v>4/9/2018</c:v>
                </c:pt>
                <c:pt idx="797">
                  <c:v>4/16/2018</c:v>
                </c:pt>
                <c:pt idx="798">
                  <c:v>4/23/2018</c:v>
                </c:pt>
                <c:pt idx="799">
                  <c:v>4/30/2018</c:v>
                </c:pt>
                <c:pt idx="800">
                  <c:v>5/7/2018</c:v>
                </c:pt>
                <c:pt idx="801">
                  <c:v>5/14/2018</c:v>
                </c:pt>
                <c:pt idx="802">
                  <c:v>5/21/2018</c:v>
                </c:pt>
                <c:pt idx="803">
                  <c:v>5/28/2018</c:v>
                </c:pt>
                <c:pt idx="804">
                  <c:v>6/4/2018</c:v>
                </c:pt>
                <c:pt idx="805">
                  <c:v>6/11/2018</c:v>
                </c:pt>
                <c:pt idx="806">
                  <c:v>6/18/2018</c:v>
                </c:pt>
                <c:pt idx="807">
                  <c:v>6/25/2018</c:v>
                </c:pt>
                <c:pt idx="808">
                  <c:v>7/2/2018</c:v>
                </c:pt>
                <c:pt idx="809">
                  <c:v>7/9/2018</c:v>
                </c:pt>
                <c:pt idx="810">
                  <c:v>7/16/2018</c:v>
                </c:pt>
                <c:pt idx="811">
                  <c:v>7/23/2018</c:v>
                </c:pt>
                <c:pt idx="812">
                  <c:v>7/30/2018</c:v>
                </c:pt>
                <c:pt idx="813">
                  <c:v>8/6/2018</c:v>
                </c:pt>
                <c:pt idx="814">
                  <c:v>8/13/2018</c:v>
                </c:pt>
                <c:pt idx="815">
                  <c:v>8/20/2018</c:v>
                </c:pt>
                <c:pt idx="816">
                  <c:v>8/27/2018</c:v>
                </c:pt>
                <c:pt idx="817">
                  <c:v>9/3/2018</c:v>
                </c:pt>
                <c:pt idx="818">
                  <c:v>9/10/2018</c:v>
                </c:pt>
                <c:pt idx="819">
                  <c:v>9/17/2018</c:v>
                </c:pt>
                <c:pt idx="820">
                  <c:v>9/24/2018</c:v>
                </c:pt>
                <c:pt idx="821">
                  <c:v>10/1/2018</c:v>
                </c:pt>
                <c:pt idx="822">
                  <c:v>10/8/2018</c:v>
                </c:pt>
                <c:pt idx="823">
                  <c:v>10/15/2018</c:v>
                </c:pt>
                <c:pt idx="824">
                  <c:v>10/22/2018</c:v>
                </c:pt>
                <c:pt idx="825">
                  <c:v>10/29/2018</c:v>
                </c:pt>
                <c:pt idx="826">
                  <c:v>11/5/2018</c:v>
                </c:pt>
                <c:pt idx="827">
                  <c:v>11/12/2018</c:v>
                </c:pt>
                <c:pt idx="828">
                  <c:v>11/19/2018</c:v>
                </c:pt>
                <c:pt idx="829">
                  <c:v>11/26/2018</c:v>
                </c:pt>
                <c:pt idx="830">
                  <c:v>12/3/2018</c:v>
                </c:pt>
                <c:pt idx="831">
                  <c:v>12/10/2018</c:v>
                </c:pt>
                <c:pt idx="832">
                  <c:v>12/17/2018</c:v>
                </c:pt>
                <c:pt idx="833">
                  <c:v>12/24/2018</c:v>
                </c:pt>
                <c:pt idx="834">
                  <c:v>12/31/2018</c:v>
                </c:pt>
                <c:pt idx="835">
                  <c:v>1/7/2019</c:v>
                </c:pt>
                <c:pt idx="836">
                  <c:v>1/14/2019</c:v>
                </c:pt>
                <c:pt idx="837">
                  <c:v>1/21/2019</c:v>
                </c:pt>
                <c:pt idx="838">
                  <c:v>1/28/2019</c:v>
                </c:pt>
                <c:pt idx="839">
                  <c:v>2/4/2019</c:v>
                </c:pt>
                <c:pt idx="840">
                  <c:v>2/11/2019</c:v>
                </c:pt>
                <c:pt idx="841">
                  <c:v>2/18/2019</c:v>
                </c:pt>
                <c:pt idx="842">
                  <c:v>2/25/2019</c:v>
                </c:pt>
                <c:pt idx="843">
                  <c:v>3/4/2019</c:v>
                </c:pt>
                <c:pt idx="844">
                  <c:v>3/11/2019</c:v>
                </c:pt>
                <c:pt idx="845">
                  <c:v>3/18/2019</c:v>
                </c:pt>
                <c:pt idx="846">
                  <c:v>3/25/2019</c:v>
                </c:pt>
                <c:pt idx="847">
                  <c:v>4/1/2019</c:v>
                </c:pt>
                <c:pt idx="848">
                  <c:v>4/8/2019</c:v>
                </c:pt>
                <c:pt idx="849">
                  <c:v>4/15/2019</c:v>
                </c:pt>
                <c:pt idx="850">
                  <c:v>4/22/2019</c:v>
                </c:pt>
                <c:pt idx="851">
                  <c:v>4/29/2019</c:v>
                </c:pt>
                <c:pt idx="852">
                  <c:v>5/6/2019</c:v>
                </c:pt>
                <c:pt idx="853">
                  <c:v>5/13/2019</c:v>
                </c:pt>
                <c:pt idx="854">
                  <c:v>5/20/2019</c:v>
                </c:pt>
                <c:pt idx="855">
                  <c:v>5/27/2019</c:v>
                </c:pt>
                <c:pt idx="856">
                  <c:v>6/3/2019</c:v>
                </c:pt>
                <c:pt idx="857">
                  <c:v>6/10/2019</c:v>
                </c:pt>
                <c:pt idx="858">
                  <c:v>6/17/2019</c:v>
                </c:pt>
                <c:pt idx="859">
                  <c:v>6/24/2019</c:v>
                </c:pt>
                <c:pt idx="860">
                  <c:v>7/1/2019</c:v>
                </c:pt>
                <c:pt idx="861">
                  <c:v>7/8/2019</c:v>
                </c:pt>
                <c:pt idx="862">
                  <c:v>7/15/2019</c:v>
                </c:pt>
                <c:pt idx="863">
                  <c:v>7/22/2019</c:v>
                </c:pt>
                <c:pt idx="864">
                  <c:v>7/29/2019</c:v>
                </c:pt>
                <c:pt idx="865">
                  <c:v>8/5/2019</c:v>
                </c:pt>
                <c:pt idx="866">
                  <c:v>8/12/2019</c:v>
                </c:pt>
                <c:pt idx="867">
                  <c:v>8/19/2019</c:v>
                </c:pt>
                <c:pt idx="868">
                  <c:v>8/26/2019</c:v>
                </c:pt>
                <c:pt idx="869">
                  <c:v>9/2/2019</c:v>
                </c:pt>
                <c:pt idx="870">
                  <c:v>9/9/2019</c:v>
                </c:pt>
                <c:pt idx="871">
                  <c:v>9/16/2019</c:v>
                </c:pt>
                <c:pt idx="872">
                  <c:v>9/23/2019</c:v>
                </c:pt>
                <c:pt idx="873">
                  <c:v>9/30/2019</c:v>
                </c:pt>
                <c:pt idx="874">
                  <c:v>10/7/2019</c:v>
                </c:pt>
                <c:pt idx="875">
                  <c:v>10/14/2019</c:v>
                </c:pt>
                <c:pt idx="876">
                  <c:v>10/21/2019</c:v>
                </c:pt>
                <c:pt idx="877">
                  <c:v>10/28/2019</c:v>
                </c:pt>
                <c:pt idx="878">
                  <c:v>11/4/2019</c:v>
                </c:pt>
                <c:pt idx="879">
                  <c:v>11/11/2019</c:v>
                </c:pt>
                <c:pt idx="880">
                  <c:v>11/18/2019</c:v>
                </c:pt>
                <c:pt idx="881">
                  <c:v>11/25/2019</c:v>
                </c:pt>
                <c:pt idx="882">
                  <c:v>12/2/2019</c:v>
                </c:pt>
                <c:pt idx="883">
                  <c:v>12/9/2019</c:v>
                </c:pt>
                <c:pt idx="884">
                  <c:v>12/16/2019</c:v>
                </c:pt>
                <c:pt idx="885">
                  <c:v>12/23/2019</c:v>
                </c:pt>
                <c:pt idx="886">
                  <c:v>12/30/2019</c:v>
                </c:pt>
                <c:pt idx="887">
                  <c:v>1/6/2020</c:v>
                </c:pt>
                <c:pt idx="888">
                  <c:v>1/13/2020</c:v>
                </c:pt>
                <c:pt idx="889">
                  <c:v>1/20/2020</c:v>
                </c:pt>
                <c:pt idx="890">
                  <c:v>1/27/2020</c:v>
                </c:pt>
                <c:pt idx="891">
                  <c:v>2/3/2020</c:v>
                </c:pt>
                <c:pt idx="892">
                  <c:v>2/10/2020</c:v>
                </c:pt>
                <c:pt idx="893">
                  <c:v>2/17/2020</c:v>
                </c:pt>
                <c:pt idx="894">
                  <c:v>2/24/2020</c:v>
                </c:pt>
                <c:pt idx="895">
                  <c:v>3/2/2020</c:v>
                </c:pt>
                <c:pt idx="896">
                  <c:v>3/9/2020</c:v>
                </c:pt>
                <c:pt idx="897">
                  <c:v>3/16/2020</c:v>
                </c:pt>
                <c:pt idx="898">
                  <c:v>3/23/2020</c:v>
                </c:pt>
              </c:strCache>
            </c:strRef>
          </c:xVal>
          <c:yVal>
            <c:numRef>
              <c:f>[0]!plot_return2</c:f>
              <c:numCache>
                <c:formatCode>0.00%</c:formatCode>
                <c:ptCount val="900"/>
                <c:pt idx="0">
                  <c:v>0</c:v>
                </c:pt>
                <c:pt idx="1">
                  <c:v>-5.2777710165892611E-2</c:v>
                </c:pt>
                <c:pt idx="2">
                  <c:v>-0.14791660235821524</c:v>
                </c:pt>
                <c:pt idx="3">
                  <c:v>-0.15138882470100079</c:v>
                </c:pt>
                <c:pt idx="4">
                  <c:v>-4.2159185626871265E-2</c:v>
                </c:pt>
                <c:pt idx="5">
                  <c:v>-0.11177192154040683</c:v>
                </c:pt>
                <c:pt idx="6">
                  <c:v>-0.21143605711060531</c:v>
                </c:pt>
                <c:pt idx="7">
                  <c:v>-0.20877331290229295</c:v>
                </c:pt>
                <c:pt idx="8">
                  <c:v>-0.13250447236110297</c:v>
                </c:pt>
                <c:pt idx="9">
                  <c:v>-0.11726296967930672</c:v>
                </c:pt>
                <c:pt idx="10">
                  <c:v>-8.3816381131761597E-2</c:v>
                </c:pt>
                <c:pt idx="11">
                  <c:v>-0.14308884922346132</c:v>
                </c:pt>
                <c:pt idx="12">
                  <c:v>-5.2033956636013623E-2</c:v>
                </c:pt>
                <c:pt idx="13">
                  <c:v>-0.10229492955378738</c:v>
                </c:pt>
                <c:pt idx="14">
                  <c:v>-0.10706299642061878</c:v>
                </c:pt>
                <c:pt idx="15">
                  <c:v>-4.1176339217819713E-2</c:v>
                </c:pt>
                <c:pt idx="16">
                  <c:v>3.1787796072574759E-2</c:v>
                </c:pt>
                <c:pt idx="17">
                  <c:v>1.7176890172338366E-2</c:v>
                </c:pt>
                <c:pt idx="18">
                  <c:v>7.2182696534716317E-2</c:v>
                </c:pt>
                <c:pt idx="19">
                  <c:v>8.0777304091014246E-2</c:v>
                </c:pt>
                <c:pt idx="20">
                  <c:v>7.7136553306803135E-2</c:v>
                </c:pt>
                <c:pt idx="21">
                  <c:v>0.11775132977678959</c:v>
                </c:pt>
                <c:pt idx="22">
                  <c:v>7.1213613548384291E-2</c:v>
                </c:pt>
                <c:pt idx="23">
                  <c:v>0.10421308505579896</c:v>
                </c:pt>
                <c:pt idx="24">
                  <c:v>6.4638642563976001E-2</c:v>
                </c:pt>
                <c:pt idx="25">
                  <c:v>9.7699311979315251E-2</c:v>
                </c:pt>
                <c:pt idx="26">
                  <c:v>6.2648506074413746E-2</c:v>
                </c:pt>
                <c:pt idx="27">
                  <c:v>1.1209794446254362E-2</c:v>
                </c:pt>
                <c:pt idx="28">
                  <c:v>-1.3514824919172774E-2</c:v>
                </c:pt>
                <c:pt idx="29">
                  <c:v>-1.9381813242431267E-2</c:v>
                </c:pt>
                <c:pt idx="30">
                  <c:v>-1.9381813242431267E-2</c:v>
                </c:pt>
                <c:pt idx="31">
                  <c:v>-2.6505962462464838E-2</c:v>
                </c:pt>
                <c:pt idx="32">
                  <c:v>-2.6396356723605408E-2</c:v>
                </c:pt>
                <c:pt idx="33">
                  <c:v>-5.5415254670229674E-2</c:v>
                </c:pt>
                <c:pt idx="34">
                  <c:v>-3.2704803656281811E-2</c:v>
                </c:pt>
                <c:pt idx="35">
                  <c:v>-1.4620589115942662E-2</c:v>
                </c:pt>
                <c:pt idx="36">
                  <c:v>3.103778808745572E-3</c:v>
                </c:pt>
                <c:pt idx="37">
                  <c:v>-8.2660371489220452E-2</c:v>
                </c:pt>
                <c:pt idx="38">
                  <c:v>-4.9447758113274287E-2</c:v>
                </c:pt>
                <c:pt idx="39">
                  <c:v>-7.6300536334408031E-2</c:v>
                </c:pt>
                <c:pt idx="40">
                  <c:v>-6.728618610567294E-2</c:v>
                </c:pt>
                <c:pt idx="41">
                  <c:v>-2.7433826206833101E-2</c:v>
                </c:pt>
                <c:pt idx="42">
                  <c:v>1.6658057144816274E-2</c:v>
                </c:pt>
                <c:pt idx="43">
                  <c:v>-2.6585989350003114E-2</c:v>
                </c:pt>
                <c:pt idx="44">
                  <c:v>8.887731004911803E-4</c:v>
                </c:pt>
                <c:pt idx="45">
                  <c:v>-2.3698921258280103E-2</c:v>
                </c:pt>
                <c:pt idx="46">
                  <c:v>-1.310077713812019E-2</c:v>
                </c:pt>
                <c:pt idx="47">
                  <c:v>3.3954897970237541E-2</c:v>
                </c:pt>
                <c:pt idx="48">
                  <c:v>3.7930001547571646E-2</c:v>
                </c:pt>
                <c:pt idx="49">
                  <c:v>6.6667520591540352E-2</c:v>
                </c:pt>
                <c:pt idx="50">
                  <c:v>6.5399648472472593E-2</c:v>
                </c:pt>
                <c:pt idx="51">
                  <c:v>0.10470237407271576</c:v>
                </c:pt>
                <c:pt idx="52">
                  <c:v>9.8167546403764128E-2</c:v>
                </c:pt>
                <c:pt idx="53">
                  <c:v>0.1094844559410546</c:v>
                </c:pt>
                <c:pt idx="54">
                  <c:v>0.1073887583434614</c:v>
                </c:pt>
                <c:pt idx="55">
                  <c:v>6.882715131560424E-2</c:v>
                </c:pt>
                <c:pt idx="56">
                  <c:v>8.45464770748936E-2</c:v>
                </c:pt>
                <c:pt idx="57">
                  <c:v>4.4115609768624608E-2</c:v>
                </c:pt>
                <c:pt idx="58">
                  <c:v>-4.6514685625678176E-3</c:v>
                </c:pt>
                <c:pt idx="59">
                  <c:v>7.6713737771694213E-4</c:v>
                </c:pt>
                <c:pt idx="60">
                  <c:v>4.0171657955165863E-2</c:v>
                </c:pt>
                <c:pt idx="61">
                  <c:v>1.2733118623481365E-2</c:v>
                </c:pt>
                <c:pt idx="62">
                  <c:v>2.3542256555868946E-2</c:v>
                </c:pt>
                <c:pt idx="63">
                  <c:v>-5.5593102203208566E-3</c:v>
                </c:pt>
                <c:pt idx="64">
                  <c:v>3.1929292040999258E-2</c:v>
                </c:pt>
                <c:pt idx="65">
                  <c:v>1.473076501821069E-2</c:v>
                </c:pt>
                <c:pt idx="66">
                  <c:v>2.7000651345141513E-3</c:v>
                </c:pt>
                <c:pt idx="67">
                  <c:v>5.4556708966460477E-2</c:v>
                </c:pt>
                <c:pt idx="68">
                  <c:v>3.1164815096245357E-2</c:v>
                </c:pt>
                <c:pt idx="69">
                  <c:v>2.4538856445024404E-2</c:v>
                </c:pt>
                <c:pt idx="70">
                  <c:v>1.4599918468193307E-2</c:v>
                </c:pt>
                <c:pt idx="71">
                  <c:v>7.5598374012710856E-3</c:v>
                </c:pt>
                <c:pt idx="72">
                  <c:v>-1.7561102502219317E-2</c:v>
                </c:pt>
                <c:pt idx="73">
                  <c:v>-8.0269272089106281E-3</c:v>
                </c:pt>
                <c:pt idx="74">
                  <c:v>2.8451773672121039E-2</c:v>
                </c:pt>
                <c:pt idx="75">
                  <c:v>1.9746660704588415E-2</c:v>
                </c:pt>
                <c:pt idx="76">
                  <c:v>-1.2749344133668572E-2</c:v>
                </c:pt>
                <c:pt idx="77">
                  <c:v>1.0988656713406542E-4</c:v>
                </c:pt>
                <c:pt idx="78">
                  <c:v>-2.1194121260887933E-2</c:v>
                </c:pt>
                <c:pt idx="79">
                  <c:v>-4.1525400641225452E-2</c:v>
                </c:pt>
                <c:pt idx="80">
                  <c:v>4.7147217454064361E-3</c:v>
                </c:pt>
                <c:pt idx="81">
                  <c:v>5.1175561527834645E-2</c:v>
                </c:pt>
                <c:pt idx="82">
                  <c:v>3.0848962271771807E-2</c:v>
                </c:pt>
                <c:pt idx="83">
                  <c:v>3.9560320470085841E-2</c:v>
                </c:pt>
                <c:pt idx="84">
                  <c:v>5.8003726332087613E-2</c:v>
                </c:pt>
                <c:pt idx="85">
                  <c:v>6.9175451248382647E-2</c:v>
                </c:pt>
                <c:pt idx="86">
                  <c:v>8.4071125846868489E-2</c:v>
                </c:pt>
                <c:pt idx="87">
                  <c:v>9.9380485281328701E-2</c:v>
                </c:pt>
                <c:pt idx="88">
                  <c:v>9.1565327332943314E-2</c:v>
                </c:pt>
                <c:pt idx="89">
                  <c:v>7.3839716218196516E-2</c:v>
                </c:pt>
                <c:pt idx="90">
                  <c:v>8.4969766442714034E-2</c:v>
                </c:pt>
                <c:pt idx="91">
                  <c:v>0.10469565828128991</c:v>
                </c:pt>
                <c:pt idx="92">
                  <c:v>9.4526161205956472E-2</c:v>
                </c:pt>
                <c:pt idx="93">
                  <c:v>3.545128593846858E-2</c:v>
                </c:pt>
                <c:pt idx="94">
                  <c:v>3.6271770317183982E-2</c:v>
                </c:pt>
                <c:pt idx="95">
                  <c:v>7.6885747063581755E-2</c:v>
                </c:pt>
                <c:pt idx="96">
                  <c:v>9.0449615822251861E-2</c:v>
                </c:pt>
                <c:pt idx="97">
                  <c:v>5.8557910130801583E-2</c:v>
                </c:pt>
                <c:pt idx="98">
                  <c:v>4.1794383620208819E-2</c:v>
                </c:pt>
                <c:pt idx="99">
                  <c:v>5.5286970150832504E-2</c:v>
                </c:pt>
                <c:pt idx="100">
                  <c:v>3.3537149362088847E-2</c:v>
                </c:pt>
                <c:pt idx="101">
                  <c:v>4.9462932501215473E-2</c:v>
                </c:pt>
                <c:pt idx="102">
                  <c:v>6.2938526051791843E-2</c:v>
                </c:pt>
                <c:pt idx="103">
                  <c:v>5.2321350904084518E-2</c:v>
                </c:pt>
                <c:pt idx="104">
                  <c:v>2.298280509189965E-2</c:v>
                </c:pt>
                <c:pt idx="105">
                  <c:v>-4.3456829229157057E-3</c:v>
                </c:pt>
                <c:pt idx="106">
                  <c:v>2.5884110509926117E-3</c:v>
                </c:pt>
                <c:pt idx="107">
                  <c:v>-3.6568784718760794E-2</c:v>
                </c:pt>
                <c:pt idx="108">
                  <c:v>3.2868792340192687E-3</c:v>
                </c:pt>
                <c:pt idx="109">
                  <c:v>-1.0579687389540293E-2</c:v>
                </c:pt>
                <c:pt idx="110">
                  <c:v>-1.3842408948024909E-2</c:v>
                </c:pt>
                <c:pt idx="111">
                  <c:v>-1.2618929147612645E-2</c:v>
                </c:pt>
                <c:pt idx="112">
                  <c:v>-1.1594098824017074E-3</c:v>
                </c:pt>
                <c:pt idx="113">
                  <c:v>-2.1144378814930143E-2</c:v>
                </c:pt>
                <c:pt idx="114">
                  <c:v>-4.7655051888692457E-2</c:v>
                </c:pt>
                <c:pt idx="115">
                  <c:v>-4.9694375218478859E-2</c:v>
                </c:pt>
                <c:pt idx="116">
                  <c:v>-3.3882800522157752E-2</c:v>
                </c:pt>
                <c:pt idx="117">
                  <c:v>-2.9833940945091619E-2</c:v>
                </c:pt>
                <c:pt idx="118">
                  <c:v>-6.0470763862615184E-2</c:v>
                </c:pt>
                <c:pt idx="119">
                  <c:v>-5.2300903568844981E-2</c:v>
                </c:pt>
                <c:pt idx="120">
                  <c:v>-2.6933976489075806E-2</c:v>
                </c:pt>
                <c:pt idx="121">
                  <c:v>-3.4293217894922901E-2</c:v>
                </c:pt>
                <c:pt idx="122">
                  <c:v>-5.6371228308365384E-2</c:v>
                </c:pt>
                <c:pt idx="123">
                  <c:v>-3.3884448377618837E-2</c:v>
                </c:pt>
                <c:pt idx="124">
                  <c:v>-3.1283695644528597E-2</c:v>
                </c:pt>
                <c:pt idx="125">
                  <c:v>-4.4789246148850825E-2</c:v>
                </c:pt>
                <c:pt idx="126">
                  <c:v>-3.2920772995205461E-2</c:v>
                </c:pt>
                <c:pt idx="127">
                  <c:v>-1.6959626927823379E-2</c:v>
                </c:pt>
                <c:pt idx="128">
                  <c:v>-3.7129700229241891E-2</c:v>
                </c:pt>
                <c:pt idx="129">
                  <c:v>-1.9511222403649331E-2</c:v>
                </c:pt>
                <c:pt idx="130">
                  <c:v>-3.3839069327213589E-2</c:v>
                </c:pt>
                <c:pt idx="131">
                  <c:v>-1.1293906916057028E-2</c:v>
                </c:pt>
                <c:pt idx="132">
                  <c:v>-2.6917777389441344E-2</c:v>
                </c:pt>
                <c:pt idx="133">
                  <c:v>3.0296087242829284E-3</c:v>
                </c:pt>
                <c:pt idx="134">
                  <c:v>9.5934013963521192E-3</c:v>
                </c:pt>
                <c:pt idx="135">
                  <c:v>3.4397637188787744E-3</c:v>
                </c:pt>
                <c:pt idx="136">
                  <c:v>-9.4248346506003999E-3</c:v>
                </c:pt>
                <c:pt idx="137">
                  <c:v>-2.7069711980555633E-2</c:v>
                </c:pt>
                <c:pt idx="138">
                  <c:v>-2.0504094160677777E-2</c:v>
                </c:pt>
                <c:pt idx="139">
                  <c:v>-1.3117948510358524E-2</c:v>
                </c:pt>
                <c:pt idx="140">
                  <c:v>-5.5801988887672627E-3</c:v>
                </c:pt>
                <c:pt idx="141">
                  <c:v>-2.4458989995295055E-2</c:v>
                </c:pt>
                <c:pt idx="142">
                  <c:v>-1.6250860989828753E-2</c:v>
                </c:pt>
                <c:pt idx="143">
                  <c:v>-6.5507174713458238E-2</c:v>
                </c:pt>
                <c:pt idx="144">
                  <c:v>-8.5857985337383758E-2</c:v>
                </c:pt>
                <c:pt idx="145">
                  <c:v>-5.2915973416389872E-2</c:v>
                </c:pt>
                <c:pt idx="146">
                  <c:v>-1.6267980521807779E-2</c:v>
                </c:pt>
                <c:pt idx="147">
                  <c:v>-2.5738779610077533E-2</c:v>
                </c:pt>
                <c:pt idx="148">
                  <c:v>-1.3454944715104555E-2</c:v>
                </c:pt>
                <c:pt idx="149">
                  <c:v>4.2574721103643132E-3</c:v>
                </c:pt>
                <c:pt idx="150">
                  <c:v>2.0322338166368192E-2</c:v>
                </c:pt>
                <c:pt idx="151">
                  <c:v>3.2679895754172517E-2</c:v>
                </c:pt>
                <c:pt idx="152">
                  <c:v>2.5055667134845194E-2</c:v>
                </c:pt>
                <c:pt idx="153">
                  <c:v>2.7525639623697584E-2</c:v>
                </c:pt>
                <c:pt idx="154">
                  <c:v>1.3940564517091358E-2</c:v>
                </c:pt>
                <c:pt idx="155">
                  <c:v>8.1772404872433313E-3</c:v>
                </c:pt>
                <c:pt idx="156">
                  <c:v>2.5345751893302904E-2</c:v>
                </c:pt>
                <c:pt idx="157">
                  <c:v>2.7813491368376964E-2</c:v>
                </c:pt>
                <c:pt idx="158">
                  <c:v>1.6297332689039878E-2</c:v>
                </c:pt>
                <c:pt idx="159">
                  <c:v>6.482954236549765E-2</c:v>
                </c:pt>
                <c:pt idx="160">
                  <c:v>9.9522992162782264E-2</c:v>
                </c:pt>
                <c:pt idx="161">
                  <c:v>0.12784213127253174</c:v>
                </c:pt>
                <c:pt idx="162">
                  <c:v>0.16067600437515761</c:v>
                </c:pt>
                <c:pt idx="163">
                  <c:v>0.13153593737931968</c:v>
                </c:pt>
                <c:pt idx="164">
                  <c:v>0.14545637656898647</c:v>
                </c:pt>
                <c:pt idx="165">
                  <c:v>0.11435430989544493</c:v>
                </c:pt>
                <c:pt idx="166">
                  <c:v>0.10494184234950477</c:v>
                </c:pt>
                <c:pt idx="167">
                  <c:v>0.12008367889065874</c:v>
                </c:pt>
                <c:pt idx="168">
                  <c:v>0.1042541973946316</c:v>
                </c:pt>
                <c:pt idx="169">
                  <c:v>6.7468399495960174E-2</c:v>
                </c:pt>
                <c:pt idx="170">
                  <c:v>4.3801286663098571E-2</c:v>
                </c:pt>
                <c:pt idx="171">
                  <c:v>3.4416052263860575E-2</c:v>
                </c:pt>
                <c:pt idx="172">
                  <c:v>6.8042945710740987E-2</c:v>
                </c:pt>
                <c:pt idx="173">
                  <c:v>5.826307860847324E-2</c:v>
                </c:pt>
                <c:pt idx="174">
                  <c:v>4.4000853916558169E-2</c:v>
                </c:pt>
                <c:pt idx="175">
                  <c:v>3.0146042188345046E-2</c:v>
                </c:pt>
                <c:pt idx="176">
                  <c:v>6.7435998178461576E-2</c:v>
                </c:pt>
                <c:pt idx="177">
                  <c:v>8.7783615375916169E-2</c:v>
                </c:pt>
                <c:pt idx="178">
                  <c:v>8.3307180287710336E-2</c:v>
                </c:pt>
                <c:pt idx="179">
                  <c:v>0.13092060452975396</c:v>
                </c:pt>
                <c:pt idx="180">
                  <c:v>0.11152550715772813</c:v>
                </c:pt>
                <c:pt idx="181">
                  <c:v>0.13264319146731229</c:v>
                </c:pt>
                <c:pt idx="182">
                  <c:v>0.12499846128890835</c:v>
                </c:pt>
                <c:pt idx="183">
                  <c:v>7.7954545820446475E-2</c:v>
                </c:pt>
                <c:pt idx="184">
                  <c:v>0.106645146891855</c:v>
                </c:pt>
                <c:pt idx="185">
                  <c:v>0.21674294107256831</c:v>
                </c:pt>
                <c:pt idx="186">
                  <c:v>0.25357714310883717</c:v>
                </c:pt>
                <c:pt idx="187">
                  <c:v>0.22321928428773652</c:v>
                </c:pt>
                <c:pt idx="188">
                  <c:v>0.23044259658730515</c:v>
                </c:pt>
                <c:pt idx="189">
                  <c:v>0.23528205516311229</c:v>
                </c:pt>
                <c:pt idx="190">
                  <c:v>0.27480471021197328</c:v>
                </c:pt>
                <c:pt idx="191">
                  <c:v>0.26431908892205858</c:v>
                </c:pt>
                <c:pt idx="192">
                  <c:v>0.27951564477063751</c:v>
                </c:pt>
                <c:pt idx="193">
                  <c:v>0.32128267265230992</c:v>
                </c:pt>
                <c:pt idx="194">
                  <c:v>0.30762804035215208</c:v>
                </c:pt>
                <c:pt idx="195">
                  <c:v>0.27296986428588488</c:v>
                </c:pt>
                <c:pt idx="196">
                  <c:v>0.33954640213476961</c:v>
                </c:pt>
                <c:pt idx="197">
                  <c:v>0.37303510404896634</c:v>
                </c:pt>
                <c:pt idx="198">
                  <c:v>0.36426434372401517</c:v>
                </c:pt>
                <c:pt idx="199">
                  <c:v>0.34433061631523998</c:v>
                </c:pt>
                <c:pt idx="200">
                  <c:v>0.31191556488796457</c:v>
                </c:pt>
                <c:pt idx="201">
                  <c:v>0.31786987546341483</c:v>
                </c:pt>
                <c:pt idx="202">
                  <c:v>0.29683147285597999</c:v>
                </c:pt>
                <c:pt idx="203">
                  <c:v>0.34962573542561337</c:v>
                </c:pt>
                <c:pt idx="204">
                  <c:v>0.381282764986419</c:v>
                </c:pt>
                <c:pt idx="205">
                  <c:v>0.40853708867253635</c:v>
                </c:pt>
                <c:pt idx="206">
                  <c:v>0.38167771625814151</c:v>
                </c:pt>
                <c:pt idx="207">
                  <c:v>0.41209200560973591</c:v>
                </c:pt>
                <c:pt idx="208">
                  <c:v>0.33547054711934154</c:v>
                </c:pt>
                <c:pt idx="209">
                  <c:v>0.36115948627813377</c:v>
                </c:pt>
                <c:pt idx="210">
                  <c:v>0.3744849750582826</c:v>
                </c:pt>
                <c:pt idx="211">
                  <c:v>0.42661123014232816</c:v>
                </c:pt>
                <c:pt idx="212">
                  <c:v>0.48570820908362555</c:v>
                </c:pt>
                <c:pt idx="213">
                  <c:v>0.43815942614799663</c:v>
                </c:pt>
                <c:pt idx="214">
                  <c:v>0.460764562886119</c:v>
                </c:pt>
                <c:pt idx="215">
                  <c:v>0.44205679900710804</c:v>
                </c:pt>
                <c:pt idx="216">
                  <c:v>0.41327576950572786</c:v>
                </c:pt>
                <c:pt idx="217">
                  <c:v>0.41754196980517433</c:v>
                </c:pt>
                <c:pt idx="218">
                  <c:v>0.43421897339574045</c:v>
                </c:pt>
                <c:pt idx="219">
                  <c:v>0.50790792644254634</c:v>
                </c:pt>
                <c:pt idx="220">
                  <c:v>0.52062204624861508</c:v>
                </c:pt>
                <c:pt idx="221">
                  <c:v>0.5081523115782256</c:v>
                </c:pt>
                <c:pt idx="222">
                  <c:v>0.4916382933969512</c:v>
                </c:pt>
                <c:pt idx="223">
                  <c:v>0.53119508924042624</c:v>
                </c:pt>
                <c:pt idx="224">
                  <c:v>0.47629740050353564</c:v>
                </c:pt>
                <c:pt idx="225">
                  <c:v>0.50839086129064315</c:v>
                </c:pt>
                <c:pt idx="226">
                  <c:v>0.51259357139049033</c:v>
                </c:pt>
                <c:pt idx="227">
                  <c:v>0.57028524271184677</c:v>
                </c:pt>
                <c:pt idx="228">
                  <c:v>0.54861180230929851</c:v>
                </c:pt>
                <c:pt idx="229">
                  <c:v>0.53987335325639751</c:v>
                </c:pt>
                <c:pt idx="230">
                  <c:v>0.52961509133903206</c:v>
                </c:pt>
                <c:pt idx="231">
                  <c:v>0.53037499777126418</c:v>
                </c:pt>
                <c:pt idx="232">
                  <c:v>0.46874088820662796</c:v>
                </c:pt>
                <c:pt idx="233">
                  <c:v>0.56892535388483312</c:v>
                </c:pt>
                <c:pt idx="234">
                  <c:v>0.53074890012062093</c:v>
                </c:pt>
                <c:pt idx="235">
                  <c:v>0.52096061550346517</c:v>
                </c:pt>
                <c:pt idx="236">
                  <c:v>0.46348703720619122</c:v>
                </c:pt>
                <c:pt idx="237">
                  <c:v>0.47023125439615354</c:v>
                </c:pt>
                <c:pt idx="238">
                  <c:v>0.47809942660450222</c:v>
                </c:pt>
                <c:pt idx="239">
                  <c:v>0.45636810589732479</c:v>
                </c:pt>
                <c:pt idx="240">
                  <c:v>0.45629869646461985</c:v>
                </c:pt>
                <c:pt idx="241">
                  <c:v>0.50515283868792804</c:v>
                </c:pt>
                <c:pt idx="242">
                  <c:v>0.48687910521446365</c:v>
                </c:pt>
                <c:pt idx="243">
                  <c:v>0.44436491570908188</c:v>
                </c:pt>
                <c:pt idx="244">
                  <c:v>0.50076860679609236</c:v>
                </c:pt>
                <c:pt idx="245">
                  <c:v>0.57833058666171566</c:v>
                </c:pt>
                <c:pt idx="246">
                  <c:v>0.57016624195048249</c:v>
                </c:pt>
                <c:pt idx="247">
                  <c:v>0.55726906150977862</c:v>
                </c:pt>
                <c:pt idx="248">
                  <c:v>0.55486124286409444</c:v>
                </c:pt>
                <c:pt idx="249">
                  <c:v>0.52103586051999273</c:v>
                </c:pt>
                <c:pt idx="250">
                  <c:v>0.52434485812105125</c:v>
                </c:pt>
                <c:pt idx="251">
                  <c:v>0.48610751574217792</c:v>
                </c:pt>
                <c:pt idx="252">
                  <c:v>0.43510540505240924</c:v>
                </c:pt>
                <c:pt idx="253">
                  <c:v>0.44791877262241342</c:v>
                </c:pt>
                <c:pt idx="254">
                  <c:v>0.3776279706530512</c:v>
                </c:pt>
                <c:pt idx="255">
                  <c:v>0.39886159931340726</c:v>
                </c:pt>
                <c:pt idx="256">
                  <c:v>0.4027693995362096</c:v>
                </c:pt>
                <c:pt idx="257">
                  <c:v>0.50012815685006773</c:v>
                </c:pt>
                <c:pt idx="258">
                  <c:v>0.51252594697780141</c:v>
                </c:pt>
                <c:pt idx="259">
                  <c:v>0.54753133262323894</c:v>
                </c:pt>
                <c:pt idx="260">
                  <c:v>0.48435746394798351</c:v>
                </c:pt>
                <c:pt idx="261">
                  <c:v>0.3817477026893783</c:v>
                </c:pt>
                <c:pt idx="262">
                  <c:v>0.30614946648459895</c:v>
                </c:pt>
                <c:pt idx="263">
                  <c:v>0.27540366382011561</c:v>
                </c:pt>
                <c:pt idx="264">
                  <c:v>0.37956309122377552</c:v>
                </c:pt>
                <c:pt idx="265">
                  <c:v>0.31072908983737468</c:v>
                </c:pt>
                <c:pt idx="266">
                  <c:v>0.36514766562871914</c:v>
                </c:pt>
                <c:pt idx="267">
                  <c:v>0.26063527146402654</c:v>
                </c:pt>
                <c:pt idx="268">
                  <c:v>0.25190375672663423</c:v>
                </c:pt>
                <c:pt idx="269">
                  <c:v>0.2583733994385633</c:v>
                </c:pt>
                <c:pt idx="270">
                  <c:v>0.25909230054681709</c:v>
                </c:pt>
                <c:pt idx="271">
                  <c:v>0.32450899461817317</c:v>
                </c:pt>
                <c:pt idx="272">
                  <c:v>0.34907448139512121</c:v>
                </c:pt>
                <c:pt idx="273">
                  <c:v>0.37844891248232226</c:v>
                </c:pt>
                <c:pt idx="274">
                  <c:v>0.33194642501136373</c:v>
                </c:pt>
                <c:pt idx="275">
                  <c:v>0.33944528358521953</c:v>
                </c:pt>
                <c:pt idx="276">
                  <c:v>0.37291765367846774</c:v>
                </c:pt>
                <c:pt idx="277">
                  <c:v>0.42807630790259088</c:v>
                </c:pt>
                <c:pt idx="278">
                  <c:v>0.37327344502087079</c:v>
                </c:pt>
                <c:pt idx="279">
                  <c:v>0.42594109722690554</c:v>
                </c:pt>
                <c:pt idx="280">
                  <c:v>0.36654118437325511</c:v>
                </c:pt>
                <c:pt idx="281">
                  <c:v>0.41513099934353104</c:v>
                </c:pt>
                <c:pt idx="282">
                  <c:v>0.35519176339352887</c:v>
                </c:pt>
                <c:pt idx="283">
                  <c:v>0.30092737980115158</c:v>
                </c:pt>
                <c:pt idx="284">
                  <c:v>0.21842131950665999</c:v>
                </c:pt>
                <c:pt idx="285">
                  <c:v>0.15932268342130551</c:v>
                </c:pt>
                <c:pt idx="286">
                  <c:v>0.15295291973190883</c:v>
                </c:pt>
                <c:pt idx="287">
                  <c:v>0.151061284283456</c:v>
                </c:pt>
                <c:pt idx="288">
                  <c:v>0.13319972127596813</c:v>
                </c:pt>
                <c:pt idx="289">
                  <c:v>0.10779801855116489</c:v>
                </c:pt>
                <c:pt idx="290">
                  <c:v>7.3929069824697047E-2</c:v>
                </c:pt>
                <c:pt idx="291">
                  <c:v>9.2627500851323763E-2</c:v>
                </c:pt>
                <c:pt idx="292">
                  <c:v>0.11559080325366455</c:v>
                </c:pt>
                <c:pt idx="293">
                  <c:v>9.8324868522322362E-2</c:v>
                </c:pt>
                <c:pt idx="294">
                  <c:v>0.127218881746201</c:v>
                </c:pt>
                <c:pt idx="295">
                  <c:v>0.10995294701485903</c:v>
                </c:pt>
                <c:pt idx="296">
                  <c:v>0.11006387244554316</c:v>
                </c:pt>
                <c:pt idx="297">
                  <c:v>7.0996910828185156E-2</c:v>
                </c:pt>
                <c:pt idx="298">
                  <c:v>5.5862876268339301E-2</c:v>
                </c:pt>
                <c:pt idx="299">
                  <c:v>-1.0304495449047657E-2</c:v>
                </c:pt>
                <c:pt idx="300">
                  <c:v>-0.20592599685934365</c:v>
                </c:pt>
                <c:pt idx="301">
                  <c:v>-0.10427598869307753</c:v>
                </c:pt>
                <c:pt idx="302">
                  <c:v>-0.12588107058379128</c:v>
                </c:pt>
                <c:pt idx="303">
                  <c:v>-5.1857222833391114E-2</c:v>
                </c:pt>
                <c:pt idx="304">
                  <c:v>-4.3219018970344303E-2</c:v>
                </c:pt>
                <c:pt idx="305">
                  <c:v>-2.0185402760371063E-2</c:v>
                </c:pt>
                <c:pt idx="306">
                  <c:v>-0.1073587455956293</c:v>
                </c:pt>
                <c:pt idx="307">
                  <c:v>1.2061624497258672E-2</c:v>
                </c:pt>
                <c:pt idx="308">
                  <c:v>-2.4397728473642966E-3</c:v>
                </c:pt>
                <c:pt idx="309">
                  <c:v>-1.376653599954869E-3</c:v>
                </c:pt>
                <c:pt idx="310">
                  <c:v>-3.5028566574657471E-3</c:v>
                </c:pt>
                <c:pt idx="311">
                  <c:v>-9.8815721419229785E-3</c:v>
                </c:pt>
                <c:pt idx="312">
                  <c:v>4.2097013312745846E-2</c:v>
                </c:pt>
                <c:pt idx="313">
                  <c:v>-5.4270633477406793E-2</c:v>
                </c:pt>
                <c:pt idx="314">
                  <c:v>-0.10566896861450414</c:v>
                </c:pt>
                <c:pt idx="315">
                  <c:v>-7.4120989531502923E-2</c:v>
                </c:pt>
                <c:pt idx="316">
                  <c:v>-0.12592275282619281</c:v>
                </c:pt>
                <c:pt idx="317">
                  <c:v>-7.4088802584008961E-2</c:v>
                </c:pt>
                <c:pt idx="318">
                  <c:v>-0.14118892670996863</c:v>
                </c:pt>
                <c:pt idx="319">
                  <c:v>-0.16284562748968312</c:v>
                </c:pt>
                <c:pt idx="320">
                  <c:v>-0.15443922870091109</c:v>
                </c:pt>
                <c:pt idx="321">
                  <c:v>-0.19677062617023877</c:v>
                </c:pt>
                <c:pt idx="322">
                  <c:v>-0.13665292724321054</c:v>
                </c:pt>
                <c:pt idx="323">
                  <c:v>-9.8945968152885033E-2</c:v>
                </c:pt>
                <c:pt idx="324">
                  <c:v>-7.4321554788836397E-2</c:v>
                </c:pt>
                <c:pt idx="325">
                  <c:v>-4.4771050576326243E-2</c:v>
                </c:pt>
                <c:pt idx="326">
                  <c:v>-6.9878855300587905E-2</c:v>
                </c:pt>
                <c:pt idx="327">
                  <c:v>-7.5224343483873968E-2</c:v>
                </c:pt>
                <c:pt idx="328">
                  <c:v>-0.10231376187979446</c:v>
                </c:pt>
                <c:pt idx="329">
                  <c:v>-7.1986524105463134E-2</c:v>
                </c:pt>
                <c:pt idx="330">
                  <c:v>-9.9102642586041623E-2</c:v>
                </c:pt>
                <c:pt idx="331">
                  <c:v>-0.11230394647279485</c:v>
                </c:pt>
                <c:pt idx="332">
                  <c:v>-0.1535389851197414</c:v>
                </c:pt>
                <c:pt idx="333">
                  <c:v>-0.11386108930140937</c:v>
                </c:pt>
                <c:pt idx="334">
                  <c:v>-0.12208269936663263</c:v>
                </c:pt>
                <c:pt idx="335">
                  <c:v>-0.10599704467249704</c:v>
                </c:pt>
                <c:pt idx="336">
                  <c:v>-0.13925220261666538</c:v>
                </c:pt>
                <c:pt idx="337">
                  <c:v>-0.11132448243016446</c:v>
                </c:pt>
                <c:pt idx="338">
                  <c:v>-0.11955958996606553</c:v>
                </c:pt>
                <c:pt idx="339">
                  <c:v>-0.15873444983398666</c:v>
                </c:pt>
                <c:pt idx="340">
                  <c:v>-0.13797998460232364</c:v>
                </c:pt>
                <c:pt idx="341">
                  <c:v>-8.5137187077110821E-2</c:v>
                </c:pt>
                <c:pt idx="342">
                  <c:v>-5.7098206677187124E-2</c:v>
                </c:pt>
                <c:pt idx="343">
                  <c:v>-7.9026119411656159E-2</c:v>
                </c:pt>
                <c:pt idx="344">
                  <c:v>-8.4306060886050083E-2</c:v>
                </c:pt>
                <c:pt idx="345">
                  <c:v>-6.4517034126533201E-2</c:v>
                </c:pt>
                <c:pt idx="346">
                  <c:v>-5.6961246151515432E-2</c:v>
                </c:pt>
                <c:pt idx="347">
                  <c:v>-8.2147290021840735E-2</c:v>
                </c:pt>
                <c:pt idx="348">
                  <c:v>-4.0376000275935686E-2</c:v>
                </c:pt>
                <c:pt idx="349">
                  <c:v>-2.6338025772245532E-2</c:v>
                </c:pt>
                <c:pt idx="350">
                  <c:v>-2.9577566656535326E-2</c:v>
                </c:pt>
                <c:pt idx="351">
                  <c:v>-4.5415286095942253E-2</c:v>
                </c:pt>
                <c:pt idx="352">
                  <c:v>-7.4699289787212408E-2</c:v>
                </c:pt>
                <c:pt idx="353">
                  <c:v>-7.3256851996517769E-2</c:v>
                </c:pt>
                <c:pt idx="354">
                  <c:v>-7.2175086758572649E-2</c:v>
                </c:pt>
                <c:pt idx="355">
                  <c:v>-7.4338689354549459E-2</c:v>
                </c:pt>
                <c:pt idx="356">
                  <c:v>-6.4354528139019207E-2</c:v>
                </c:pt>
                <c:pt idx="357">
                  <c:v>-5.2807804228663935E-2</c:v>
                </c:pt>
                <c:pt idx="358">
                  <c:v>-6.1107012039231745E-2</c:v>
                </c:pt>
                <c:pt idx="359">
                  <c:v>-2.6106005185967285E-2</c:v>
                </c:pt>
                <c:pt idx="360">
                  <c:v>-4.0570577232723615E-3</c:v>
                </c:pt>
                <c:pt idx="361">
                  <c:v>1.0737746854026842E-2</c:v>
                </c:pt>
                <c:pt idx="362">
                  <c:v>-1.4160826702891427E-2</c:v>
                </c:pt>
                <c:pt idx="363">
                  <c:v>1.3985386883190065E-2</c:v>
                </c:pt>
                <c:pt idx="364">
                  <c:v>1.1354106775647743E-2</c:v>
                </c:pt>
                <c:pt idx="365">
                  <c:v>-2.1920569120635558E-2</c:v>
                </c:pt>
                <c:pt idx="366">
                  <c:v>-6.9200387436965327E-2</c:v>
                </c:pt>
                <c:pt idx="367">
                  <c:v>-8.3637056385696296E-2</c:v>
                </c:pt>
                <c:pt idx="368">
                  <c:v>-8.3957475270877491E-2</c:v>
                </c:pt>
                <c:pt idx="369">
                  <c:v>-8.8292097300664563E-2</c:v>
                </c:pt>
                <c:pt idx="370">
                  <c:v>-9.443276067066797E-2</c:v>
                </c:pt>
                <c:pt idx="371">
                  <c:v>-9.3349114193608473E-2</c:v>
                </c:pt>
                <c:pt idx="372">
                  <c:v>-0.10289858424409326</c:v>
                </c:pt>
                <c:pt idx="373">
                  <c:v>-9.6389952303500448E-2</c:v>
                </c:pt>
                <c:pt idx="374">
                  <c:v>-7.3609830908588747E-2</c:v>
                </c:pt>
                <c:pt idx="375">
                  <c:v>-5.1191370485948462E-2</c:v>
                </c:pt>
                <c:pt idx="376">
                  <c:v>-5.0738925051122319E-2</c:v>
                </c:pt>
                <c:pt idx="377">
                  <c:v>-5.5441782920111482E-2</c:v>
                </c:pt>
                <c:pt idx="378">
                  <c:v>-4.295595945396613E-2</c:v>
                </c:pt>
                <c:pt idx="379">
                  <c:v>-6.1416375462366335E-2</c:v>
                </c:pt>
                <c:pt idx="380">
                  <c:v>-4.9402256539961775E-2</c:v>
                </c:pt>
                <c:pt idx="381">
                  <c:v>-5.6282809753491536E-2</c:v>
                </c:pt>
                <c:pt idx="382">
                  <c:v>-9.1047491015353921E-2</c:v>
                </c:pt>
                <c:pt idx="383">
                  <c:v>-8.0183516804382182E-2</c:v>
                </c:pt>
                <c:pt idx="384">
                  <c:v>-9.9242205097014757E-2</c:v>
                </c:pt>
                <c:pt idx="385">
                  <c:v>-0.11917853056801841</c:v>
                </c:pt>
                <c:pt idx="386">
                  <c:v>-0.12389070813661363</c:v>
                </c:pt>
                <c:pt idx="387">
                  <c:v>-8.3293137470652479E-2</c:v>
                </c:pt>
                <c:pt idx="388">
                  <c:v>-7.7553281716733036E-2</c:v>
                </c:pt>
                <c:pt idx="389">
                  <c:v>-0.10076857771573311</c:v>
                </c:pt>
                <c:pt idx="390">
                  <c:v>-0.11890555605398068</c:v>
                </c:pt>
                <c:pt idx="391">
                  <c:v>-9.807320693570265E-2</c:v>
                </c:pt>
                <c:pt idx="392">
                  <c:v>-0.10229944814250191</c:v>
                </c:pt>
                <c:pt idx="393">
                  <c:v>-7.1394408119260344E-2</c:v>
                </c:pt>
                <c:pt idx="394">
                  <c:v>-5.6850859873029069E-2</c:v>
                </c:pt>
                <c:pt idx="395">
                  <c:v>-3.5035537503682157E-2</c:v>
                </c:pt>
                <c:pt idx="396">
                  <c:v>-2.8255703110463659E-2</c:v>
                </c:pt>
                <c:pt idx="397">
                  <c:v>-3.8074903203681676E-2</c:v>
                </c:pt>
                <c:pt idx="398">
                  <c:v>-2.0254741403680554E-2</c:v>
                </c:pt>
                <c:pt idx="399">
                  <c:v>-2.0709028322504208E-3</c:v>
                </c:pt>
                <c:pt idx="400">
                  <c:v>1.20132362522134E-2</c:v>
                </c:pt>
                <c:pt idx="401">
                  <c:v>2.4377034323566527E-2</c:v>
                </c:pt>
                <c:pt idx="402">
                  <c:v>3.9286320233139049E-2</c:v>
                </c:pt>
                <c:pt idx="403">
                  <c:v>4.7650029623177659E-2</c:v>
                </c:pt>
                <c:pt idx="404">
                  <c:v>2.5658249195402494E-2</c:v>
                </c:pt>
                <c:pt idx="405">
                  <c:v>2.9656244839191936E-2</c:v>
                </c:pt>
                <c:pt idx="406">
                  <c:v>2.8202477802929282E-2</c:v>
                </c:pt>
                <c:pt idx="407">
                  <c:v>3.6561810900591407E-2</c:v>
                </c:pt>
                <c:pt idx="408">
                  <c:v>6.3312632524109125E-2</c:v>
                </c:pt>
                <c:pt idx="409">
                  <c:v>3.3887135576478045E-2</c:v>
                </c:pt>
                <c:pt idx="410">
                  <c:v>2.8801289821754894E-2</c:v>
                </c:pt>
                <c:pt idx="411">
                  <c:v>1.4633475449209676E-2</c:v>
                </c:pt>
                <c:pt idx="412">
                  <c:v>3.470079652665925E-2</c:v>
                </c:pt>
                <c:pt idx="413">
                  <c:v>4.9227973919073076E-2</c:v>
                </c:pt>
                <c:pt idx="414">
                  <c:v>6.0849744887431445E-2</c:v>
                </c:pt>
                <c:pt idx="415">
                  <c:v>6.0486637180738656E-2</c:v>
                </c:pt>
                <c:pt idx="416">
                  <c:v>6.6498682305967227E-2</c:v>
                </c:pt>
                <c:pt idx="417">
                  <c:v>4.6661457231563563E-2</c:v>
                </c:pt>
                <c:pt idx="418">
                  <c:v>3.1424098062160954E-2</c:v>
                </c:pt>
                <c:pt idx="419">
                  <c:v>2.7796155402779466E-2</c:v>
                </c:pt>
                <c:pt idx="420">
                  <c:v>-2.6580012122771057E-3</c:v>
                </c:pt>
                <c:pt idx="421">
                  <c:v>1.4756446298676451E-2</c:v>
                </c:pt>
                <c:pt idx="422">
                  <c:v>3.2896533581101339E-2</c:v>
                </c:pt>
                <c:pt idx="423">
                  <c:v>3.652458731776087E-2</c:v>
                </c:pt>
                <c:pt idx="424">
                  <c:v>2.0404640025782905E-2</c:v>
                </c:pt>
                <c:pt idx="425">
                  <c:v>1.278700896931606E-2</c:v>
                </c:pt>
                <c:pt idx="426">
                  <c:v>3.2375260117468718E-2</c:v>
                </c:pt>
                <c:pt idx="427">
                  <c:v>1.3512537370691247E-2</c:v>
                </c:pt>
                <c:pt idx="428">
                  <c:v>4.6170668269653881E-2</c:v>
                </c:pt>
                <c:pt idx="429">
                  <c:v>0.11035517880719126</c:v>
                </c:pt>
                <c:pt idx="430">
                  <c:v>0.11219201506154852</c:v>
                </c:pt>
                <c:pt idx="431">
                  <c:v>0.11001909383443675</c:v>
                </c:pt>
                <c:pt idx="432">
                  <c:v>0.11028227194101015</c:v>
                </c:pt>
                <c:pt idx="433">
                  <c:v>0.1262055219389342</c:v>
                </c:pt>
                <c:pt idx="434">
                  <c:v>0.13127196287079457</c:v>
                </c:pt>
                <c:pt idx="435">
                  <c:v>0.13670033121470415</c:v>
                </c:pt>
                <c:pt idx="436">
                  <c:v>0.13246175865472787</c:v>
                </c:pt>
                <c:pt idx="437">
                  <c:v>0.13137706132720917</c:v>
                </c:pt>
                <c:pt idx="438">
                  <c:v>0.1082360441496617</c:v>
                </c:pt>
                <c:pt idx="439">
                  <c:v>9.7027131468213401E-2</c:v>
                </c:pt>
                <c:pt idx="440">
                  <c:v>0.11175297133410678</c:v>
                </c:pt>
                <c:pt idx="441">
                  <c:v>9.9829754928930203E-2</c:v>
                </c:pt>
                <c:pt idx="442">
                  <c:v>0.14463224347950954</c:v>
                </c:pt>
                <c:pt idx="443">
                  <c:v>0.12356615922766179</c:v>
                </c:pt>
                <c:pt idx="444">
                  <c:v>9.2948565308819786E-2</c:v>
                </c:pt>
                <c:pt idx="445">
                  <c:v>9.3309191470557939E-2</c:v>
                </c:pt>
                <c:pt idx="446">
                  <c:v>5.508664058141588E-2</c:v>
                </c:pt>
                <c:pt idx="447">
                  <c:v>4.31871671913997E-2</c:v>
                </c:pt>
                <c:pt idx="448">
                  <c:v>1.746022786474799E-2</c:v>
                </c:pt>
                <c:pt idx="449">
                  <c:v>9.1677103863219145E-3</c:v>
                </c:pt>
                <c:pt idx="450">
                  <c:v>4.7025056048106473E-2</c:v>
                </c:pt>
                <c:pt idx="451">
                  <c:v>1.133094916643862E-2</c:v>
                </c:pt>
                <c:pt idx="452">
                  <c:v>-7.0070049907230425E-3</c:v>
                </c:pt>
                <c:pt idx="453">
                  <c:v>4.3471939908842794E-2</c:v>
                </c:pt>
                <c:pt idx="454">
                  <c:v>4.1704396092201446E-3</c:v>
                </c:pt>
                <c:pt idx="455">
                  <c:v>2.8328220382583869E-2</c:v>
                </c:pt>
                <c:pt idx="456">
                  <c:v>2.4953413208376629E-2</c:v>
                </c:pt>
                <c:pt idx="457">
                  <c:v>5.1261955415836669E-2</c:v>
                </c:pt>
                <c:pt idx="458">
                  <c:v>4.9820353445367394E-2</c:v>
                </c:pt>
                <c:pt idx="459">
                  <c:v>7.1804269937160603E-2</c:v>
                </c:pt>
                <c:pt idx="460">
                  <c:v>5.0551626518543724E-2</c:v>
                </c:pt>
                <c:pt idx="461">
                  <c:v>5.9918684916857368E-2</c:v>
                </c:pt>
                <c:pt idx="462">
                  <c:v>3.181747369476895E-2</c:v>
                </c:pt>
                <c:pt idx="463">
                  <c:v>-1.2495881931643305E-2</c:v>
                </c:pt>
                <c:pt idx="464">
                  <c:v>4.3050199995188443E-2</c:v>
                </c:pt>
                <c:pt idx="465">
                  <c:v>4.557145699178089E-2</c:v>
                </c:pt>
                <c:pt idx="466">
                  <c:v>3.90883739278165E-2</c:v>
                </c:pt>
                <c:pt idx="467">
                  <c:v>7.5825676544618581E-2</c:v>
                </c:pt>
                <c:pt idx="468">
                  <c:v>8.8547316365557682E-2</c:v>
                </c:pt>
                <c:pt idx="469">
                  <c:v>6.7532518545726949E-2</c:v>
                </c:pt>
                <c:pt idx="470">
                  <c:v>8.1560068486186355E-2</c:v>
                </c:pt>
                <c:pt idx="471">
                  <c:v>9.7386022265166128E-2</c:v>
                </c:pt>
                <c:pt idx="472">
                  <c:v>4.8504304182274138E-2</c:v>
                </c:pt>
                <c:pt idx="473">
                  <c:v>7.6910320945247523E-2</c:v>
                </c:pt>
                <c:pt idx="474">
                  <c:v>7.2955021838102319E-2</c:v>
                </c:pt>
                <c:pt idx="475">
                  <c:v>7.9067701252059308E-2</c:v>
                </c:pt>
                <c:pt idx="476">
                  <c:v>9.0332592477970319E-2</c:v>
                </c:pt>
                <c:pt idx="477">
                  <c:v>0.1093793085078294</c:v>
                </c:pt>
                <c:pt idx="478">
                  <c:v>0.1205197835683296</c:v>
                </c:pt>
                <c:pt idx="479">
                  <c:v>0.13525400779100494</c:v>
                </c:pt>
                <c:pt idx="480">
                  <c:v>0.13186701719112337</c:v>
                </c:pt>
                <c:pt idx="481">
                  <c:v>0.12145326608117957</c:v>
                </c:pt>
                <c:pt idx="482">
                  <c:v>0.10966182636472155</c:v>
                </c:pt>
                <c:pt idx="483">
                  <c:v>9.5315843294266012E-2</c:v>
                </c:pt>
                <c:pt idx="484">
                  <c:v>0.10610472369720259</c:v>
                </c:pt>
                <c:pt idx="485">
                  <c:v>0.17097984251452747</c:v>
                </c:pt>
                <c:pt idx="486">
                  <c:v>0.17779005667546155</c:v>
                </c:pt>
                <c:pt idx="487">
                  <c:v>0.20395516736985964</c:v>
                </c:pt>
                <c:pt idx="488">
                  <c:v>0.20514272461079552</c:v>
                </c:pt>
                <c:pt idx="489">
                  <c:v>0.20621679105748614</c:v>
                </c:pt>
                <c:pt idx="490">
                  <c:v>0.21373561421840237</c:v>
                </c:pt>
                <c:pt idx="491">
                  <c:v>0.23700772222698352</c:v>
                </c:pt>
                <c:pt idx="492">
                  <c:v>0.27676828004596743</c:v>
                </c:pt>
                <c:pt idx="493">
                  <c:v>0.25746119051081751</c:v>
                </c:pt>
                <c:pt idx="494">
                  <c:v>0.27498062563483083</c:v>
                </c:pt>
                <c:pt idx="495">
                  <c:v>0.26383711584737313</c:v>
                </c:pt>
                <c:pt idx="496">
                  <c:v>0.25900063693971553</c:v>
                </c:pt>
                <c:pt idx="497">
                  <c:v>0.25686382603481883</c:v>
                </c:pt>
                <c:pt idx="498">
                  <c:v>0.32275205212007108</c:v>
                </c:pt>
                <c:pt idx="499">
                  <c:v>0.33842288913837515</c:v>
                </c:pt>
                <c:pt idx="500">
                  <c:v>0.33313795383909661</c:v>
                </c:pt>
                <c:pt idx="501">
                  <c:v>0.32175866722875401</c:v>
                </c:pt>
                <c:pt idx="502">
                  <c:v>0.31393561215314381</c:v>
                </c:pt>
                <c:pt idx="503">
                  <c:v>0.30291199492404819</c:v>
                </c:pt>
                <c:pt idx="504">
                  <c:v>0.32436922009027924</c:v>
                </c:pt>
                <c:pt idx="505">
                  <c:v>0.32294894945775643</c:v>
                </c:pt>
                <c:pt idx="506">
                  <c:v>0.35206391157748484</c:v>
                </c:pt>
                <c:pt idx="507">
                  <c:v>0.33857164236848258</c:v>
                </c:pt>
                <c:pt idx="508">
                  <c:v>0.33799879157360158</c:v>
                </c:pt>
                <c:pt idx="509">
                  <c:v>0.25918903915946045</c:v>
                </c:pt>
                <c:pt idx="510">
                  <c:v>0.24823338801231443</c:v>
                </c:pt>
                <c:pt idx="511">
                  <c:v>0.22384834300962164</c:v>
                </c:pt>
                <c:pt idx="512">
                  <c:v>0.23303984230613439</c:v>
                </c:pt>
                <c:pt idx="513">
                  <c:v>0.18397244614908637</c:v>
                </c:pt>
                <c:pt idx="514">
                  <c:v>0.16985225138807492</c:v>
                </c:pt>
                <c:pt idx="515">
                  <c:v>0.21291870067788765</c:v>
                </c:pt>
                <c:pt idx="516">
                  <c:v>0.20357473275264448</c:v>
                </c:pt>
                <c:pt idx="517">
                  <c:v>0.1898216437269864</c:v>
                </c:pt>
                <c:pt idx="518">
                  <c:v>0.19934289640858727</c:v>
                </c:pt>
                <c:pt idx="519">
                  <c:v>0.18735299318133847</c:v>
                </c:pt>
                <c:pt idx="520">
                  <c:v>0.17397001017639746</c:v>
                </c:pt>
                <c:pt idx="521">
                  <c:v>0.24126540991940226</c:v>
                </c:pt>
                <c:pt idx="522">
                  <c:v>0.20490026039547704</c:v>
                </c:pt>
                <c:pt idx="523">
                  <c:v>0.17571822301501272</c:v>
                </c:pt>
                <c:pt idx="524">
                  <c:v>0.19496555431924811</c:v>
                </c:pt>
                <c:pt idx="525">
                  <c:v>0.24730230581850066</c:v>
                </c:pt>
                <c:pt idx="526">
                  <c:v>0.23887228397530502</c:v>
                </c:pt>
                <c:pt idx="527">
                  <c:v>0.24203360363592474</c:v>
                </c:pt>
                <c:pt idx="528">
                  <c:v>0.25180359352804804</c:v>
                </c:pt>
                <c:pt idx="529">
                  <c:v>0.26338130323256248</c:v>
                </c:pt>
                <c:pt idx="530">
                  <c:v>0.28688777496100926</c:v>
                </c:pt>
                <c:pt idx="531">
                  <c:v>0.2781167296027689</c:v>
                </c:pt>
                <c:pt idx="532">
                  <c:v>0.27651174921558819</c:v>
                </c:pt>
                <c:pt idx="533">
                  <c:v>0.28562214664310126</c:v>
                </c:pt>
                <c:pt idx="534">
                  <c:v>0.33222554776768232</c:v>
                </c:pt>
                <c:pt idx="535">
                  <c:v>0.34793313684941318</c:v>
                </c:pt>
                <c:pt idx="536">
                  <c:v>0.33519398617844032</c:v>
                </c:pt>
                <c:pt idx="537">
                  <c:v>0.29194325692755152</c:v>
                </c:pt>
                <c:pt idx="538">
                  <c:v>0.30240712503422396</c:v>
                </c:pt>
                <c:pt idx="539">
                  <c:v>0.30310475344632382</c:v>
                </c:pt>
                <c:pt idx="540">
                  <c:v>0.30417081010200908</c:v>
                </c:pt>
                <c:pt idx="541">
                  <c:v>0.28013564506902977</c:v>
                </c:pt>
                <c:pt idx="542">
                  <c:v>0.21882853826494242</c:v>
                </c:pt>
                <c:pt idx="543">
                  <c:v>0.23485197000905433</c:v>
                </c:pt>
                <c:pt idx="544">
                  <c:v>0.24946921127565735</c:v>
                </c:pt>
                <c:pt idx="545">
                  <c:v>0.19936521754778957</c:v>
                </c:pt>
                <c:pt idx="546">
                  <c:v>0.23172410409625988</c:v>
                </c:pt>
                <c:pt idx="547">
                  <c:v>0.24668572372445619</c:v>
                </c:pt>
                <c:pt idx="548">
                  <c:v>0.24169111028671875</c:v>
                </c:pt>
                <c:pt idx="549">
                  <c:v>0.24169111028671875</c:v>
                </c:pt>
                <c:pt idx="550">
                  <c:v>0.23440937750392621</c:v>
                </c:pt>
                <c:pt idx="551">
                  <c:v>0.24030409870572034</c:v>
                </c:pt>
                <c:pt idx="552">
                  <c:v>0.20553793863614711</c:v>
                </c:pt>
                <c:pt idx="553">
                  <c:v>0.18405999789205474</c:v>
                </c:pt>
                <c:pt idx="554">
                  <c:v>0.18787064107017426</c:v>
                </c:pt>
                <c:pt idx="555">
                  <c:v>0.17193540365149818</c:v>
                </c:pt>
                <c:pt idx="556">
                  <c:v>0.15652842851929027</c:v>
                </c:pt>
                <c:pt idx="557">
                  <c:v>0.18802920283693636</c:v>
                </c:pt>
                <c:pt idx="558">
                  <c:v>0.18768307509803295</c:v>
                </c:pt>
                <c:pt idx="559">
                  <c:v>0.17625968276221138</c:v>
                </c:pt>
                <c:pt idx="560">
                  <c:v>0.16738616477623913</c:v>
                </c:pt>
                <c:pt idx="561">
                  <c:v>0.18078399489639696</c:v>
                </c:pt>
                <c:pt idx="562">
                  <c:v>0.19493959208212597</c:v>
                </c:pt>
                <c:pt idx="563">
                  <c:v>0.21496451417121931</c:v>
                </c:pt>
                <c:pt idx="564">
                  <c:v>0.24987903067647799</c:v>
                </c:pt>
                <c:pt idx="565">
                  <c:v>0.21297573353151789</c:v>
                </c:pt>
                <c:pt idx="566">
                  <c:v>0.22194292530302895</c:v>
                </c:pt>
                <c:pt idx="567">
                  <c:v>0.22159796698694434</c:v>
                </c:pt>
                <c:pt idx="568">
                  <c:v>0.21321993180303145</c:v>
                </c:pt>
                <c:pt idx="569">
                  <c:v>0.1897893843149141</c:v>
                </c:pt>
                <c:pt idx="570">
                  <c:v>0.16635880237010925</c:v>
                </c:pt>
                <c:pt idx="571">
                  <c:v>0.1818643461939331</c:v>
                </c:pt>
                <c:pt idx="572">
                  <c:v>0.2110682828149768</c:v>
                </c:pt>
                <c:pt idx="573">
                  <c:v>0.19798678314078755</c:v>
                </c:pt>
                <c:pt idx="574">
                  <c:v>0.15548049177165968</c:v>
                </c:pt>
                <c:pt idx="575">
                  <c:v>0.15823006800759942</c:v>
                </c:pt>
                <c:pt idx="576">
                  <c:v>0.1478370835745686</c:v>
                </c:pt>
                <c:pt idx="577">
                  <c:v>0.14440257072141738</c:v>
                </c:pt>
                <c:pt idx="578">
                  <c:v>0.10936980461882384</c:v>
                </c:pt>
                <c:pt idx="579">
                  <c:v>0.13856385078691869</c:v>
                </c:pt>
                <c:pt idx="580">
                  <c:v>0.12589074868672978</c:v>
                </c:pt>
                <c:pt idx="581">
                  <c:v>9.602721651202728E-2</c:v>
                </c:pt>
                <c:pt idx="582">
                  <c:v>0.11696607332692088</c:v>
                </c:pt>
                <c:pt idx="583">
                  <c:v>0.11524981072753526</c:v>
                </c:pt>
                <c:pt idx="584">
                  <c:v>0.17647045888445323</c:v>
                </c:pt>
                <c:pt idx="585">
                  <c:v>0.20288105527576761</c:v>
                </c:pt>
                <c:pt idx="586">
                  <c:v>0.21934474799465287</c:v>
                </c:pt>
                <c:pt idx="587">
                  <c:v>0.2048804576809542</c:v>
                </c:pt>
                <c:pt idx="588">
                  <c:v>0.23245591731767012</c:v>
                </c:pt>
                <c:pt idx="589">
                  <c:v>0.17945077341141813</c:v>
                </c:pt>
                <c:pt idx="590">
                  <c:v>0.21843519278716217</c:v>
                </c:pt>
                <c:pt idx="591">
                  <c:v>0.24613460456341274</c:v>
                </c:pt>
                <c:pt idx="592">
                  <c:v>0.25510818489728249</c:v>
                </c:pt>
                <c:pt idx="593">
                  <c:v>0.2065982220298197</c:v>
                </c:pt>
                <c:pt idx="594">
                  <c:v>0.21172254082661168</c:v>
                </c:pt>
                <c:pt idx="595">
                  <c:v>0.1963496527600308</c:v>
                </c:pt>
                <c:pt idx="596">
                  <c:v>0.19570992465087533</c:v>
                </c:pt>
                <c:pt idx="597">
                  <c:v>0.20799812291415032</c:v>
                </c:pt>
                <c:pt idx="598">
                  <c:v>0.20868083472932719</c:v>
                </c:pt>
                <c:pt idx="599">
                  <c:v>0.22335840487712777</c:v>
                </c:pt>
                <c:pt idx="600">
                  <c:v>0.21695462124320208</c:v>
                </c:pt>
                <c:pt idx="601">
                  <c:v>0.23090740151767841</c:v>
                </c:pt>
                <c:pt idx="602">
                  <c:v>0.20946786562846054</c:v>
                </c:pt>
                <c:pt idx="603">
                  <c:v>0.20232135366538828</c:v>
                </c:pt>
                <c:pt idx="604">
                  <c:v>0.17220964398316196</c:v>
                </c:pt>
                <c:pt idx="605">
                  <c:v>0.1813914765013882</c:v>
                </c:pt>
                <c:pt idx="606">
                  <c:v>0.17322980981111913</c:v>
                </c:pt>
                <c:pt idx="607">
                  <c:v>0.18887283993527282</c:v>
                </c:pt>
                <c:pt idx="608">
                  <c:v>0.1943852009196394</c:v>
                </c:pt>
                <c:pt idx="609">
                  <c:v>0.17229835240770597</c:v>
                </c:pt>
                <c:pt idx="610">
                  <c:v>0.20525865890433881</c:v>
                </c:pt>
                <c:pt idx="611">
                  <c:v>0.19880245509117422</c:v>
                </c:pt>
                <c:pt idx="612">
                  <c:v>0.20054656580051944</c:v>
                </c:pt>
                <c:pt idx="613">
                  <c:v>0.16096635514946644</c:v>
                </c:pt>
                <c:pt idx="614">
                  <c:v>0.15520396220223431</c:v>
                </c:pt>
                <c:pt idx="615">
                  <c:v>0.14808552665535979</c:v>
                </c:pt>
                <c:pt idx="616">
                  <c:v>0.18010482099476155</c:v>
                </c:pt>
                <c:pt idx="617">
                  <c:v>0.18247586971662222</c:v>
                </c:pt>
                <c:pt idx="618">
                  <c:v>0.21600934081290402</c:v>
                </c:pt>
                <c:pt idx="619">
                  <c:v>0.19500852194576246</c:v>
                </c:pt>
                <c:pt idx="620">
                  <c:v>0.19745670811891269</c:v>
                </c:pt>
                <c:pt idx="621">
                  <c:v>0.14871900303505314</c:v>
                </c:pt>
                <c:pt idx="622">
                  <c:v>8.8473901770218299E-2</c:v>
                </c:pt>
                <c:pt idx="623">
                  <c:v>0.13518083811713377</c:v>
                </c:pt>
                <c:pt idx="624">
                  <c:v>0.15576614371142083</c:v>
                </c:pt>
                <c:pt idx="625">
                  <c:v>0.14561897638213739</c:v>
                </c:pt>
                <c:pt idx="626">
                  <c:v>0.12819608825831041</c:v>
                </c:pt>
                <c:pt idx="627">
                  <c:v>0.14170731651258017</c:v>
                </c:pt>
                <c:pt idx="628">
                  <c:v>0.12659325349474004</c:v>
                </c:pt>
                <c:pt idx="629">
                  <c:v>0.11140092188376571</c:v>
                </c:pt>
                <c:pt idx="630">
                  <c:v>0.17723424632911544</c:v>
                </c:pt>
                <c:pt idx="631">
                  <c:v>0.17014454109296473</c:v>
                </c:pt>
                <c:pt idx="632">
                  <c:v>0.1498689093688288</c:v>
                </c:pt>
                <c:pt idx="633">
                  <c:v>0.166064211429789</c:v>
                </c:pt>
                <c:pt idx="634">
                  <c:v>0.12962467213670892</c:v>
                </c:pt>
                <c:pt idx="635">
                  <c:v>0.10533160095427863</c:v>
                </c:pt>
                <c:pt idx="636">
                  <c:v>0.12063314772030287</c:v>
                </c:pt>
                <c:pt idx="637">
                  <c:v>0.10444584976948312</c:v>
                </c:pt>
                <c:pt idx="638">
                  <c:v>0.1172608277040863</c:v>
                </c:pt>
                <c:pt idx="639">
                  <c:v>0.10389515670790739</c:v>
                </c:pt>
                <c:pt idx="640">
                  <c:v>9.4706902523250314E-2</c:v>
                </c:pt>
                <c:pt idx="641">
                  <c:v>0.14521629824160365</c:v>
                </c:pt>
                <c:pt idx="642">
                  <c:v>0.15902219973795328</c:v>
                </c:pt>
                <c:pt idx="643">
                  <c:v>0.13444099416128541</c:v>
                </c:pt>
                <c:pt idx="644">
                  <c:v>0.15529023457102209</c:v>
                </c:pt>
                <c:pt idx="645">
                  <c:v>0.16807808186757311</c:v>
                </c:pt>
                <c:pt idx="646">
                  <c:v>0.16235722495365246</c:v>
                </c:pt>
                <c:pt idx="647">
                  <c:v>0.16336676616331802</c:v>
                </c:pt>
                <c:pt idx="648">
                  <c:v>0.16531556542230663</c:v>
                </c:pt>
                <c:pt idx="649">
                  <c:v>0.1767501186510072</c:v>
                </c:pt>
                <c:pt idx="650">
                  <c:v>0.21475309172386647</c:v>
                </c:pt>
                <c:pt idx="651">
                  <c:v>0.20163702018080731</c:v>
                </c:pt>
                <c:pt idx="652">
                  <c:v>0.16267647512518879</c:v>
                </c:pt>
                <c:pt idx="653">
                  <c:v>0.17475609579416229</c:v>
                </c:pt>
                <c:pt idx="654">
                  <c:v>0.15059668668184201</c:v>
                </c:pt>
                <c:pt idx="655">
                  <c:v>0.16569641384730671</c:v>
                </c:pt>
                <c:pt idx="656">
                  <c:v>0.14726343753366611</c:v>
                </c:pt>
                <c:pt idx="657">
                  <c:v>0.14189769198057833</c:v>
                </c:pt>
                <c:pt idx="658">
                  <c:v>0.1194286995488425</c:v>
                </c:pt>
                <c:pt idx="659">
                  <c:v>0.11641046767523067</c:v>
                </c:pt>
                <c:pt idx="660">
                  <c:v>9.1527782399590363E-2</c:v>
                </c:pt>
                <c:pt idx="661">
                  <c:v>9.6891555121339845E-2</c:v>
                </c:pt>
                <c:pt idx="662">
                  <c:v>9.1192479557322015E-2</c:v>
                </c:pt>
                <c:pt idx="663">
                  <c:v>8.381739263565513E-2</c:v>
                </c:pt>
                <c:pt idx="664">
                  <c:v>9.3799960816741468E-2</c:v>
                </c:pt>
                <c:pt idx="665">
                  <c:v>0.10928853261025728</c:v>
                </c:pt>
                <c:pt idx="666">
                  <c:v>0.13238486448904441</c:v>
                </c:pt>
                <c:pt idx="667">
                  <c:v>0.12937231255942816</c:v>
                </c:pt>
                <c:pt idx="668">
                  <c:v>0.12115267739451063</c:v>
                </c:pt>
                <c:pt idx="669">
                  <c:v>0.10944270370896358</c:v>
                </c:pt>
                <c:pt idx="670">
                  <c:v>8.1004067137494751E-2</c:v>
                </c:pt>
                <c:pt idx="671">
                  <c:v>0.1261713331376273</c:v>
                </c:pt>
                <c:pt idx="672">
                  <c:v>0.12263530561830205</c:v>
                </c:pt>
                <c:pt idx="673">
                  <c:v>0.14069381582590368</c:v>
                </c:pt>
                <c:pt idx="674">
                  <c:v>0.10925858927877474</c:v>
                </c:pt>
                <c:pt idx="675">
                  <c:v>0.12363848744427575</c:v>
                </c:pt>
                <c:pt idx="676">
                  <c:v>0.15841156960583014</c:v>
                </c:pt>
                <c:pt idx="677">
                  <c:v>0.15005603318339955</c:v>
                </c:pt>
                <c:pt idx="678">
                  <c:v>0.11957559774318627</c:v>
                </c:pt>
                <c:pt idx="679">
                  <c:v>0.13459677018024241</c:v>
                </c:pt>
                <c:pt idx="680">
                  <c:v>0.17226148937856678</c:v>
                </c:pt>
                <c:pt idx="681">
                  <c:v>0.20295252368255912</c:v>
                </c:pt>
                <c:pt idx="682">
                  <c:v>0.23030751652961134</c:v>
                </c:pt>
                <c:pt idx="683">
                  <c:v>0.21663002010608534</c:v>
                </c:pt>
                <c:pt idx="684">
                  <c:v>0.21905100852638659</c:v>
                </c:pt>
                <c:pt idx="685">
                  <c:v>0.23771848962635311</c:v>
                </c:pt>
                <c:pt idx="686">
                  <c:v>0.2643862388133944</c:v>
                </c:pt>
                <c:pt idx="687">
                  <c:v>0.27872020525357355</c:v>
                </c:pt>
                <c:pt idx="688">
                  <c:v>0.28420499434339797</c:v>
                </c:pt>
                <c:pt idx="689">
                  <c:v>0.29486229692463728</c:v>
                </c:pt>
                <c:pt idx="690">
                  <c:v>0.30052392231277936</c:v>
                </c:pt>
                <c:pt idx="691">
                  <c:v>0.27896593509639689</c:v>
                </c:pt>
                <c:pt idx="692">
                  <c:v>0.27716661701637757</c:v>
                </c:pt>
                <c:pt idx="693">
                  <c:v>0.26355855274983098</c:v>
                </c:pt>
                <c:pt idx="694">
                  <c:v>0.28845135323741622</c:v>
                </c:pt>
                <c:pt idx="695">
                  <c:v>0.29409378772873684</c:v>
                </c:pt>
                <c:pt idx="696">
                  <c:v>0.29818823322861454</c:v>
                </c:pt>
                <c:pt idx="697">
                  <c:v>0.27497666196360515</c:v>
                </c:pt>
                <c:pt idx="698">
                  <c:v>0.29288273880446147</c:v>
                </c:pt>
                <c:pt idx="699">
                  <c:v>0.30017769415965168</c:v>
                </c:pt>
                <c:pt idx="700">
                  <c:v>0.33595179957353904</c:v>
                </c:pt>
                <c:pt idx="701">
                  <c:v>0.34920193647970166</c:v>
                </c:pt>
                <c:pt idx="702">
                  <c:v>0.37537108771512928</c:v>
                </c:pt>
                <c:pt idx="703">
                  <c:v>0.43996586123188242</c:v>
                </c:pt>
                <c:pt idx="704">
                  <c:v>0.40516418847611613</c:v>
                </c:pt>
                <c:pt idx="705">
                  <c:v>0.41439777573758896</c:v>
                </c:pt>
                <c:pt idx="706">
                  <c:v>0.42165285493350635</c:v>
                </c:pt>
                <c:pt idx="707">
                  <c:v>0.4275887748581666</c:v>
                </c:pt>
                <c:pt idx="708">
                  <c:v>0.42162238149176989</c:v>
                </c:pt>
                <c:pt idx="709">
                  <c:v>0.42557495943793833</c:v>
                </c:pt>
                <c:pt idx="710">
                  <c:v>0.35080470393263963</c:v>
                </c:pt>
                <c:pt idx="711">
                  <c:v>0.33993508987685828</c:v>
                </c:pt>
                <c:pt idx="712">
                  <c:v>0.34745010584421787</c:v>
                </c:pt>
                <c:pt idx="713">
                  <c:v>0.30664813306411864</c:v>
                </c:pt>
                <c:pt idx="714">
                  <c:v>0.32277153307975892</c:v>
                </c:pt>
                <c:pt idx="715">
                  <c:v>0.35830861205105213</c:v>
                </c:pt>
                <c:pt idx="716">
                  <c:v>0.33493897898819469</c:v>
                </c:pt>
                <c:pt idx="717">
                  <c:v>0.27462071768080709</c:v>
                </c:pt>
                <c:pt idx="718">
                  <c:v>0.28609794464008043</c:v>
                </c:pt>
                <c:pt idx="719">
                  <c:v>0.22936800834738613</c:v>
                </c:pt>
                <c:pt idx="720">
                  <c:v>0.19646723148217493</c:v>
                </c:pt>
                <c:pt idx="721">
                  <c:v>0.19613958754802963</c:v>
                </c:pt>
                <c:pt idx="722">
                  <c:v>0.19646723148217493</c:v>
                </c:pt>
                <c:pt idx="723">
                  <c:v>0.23087682477927607</c:v>
                </c:pt>
                <c:pt idx="724">
                  <c:v>0.28384844876058901</c:v>
                </c:pt>
                <c:pt idx="725">
                  <c:v>0.26420278384844598</c:v>
                </c:pt>
                <c:pt idx="726">
                  <c:v>0.32215768852228321</c:v>
                </c:pt>
                <c:pt idx="727">
                  <c:v>0.36439591064913945</c:v>
                </c:pt>
                <c:pt idx="728">
                  <c:v>0.3975681621218794</c:v>
                </c:pt>
                <c:pt idx="729">
                  <c:v>0.39102673853207048</c:v>
                </c:pt>
                <c:pt idx="730">
                  <c:v>0.34746207112803673</c:v>
                </c:pt>
                <c:pt idx="731">
                  <c:v>0.33572229152812949</c:v>
                </c:pt>
                <c:pt idx="732">
                  <c:v>0.35036895626946496</c:v>
                </c:pt>
                <c:pt idx="733">
                  <c:v>0.36861268476549158</c:v>
                </c:pt>
                <c:pt idx="734">
                  <c:v>0.34385327146591482</c:v>
                </c:pt>
                <c:pt idx="735">
                  <c:v>0.34808847799061371</c:v>
                </c:pt>
                <c:pt idx="736">
                  <c:v>0.35002014102180046</c:v>
                </c:pt>
                <c:pt idx="737">
                  <c:v>0.37866090944319231</c:v>
                </c:pt>
                <c:pt idx="738">
                  <c:v>0.36726961003581393</c:v>
                </c:pt>
                <c:pt idx="739">
                  <c:v>0.37833534889664833</c:v>
                </c:pt>
                <c:pt idx="740">
                  <c:v>0.38534303336987041</c:v>
                </c:pt>
                <c:pt idx="741">
                  <c:v>0.35510669504223213</c:v>
                </c:pt>
                <c:pt idx="742">
                  <c:v>0.35088008214726596</c:v>
                </c:pt>
                <c:pt idx="743">
                  <c:v>0.31607937702701117</c:v>
                </c:pt>
                <c:pt idx="744">
                  <c:v>0.3048943849432133</c:v>
                </c:pt>
                <c:pt idx="745">
                  <c:v>0.29355596038576137</c:v>
                </c:pt>
                <c:pt idx="746">
                  <c:v>0.28383731539303003</c:v>
                </c:pt>
                <c:pt idx="747">
                  <c:v>0.24917403270801164</c:v>
                </c:pt>
                <c:pt idx="748">
                  <c:v>0.24599514792041055</c:v>
                </c:pt>
                <c:pt idx="749">
                  <c:v>0.23790216868439762</c:v>
                </c:pt>
                <c:pt idx="750">
                  <c:v>0.23401744153536042</c:v>
                </c:pt>
                <c:pt idx="751">
                  <c:v>0.25829637924339965</c:v>
                </c:pt>
                <c:pt idx="752">
                  <c:v>0.25476645663579967</c:v>
                </c:pt>
                <c:pt idx="753">
                  <c:v>0.26026549717707681</c:v>
                </c:pt>
                <c:pt idx="754">
                  <c:v>0.2275944072312619</c:v>
                </c:pt>
                <c:pt idx="755">
                  <c:v>0.2204778857538241</c:v>
                </c:pt>
                <c:pt idx="756">
                  <c:v>0.1933235894082177</c:v>
                </c:pt>
                <c:pt idx="757">
                  <c:v>0.17138034348822928</c:v>
                </c:pt>
                <c:pt idx="758">
                  <c:v>0.17815689190499873</c:v>
                </c:pt>
                <c:pt idx="759">
                  <c:v>0.25850784172310703</c:v>
                </c:pt>
                <c:pt idx="760">
                  <c:v>0.23924752475943611</c:v>
                </c:pt>
                <c:pt idx="761">
                  <c:v>0.22860599049803465</c:v>
                </c:pt>
                <c:pt idx="762">
                  <c:v>0.20506580174375766</c:v>
                </c:pt>
                <c:pt idx="763">
                  <c:v>0.22505896289633176</c:v>
                </c:pt>
                <c:pt idx="764">
                  <c:v>0.20786266840189671</c:v>
                </c:pt>
                <c:pt idx="765">
                  <c:v>0.14695390524075558</c:v>
                </c:pt>
                <c:pt idx="766">
                  <c:v>0.19561639759832006</c:v>
                </c:pt>
                <c:pt idx="767">
                  <c:v>0.24363448168701196</c:v>
                </c:pt>
                <c:pt idx="768">
                  <c:v>0.26138586400436314</c:v>
                </c:pt>
                <c:pt idx="769">
                  <c:v>0.24003390510667399</c:v>
                </c:pt>
                <c:pt idx="770">
                  <c:v>0.14716796196792359</c:v>
                </c:pt>
                <c:pt idx="771">
                  <c:v>0.14202659309471621</c:v>
                </c:pt>
                <c:pt idx="772">
                  <c:v>9.1253477793991955E-2</c:v>
                </c:pt>
                <c:pt idx="773">
                  <c:v>6.9730310555082164E-2</c:v>
                </c:pt>
                <c:pt idx="774">
                  <c:v>9.9284486372664071E-2</c:v>
                </c:pt>
                <c:pt idx="775">
                  <c:v>0.1086003599518206</c:v>
                </c:pt>
                <c:pt idx="776">
                  <c:v>0.11782154205414352</c:v>
                </c:pt>
                <c:pt idx="777">
                  <c:v>0.17209092539170689</c:v>
                </c:pt>
                <c:pt idx="778">
                  <c:v>0.17947670382568193</c:v>
                </c:pt>
                <c:pt idx="779">
                  <c:v>0.22796600907289655</c:v>
                </c:pt>
                <c:pt idx="780">
                  <c:v>0.24956604836839213</c:v>
                </c:pt>
                <c:pt idx="781">
                  <c:v>0.24764074108294487</c:v>
                </c:pt>
                <c:pt idx="782">
                  <c:v>0.22389442884177879</c:v>
                </c:pt>
                <c:pt idx="783">
                  <c:v>0.18205134962232639</c:v>
                </c:pt>
                <c:pt idx="784">
                  <c:v>0.19131828232366521</c:v>
                </c:pt>
                <c:pt idx="785">
                  <c:v>0.21084812277154352</c:v>
                </c:pt>
                <c:pt idx="786">
                  <c:v>0.21885214262064179</c:v>
                </c:pt>
                <c:pt idx="787">
                  <c:v>0.15417963022385051</c:v>
                </c:pt>
                <c:pt idx="788">
                  <c:v>0.18842596216657004</c:v>
                </c:pt>
                <c:pt idx="789">
                  <c:v>0.17498663689200455</c:v>
                </c:pt>
                <c:pt idx="790">
                  <c:v>0.16314707891895441</c:v>
                </c:pt>
                <c:pt idx="791">
                  <c:v>0.18554609303692904</c:v>
                </c:pt>
                <c:pt idx="792">
                  <c:v>0.18331484892236505</c:v>
                </c:pt>
                <c:pt idx="793">
                  <c:v>0.10975747137624103</c:v>
                </c:pt>
                <c:pt idx="794">
                  <c:v>0.14013991164086526</c:v>
                </c:pt>
                <c:pt idx="795">
                  <c:v>0.1395002500113165</c:v>
                </c:pt>
                <c:pt idx="796">
                  <c:v>0.12204113521134907</c:v>
                </c:pt>
                <c:pt idx="797">
                  <c:v>0.10703372284373702</c:v>
                </c:pt>
                <c:pt idx="798">
                  <c:v>5.4986946056091224E-2</c:v>
                </c:pt>
                <c:pt idx="799">
                  <c:v>2.6249345187847828E-2</c:v>
                </c:pt>
                <c:pt idx="800">
                  <c:v>3.0934357372742971E-2</c:v>
                </c:pt>
                <c:pt idx="801">
                  <c:v>2.3271728076504461E-2</c:v>
                </c:pt>
                <c:pt idx="802">
                  <c:v>3.7958279912074566E-2</c:v>
                </c:pt>
                <c:pt idx="803">
                  <c:v>3.6681281453888159E-2</c:v>
                </c:pt>
                <c:pt idx="804">
                  <c:v>7.983337682555236E-2</c:v>
                </c:pt>
                <c:pt idx="805">
                  <c:v>5.8128184604713251E-2</c:v>
                </c:pt>
                <c:pt idx="806">
                  <c:v>1.1525828211157885E-2</c:v>
                </c:pt>
                <c:pt idx="807">
                  <c:v>2.4931976347558615E-2</c:v>
                </c:pt>
                <c:pt idx="808">
                  <c:v>4.2981586486612322E-2</c:v>
                </c:pt>
                <c:pt idx="809">
                  <c:v>1.062947830334604E-2</c:v>
                </c:pt>
                <c:pt idx="810">
                  <c:v>-7.5599376307526889E-3</c:v>
                </c:pt>
                <c:pt idx="811">
                  <c:v>-8.1981627512475175E-3</c:v>
                </c:pt>
                <c:pt idx="812">
                  <c:v>2.9677940287348603E-2</c:v>
                </c:pt>
                <c:pt idx="813">
                  <c:v>2.9358794369816588E-2</c:v>
                </c:pt>
                <c:pt idx="814">
                  <c:v>5.3928148063624892E-2</c:v>
                </c:pt>
                <c:pt idx="815">
                  <c:v>4.1483946120270065E-2</c:v>
                </c:pt>
                <c:pt idx="816">
                  <c:v>1.9085262222862331E-2</c:v>
                </c:pt>
                <c:pt idx="817">
                  <c:v>2.4828321186122437E-2</c:v>
                </c:pt>
                <c:pt idx="818">
                  <c:v>7.2049520991487981E-2</c:v>
                </c:pt>
                <c:pt idx="819">
                  <c:v>7.7792675673461043E-2</c:v>
                </c:pt>
                <c:pt idx="820">
                  <c:v>7.1177339817165786E-2</c:v>
                </c:pt>
                <c:pt idx="821">
                  <c:v>8.4256037946041529E-2</c:v>
                </c:pt>
                <c:pt idx="822">
                  <c:v>2.8437864355584708E-2</c:v>
                </c:pt>
                <c:pt idx="823">
                  <c:v>4.820935109861102E-2</c:v>
                </c:pt>
                <c:pt idx="824">
                  <c:v>-7.2099239471946186E-2</c:v>
                </c:pt>
                <c:pt idx="825">
                  <c:v>-2.648569228888964E-2</c:v>
                </c:pt>
                <c:pt idx="826">
                  <c:v>-2.1063070866045752E-2</c:v>
                </c:pt>
                <c:pt idx="827">
                  <c:v>-3.382210504312444E-2</c:v>
                </c:pt>
                <c:pt idx="828">
                  <c:v>-6.3282259919461792E-2</c:v>
                </c:pt>
                <c:pt idx="829">
                  <c:v>-3.3017301288232881E-3</c:v>
                </c:pt>
                <c:pt idx="830">
                  <c:v>-3.8396771535883611E-2</c:v>
                </c:pt>
                <c:pt idx="831">
                  <c:v>-3.584440720842863E-2</c:v>
                </c:pt>
                <c:pt idx="832">
                  <c:v>-9.6471207033198558E-2</c:v>
                </c:pt>
                <c:pt idx="833">
                  <c:v>-9.1683876629371164E-2</c:v>
                </c:pt>
                <c:pt idx="834">
                  <c:v>-3.1682636985866375E-2</c:v>
                </c:pt>
                <c:pt idx="835">
                  <c:v>-1.460408385425771E-2</c:v>
                </c:pt>
                <c:pt idx="836">
                  <c:v>-1.1694123096179454E-2</c:v>
                </c:pt>
                <c:pt idx="837">
                  <c:v>-2.1270698817815292E-2</c:v>
                </c:pt>
                <c:pt idx="838">
                  <c:v>-4.2339235633870098E-2</c:v>
                </c:pt>
                <c:pt idx="839">
                  <c:v>-5.670417902138758E-2</c:v>
                </c:pt>
                <c:pt idx="840">
                  <c:v>-2.7249622162358711E-2</c:v>
                </c:pt>
                <c:pt idx="841">
                  <c:v>-5.5406870987252388E-3</c:v>
                </c:pt>
                <c:pt idx="842">
                  <c:v>-1.6075890092542955E-2</c:v>
                </c:pt>
                <c:pt idx="843">
                  <c:v>-4.3531299516440525E-2</c:v>
                </c:pt>
                <c:pt idx="844">
                  <c:v>-2.0798961022337359E-2</c:v>
                </c:pt>
                <c:pt idx="845">
                  <c:v>-8.0281616877738715E-3</c:v>
                </c:pt>
                <c:pt idx="846">
                  <c:v>1.2306997567830269E-3</c:v>
                </c:pt>
                <c:pt idx="847">
                  <c:v>3.283833232883282E-2</c:v>
                </c:pt>
                <c:pt idx="848">
                  <c:v>2.7653751989492825E-2</c:v>
                </c:pt>
                <c:pt idx="849">
                  <c:v>2.2228187153463086E-2</c:v>
                </c:pt>
                <c:pt idx="850">
                  <c:v>-2.0856641866637271E-2</c:v>
                </c:pt>
                <c:pt idx="851">
                  <c:v>-2.0218315715854085E-2</c:v>
                </c:pt>
                <c:pt idx="852">
                  <c:v>-2.2701063539761313E-2</c:v>
                </c:pt>
                <c:pt idx="853">
                  <c:v>1.4960946674582143E-2</c:v>
                </c:pt>
                <c:pt idx="854">
                  <c:v>2.9961974187130425E-2</c:v>
                </c:pt>
                <c:pt idx="855">
                  <c:v>-2.3977775932989109E-2</c:v>
                </c:pt>
                <c:pt idx="856">
                  <c:v>3.6869747540859255E-2</c:v>
                </c:pt>
                <c:pt idx="857">
                  <c:v>3.2401729590761708E-2</c:v>
                </c:pt>
                <c:pt idx="858">
                  <c:v>3.5593175542760092E-2</c:v>
                </c:pt>
                <c:pt idx="859">
                  <c:v>6.9421392044072716E-2</c:v>
                </c:pt>
                <c:pt idx="860">
                  <c:v>9.4342202741719783E-2</c:v>
                </c:pt>
                <c:pt idx="861">
                  <c:v>7.279989592928926E-2</c:v>
                </c:pt>
                <c:pt idx="862">
                  <c:v>4.5382097163658042E-2</c:v>
                </c:pt>
                <c:pt idx="863">
                  <c:v>8.8740458071444372E-2</c:v>
                </c:pt>
                <c:pt idx="864">
                  <c:v>8.9107043812307607E-2</c:v>
                </c:pt>
                <c:pt idx="865">
                  <c:v>0.10090022195448034</c:v>
                </c:pt>
                <c:pt idx="866">
                  <c:v>0.1146056962374844</c:v>
                </c:pt>
                <c:pt idx="867">
                  <c:v>0.10982468496324027</c:v>
                </c:pt>
                <c:pt idx="868">
                  <c:v>0.12347456962282033</c:v>
                </c:pt>
                <c:pt idx="869">
                  <c:v>0.15501858930415247</c:v>
                </c:pt>
                <c:pt idx="870">
                  <c:v>0.20791047504883897</c:v>
                </c:pt>
                <c:pt idx="871">
                  <c:v>0.20791047504883897</c:v>
                </c:pt>
                <c:pt idx="872">
                  <c:v>0.19203612328556741</c:v>
                </c:pt>
                <c:pt idx="873">
                  <c:v>0.19458382581804412</c:v>
                </c:pt>
                <c:pt idx="874">
                  <c:v>0.19468032210573138</c:v>
                </c:pt>
                <c:pt idx="875">
                  <c:v>0.22297367589516925</c:v>
                </c:pt>
                <c:pt idx="876">
                  <c:v>0.17286558032112165</c:v>
                </c:pt>
                <c:pt idx="877">
                  <c:v>0.2376893938329252</c:v>
                </c:pt>
                <c:pt idx="878">
                  <c:v>0.25135323017912103</c:v>
                </c:pt>
                <c:pt idx="879">
                  <c:v>0.25516636203425391</c:v>
                </c:pt>
                <c:pt idx="880">
                  <c:v>0.19896653988863267</c:v>
                </c:pt>
                <c:pt idx="881">
                  <c:v>0.18721511152327497</c:v>
                </c:pt>
                <c:pt idx="882">
                  <c:v>0.21325888801886905</c:v>
                </c:pt>
                <c:pt idx="883">
                  <c:v>0.21516443491936443</c:v>
                </c:pt>
                <c:pt idx="884">
                  <c:v>0.24271255647723855</c:v>
                </c:pt>
                <c:pt idx="885">
                  <c:v>0.24556936680595709</c:v>
                </c:pt>
                <c:pt idx="886">
                  <c:v>0.23985571440618325</c:v>
                </c:pt>
                <c:pt idx="887">
                  <c:v>0.22184534945535672</c:v>
                </c:pt>
                <c:pt idx="888">
                  <c:v>0.21519776400626456</c:v>
                </c:pt>
                <c:pt idx="889">
                  <c:v>0.2189972041491397</c:v>
                </c:pt>
                <c:pt idx="890">
                  <c:v>0.1911343792491802</c:v>
                </c:pt>
                <c:pt idx="891">
                  <c:v>0.21741412255926296</c:v>
                </c:pt>
                <c:pt idx="892">
                  <c:v>0.21046857014692444</c:v>
                </c:pt>
                <c:pt idx="893">
                  <c:v>0.21996240963909486</c:v>
                </c:pt>
                <c:pt idx="894">
                  <c:v>0.11458050329524871</c:v>
                </c:pt>
                <c:pt idx="895">
                  <c:v>0.17186012920449789</c:v>
                </c:pt>
                <c:pt idx="896">
                  <c:v>9.0582735992799535E-2</c:v>
                </c:pt>
                <c:pt idx="897">
                  <c:v>-9.9881664361486933E-2</c:v>
                </c:pt>
                <c:pt idx="898">
                  <c:v>-0.11127159369569672</c:v>
                </c:pt>
              </c:numCache>
            </c:numRef>
          </c:yVal>
          <c:smooth val="1"/>
          <c:extLst>
            <c:ext xmlns:c16="http://schemas.microsoft.com/office/drawing/2014/chart" uri="{C3380CC4-5D6E-409C-BE32-E72D297353CC}">
              <c16:uniqueId val="{00000001-1F6E-4841-9FFA-AE8C280AB0CC}"/>
            </c:ext>
          </c:extLst>
        </c:ser>
        <c:dLbls>
          <c:showLegendKey val="0"/>
          <c:showVal val="0"/>
          <c:showCatName val="0"/>
          <c:showSerName val="0"/>
          <c:showPercent val="0"/>
          <c:showBubbleSize val="0"/>
        </c:dLbls>
        <c:axId val="528848976"/>
        <c:axId val="2026123232"/>
      </c:scatterChart>
      <c:valAx>
        <c:axId val="528848976"/>
        <c:scaling>
          <c:orientation val="minMax"/>
        </c:scaling>
        <c:delete val="1"/>
        <c:axPos val="b"/>
        <c:majorGridlines>
          <c:spPr>
            <a:ln w="9525" cap="flat" cmpd="sng" algn="ctr">
              <a:noFill/>
              <a:round/>
            </a:ln>
            <a:effectLst/>
          </c:spPr>
        </c:majorGridlines>
        <c:numFmt formatCode="m/d/yyyy" sourceLinked="1"/>
        <c:majorTickMark val="none"/>
        <c:minorTickMark val="none"/>
        <c:tickLblPos val="nextTo"/>
        <c:crossAx val="2026123232"/>
        <c:crosses val="autoZero"/>
        <c:crossBetween val="midCat"/>
      </c:valAx>
      <c:valAx>
        <c:axId val="2026123232"/>
        <c:scaling>
          <c:orientation val="minMax"/>
        </c:scaling>
        <c:delete val="0"/>
        <c:axPos val="l"/>
        <c:majorGridlines>
          <c:spPr>
            <a:ln w="9525" cap="flat" cmpd="sng" algn="ctr">
              <a:solidFill>
                <a:srgbClr val="4D4D4D">
                  <a:alpha val="40000"/>
                </a:srgbClr>
              </a:solidFill>
              <a:round/>
            </a:ln>
            <a:effectLst/>
          </c:spPr>
        </c:majorGridlines>
        <c:numFmt formatCode="0.00%" sourceLinked="1"/>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Arial Nova" panose="020B0504020202020204" pitchFamily="34" charset="0"/>
                <a:ea typeface="+mn-ea"/>
                <a:cs typeface="+mn-cs"/>
              </a:defRPr>
            </a:pPr>
            <a:endParaRPr lang="en-US"/>
          </a:p>
        </c:txPr>
        <c:crossAx val="528848976"/>
        <c:crosses val="autoZero"/>
        <c:crossBetween val="midCat"/>
      </c:valAx>
      <c:spPr>
        <a:solidFill>
          <a:schemeClr val="tx1">
            <a:lumMod val="85000"/>
            <a:lumOff val="15000"/>
            <a:alpha val="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C1C1C">
        <a:alpha val="0"/>
      </a:srgb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257174</xdr:colOff>
      <xdr:row>0</xdr:row>
      <xdr:rowOff>142875</xdr:rowOff>
    </xdr:from>
    <xdr:to>
      <xdr:col>20</xdr:col>
      <xdr:colOff>990599</xdr:colOff>
      <xdr:row>19</xdr:row>
      <xdr:rowOff>38099</xdr:rowOff>
    </xdr:to>
    <xdr:graphicFrame macro="">
      <xdr:nvGraphicFramePr>
        <xdr:cNvPr id="7" name="Chart 6">
          <a:extLst>
            <a:ext uri="{FF2B5EF4-FFF2-40B4-BE49-F238E27FC236}">
              <a16:creationId xmlns:a16="http://schemas.microsoft.com/office/drawing/2014/main" id="{23499EF8-95E2-48E4-80A9-693DA466C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144D-28AF-438E-BDA4-43B1030301BC}">
  <sheetPr codeName="Sheet1"/>
  <dimension ref="B1:AK2000"/>
  <sheetViews>
    <sheetView tabSelected="1" zoomScaleNormal="100" workbookViewId="0">
      <pane xSplit="9" ySplit="30" topLeftCell="J31" activePane="bottomRight" state="frozen"/>
      <selection pane="topRight" activeCell="T1" sqref="T1"/>
      <selection pane="bottomLeft" activeCell="A31" sqref="A31"/>
      <selection pane="bottomRight" activeCell="W19" sqref="W19"/>
    </sheetView>
  </sheetViews>
  <sheetFormatPr defaultColWidth="14.28515625" defaultRowHeight="17.25" customHeight="1" x14ac:dyDescent="0.2"/>
  <cols>
    <col min="1" max="1" width="2.85546875" style="20" customWidth="1"/>
    <col min="2" max="2" width="8.5703125" style="88" customWidth="1"/>
    <col min="3" max="3" width="19.140625" style="20" customWidth="1"/>
    <col min="4" max="4" width="19.140625" style="75" customWidth="1"/>
    <col min="5" max="5" width="19.140625" style="16" customWidth="1"/>
    <col min="6" max="6" width="15.7109375" style="17" customWidth="1"/>
    <col min="7" max="7" width="2.85546875" style="17" customWidth="1"/>
    <col min="8" max="8" width="15.7109375" style="17" customWidth="1"/>
    <col min="9" max="9" width="2.85546875" style="18" customWidth="1"/>
    <col min="10" max="10" width="15.7109375" style="19" customWidth="1"/>
    <col min="11" max="11" width="2.85546875" style="20" customWidth="1"/>
    <col min="12" max="12" width="15.7109375" style="20" customWidth="1"/>
    <col min="13" max="13" width="2.85546875" style="20" customWidth="1"/>
    <col min="14" max="14" width="15.7109375" style="19" customWidth="1"/>
    <col min="15" max="15" width="15.7109375" style="17" customWidth="1"/>
    <col min="16" max="16" width="15.7109375" style="33" customWidth="1"/>
    <col min="17" max="18" width="15.7109375" style="20" customWidth="1"/>
    <col min="19" max="19" width="15.7109375" style="20" hidden="1" customWidth="1"/>
    <col min="20" max="20" width="15.7109375" style="34" customWidth="1"/>
    <col min="21" max="21" width="15.7109375" style="21" customWidth="1"/>
    <col min="22" max="22" width="15.7109375" style="22" customWidth="1"/>
    <col min="23" max="24" width="15.7109375" style="23" customWidth="1"/>
    <col min="25" max="25" width="15.7109375" style="22" customWidth="1"/>
    <col min="26" max="26" width="2.85546875" style="22" customWidth="1"/>
    <col min="27" max="27" width="15.7109375" style="34" customWidth="1"/>
    <col min="28" max="29" width="15.7109375" style="23" customWidth="1"/>
    <col min="30" max="30" width="15.7109375" style="20" customWidth="1"/>
    <col min="31" max="31" width="2.85546875" style="20" customWidth="1"/>
    <col min="32" max="33" width="15.7109375" style="17" customWidth="1"/>
    <col min="34" max="37" width="15.7109375" style="20" customWidth="1"/>
    <col min="38" max="16384" width="14.28515625" style="20"/>
  </cols>
  <sheetData>
    <row r="1" spans="3:4" ht="17.25" customHeight="1" x14ac:dyDescent="0.25">
      <c r="C1" s="14" t="s">
        <v>19</v>
      </c>
    </row>
    <row r="3" spans="3:4" ht="17.25" customHeight="1" x14ac:dyDescent="0.25">
      <c r="C3" s="25" t="s">
        <v>1</v>
      </c>
      <c r="D3" s="92">
        <v>50</v>
      </c>
    </row>
    <row r="4" spans="3:4" ht="17.25" customHeight="1" x14ac:dyDescent="0.25">
      <c r="C4" s="25" t="s">
        <v>3</v>
      </c>
      <c r="D4" s="93" t="s">
        <v>7</v>
      </c>
    </row>
    <row r="5" spans="3:4" ht="17.25" customHeight="1" x14ac:dyDescent="0.25">
      <c r="C5" s="25" t="s">
        <v>39</v>
      </c>
      <c r="D5" s="92">
        <v>100</v>
      </c>
    </row>
    <row r="6" spans="3:4" ht="17.25" customHeight="1" x14ac:dyDescent="0.25">
      <c r="C6" s="25" t="s">
        <v>47</v>
      </c>
      <c r="D6" s="92">
        <v>15000</v>
      </c>
    </row>
    <row r="7" spans="3:4" ht="17.25" customHeight="1" x14ac:dyDescent="0.25">
      <c r="C7" s="20" t="s">
        <v>40</v>
      </c>
    </row>
    <row r="9" spans="3:4" ht="17.25" customHeight="1" x14ac:dyDescent="0.25">
      <c r="C9" s="15" t="s">
        <v>42</v>
      </c>
      <c r="D9" s="22">
        <f>Y30</f>
        <v>0.45033962111782144</v>
      </c>
    </row>
    <row r="10" spans="3:4" ht="17.25" customHeight="1" x14ac:dyDescent="0.25">
      <c r="C10" s="15" t="s">
        <v>41</v>
      </c>
      <c r="D10" s="22" t="e">
        <f>XIRR(AF31:AF930,$C31:$C930)</f>
        <v>#VALUE!</v>
      </c>
    </row>
    <row r="11" spans="3:4" ht="17.25" customHeight="1" x14ac:dyDescent="0.25">
      <c r="C11" s="15" t="s">
        <v>43</v>
      </c>
      <c r="D11" s="22">
        <f>(U30-U31-(AF30+U30))/(U31-AJ30)</f>
        <v>-1.4219433691596044</v>
      </c>
    </row>
    <row r="12" spans="3:4" ht="17.25" customHeight="1" x14ac:dyDescent="0.25">
      <c r="C12" s="28" t="s">
        <v>44</v>
      </c>
      <c r="D12" s="22"/>
    </row>
    <row r="23" spans="2:37" ht="17.25" customHeight="1" x14ac:dyDescent="0.25">
      <c r="C23" s="20" t="s">
        <v>16</v>
      </c>
      <c r="D23" s="77" t="s">
        <v>28</v>
      </c>
      <c r="P23" s="20"/>
      <c r="T23" s="20"/>
      <c r="AA23" s="20"/>
    </row>
    <row r="24" spans="2:37" ht="17.25" customHeight="1" x14ac:dyDescent="0.25">
      <c r="C24" s="22" t="s">
        <v>15</v>
      </c>
      <c r="D24" s="77">
        <v>1</v>
      </c>
      <c r="H24" s="24"/>
      <c r="L24" s="25"/>
      <c r="M24" s="25"/>
      <c r="N24" s="29"/>
      <c r="P24" s="20"/>
      <c r="Q24" s="25"/>
      <c r="R24" s="25"/>
      <c r="S24" s="25"/>
      <c r="T24" s="20"/>
      <c r="U24" s="30"/>
      <c r="V24" s="26"/>
      <c r="W24" s="31"/>
      <c r="X24" s="31"/>
      <c r="Y24" s="26"/>
      <c r="Z24" s="26"/>
      <c r="AA24" s="20"/>
      <c r="AB24" s="31"/>
      <c r="AC24" s="31"/>
      <c r="AD24" s="25"/>
      <c r="AE24" s="25"/>
    </row>
    <row r="25" spans="2:37" ht="17.25" customHeight="1" x14ac:dyDescent="0.25">
      <c r="C25" s="20" t="s">
        <v>29</v>
      </c>
      <c r="D25" s="78" cm="1">
        <f t="array" ref="D25">(LOOKUP(2,1/(D:D&lt;&gt;""),D:D)-INDEX(D:D,31))/INDEX(D:D,31)</f>
        <v>-2.4652743911553601E-2</v>
      </c>
      <c r="L25" s="15"/>
      <c r="M25" s="15"/>
      <c r="P25" s="20"/>
      <c r="Q25" s="15"/>
      <c r="R25" s="15"/>
      <c r="S25" s="32"/>
      <c r="T25" s="20"/>
      <c r="AA25" s="20"/>
      <c r="AD25" s="15"/>
      <c r="AI25" s="15"/>
      <c r="AJ25" s="15"/>
      <c r="AK25" s="15"/>
    </row>
    <row r="26" spans="2:37" ht="17.25" customHeight="1" x14ac:dyDescent="0.25">
      <c r="L26" s="15"/>
      <c r="M26" s="22"/>
      <c r="P26" s="20"/>
      <c r="Q26" s="15"/>
      <c r="R26" s="15"/>
      <c r="S26" s="15"/>
      <c r="T26" s="20"/>
      <c r="AA26" s="20"/>
      <c r="AD26" s="15"/>
      <c r="AI26" s="15"/>
      <c r="AJ26" s="15"/>
      <c r="AK26" s="15"/>
    </row>
    <row r="27" spans="2:37" ht="17.25" customHeight="1" x14ac:dyDescent="0.25">
      <c r="H27" s="24"/>
      <c r="L27" s="27"/>
      <c r="M27" s="27"/>
      <c r="N27" s="29"/>
      <c r="P27" s="20"/>
      <c r="Q27" s="27"/>
      <c r="R27" s="27"/>
      <c r="S27" s="27"/>
      <c r="T27" s="20"/>
      <c r="U27" s="30"/>
      <c r="V27" s="26"/>
      <c r="W27" s="31"/>
      <c r="X27" s="31"/>
      <c r="Y27" s="26"/>
      <c r="Z27" s="26"/>
      <c r="AA27" s="20"/>
      <c r="AB27" s="31"/>
      <c r="AC27" s="31"/>
      <c r="AD27" s="27"/>
      <c r="AF27" s="20"/>
      <c r="AI27" s="15"/>
      <c r="AJ27" s="15"/>
      <c r="AK27" s="15"/>
    </row>
    <row r="28" spans="2:37" s="67" customFormat="1" ht="17.25" customHeight="1" x14ac:dyDescent="0.25">
      <c r="B28" s="89"/>
      <c r="D28" s="79"/>
      <c r="E28" s="66"/>
      <c r="F28" s="69"/>
      <c r="G28" s="69"/>
      <c r="H28" s="69"/>
      <c r="I28" s="70"/>
      <c r="J28" s="71"/>
      <c r="N28" s="71"/>
      <c r="O28" s="69"/>
      <c r="U28" s="72"/>
      <c r="V28" s="73"/>
      <c r="W28" s="74"/>
      <c r="X28" s="74"/>
      <c r="Y28" s="73"/>
      <c r="Z28" s="73"/>
      <c r="AB28" s="74"/>
      <c r="AC28" s="74"/>
      <c r="AF28" s="69"/>
      <c r="AG28" s="69"/>
      <c r="AI28" s="68"/>
      <c r="AJ28" s="68"/>
      <c r="AK28" s="68"/>
    </row>
    <row r="29" spans="2:37" s="62" customFormat="1" ht="17.25" customHeight="1" x14ac:dyDescent="0.25">
      <c r="B29" s="90" t="s">
        <v>46</v>
      </c>
      <c r="C29" s="57" t="s">
        <v>0</v>
      </c>
      <c r="D29" s="76" t="s">
        <v>45</v>
      </c>
      <c r="E29" s="59" t="s">
        <v>32</v>
      </c>
      <c r="F29" s="60" t="s">
        <v>24</v>
      </c>
      <c r="G29" s="60"/>
      <c r="H29" s="60"/>
      <c r="I29" s="58"/>
      <c r="J29" s="61" t="s">
        <v>27</v>
      </c>
      <c r="K29" s="61"/>
      <c r="L29" s="62" t="s">
        <v>31</v>
      </c>
      <c r="N29" s="61" t="s">
        <v>32</v>
      </c>
      <c r="O29" s="60" t="s">
        <v>24</v>
      </c>
      <c r="Q29" s="62" t="s">
        <v>27</v>
      </c>
      <c r="R29" s="62" t="s">
        <v>31</v>
      </c>
      <c r="S29" s="62" t="s">
        <v>31</v>
      </c>
      <c r="T29" s="62" t="s">
        <v>36</v>
      </c>
      <c r="U29" s="63" t="s">
        <v>37</v>
      </c>
      <c r="V29" s="64"/>
      <c r="W29" s="65" t="s">
        <v>30</v>
      </c>
      <c r="X29" s="65" t="s">
        <v>38</v>
      </c>
      <c r="Y29" s="85" t="s">
        <v>29</v>
      </c>
      <c r="Z29" s="64"/>
      <c r="AA29" s="62" t="s">
        <v>36</v>
      </c>
      <c r="AB29" s="65" t="s">
        <v>37</v>
      </c>
      <c r="AC29" s="65" t="s">
        <v>30</v>
      </c>
      <c r="AD29" s="62" t="s">
        <v>12</v>
      </c>
      <c r="AF29" s="60" t="s">
        <v>20</v>
      </c>
      <c r="AG29" s="60"/>
      <c r="AH29" s="62" t="s">
        <v>21</v>
      </c>
      <c r="AI29" s="62" t="s">
        <v>22</v>
      </c>
      <c r="AJ29" s="62" t="s">
        <v>23</v>
      </c>
    </row>
    <row r="30" spans="2:37" s="62" customFormat="1" ht="17.25" customHeight="1" x14ac:dyDescent="0.25">
      <c r="B30" s="90"/>
      <c r="C30" s="87"/>
      <c r="D30" s="76"/>
      <c r="E30" s="59"/>
      <c r="F30" s="60"/>
      <c r="G30" s="60"/>
      <c r="H30" s="60"/>
      <c r="I30" s="58"/>
      <c r="J30" s="61"/>
      <c r="K30" s="61"/>
      <c r="N30" s="61"/>
      <c r="O30" s="60"/>
      <c r="T30" s="65" cm="1">
        <f t="array" ref="T30">LOOKUP(2,1/(T:T&lt;&gt;""),T:T)</f>
        <v>22450</v>
      </c>
      <c r="U30" s="65" cm="1">
        <f t="array" ref="U30">LOOKUP(2,1/(U:U&lt;&gt;""),U:U)</f>
        <v>20479.73065707404</v>
      </c>
      <c r="V30" s="64" cm="1">
        <f t="array" ref="V30">LOOKUP(2,1/(V:V&lt;&gt;""),V:V)</f>
        <v>-8.7762554250599534E-2</v>
      </c>
      <c r="W30" s="65" cm="1">
        <f t="array" ref="W30">LOOKUP(2,1/(W:W&lt;&gt;""),W:W)</f>
        <v>-1970.2693429259598</v>
      </c>
      <c r="X30" s="65" cm="1">
        <f t="array" ref="X30">LOOKUP(2,1/(X:X&lt;&gt;""),X:X)</f>
        <v>12080.393837021051</v>
      </c>
      <c r="Y30" s="86" cm="1">
        <f t="array" ref="Y30">LOOKUP(2,1/(Y:Y&lt;&gt;""),Y:Y)</f>
        <v>0.45033962111782144</v>
      </c>
      <c r="Z30" s="64"/>
      <c r="AA30" s="65" cm="1">
        <f t="array" ref="AA30">LOOKUP(2,1/(AA:AA&lt;&gt;""),AA:AA)</f>
        <v>34530.39383702106</v>
      </c>
      <c r="AB30" s="65" cm="1">
        <f t="array" ref="AB30">LOOKUP(2,1/(AB:AB&lt;&gt;""),AB:AB)</f>
        <v>30688.141883835662</v>
      </c>
      <c r="AC30" s="65" cm="1">
        <f t="array" ref="AC30">LOOKUP(2,1/(AC:AC&lt;&gt;""),AC:AC)</f>
        <v>-3842.2519531853977</v>
      </c>
      <c r="AD30" s="64" cm="1">
        <f t="array" ref="AD30">LOOKUP(2,1/(AD:AD&lt;&gt;""),AD:AD)</f>
        <v>-0.11127159369569672</v>
      </c>
      <c r="AF30" s="60">
        <f>SUM(AF31:AF929)</f>
        <v>-10369.606162978946</v>
      </c>
      <c r="AG30" s="60">
        <f>SUM(AG31:AG929)</f>
        <v>-22450</v>
      </c>
      <c r="AH30" s="62" cm="1">
        <f t="array" ref="AH30">LOOKUP(2,1/(AH:AH&lt;&gt;""),AH:AH)</f>
        <v>6286</v>
      </c>
      <c r="AJ30" s="57">
        <f>-SUM(AJ31:AJ929)</f>
        <v>7307.3960305311102</v>
      </c>
      <c r="AK30" s="57">
        <f>-SUM(AK31:AK929)</f>
        <v>11225.055679287303</v>
      </c>
    </row>
    <row r="31" spans="2:37" s="42" customFormat="1" ht="17.25" customHeight="1" x14ac:dyDescent="0.25">
      <c r="B31" s="91" t="str">
        <f>IF(C30="","",IF(C$30&lt;C31,"",B30+1))</f>
        <v/>
      </c>
      <c r="C31" s="81">
        <f>IF(Sheet3!A2="","",Sheet3!A2)</f>
        <v>37627</v>
      </c>
      <c r="D31" s="82">
        <f>IF(C31="","",Sheet3!E2)</f>
        <v>28.799999</v>
      </c>
      <c r="E31" s="56">
        <f>_xlfn.XLOOKUP(WEEKNUM(C31)&amp;YEAR(C31),Sheet4!C:C,Sheet4!B:B,0)</f>
        <v>0.27</v>
      </c>
      <c r="F31" s="36">
        <f>-D3</f>
        <v>-50</v>
      </c>
      <c r="G31" s="36"/>
      <c r="H31" s="36">
        <f>F31</f>
        <v>-50</v>
      </c>
      <c r="I31" s="37"/>
      <c r="J31" s="38">
        <f t="shared" ref="J31:J94" si="0">IF(D$24=0,"",ABS($F31*D$24)/D31)</f>
        <v>1.7361111713927491</v>
      </c>
      <c r="K31" s="38"/>
      <c r="L31" s="38">
        <f>IF(D31=0,"",J31)</f>
        <v>1.7361111713927491</v>
      </c>
      <c r="M31" s="38"/>
      <c r="N31" s="38">
        <f>IF(D31=0,"",L31*E31)</f>
        <v>0.46875001627604229</v>
      </c>
      <c r="O31" s="36">
        <f>-(IF(D31=0,"",N31))</f>
        <v>-0.46875001627604229</v>
      </c>
      <c r="P31" s="83">
        <f>F31</f>
        <v>-50</v>
      </c>
      <c r="Q31" s="38">
        <f>ABS(O31)/D31</f>
        <v>1.6276042796947398E-2</v>
      </c>
      <c r="R31" s="38">
        <f>Q31</f>
        <v>1.6276042796947398E-2</v>
      </c>
      <c r="S31" s="38">
        <f t="shared" ref="S31:S94" si="1">IF(D31=0,"",L31+R31)</f>
        <v>1.7523872141896966</v>
      </c>
      <c r="T31" s="39">
        <f>D31*J31</f>
        <v>50</v>
      </c>
      <c r="U31" s="40">
        <f>IF(D31=0,"",L31*D31)</f>
        <v>50</v>
      </c>
      <c r="V31" s="41">
        <f>(U31/T31)-1</f>
        <v>0</v>
      </c>
      <c r="W31" s="39">
        <f t="shared" ref="W31" si="2">U31-T31</f>
        <v>0</v>
      </c>
      <c r="X31" s="39">
        <f>ABS(O31)</f>
        <v>0.46875001627604229</v>
      </c>
      <c r="Y31" s="41">
        <f>((U31+X31)/T31)-1</f>
        <v>9.3750003255208547E-3</v>
      </c>
      <c r="Z31" s="41"/>
      <c r="AA31" s="39">
        <f>(D31*Q31)+(D31*J31)</f>
        <v>50.46875001627604</v>
      </c>
      <c r="AB31" s="39">
        <f>(L31*D31)+(D31*R31)</f>
        <v>50.46875001627604</v>
      </c>
      <c r="AC31" s="39">
        <f>AB31-AA31</f>
        <v>0</v>
      </c>
      <c r="AD31" s="41">
        <f>(AB31/AA31)-1</f>
        <v>0</v>
      </c>
      <c r="AF31" s="36">
        <f t="shared" ref="AF31:AF94" si="3">F31+ABS(O31)</f>
        <v>-49.53124998372396</v>
      </c>
      <c r="AG31" s="36">
        <f>F31</f>
        <v>-50</v>
      </c>
      <c r="AH31" s="43">
        <f t="shared" ref="AH31:AH94" si="4">DATEDIF($C$31,C31,"d")</f>
        <v>0</v>
      </c>
      <c r="AI31" s="44">
        <f>(AH$30-AH31)/AH$30</f>
        <v>1</v>
      </c>
      <c r="AJ31" s="44">
        <f>$AI31*AF31</f>
        <v>-49.53124998372396</v>
      </c>
      <c r="AK31" s="44">
        <f>$AI31*AG31</f>
        <v>-50</v>
      </c>
    </row>
    <row r="32" spans="2:37" s="53" customFormat="1" ht="17.25" customHeight="1" x14ac:dyDescent="0.25">
      <c r="B32" s="91" t="str">
        <f t="shared" ref="B32:B95" si="5">IF(C31="","",IF(C$30&lt;C32,"",B31+1))</f>
        <v/>
      </c>
      <c r="C32" s="81">
        <f>IF(Sheet3!A3="","",Sheet3!A3)</f>
        <v>37634</v>
      </c>
      <c r="D32" s="82">
        <f>IF(C32="","",Sheet3!E3)</f>
        <v>27.280000999999999</v>
      </c>
      <c r="E32" s="56">
        <f>_xlfn.XLOOKUP(WEEKNUM(C32)&amp;YEAR(C32),Sheet4!C:C,Sheet4!B:B,0)</f>
        <v>0</v>
      </c>
      <c r="F32" s="46">
        <f>IF(int=Weekly,-$D$5,IF(int=Bi_Weekly,0,IF(int=Monthly,0,IF(int=Quarterly,0,IF(int=Yearly,0,IF(int=None,0,0))))))</f>
        <v>0</v>
      </c>
      <c r="G32" s="46"/>
      <c r="H32" s="46">
        <f>H31+F32</f>
        <v>-50</v>
      </c>
      <c r="I32" s="47"/>
      <c r="J32" s="38">
        <f t="shared" si="0"/>
        <v>0</v>
      </c>
      <c r="K32" s="48"/>
      <c r="L32" s="48">
        <f t="shared" ref="L32:L95" si="6">IF(D32=0,"",L31+J32)</f>
        <v>1.7361111713927491</v>
      </c>
      <c r="M32" s="48"/>
      <c r="N32" s="38">
        <f t="shared" ref="N32:N95" si="7">IF(D32=0,"",L32*E32)</f>
        <v>0</v>
      </c>
      <c r="O32" s="36">
        <f t="shared" ref="O32:O95" si="8">-(IF(D32=0,"",N32))</f>
        <v>0</v>
      </c>
      <c r="P32" s="84">
        <f t="shared" ref="P32:P95" si="9">P31+F32+O32</f>
        <v>-50</v>
      </c>
      <c r="Q32" s="38">
        <f t="shared" ref="Q32:Q95" si="10">IF(D32=0,"",ABS($O32)/D32)</f>
        <v>0</v>
      </c>
      <c r="R32" s="48">
        <f t="shared" ref="R32:R95" si="11">IF(D32=0,"",Q32+R31)</f>
        <v>1.6276042796947398E-2</v>
      </c>
      <c r="S32" s="38">
        <f t="shared" si="1"/>
        <v>1.7523872141896966</v>
      </c>
      <c r="T32" s="50">
        <f>IF(D32=0,"",D32*J32)+T31</f>
        <v>50</v>
      </c>
      <c r="U32" s="40">
        <f>IF(D32=0,"",L32*D32)</f>
        <v>47.361114491705365</v>
      </c>
      <c r="V32" s="41">
        <f t="shared" ref="V32" si="12">(U32/T32)-1</f>
        <v>-5.2777710165892722E-2</v>
      </c>
      <c r="W32" s="39">
        <f t="shared" ref="W32" si="13">U32-T32</f>
        <v>-2.638885508294635</v>
      </c>
      <c r="X32" s="50">
        <f t="shared" ref="X32:X95" si="14">ABS(O32)+X31</f>
        <v>0.46875001627604229</v>
      </c>
      <c r="Y32" s="41">
        <f t="shared" ref="Y32" si="15">((U32+X32)/T32)-1</f>
        <v>-4.3402709840371867E-2</v>
      </c>
      <c r="Z32" s="52"/>
      <c r="AA32" s="50">
        <f>(D32*Q32)+(D32*J32)+AA31</f>
        <v>50.46875001627604</v>
      </c>
      <c r="AB32" s="39">
        <f>(L32*D32)+(D32*R32)</f>
        <v>47.805124955482135</v>
      </c>
      <c r="AC32" s="39">
        <f t="shared" ref="AC32" si="16">AB32-AA32</f>
        <v>-2.6636250607939047</v>
      </c>
      <c r="AD32" s="41">
        <f t="shared" ref="AD32" si="17">(AB32/AA32)-1</f>
        <v>-5.2777710165892611E-2</v>
      </c>
      <c r="AF32" s="46">
        <f t="shared" si="3"/>
        <v>0</v>
      </c>
      <c r="AG32" s="46">
        <f t="shared" ref="AG32" si="18">F32</f>
        <v>0</v>
      </c>
      <c r="AH32" s="54">
        <f t="shared" si="4"/>
        <v>7</v>
      </c>
      <c r="AI32" s="55">
        <f t="shared" ref="AI32:AI95" si="19">(AH$30-AH32)/AH$30</f>
        <v>0.99888641425389757</v>
      </c>
      <c r="AJ32" s="55">
        <f t="shared" ref="AJ32" si="20">AI32*AF32</f>
        <v>0</v>
      </c>
      <c r="AK32" s="55">
        <f>$AI32*AG32</f>
        <v>0</v>
      </c>
    </row>
    <row r="33" spans="2:37" s="42" customFormat="1" ht="17.25" customHeight="1" x14ac:dyDescent="0.25">
      <c r="B33" s="91" t="str">
        <f t="shared" si="5"/>
        <v/>
      </c>
      <c r="C33" s="81">
        <f>IF(Sheet3!A4="","",Sheet3!A4)</f>
        <v>37641</v>
      </c>
      <c r="D33" s="82">
        <f>IF(C33="","",Sheet3!E4)</f>
        <v>24.540001</v>
      </c>
      <c r="E33" s="56">
        <f>_xlfn.XLOOKUP(WEEKNUM(C33)&amp;YEAR(C33),Sheet4!C:C,Sheet4!B:B,0)</f>
        <v>0</v>
      </c>
      <c r="F33" s="36">
        <f>IF(int=Weekly,-$D$5,IF(int=Bi_Weekly,-$D$5,IF(int=Monthly,0,IF(int=Quarterly,0,IF(int=Yearly,0,IF(int=None,0,0))))))</f>
        <v>0</v>
      </c>
      <c r="G33" s="36"/>
      <c r="H33" s="46">
        <f t="shared" ref="H33:H96" si="21">H32+F33</f>
        <v>-50</v>
      </c>
      <c r="I33" s="47"/>
      <c r="J33" s="38">
        <f t="shared" si="0"/>
        <v>0</v>
      </c>
      <c r="K33" s="48"/>
      <c r="L33" s="48">
        <f t="shared" si="6"/>
        <v>1.7361111713927491</v>
      </c>
      <c r="M33" s="48"/>
      <c r="N33" s="38">
        <f t="shared" si="7"/>
        <v>0</v>
      </c>
      <c r="O33" s="36">
        <f t="shared" si="8"/>
        <v>0</v>
      </c>
      <c r="P33" s="84">
        <f t="shared" si="9"/>
        <v>-50</v>
      </c>
      <c r="Q33" s="38">
        <f t="shared" si="10"/>
        <v>0</v>
      </c>
      <c r="R33" s="48">
        <f t="shared" si="11"/>
        <v>1.6276042796947398E-2</v>
      </c>
      <c r="S33" s="38">
        <f t="shared" si="1"/>
        <v>1.7523872141896966</v>
      </c>
      <c r="T33" s="50">
        <f t="shared" ref="T33:T96" si="22">IF(D33=0,"",D33*J33)+T32</f>
        <v>50</v>
      </c>
      <c r="U33" s="40">
        <f t="shared" ref="U33:U96" si="23">IF(D33=0,"",L33*D33)</f>
        <v>42.604169882089231</v>
      </c>
      <c r="V33" s="41">
        <f t="shared" ref="V33:V96" si="24">(U33/T33)-1</f>
        <v>-0.14791660235821535</v>
      </c>
      <c r="W33" s="39">
        <f t="shared" ref="W33:W96" si="25">U33-T33</f>
        <v>-7.3958301179107693</v>
      </c>
      <c r="X33" s="50">
        <f t="shared" si="14"/>
        <v>0.46875001627604229</v>
      </c>
      <c r="Y33" s="41">
        <f t="shared" ref="Y33:Y96" si="26">((U33+X33)/T33)-1</f>
        <v>-0.13854160203269461</v>
      </c>
      <c r="Z33" s="52"/>
      <c r="AA33" s="50">
        <f t="shared" ref="AA33:AA48" si="27">(D33*Q33)+(D33*J33)+AA32</f>
        <v>50.46875001627604</v>
      </c>
      <c r="AB33" s="39">
        <f t="shared" ref="AB33:AB48" si="28">(L33*D33)+(D33*R33)</f>
        <v>43.003583988602365</v>
      </c>
      <c r="AC33" s="39">
        <f t="shared" ref="AC33:AC96" si="29">AB33-AA33</f>
        <v>-7.4651660276736749</v>
      </c>
      <c r="AD33" s="41">
        <f t="shared" ref="AD33:AD96" si="30">(AB33/AA33)-1</f>
        <v>-0.14791660235821524</v>
      </c>
      <c r="AE33" s="53"/>
      <c r="AF33" s="46">
        <f t="shared" si="3"/>
        <v>0</v>
      </c>
      <c r="AG33" s="46">
        <f t="shared" ref="AG33:AG96" si="31">F33</f>
        <v>0</v>
      </c>
      <c r="AH33" s="54">
        <f t="shared" si="4"/>
        <v>14</v>
      </c>
      <c r="AI33" s="55">
        <f t="shared" si="19"/>
        <v>0.99777282850779514</v>
      </c>
      <c r="AJ33" s="55">
        <f t="shared" ref="AJ33:AJ96" si="32">AI33*AF33</f>
        <v>0</v>
      </c>
      <c r="AK33" s="55">
        <f t="shared" ref="AK33:AK96" si="33">$AI33*AG33</f>
        <v>0</v>
      </c>
    </row>
    <row r="34" spans="2:37" s="53" customFormat="1" ht="17.25" customHeight="1" x14ac:dyDescent="0.25">
      <c r="B34" s="91" t="str">
        <f t="shared" si="5"/>
        <v/>
      </c>
      <c r="C34" s="81">
        <f>IF(Sheet3!A5="","",Sheet3!A5)</f>
        <v>37648</v>
      </c>
      <c r="D34" s="82">
        <f>IF(C34="","",Sheet3!E5)</f>
        <v>24.440000999999999</v>
      </c>
      <c r="E34" s="56">
        <f>_xlfn.XLOOKUP(WEEKNUM(C34)&amp;YEAR(C34),Sheet4!C:C,Sheet4!B:B,0)</f>
        <v>0</v>
      </c>
      <c r="F34" s="46">
        <f>IF(int=Weekly,-$D$5,IF(int=Bi_Weekly,0,IF(int=Monthly,0,IF(int=Quarterly,0,IF(int=Yearly,0,IF(int=None,0,0))))))</f>
        <v>0</v>
      </c>
      <c r="G34" s="46"/>
      <c r="H34" s="46">
        <f t="shared" si="21"/>
        <v>-50</v>
      </c>
      <c r="I34" s="47"/>
      <c r="J34" s="38">
        <f t="shared" si="0"/>
        <v>0</v>
      </c>
      <c r="K34" s="48"/>
      <c r="L34" s="48">
        <f t="shared" si="6"/>
        <v>1.7361111713927491</v>
      </c>
      <c r="M34" s="48"/>
      <c r="N34" s="38">
        <f t="shared" si="7"/>
        <v>0</v>
      </c>
      <c r="O34" s="36">
        <f t="shared" si="8"/>
        <v>0</v>
      </c>
      <c r="P34" s="84">
        <f t="shared" si="9"/>
        <v>-50</v>
      </c>
      <c r="Q34" s="38">
        <f t="shared" si="10"/>
        <v>0</v>
      </c>
      <c r="R34" s="48">
        <f t="shared" si="11"/>
        <v>1.6276042796947398E-2</v>
      </c>
      <c r="S34" s="38">
        <f t="shared" si="1"/>
        <v>1.7523872141896966</v>
      </c>
      <c r="T34" s="50">
        <f t="shared" si="22"/>
        <v>50</v>
      </c>
      <c r="U34" s="40">
        <f t="shared" si="23"/>
        <v>42.430558764949957</v>
      </c>
      <c r="V34" s="41">
        <f t="shared" si="24"/>
        <v>-0.1513888247010009</v>
      </c>
      <c r="W34" s="39">
        <f t="shared" si="25"/>
        <v>-7.5694412350500428</v>
      </c>
      <c r="X34" s="50">
        <f t="shared" si="14"/>
        <v>0.46875001627604229</v>
      </c>
      <c r="Y34" s="41">
        <f t="shared" si="26"/>
        <v>-0.14201382437548005</v>
      </c>
      <c r="Z34" s="52"/>
      <c r="AA34" s="50">
        <f t="shared" si="27"/>
        <v>50.46875001627604</v>
      </c>
      <c r="AB34" s="39">
        <f t="shared" si="28"/>
        <v>42.828345267183394</v>
      </c>
      <c r="AC34" s="39">
        <f t="shared" si="29"/>
        <v>-7.6404047490926459</v>
      </c>
      <c r="AD34" s="41">
        <f t="shared" si="30"/>
        <v>-0.15138882470100079</v>
      </c>
      <c r="AF34" s="46">
        <f t="shared" si="3"/>
        <v>0</v>
      </c>
      <c r="AG34" s="46">
        <f t="shared" si="31"/>
        <v>0</v>
      </c>
      <c r="AH34" s="54">
        <f t="shared" si="4"/>
        <v>21</v>
      </c>
      <c r="AI34" s="55">
        <f t="shared" si="19"/>
        <v>0.9966592427616926</v>
      </c>
      <c r="AJ34" s="55">
        <f t="shared" si="32"/>
        <v>0</v>
      </c>
      <c r="AK34" s="55">
        <f t="shared" si="33"/>
        <v>0</v>
      </c>
    </row>
    <row r="35" spans="2:37" s="53" customFormat="1" ht="17.25" customHeight="1" x14ac:dyDescent="0.25">
      <c r="B35" s="91" t="str">
        <f t="shared" si="5"/>
        <v/>
      </c>
      <c r="C35" s="81">
        <f>IF(Sheet3!A6="","",Sheet3!A6)</f>
        <v>37655</v>
      </c>
      <c r="D35" s="82">
        <f>IF(C35="","",Sheet3!E6)</f>
        <v>25.18</v>
      </c>
      <c r="E35" s="56">
        <f>_xlfn.XLOOKUP(WEEKNUM(C35)&amp;YEAR(C35),Sheet4!C:C,Sheet4!B:B,0)</f>
        <v>0</v>
      </c>
      <c r="F35" s="46">
        <f>IF(int=Weekly,-$D$5,IF(int=Bi_Weekly,-$D$5,IF(int=Monthly,-$D$5,IF(int=Quarterly,0,IF(int=Yearly,0,IF(int=None,0,0))))))</f>
        <v>-100</v>
      </c>
      <c r="G35" s="46"/>
      <c r="H35" s="46">
        <f t="shared" si="21"/>
        <v>-150</v>
      </c>
      <c r="I35" s="47"/>
      <c r="J35" s="38">
        <f t="shared" si="0"/>
        <v>3.9714058776806991</v>
      </c>
      <c r="K35" s="48"/>
      <c r="L35" s="48">
        <f t="shared" si="6"/>
        <v>5.7075170490734486</v>
      </c>
      <c r="M35" s="48"/>
      <c r="N35" s="38">
        <f t="shared" si="7"/>
        <v>0</v>
      </c>
      <c r="O35" s="36">
        <f t="shared" si="8"/>
        <v>0</v>
      </c>
      <c r="P35" s="84">
        <f t="shared" si="9"/>
        <v>-150</v>
      </c>
      <c r="Q35" s="38">
        <f t="shared" si="10"/>
        <v>0</v>
      </c>
      <c r="R35" s="48">
        <f t="shared" si="11"/>
        <v>1.6276042796947398E-2</v>
      </c>
      <c r="S35" s="38">
        <f t="shared" si="1"/>
        <v>5.7237930918703963</v>
      </c>
      <c r="T35" s="50">
        <f t="shared" si="22"/>
        <v>150</v>
      </c>
      <c r="U35" s="40">
        <f t="shared" si="23"/>
        <v>143.71527929566943</v>
      </c>
      <c r="V35" s="41">
        <f t="shared" si="24"/>
        <v>-4.1898138028870435E-2</v>
      </c>
      <c r="W35" s="39">
        <f t="shared" si="25"/>
        <v>-6.2847207043305673</v>
      </c>
      <c r="X35" s="50">
        <f t="shared" si="14"/>
        <v>0.46875001627604229</v>
      </c>
      <c r="Y35" s="41">
        <f t="shared" si="26"/>
        <v>-3.8773137920363521E-2</v>
      </c>
      <c r="Z35" s="52"/>
      <c r="AA35" s="50">
        <f t="shared" si="27"/>
        <v>150.46875001627603</v>
      </c>
      <c r="AB35" s="39">
        <f t="shared" si="28"/>
        <v>144.12511005329657</v>
      </c>
      <c r="AC35" s="39">
        <f t="shared" si="29"/>
        <v>-6.3436399629794664</v>
      </c>
      <c r="AD35" s="41">
        <f t="shared" si="30"/>
        <v>-4.2159185626871265E-2</v>
      </c>
      <c r="AF35" s="46">
        <f t="shared" si="3"/>
        <v>-100</v>
      </c>
      <c r="AG35" s="46">
        <f t="shared" si="31"/>
        <v>-100</v>
      </c>
      <c r="AH35" s="54">
        <f t="shared" si="4"/>
        <v>28</v>
      </c>
      <c r="AI35" s="55">
        <f t="shared" si="19"/>
        <v>0.99554565701559017</v>
      </c>
      <c r="AJ35" s="55">
        <f t="shared" si="32"/>
        <v>-99.554565701559014</v>
      </c>
      <c r="AK35" s="55">
        <f t="shared" si="33"/>
        <v>-99.554565701559014</v>
      </c>
    </row>
    <row r="36" spans="2:37" s="53" customFormat="1" ht="17.25" customHeight="1" x14ac:dyDescent="0.25">
      <c r="B36" s="91" t="str">
        <f t="shared" si="5"/>
        <v/>
      </c>
      <c r="C36" s="81">
        <f>IF(Sheet3!A7="","",Sheet3!A7)</f>
        <v>37662</v>
      </c>
      <c r="D36" s="82">
        <f>IF(C36="","",Sheet3!E7)</f>
        <v>23.35</v>
      </c>
      <c r="E36" s="56">
        <f>_xlfn.XLOOKUP(WEEKNUM(C36)&amp;YEAR(C36),Sheet4!C:C,Sheet4!B:B,0)</f>
        <v>0</v>
      </c>
      <c r="F36" s="46">
        <f>IF(int=Weekly,-$D$5,IF(int=Bi_Weekly,0,IF(int=Monthly,0,IF(int=Quarterly,0,IF(int=Yearly,0,IF(int=None,0,0))))))</f>
        <v>0</v>
      </c>
      <c r="G36" s="46"/>
      <c r="H36" s="46">
        <f t="shared" si="21"/>
        <v>-150</v>
      </c>
      <c r="I36" s="47"/>
      <c r="J36" s="38">
        <f t="shared" si="0"/>
        <v>0</v>
      </c>
      <c r="K36" s="48"/>
      <c r="L36" s="48">
        <f t="shared" si="6"/>
        <v>5.7075170490734486</v>
      </c>
      <c r="M36" s="48"/>
      <c r="N36" s="38">
        <f t="shared" si="7"/>
        <v>0</v>
      </c>
      <c r="O36" s="36">
        <f t="shared" si="8"/>
        <v>0</v>
      </c>
      <c r="P36" s="84">
        <f t="shared" si="9"/>
        <v>-150</v>
      </c>
      <c r="Q36" s="38">
        <f t="shared" si="10"/>
        <v>0</v>
      </c>
      <c r="R36" s="48">
        <f t="shared" si="11"/>
        <v>1.6276042796947398E-2</v>
      </c>
      <c r="S36" s="38">
        <f t="shared" si="1"/>
        <v>5.7237930918703963</v>
      </c>
      <c r="T36" s="50">
        <f t="shared" si="22"/>
        <v>150</v>
      </c>
      <c r="U36" s="40">
        <f t="shared" si="23"/>
        <v>133.27052309586503</v>
      </c>
      <c r="V36" s="41">
        <f t="shared" si="24"/>
        <v>-0.11152984602756644</v>
      </c>
      <c r="W36" s="39">
        <f t="shared" si="25"/>
        <v>-16.72947690413497</v>
      </c>
      <c r="X36" s="50">
        <f t="shared" si="14"/>
        <v>0.46875001627604229</v>
      </c>
      <c r="Y36" s="41">
        <f t="shared" si="26"/>
        <v>-0.10840484591905952</v>
      </c>
      <c r="Z36" s="52"/>
      <c r="AA36" s="50">
        <f t="shared" si="27"/>
        <v>150.46875001627603</v>
      </c>
      <c r="AB36" s="39">
        <f t="shared" si="28"/>
        <v>133.65056869517375</v>
      </c>
      <c r="AC36" s="39">
        <f t="shared" si="29"/>
        <v>-16.818181321102287</v>
      </c>
      <c r="AD36" s="41">
        <f t="shared" si="30"/>
        <v>-0.11177192154040683</v>
      </c>
      <c r="AF36" s="46">
        <f t="shared" si="3"/>
        <v>0</v>
      </c>
      <c r="AG36" s="46">
        <f t="shared" si="31"/>
        <v>0</v>
      </c>
      <c r="AH36" s="54">
        <f t="shared" si="4"/>
        <v>35</v>
      </c>
      <c r="AI36" s="55">
        <f t="shared" si="19"/>
        <v>0.99443207126948774</v>
      </c>
      <c r="AJ36" s="55">
        <f t="shared" si="32"/>
        <v>0</v>
      </c>
      <c r="AK36" s="55">
        <f t="shared" si="33"/>
        <v>0</v>
      </c>
    </row>
    <row r="37" spans="2:37" s="53" customFormat="1" ht="17.25" customHeight="1" x14ac:dyDescent="0.25">
      <c r="B37" s="91" t="str">
        <f t="shared" si="5"/>
        <v/>
      </c>
      <c r="C37" s="81">
        <f>IF(Sheet3!A8="","",Sheet3!A8)</f>
        <v>37669</v>
      </c>
      <c r="D37" s="82">
        <f>IF(C37="","",Sheet3!E8)</f>
        <v>20.73</v>
      </c>
      <c r="E37" s="56">
        <f>_xlfn.XLOOKUP(WEEKNUM(C37)&amp;YEAR(C37),Sheet4!C:C,Sheet4!B:B,0)</f>
        <v>0</v>
      </c>
      <c r="F37" s="46">
        <f>IF(int=Weekly,-$D$5,IF(int=Bi_Weekly,-$D$5,IF(int=Monthly,0,IF(int=Quarterly,0,IF(int=Yearly,0,IF(int=None,0,0))))))</f>
        <v>0</v>
      </c>
      <c r="G37" s="46"/>
      <c r="H37" s="46">
        <f t="shared" si="21"/>
        <v>-150</v>
      </c>
      <c r="I37" s="47"/>
      <c r="J37" s="38">
        <f t="shared" si="0"/>
        <v>0</v>
      </c>
      <c r="K37" s="48"/>
      <c r="L37" s="48">
        <f t="shared" si="6"/>
        <v>5.7075170490734486</v>
      </c>
      <c r="M37" s="48"/>
      <c r="N37" s="38">
        <f t="shared" si="7"/>
        <v>0</v>
      </c>
      <c r="O37" s="36">
        <f t="shared" si="8"/>
        <v>0</v>
      </c>
      <c r="P37" s="84">
        <f t="shared" si="9"/>
        <v>-150</v>
      </c>
      <c r="Q37" s="38">
        <f t="shared" si="10"/>
        <v>0</v>
      </c>
      <c r="R37" s="48">
        <f t="shared" si="11"/>
        <v>1.6276042796947398E-2</v>
      </c>
      <c r="S37" s="38">
        <f t="shared" si="1"/>
        <v>5.7237930918703963</v>
      </c>
      <c r="T37" s="50">
        <f t="shared" si="22"/>
        <v>150</v>
      </c>
      <c r="U37" s="40">
        <f t="shared" si="23"/>
        <v>118.31682842729259</v>
      </c>
      <c r="V37" s="41">
        <f t="shared" si="24"/>
        <v>-0.21122114381804935</v>
      </c>
      <c r="W37" s="39">
        <f t="shared" si="25"/>
        <v>-31.683171572707408</v>
      </c>
      <c r="X37" s="50">
        <f t="shared" si="14"/>
        <v>0.46875001627604229</v>
      </c>
      <c r="Y37" s="41">
        <f t="shared" si="26"/>
        <v>-0.20809614370954244</v>
      </c>
      <c r="Z37" s="52"/>
      <c r="AA37" s="50">
        <f t="shared" si="27"/>
        <v>150.46875001627603</v>
      </c>
      <c r="AB37" s="39">
        <f t="shared" si="28"/>
        <v>118.65423079447331</v>
      </c>
      <c r="AC37" s="39">
        <f t="shared" si="29"/>
        <v>-31.814519221802726</v>
      </c>
      <c r="AD37" s="41">
        <f t="shared" si="30"/>
        <v>-0.21143605711060531</v>
      </c>
      <c r="AF37" s="46">
        <f t="shared" si="3"/>
        <v>0</v>
      </c>
      <c r="AG37" s="46">
        <f t="shared" si="31"/>
        <v>0</v>
      </c>
      <c r="AH37" s="54">
        <f t="shared" si="4"/>
        <v>42</v>
      </c>
      <c r="AI37" s="55">
        <f t="shared" si="19"/>
        <v>0.99331848552338531</v>
      </c>
      <c r="AJ37" s="55">
        <f t="shared" si="32"/>
        <v>0</v>
      </c>
      <c r="AK37" s="55">
        <f t="shared" si="33"/>
        <v>0</v>
      </c>
    </row>
    <row r="38" spans="2:37" s="53" customFormat="1" ht="17.25" customHeight="1" x14ac:dyDescent="0.25">
      <c r="B38" s="91" t="str">
        <f t="shared" si="5"/>
        <v/>
      </c>
      <c r="C38" s="81">
        <f>IF(Sheet3!A9="","",Sheet3!A9)</f>
        <v>37676</v>
      </c>
      <c r="D38" s="82">
        <f>IF(C38="","",Sheet3!E9)</f>
        <v>20.799999</v>
      </c>
      <c r="E38" s="56">
        <f>_xlfn.XLOOKUP(WEEKNUM(C38)&amp;YEAR(C38),Sheet4!C:C,Sheet4!B:B,0)</f>
        <v>0</v>
      </c>
      <c r="F38" s="46">
        <f>IF(int=Weekly,-$D$5,IF(int=Bi_Weekly,0,IF(int=Monthly,0,IF(int=Quarterly,0,IF(int=Yearly,0,IF(int=None,0,0))))))</f>
        <v>0</v>
      </c>
      <c r="G38" s="46"/>
      <c r="H38" s="46">
        <f t="shared" si="21"/>
        <v>-150</v>
      </c>
      <c r="I38" s="47"/>
      <c r="J38" s="38">
        <f t="shared" si="0"/>
        <v>0</v>
      </c>
      <c r="K38" s="48"/>
      <c r="L38" s="48">
        <f t="shared" si="6"/>
        <v>5.7075170490734486</v>
      </c>
      <c r="M38" s="48"/>
      <c r="N38" s="38">
        <f t="shared" si="7"/>
        <v>0</v>
      </c>
      <c r="O38" s="36">
        <f t="shared" si="8"/>
        <v>0</v>
      </c>
      <c r="P38" s="84">
        <f t="shared" si="9"/>
        <v>-150</v>
      </c>
      <c r="Q38" s="38">
        <f t="shared" si="10"/>
        <v>0</v>
      </c>
      <c r="R38" s="48">
        <f t="shared" si="11"/>
        <v>1.6276042796947398E-2</v>
      </c>
      <c r="S38" s="38">
        <f t="shared" si="1"/>
        <v>5.7237930918703963</v>
      </c>
      <c r="T38" s="50">
        <f t="shared" si="22"/>
        <v>150</v>
      </c>
      <c r="U38" s="40">
        <f t="shared" si="23"/>
        <v>118.71634891321068</v>
      </c>
      <c r="V38" s="41">
        <f t="shared" si="24"/>
        <v>-0.20855767391192881</v>
      </c>
      <c r="W38" s="39">
        <f t="shared" si="25"/>
        <v>-31.28365108678932</v>
      </c>
      <c r="X38" s="50">
        <f t="shared" si="14"/>
        <v>0.46875001627604229</v>
      </c>
      <c r="Y38" s="41">
        <f t="shared" si="26"/>
        <v>-0.20543267380342178</v>
      </c>
      <c r="Z38" s="52"/>
      <c r="AA38" s="50">
        <f t="shared" si="27"/>
        <v>150.46875001627603</v>
      </c>
      <c r="AB38" s="39">
        <f t="shared" si="28"/>
        <v>119.05489058711115</v>
      </c>
      <c r="AC38" s="39">
        <f t="shared" si="29"/>
        <v>-31.413859429164887</v>
      </c>
      <c r="AD38" s="41">
        <f t="shared" si="30"/>
        <v>-0.20877331290229295</v>
      </c>
      <c r="AF38" s="46">
        <f t="shared" si="3"/>
        <v>0</v>
      </c>
      <c r="AG38" s="46">
        <f t="shared" si="31"/>
        <v>0</v>
      </c>
      <c r="AH38" s="54">
        <f t="shared" si="4"/>
        <v>49</v>
      </c>
      <c r="AI38" s="55">
        <f t="shared" si="19"/>
        <v>0.99220489977728288</v>
      </c>
      <c r="AJ38" s="55">
        <f t="shared" si="32"/>
        <v>0</v>
      </c>
      <c r="AK38" s="55">
        <f t="shared" si="33"/>
        <v>0</v>
      </c>
    </row>
    <row r="39" spans="2:37" s="53" customFormat="1" ht="17.25" customHeight="1" x14ac:dyDescent="0.25">
      <c r="B39" s="91" t="str">
        <f t="shared" si="5"/>
        <v/>
      </c>
      <c r="C39" s="81">
        <f>IF(Sheet3!A10="","",Sheet3!A10)</f>
        <v>37683</v>
      </c>
      <c r="D39" s="82">
        <f>IF(C39="","",Sheet3!E10)</f>
        <v>20.49</v>
      </c>
      <c r="E39" s="56">
        <f>_xlfn.XLOOKUP(WEEKNUM(C39)&amp;YEAR(C39),Sheet4!C:C,Sheet4!B:B,0)</f>
        <v>0</v>
      </c>
      <c r="F39" s="46">
        <f>IF(int=Weekly,-$D$5,IF(int=Bi_Weekly,-$D$5,IF(int=Monthly,-$D$5,IF(int=Quarterly,0,IF(int=Yearly,0,IF(int=None,0,0))))))</f>
        <v>-100</v>
      </c>
      <c r="G39" s="46"/>
      <c r="H39" s="46">
        <f t="shared" si="21"/>
        <v>-250</v>
      </c>
      <c r="I39" s="47"/>
      <c r="J39" s="38">
        <f t="shared" si="0"/>
        <v>4.8804294777940465</v>
      </c>
      <c r="K39" s="48"/>
      <c r="L39" s="48">
        <f t="shared" si="6"/>
        <v>10.587946526867494</v>
      </c>
      <c r="M39" s="48"/>
      <c r="N39" s="38">
        <f t="shared" si="7"/>
        <v>0</v>
      </c>
      <c r="O39" s="36">
        <f t="shared" si="8"/>
        <v>0</v>
      </c>
      <c r="P39" s="84">
        <f t="shared" si="9"/>
        <v>-250</v>
      </c>
      <c r="Q39" s="38">
        <f t="shared" si="10"/>
        <v>0</v>
      </c>
      <c r="R39" s="48">
        <f t="shared" si="11"/>
        <v>1.6276042796947398E-2</v>
      </c>
      <c r="S39" s="38">
        <f t="shared" si="1"/>
        <v>10.604222569664442</v>
      </c>
      <c r="T39" s="50">
        <f t="shared" si="22"/>
        <v>250</v>
      </c>
      <c r="U39" s="40">
        <f t="shared" si="23"/>
        <v>216.94702433551493</v>
      </c>
      <c r="V39" s="41">
        <f t="shared" si="24"/>
        <v>-0.13221190265794025</v>
      </c>
      <c r="W39" s="39">
        <f t="shared" si="25"/>
        <v>-33.052975664485075</v>
      </c>
      <c r="X39" s="50">
        <f t="shared" si="14"/>
        <v>0.46875001627604229</v>
      </c>
      <c r="Y39" s="41">
        <f t="shared" si="26"/>
        <v>-0.13033690259283615</v>
      </c>
      <c r="Z39" s="52"/>
      <c r="AA39" s="50">
        <f t="shared" si="27"/>
        <v>250.46875001627603</v>
      </c>
      <c r="AB39" s="39">
        <f t="shared" si="28"/>
        <v>217.28052045242438</v>
      </c>
      <c r="AC39" s="39">
        <f t="shared" si="29"/>
        <v>-33.18822956385165</v>
      </c>
      <c r="AD39" s="41">
        <f t="shared" si="30"/>
        <v>-0.13250447236110297</v>
      </c>
      <c r="AF39" s="46">
        <f t="shared" si="3"/>
        <v>-100</v>
      </c>
      <c r="AG39" s="46">
        <f t="shared" si="31"/>
        <v>-100</v>
      </c>
      <c r="AH39" s="54">
        <f t="shared" si="4"/>
        <v>56</v>
      </c>
      <c r="AI39" s="55">
        <f t="shared" si="19"/>
        <v>0.99109131403118045</v>
      </c>
      <c r="AJ39" s="55">
        <f t="shared" si="32"/>
        <v>-99.109131403118042</v>
      </c>
      <c r="AK39" s="55">
        <f t="shared" si="33"/>
        <v>-99.109131403118042</v>
      </c>
    </row>
    <row r="40" spans="2:37" s="53" customFormat="1" ht="17.25" customHeight="1" x14ac:dyDescent="0.25">
      <c r="B40" s="91" t="str">
        <f t="shared" si="5"/>
        <v/>
      </c>
      <c r="C40" s="81">
        <f>IF(Sheet3!A11="","",Sheet3!A11)</f>
        <v>37690</v>
      </c>
      <c r="D40" s="82">
        <f>IF(C40="","",Sheet3!E11)</f>
        <v>20.85</v>
      </c>
      <c r="E40" s="56">
        <f>_xlfn.XLOOKUP(WEEKNUM(C40)&amp;YEAR(C40),Sheet4!C:C,Sheet4!B:B,0)</f>
        <v>0</v>
      </c>
      <c r="F40" s="46">
        <f>IF(int=Weekly,-$D$5,IF(int=Bi_Weekly,0,IF(int=Monthly,0,IF(int=Quarterly,0,IF(int=Yearly,0,IF(int=None,0,0))))))</f>
        <v>0</v>
      </c>
      <c r="G40" s="46"/>
      <c r="H40" s="46">
        <f t="shared" si="21"/>
        <v>-250</v>
      </c>
      <c r="I40" s="47"/>
      <c r="J40" s="38">
        <f t="shared" si="0"/>
        <v>0</v>
      </c>
      <c r="K40" s="48"/>
      <c r="L40" s="48">
        <f t="shared" si="6"/>
        <v>10.587946526867494</v>
      </c>
      <c r="M40" s="48"/>
      <c r="N40" s="38">
        <f t="shared" si="7"/>
        <v>0</v>
      </c>
      <c r="O40" s="36">
        <f t="shared" si="8"/>
        <v>0</v>
      </c>
      <c r="P40" s="84">
        <f t="shared" si="9"/>
        <v>-250</v>
      </c>
      <c r="Q40" s="38">
        <f t="shared" si="10"/>
        <v>0</v>
      </c>
      <c r="R40" s="48">
        <f t="shared" si="11"/>
        <v>1.6276042796947398E-2</v>
      </c>
      <c r="S40" s="38">
        <f t="shared" si="1"/>
        <v>10.604222569664442</v>
      </c>
      <c r="T40" s="50">
        <f t="shared" si="22"/>
        <v>250</v>
      </c>
      <c r="U40" s="40">
        <f t="shared" si="23"/>
        <v>220.75868508518727</v>
      </c>
      <c r="V40" s="41">
        <f t="shared" si="24"/>
        <v>-0.11696525965925098</v>
      </c>
      <c r="W40" s="39">
        <f t="shared" si="25"/>
        <v>-29.241314914812733</v>
      </c>
      <c r="X40" s="50">
        <f t="shared" si="14"/>
        <v>0.46875001627604229</v>
      </c>
      <c r="Y40" s="41">
        <f t="shared" si="26"/>
        <v>-0.11509025959414676</v>
      </c>
      <c r="Z40" s="52"/>
      <c r="AA40" s="50">
        <f t="shared" si="27"/>
        <v>250.46875001627603</v>
      </c>
      <c r="AB40" s="39">
        <f t="shared" si="28"/>
        <v>221.09804057750361</v>
      </c>
      <c r="AC40" s="39">
        <f t="shared" si="29"/>
        <v>-29.370709438772423</v>
      </c>
      <c r="AD40" s="41">
        <f t="shared" si="30"/>
        <v>-0.11726296967930672</v>
      </c>
      <c r="AF40" s="46">
        <f t="shared" si="3"/>
        <v>0</v>
      </c>
      <c r="AG40" s="46">
        <f t="shared" si="31"/>
        <v>0</v>
      </c>
      <c r="AH40" s="54">
        <f t="shared" si="4"/>
        <v>63</v>
      </c>
      <c r="AI40" s="55">
        <f t="shared" si="19"/>
        <v>0.98997772828507791</v>
      </c>
      <c r="AJ40" s="55">
        <f t="shared" si="32"/>
        <v>0</v>
      </c>
      <c r="AK40" s="55">
        <f t="shared" si="33"/>
        <v>0</v>
      </c>
    </row>
    <row r="41" spans="2:37" s="53" customFormat="1" ht="17.25" customHeight="1" x14ac:dyDescent="0.25">
      <c r="B41" s="91" t="str">
        <f t="shared" si="5"/>
        <v/>
      </c>
      <c r="C41" s="81">
        <f>IF(Sheet3!A12="","",Sheet3!A12)</f>
        <v>37697</v>
      </c>
      <c r="D41" s="82">
        <f>IF(C41="","",Sheet3!E12)</f>
        <v>21.639999</v>
      </c>
      <c r="E41" s="56">
        <f>_xlfn.XLOOKUP(WEEKNUM(C41)&amp;YEAR(C41),Sheet4!C:C,Sheet4!B:B,0)</f>
        <v>0</v>
      </c>
      <c r="F41" s="46">
        <f>IF(int=Weekly,-$D$5,IF(int=Bi_Weekly,-$D$5,IF(int=Monthly,0,IF(int=Quarterly,0,IF(int=Yearly,0,IF(int=None,0,0))))))</f>
        <v>0</v>
      </c>
      <c r="G41" s="46"/>
      <c r="H41" s="46">
        <f t="shared" si="21"/>
        <v>-250</v>
      </c>
      <c r="I41" s="47"/>
      <c r="J41" s="38">
        <f t="shared" si="0"/>
        <v>0</v>
      </c>
      <c r="K41" s="48"/>
      <c r="L41" s="48">
        <f t="shared" si="6"/>
        <v>10.587946526867494</v>
      </c>
      <c r="M41" s="48"/>
      <c r="N41" s="38">
        <f t="shared" si="7"/>
        <v>0</v>
      </c>
      <c r="O41" s="36">
        <f t="shared" si="8"/>
        <v>0</v>
      </c>
      <c r="P41" s="84">
        <f t="shared" si="9"/>
        <v>-250</v>
      </c>
      <c r="Q41" s="38">
        <f t="shared" si="10"/>
        <v>0</v>
      </c>
      <c r="R41" s="48">
        <f t="shared" si="11"/>
        <v>1.6276042796947398E-2</v>
      </c>
      <c r="S41" s="38">
        <f t="shared" si="1"/>
        <v>10.604222569664442</v>
      </c>
      <c r="T41" s="50">
        <f t="shared" si="22"/>
        <v>250</v>
      </c>
      <c r="U41" s="40">
        <f t="shared" si="23"/>
        <v>229.12315225346603</v>
      </c>
      <c r="V41" s="41">
        <f t="shared" si="24"/>
        <v>-8.350739098613591E-2</v>
      </c>
      <c r="W41" s="39">
        <f t="shared" si="25"/>
        <v>-20.876847746533969</v>
      </c>
      <c r="X41" s="50">
        <f t="shared" si="14"/>
        <v>0.46875001627604229</v>
      </c>
      <c r="Y41" s="41">
        <f t="shared" si="26"/>
        <v>-8.1632390921031694E-2</v>
      </c>
      <c r="Z41" s="52"/>
      <c r="AA41" s="50">
        <f t="shared" si="27"/>
        <v>250.46875001627603</v>
      </c>
      <c r="AB41" s="39">
        <f t="shared" si="28"/>
        <v>229.47536580331592</v>
      </c>
      <c r="AC41" s="39">
        <f t="shared" si="29"/>
        <v>-20.993384212960109</v>
      </c>
      <c r="AD41" s="41">
        <f t="shared" si="30"/>
        <v>-8.3816381131761597E-2</v>
      </c>
      <c r="AF41" s="46">
        <f t="shared" si="3"/>
        <v>0</v>
      </c>
      <c r="AG41" s="46">
        <f t="shared" si="31"/>
        <v>0</v>
      </c>
      <c r="AH41" s="54">
        <f t="shared" si="4"/>
        <v>70</v>
      </c>
      <c r="AI41" s="55">
        <f t="shared" si="19"/>
        <v>0.98886414253897548</v>
      </c>
      <c r="AJ41" s="55">
        <f t="shared" si="32"/>
        <v>0</v>
      </c>
      <c r="AK41" s="55">
        <f t="shared" si="33"/>
        <v>0</v>
      </c>
    </row>
    <row r="42" spans="2:37" s="53" customFormat="1" ht="17.25" customHeight="1" x14ac:dyDescent="0.25">
      <c r="B42" s="91" t="str">
        <f t="shared" si="5"/>
        <v/>
      </c>
      <c r="C42" s="81">
        <f>IF(Sheet3!A13="","",Sheet3!A13)</f>
        <v>37704</v>
      </c>
      <c r="D42" s="82">
        <f>IF(C42="","",Sheet3!E13)</f>
        <v>20.239999999999998</v>
      </c>
      <c r="E42" s="56">
        <f>_xlfn.XLOOKUP(WEEKNUM(C42)&amp;YEAR(C42),Sheet4!C:C,Sheet4!B:B,0)</f>
        <v>0</v>
      </c>
      <c r="F42" s="46">
        <f>IF(int=Weekly,-$D$5,IF(int=Bi_Weekly,0,IF(int=Monthly,0,IF(int=Quarterly,0,IF(int=Yearly,0,IF(int=None,0,0))))))</f>
        <v>0</v>
      </c>
      <c r="G42" s="46"/>
      <c r="H42" s="46">
        <f t="shared" si="21"/>
        <v>-250</v>
      </c>
      <c r="I42" s="47"/>
      <c r="J42" s="38">
        <f t="shared" si="0"/>
        <v>0</v>
      </c>
      <c r="K42" s="48"/>
      <c r="L42" s="48">
        <f t="shared" si="6"/>
        <v>10.587946526867494</v>
      </c>
      <c r="M42" s="48"/>
      <c r="N42" s="38">
        <f t="shared" si="7"/>
        <v>0</v>
      </c>
      <c r="O42" s="36">
        <f t="shared" si="8"/>
        <v>0</v>
      </c>
      <c r="P42" s="84">
        <f t="shared" si="9"/>
        <v>-250</v>
      </c>
      <c r="Q42" s="38">
        <f t="shared" si="10"/>
        <v>0</v>
      </c>
      <c r="R42" s="48">
        <f t="shared" si="11"/>
        <v>1.6276042796947398E-2</v>
      </c>
      <c r="S42" s="38">
        <f t="shared" si="1"/>
        <v>10.604222569664442</v>
      </c>
      <c r="T42" s="50">
        <f t="shared" si="22"/>
        <v>250</v>
      </c>
      <c r="U42" s="40">
        <f t="shared" si="23"/>
        <v>214.30003770379807</v>
      </c>
      <c r="V42" s="41">
        <f t="shared" si="24"/>
        <v>-0.1427998491848077</v>
      </c>
      <c r="W42" s="39">
        <f t="shared" si="25"/>
        <v>-35.699962296201932</v>
      </c>
      <c r="X42" s="50">
        <f t="shared" si="14"/>
        <v>0.46875001627604229</v>
      </c>
      <c r="Y42" s="41">
        <f t="shared" si="26"/>
        <v>-0.1409248491197036</v>
      </c>
      <c r="Z42" s="52"/>
      <c r="AA42" s="50">
        <f t="shared" si="27"/>
        <v>250.46875001627603</v>
      </c>
      <c r="AB42" s="39">
        <f t="shared" si="28"/>
        <v>214.62946481000827</v>
      </c>
      <c r="AC42" s="39">
        <f t="shared" si="29"/>
        <v>-35.83928520626776</v>
      </c>
      <c r="AD42" s="41">
        <f t="shared" si="30"/>
        <v>-0.14308884922346132</v>
      </c>
      <c r="AF42" s="46">
        <f t="shared" si="3"/>
        <v>0</v>
      </c>
      <c r="AG42" s="46">
        <f t="shared" si="31"/>
        <v>0</v>
      </c>
      <c r="AH42" s="54">
        <f t="shared" si="4"/>
        <v>77</v>
      </c>
      <c r="AI42" s="55">
        <f t="shared" si="19"/>
        <v>0.98775055679287305</v>
      </c>
      <c r="AJ42" s="55">
        <f t="shared" si="32"/>
        <v>0</v>
      </c>
      <c r="AK42" s="55">
        <f t="shared" si="33"/>
        <v>0</v>
      </c>
    </row>
    <row r="43" spans="2:37" s="53" customFormat="1" ht="17.25" customHeight="1" x14ac:dyDescent="0.25">
      <c r="B43" s="91" t="str">
        <f t="shared" si="5"/>
        <v/>
      </c>
      <c r="C43" s="81">
        <f>IF(Sheet3!A14="","",Sheet3!A14)</f>
        <v>37711</v>
      </c>
      <c r="D43" s="82">
        <f>IF(C43="","",Sheet3!E14)</f>
        <v>21.9</v>
      </c>
      <c r="E43" s="56">
        <f>_xlfn.XLOOKUP(WEEKNUM(C43)&amp;YEAR(C43),Sheet4!C:C,Sheet4!B:B,0)</f>
        <v>0</v>
      </c>
      <c r="F43" s="46">
        <f>IF(int=Weekly,-$D$5,IF(int=Bi_Weekly,-$D$5,IF(int=Monthly,-$D$5,IF(int=Quarterly,0,IF(int=Yearly,0,IF(int=None,0,0))))))</f>
        <v>-100</v>
      </c>
      <c r="G43" s="46"/>
      <c r="H43" s="46">
        <f t="shared" si="21"/>
        <v>-350</v>
      </c>
      <c r="I43" s="47"/>
      <c r="J43" s="38">
        <f t="shared" si="0"/>
        <v>4.5662100456621006</v>
      </c>
      <c r="K43" s="48"/>
      <c r="L43" s="48">
        <f t="shared" si="6"/>
        <v>15.154156572529594</v>
      </c>
      <c r="M43" s="48"/>
      <c r="N43" s="38">
        <f t="shared" si="7"/>
        <v>0</v>
      </c>
      <c r="O43" s="36">
        <f t="shared" si="8"/>
        <v>0</v>
      </c>
      <c r="P43" s="84">
        <f t="shared" si="9"/>
        <v>-350</v>
      </c>
      <c r="Q43" s="38">
        <f t="shared" si="10"/>
        <v>0</v>
      </c>
      <c r="R43" s="48">
        <f t="shared" si="11"/>
        <v>1.6276042796947398E-2</v>
      </c>
      <c r="S43" s="38">
        <f t="shared" si="1"/>
        <v>15.170432615326542</v>
      </c>
      <c r="T43" s="50">
        <f t="shared" si="22"/>
        <v>350</v>
      </c>
      <c r="U43" s="40">
        <f t="shared" si="23"/>
        <v>331.87602893839806</v>
      </c>
      <c r="V43" s="41">
        <f t="shared" si="24"/>
        <v>-5.178277446171986E-2</v>
      </c>
      <c r="W43" s="39">
        <f t="shared" si="25"/>
        <v>-18.123971061601935</v>
      </c>
      <c r="X43" s="50">
        <f t="shared" si="14"/>
        <v>0.46875001627604229</v>
      </c>
      <c r="Y43" s="41">
        <f t="shared" si="26"/>
        <v>-5.0443488700931183E-2</v>
      </c>
      <c r="Z43" s="52"/>
      <c r="AA43" s="50">
        <f t="shared" si="27"/>
        <v>350.46875001627603</v>
      </c>
      <c r="AB43" s="39">
        <f t="shared" si="28"/>
        <v>332.23247427565121</v>
      </c>
      <c r="AC43" s="39">
        <f t="shared" si="29"/>
        <v>-18.236275740624819</v>
      </c>
      <c r="AD43" s="41">
        <f t="shared" si="30"/>
        <v>-5.2033956636013623E-2</v>
      </c>
      <c r="AF43" s="46">
        <f t="shared" si="3"/>
        <v>-100</v>
      </c>
      <c r="AG43" s="46">
        <f t="shared" si="31"/>
        <v>-100</v>
      </c>
      <c r="AH43" s="54">
        <f t="shared" si="4"/>
        <v>84</v>
      </c>
      <c r="AI43" s="55">
        <f t="shared" si="19"/>
        <v>0.98663697104677062</v>
      </c>
      <c r="AJ43" s="55">
        <f t="shared" si="32"/>
        <v>-98.663697104677055</v>
      </c>
      <c r="AK43" s="55">
        <f t="shared" si="33"/>
        <v>-98.663697104677055</v>
      </c>
    </row>
    <row r="44" spans="2:37" s="53" customFormat="1" ht="17.25" customHeight="1" x14ac:dyDescent="0.25">
      <c r="B44" s="91" t="str">
        <f t="shared" si="5"/>
        <v/>
      </c>
      <c r="C44" s="81">
        <f>IF(Sheet3!A15="","",Sheet3!A15)</f>
        <v>37718</v>
      </c>
      <c r="D44" s="82">
        <f>IF(C44="","",Sheet3!E15)</f>
        <v>20.709999</v>
      </c>
      <c r="E44" s="56">
        <f>_xlfn.XLOOKUP(WEEKNUM(C44)&amp;YEAR(C44),Sheet4!C:C,Sheet4!B:B,0)</f>
        <v>0.28249999999999997</v>
      </c>
      <c r="F44" s="46">
        <f>IF(int=Weekly,-$D$5,IF(int=Bi_Weekly,0,IF(int=Monthly,0,IF(int=Quarterly,-$D$5,IF(int=Yearly,0,IF(int=None,0,0))))))</f>
        <v>0</v>
      </c>
      <c r="G44" s="46"/>
      <c r="H44" s="46">
        <f t="shared" si="21"/>
        <v>-350</v>
      </c>
      <c r="I44" s="47"/>
      <c r="J44" s="38">
        <f t="shared" si="0"/>
        <v>0</v>
      </c>
      <c r="K44" s="48"/>
      <c r="L44" s="48">
        <f t="shared" si="6"/>
        <v>15.154156572529594</v>
      </c>
      <c r="M44" s="48"/>
      <c r="N44" s="38">
        <f t="shared" si="7"/>
        <v>4.2810492317396101</v>
      </c>
      <c r="O44" s="36">
        <f t="shared" si="8"/>
        <v>-4.2810492317396101</v>
      </c>
      <c r="P44" s="84">
        <f t="shared" si="9"/>
        <v>-354.28104923173959</v>
      </c>
      <c r="Q44" s="38">
        <f t="shared" si="10"/>
        <v>0.20671412063996769</v>
      </c>
      <c r="R44" s="48">
        <f t="shared" si="11"/>
        <v>0.22299016343691508</v>
      </c>
      <c r="S44" s="38">
        <f t="shared" si="1"/>
        <v>15.377146735966509</v>
      </c>
      <c r="T44" s="50">
        <f t="shared" si="22"/>
        <v>350</v>
      </c>
      <c r="U44" s="40">
        <f t="shared" si="23"/>
        <v>313.8425674629313</v>
      </c>
      <c r="V44" s="41">
        <f t="shared" si="24"/>
        <v>-0.10330695010591062</v>
      </c>
      <c r="W44" s="39">
        <f t="shared" si="25"/>
        <v>-36.157432537068701</v>
      </c>
      <c r="X44" s="50">
        <f t="shared" si="14"/>
        <v>4.7497992480156519</v>
      </c>
      <c r="Y44" s="41">
        <f t="shared" si="26"/>
        <v>-8.9736095111580094E-2</v>
      </c>
      <c r="Z44" s="52"/>
      <c r="AA44" s="50">
        <f t="shared" si="27"/>
        <v>354.74979924801562</v>
      </c>
      <c r="AB44" s="39">
        <f t="shared" si="28"/>
        <v>318.46069352471966</v>
      </c>
      <c r="AC44" s="39">
        <f t="shared" si="29"/>
        <v>-36.289105723295961</v>
      </c>
      <c r="AD44" s="41">
        <f t="shared" si="30"/>
        <v>-0.10229492955378738</v>
      </c>
      <c r="AF44" s="46">
        <f t="shared" si="3"/>
        <v>4.2810492317396101</v>
      </c>
      <c r="AG44" s="46">
        <f t="shared" si="31"/>
        <v>0</v>
      </c>
      <c r="AH44" s="54">
        <f t="shared" si="4"/>
        <v>91</v>
      </c>
      <c r="AI44" s="55">
        <f t="shared" si="19"/>
        <v>0.98552338530066819</v>
      </c>
      <c r="AJ44" s="55">
        <f t="shared" si="32"/>
        <v>4.219074131502845</v>
      </c>
      <c r="AK44" s="55">
        <f t="shared" si="33"/>
        <v>0</v>
      </c>
    </row>
    <row r="45" spans="2:37" s="53" customFormat="1" ht="17.25" customHeight="1" x14ac:dyDescent="0.25">
      <c r="B45" s="91" t="str">
        <f t="shared" si="5"/>
        <v/>
      </c>
      <c r="C45" s="81">
        <f>IF(Sheet3!A16="","",Sheet3!A16)</f>
        <v>37725</v>
      </c>
      <c r="D45" s="82">
        <f>IF(C45="","",Sheet3!E16)</f>
        <v>20.6</v>
      </c>
      <c r="E45" s="56">
        <f>_xlfn.XLOOKUP(WEEKNUM(C45)&amp;YEAR(C45),Sheet4!C:C,Sheet4!B:B,0)</f>
        <v>0</v>
      </c>
      <c r="F45" s="46">
        <f>IF(int=Weekly,-$D$5,IF(int=Bi_Weekly,-$D$5,IF(int=Monthly,0,IF(int=Quarterly,0,IF(int=Yearly,0,IF(int=None,0,0))))))</f>
        <v>0</v>
      </c>
      <c r="G45" s="46"/>
      <c r="H45" s="46">
        <f t="shared" si="21"/>
        <v>-350</v>
      </c>
      <c r="I45" s="47"/>
      <c r="J45" s="38">
        <f t="shared" si="0"/>
        <v>0</v>
      </c>
      <c r="K45" s="48"/>
      <c r="L45" s="48">
        <f t="shared" si="6"/>
        <v>15.154156572529594</v>
      </c>
      <c r="M45" s="48"/>
      <c r="N45" s="38">
        <f t="shared" si="7"/>
        <v>0</v>
      </c>
      <c r="O45" s="36">
        <f t="shared" si="8"/>
        <v>0</v>
      </c>
      <c r="P45" s="84">
        <f t="shared" si="9"/>
        <v>-354.28104923173959</v>
      </c>
      <c r="Q45" s="38">
        <f t="shared" si="10"/>
        <v>0</v>
      </c>
      <c r="R45" s="48">
        <f t="shared" si="11"/>
        <v>0.22299016343691508</v>
      </c>
      <c r="S45" s="38">
        <f t="shared" si="1"/>
        <v>15.377146735966509</v>
      </c>
      <c r="T45" s="50">
        <f t="shared" si="22"/>
        <v>350</v>
      </c>
      <c r="U45" s="40">
        <f t="shared" si="23"/>
        <v>312.17562539410966</v>
      </c>
      <c r="V45" s="41">
        <f t="shared" si="24"/>
        <v>-0.10806964173111522</v>
      </c>
      <c r="W45" s="39">
        <f t="shared" si="25"/>
        <v>-37.824374605890341</v>
      </c>
      <c r="X45" s="50">
        <f t="shared" si="14"/>
        <v>4.7497992480156519</v>
      </c>
      <c r="Y45" s="41">
        <f t="shared" si="26"/>
        <v>-9.4498786736784801E-2</v>
      </c>
      <c r="Z45" s="52"/>
      <c r="AA45" s="50">
        <f t="shared" si="27"/>
        <v>354.74979924801562</v>
      </c>
      <c r="AB45" s="39">
        <f t="shared" si="28"/>
        <v>316.76922276091011</v>
      </c>
      <c r="AC45" s="39">
        <f t="shared" si="29"/>
        <v>-37.980576487105509</v>
      </c>
      <c r="AD45" s="41">
        <f t="shared" si="30"/>
        <v>-0.10706299642061878</v>
      </c>
      <c r="AF45" s="46">
        <f t="shared" si="3"/>
        <v>0</v>
      </c>
      <c r="AG45" s="46">
        <f t="shared" si="31"/>
        <v>0</v>
      </c>
      <c r="AH45" s="54">
        <f t="shared" si="4"/>
        <v>98</v>
      </c>
      <c r="AI45" s="55">
        <f t="shared" si="19"/>
        <v>0.98440979955456576</v>
      </c>
      <c r="AJ45" s="55">
        <f t="shared" si="32"/>
        <v>0</v>
      </c>
      <c r="AK45" s="55">
        <f t="shared" si="33"/>
        <v>0</v>
      </c>
    </row>
    <row r="46" spans="2:37" s="53" customFormat="1" ht="17.25" customHeight="1" x14ac:dyDescent="0.25">
      <c r="B46" s="91" t="str">
        <f t="shared" si="5"/>
        <v/>
      </c>
      <c r="C46" s="81">
        <f>IF(Sheet3!A17="","",Sheet3!A17)</f>
        <v>37732</v>
      </c>
      <c r="D46" s="82">
        <f>IF(C46="","",Sheet3!E17)</f>
        <v>22.120000999999998</v>
      </c>
      <c r="E46" s="56">
        <f>_xlfn.XLOOKUP(WEEKNUM(C46)&amp;YEAR(C46),Sheet4!C:C,Sheet4!B:B,0)</f>
        <v>0</v>
      </c>
      <c r="F46" s="46">
        <f>IF(int=Weekly,-$D$5,IF(int=Bi_Weekly,0,IF(int=Monthly,0,IF(int=Quarterly,0,IF(int=Yearly,0,IF(int=None,0,0))))))</f>
        <v>0</v>
      </c>
      <c r="G46" s="46"/>
      <c r="H46" s="46">
        <f t="shared" si="21"/>
        <v>-350</v>
      </c>
      <c r="I46" s="47"/>
      <c r="J46" s="38">
        <f t="shared" si="0"/>
        <v>0</v>
      </c>
      <c r="K46" s="48"/>
      <c r="L46" s="48">
        <f t="shared" si="6"/>
        <v>15.154156572529594</v>
      </c>
      <c r="M46" s="48"/>
      <c r="N46" s="38">
        <f t="shared" si="7"/>
        <v>0</v>
      </c>
      <c r="O46" s="36">
        <f t="shared" si="8"/>
        <v>0</v>
      </c>
      <c r="P46" s="84">
        <f t="shared" si="9"/>
        <v>-354.28104923173959</v>
      </c>
      <c r="Q46" s="38">
        <f t="shared" si="10"/>
        <v>0</v>
      </c>
      <c r="R46" s="48">
        <f t="shared" si="11"/>
        <v>0.22299016343691508</v>
      </c>
      <c r="S46" s="38">
        <f t="shared" si="1"/>
        <v>15.377146735966509</v>
      </c>
      <c r="T46" s="50">
        <f t="shared" si="22"/>
        <v>350</v>
      </c>
      <c r="U46" s="40">
        <f t="shared" si="23"/>
        <v>335.20995853851116</v>
      </c>
      <c r="V46" s="41">
        <f t="shared" si="24"/>
        <v>-4.2257261318539574E-2</v>
      </c>
      <c r="W46" s="39">
        <f t="shared" si="25"/>
        <v>-14.79004146148884</v>
      </c>
      <c r="X46" s="50">
        <f t="shared" si="14"/>
        <v>4.7497992480156519</v>
      </c>
      <c r="Y46" s="41">
        <f t="shared" si="26"/>
        <v>-2.8686406324209046E-2</v>
      </c>
      <c r="Z46" s="52"/>
      <c r="AA46" s="50">
        <f t="shared" si="27"/>
        <v>354.74979924801562</v>
      </c>
      <c r="AB46" s="39">
        <f t="shared" si="28"/>
        <v>340.14250117672589</v>
      </c>
      <c r="AC46" s="39">
        <f t="shared" si="29"/>
        <v>-14.607298071289733</v>
      </c>
      <c r="AD46" s="41">
        <f t="shared" si="30"/>
        <v>-4.1176339217819713E-2</v>
      </c>
      <c r="AF46" s="46">
        <f t="shared" si="3"/>
        <v>0</v>
      </c>
      <c r="AG46" s="46">
        <f t="shared" si="31"/>
        <v>0</v>
      </c>
      <c r="AH46" s="54">
        <f t="shared" si="4"/>
        <v>105</v>
      </c>
      <c r="AI46" s="55">
        <f t="shared" si="19"/>
        <v>0.98329621380846322</v>
      </c>
      <c r="AJ46" s="55">
        <f t="shared" si="32"/>
        <v>0</v>
      </c>
      <c r="AK46" s="55">
        <f t="shared" si="33"/>
        <v>0</v>
      </c>
    </row>
    <row r="47" spans="2:37" s="53" customFormat="1" ht="17.25" customHeight="1" x14ac:dyDescent="0.25">
      <c r="B47" s="91" t="str">
        <f t="shared" si="5"/>
        <v/>
      </c>
      <c r="C47" s="81">
        <f>IF(Sheet3!A18="","",Sheet3!A18)</f>
        <v>37739</v>
      </c>
      <c r="D47" s="82">
        <f>IF(C47="","",Sheet3!E18)</f>
        <v>24.01</v>
      </c>
      <c r="E47" s="56">
        <f>_xlfn.XLOOKUP(WEEKNUM(C47)&amp;YEAR(C47),Sheet4!C:C,Sheet4!B:B,0)</f>
        <v>0</v>
      </c>
      <c r="F47" s="46">
        <f>IF(int=Weekly,-$D$5,IF(int=Bi_Weekly,-$D$5,IF(int=Monthly,-$D$5,IF(int=Quarterly,0,IF(int=Yearly,0,IF(int=None,0,0))))))</f>
        <v>-100</v>
      </c>
      <c r="G47" s="46"/>
      <c r="H47" s="46">
        <f t="shared" si="21"/>
        <v>-450</v>
      </c>
      <c r="I47" s="47"/>
      <c r="J47" s="38">
        <f t="shared" si="0"/>
        <v>4.1649312786339019</v>
      </c>
      <c r="K47" s="48"/>
      <c r="L47" s="48">
        <f t="shared" si="6"/>
        <v>19.319087851163495</v>
      </c>
      <c r="M47" s="48"/>
      <c r="N47" s="38">
        <f t="shared" si="7"/>
        <v>0</v>
      </c>
      <c r="O47" s="36">
        <f t="shared" si="8"/>
        <v>0</v>
      </c>
      <c r="P47" s="84">
        <f t="shared" si="9"/>
        <v>-454.28104923173959</v>
      </c>
      <c r="Q47" s="38">
        <f t="shared" si="10"/>
        <v>0</v>
      </c>
      <c r="R47" s="48">
        <f t="shared" si="11"/>
        <v>0.22299016343691508</v>
      </c>
      <c r="S47" s="38">
        <f t="shared" si="1"/>
        <v>19.54207801460041</v>
      </c>
      <c r="T47" s="50">
        <f t="shared" si="22"/>
        <v>450</v>
      </c>
      <c r="U47" s="40">
        <f t="shared" si="23"/>
        <v>463.85129930643552</v>
      </c>
      <c r="V47" s="41">
        <f t="shared" si="24"/>
        <v>3.0780665125412332E-2</v>
      </c>
      <c r="W47" s="39">
        <f t="shared" si="25"/>
        <v>13.851299306435521</v>
      </c>
      <c r="X47" s="50">
        <f t="shared" si="14"/>
        <v>4.7497992480156519</v>
      </c>
      <c r="Y47" s="41">
        <f t="shared" si="26"/>
        <v>4.1335774565447014E-2</v>
      </c>
      <c r="Z47" s="52"/>
      <c r="AA47" s="50">
        <f t="shared" si="27"/>
        <v>454.74979924801562</v>
      </c>
      <c r="AB47" s="39">
        <f t="shared" si="28"/>
        <v>469.20529313055584</v>
      </c>
      <c r="AC47" s="39">
        <f t="shared" si="29"/>
        <v>14.455493882540225</v>
      </c>
      <c r="AD47" s="41">
        <f t="shared" si="30"/>
        <v>3.1787796072574759E-2</v>
      </c>
      <c r="AF47" s="46">
        <f t="shared" si="3"/>
        <v>-100</v>
      </c>
      <c r="AG47" s="46">
        <f t="shared" si="31"/>
        <v>-100</v>
      </c>
      <c r="AH47" s="54">
        <f t="shared" si="4"/>
        <v>112</v>
      </c>
      <c r="AI47" s="55">
        <f t="shared" si="19"/>
        <v>0.98218262806236079</v>
      </c>
      <c r="AJ47" s="55">
        <f t="shared" si="32"/>
        <v>-98.218262806236083</v>
      </c>
      <c r="AK47" s="55">
        <f t="shared" si="33"/>
        <v>-98.218262806236083</v>
      </c>
    </row>
    <row r="48" spans="2:37" s="53" customFormat="1" ht="17.25" customHeight="1" x14ac:dyDescent="0.25">
      <c r="B48" s="91" t="str">
        <f t="shared" si="5"/>
        <v/>
      </c>
      <c r="C48" s="81">
        <f>IF(Sheet3!A19="","",Sheet3!A19)</f>
        <v>37746</v>
      </c>
      <c r="D48" s="82">
        <f>IF(C48="","",Sheet3!E19)</f>
        <v>23.67</v>
      </c>
      <c r="E48" s="56">
        <f>_xlfn.XLOOKUP(WEEKNUM(C48)&amp;YEAR(C48),Sheet4!C:C,Sheet4!B:B,0)</f>
        <v>0</v>
      </c>
      <c r="F48" s="46">
        <f>IF(int=Weekly,-$D$5,IF(int=Bi_Weekly,0,IF(int=Monthly,0,IF(int=Quarterly,0,IF(int=Yearly,0,IF(int=None,0,0))))))</f>
        <v>0</v>
      </c>
      <c r="G48" s="46"/>
      <c r="H48" s="46">
        <f t="shared" si="21"/>
        <v>-450</v>
      </c>
      <c r="I48" s="47"/>
      <c r="J48" s="38">
        <f t="shared" si="0"/>
        <v>0</v>
      </c>
      <c r="K48" s="48"/>
      <c r="L48" s="48">
        <f t="shared" si="6"/>
        <v>19.319087851163495</v>
      </c>
      <c r="M48" s="48"/>
      <c r="N48" s="38">
        <f t="shared" si="7"/>
        <v>0</v>
      </c>
      <c r="O48" s="36">
        <f t="shared" si="8"/>
        <v>0</v>
      </c>
      <c r="P48" s="84">
        <f t="shared" si="9"/>
        <v>-454.28104923173959</v>
      </c>
      <c r="Q48" s="38">
        <f t="shared" si="10"/>
        <v>0</v>
      </c>
      <c r="R48" s="48">
        <f t="shared" si="11"/>
        <v>0.22299016343691508</v>
      </c>
      <c r="S48" s="38">
        <f t="shared" si="1"/>
        <v>19.54207801460041</v>
      </c>
      <c r="T48" s="50">
        <f t="shared" si="22"/>
        <v>450</v>
      </c>
      <c r="U48" s="40">
        <f t="shared" si="23"/>
        <v>457.28280943703993</v>
      </c>
      <c r="V48" s="41">
        <f t="shared" si="24"/>
        <v>1.6184020971199864E-2</v>
      </c>
      <c r="W48" s="39">
        <f t="shared" si="25"/>
        <v>7.2828094370399299</v>
      </c>
      <c r="X48" s="50">
        <f t="shared" si="14"/>
        <v>4.7497992480156519</v>
      </c>
      <c r="Y48" s="41">
        <f t="shared" si="26"/>
        <v>2.6739130411234768E-2</v>
      </c>
      <c r="Z48" s="52"/>
      <c r="AA48" s="50">
        <f t="shared" si="27"/>
        <v>454.74979924801562</v>
      </c>
      <c r="AB48" s="39">
        <f t="shared" si="28"/>
        <v>462.56098660559172</v>
      </c>
      <c r="AC48" s="39">
        <f t="shared" si="29"/>
        <v>7.8111873575761024</v>
      </c>
      <c r="AD48" s="41">
        <f t="shared" si="30"/>
        <v>1.7176890172338366E-2</v>
      </c>
      <c r="AF48" s="46">
        <f t="shared" si="3"/>
        <v>0</v>
      </c>
      <c r="AG48" s="46">
        <f t="shared" si="31"/>
        <v>0</v>
      </c>
      <c r="AH48" s="54">
        <f t="shared" si="4"/>
        <v>119</v>
      </c>
      <c r="AI48" s="55">
        <f t="shared" si="19"/>
        <v>0.98106904231625836</v>
      </c>
      <c r="AJ48" s="55">
        <f t="shared" si="32"/>
        <v>0</v>
      </c>
      <c r="AK48" s="55">
        <f t="shared" si="33"/>
        <v>0</v>
      </c>
    </row>
    <row r="49" spans="2:37" s="53" customFormat="1" ht="17.25" customHeight="1" x14ac:dyDescent="0.25">
      <c r="B49" s="91" t="str">
        <f t="shared" si="5"/>
        <v/>
      </c>
      <c r="C49" s="81">
        <f>IF(Sheet3!A20="","",Sheet3!A20)</f>
        <v>37753</v>
      </c>
      <c r="D49" s="82">
        <f>IF(C49="","",Sheet3!E20)</f>
        <v>24.950001</v>
      </c>
      <c r="E49" s="56">
        <f>_xlfn.XLOOKUP(WEEKNUM(C49)&amp;YEAR(C49),Sheet4!C:C,Sheet4!B:B,0)</f>
        <v>0</v>
      </c>
      <c r="F49" s="46">
        <f>IF(int=Weekly,-$D$5,IF(int=Bi_Weekly,-$D$5,IF(int=Monthly,0,IF(int=Quarterly,0,IF(int=Yearly,0,IF(int=None,0,0))))))</f>
        <v>0</v>
      </c>
      <c r="G49" s="46"/>
      <c r="H49" s="46">
        <f t="shared" si="21"/>
        <v>-450</v>
      </c>
      <c r="I49" s="47"/>
      <c r="J49" s="38">
        <f t="shared" si="0"/>
        <v>0</v>
      </c>
      <c r="K49" s="48"/>
      <c r="L49" s="48">
        <f t="shared" si="6"/>
        <v>19.319087851163495</v>
      </c>
      <c r="M49" s="48"/>
      <c r="N49" s="38">
        <f t="shared" si="7"/>
        <v>0</v>
      </c>
      <c r="O49" s="36">
        <f t="shared" si="8"/>
        <v>0</v>
      </c>
      <c r="P49" s="84">
        <f t="shared" si="9"/>
        <v>-454.28104923173959</v>
      </c>
      <c r="Q49" s="38">
        <f t="shared" si="10"/>
        <v>0</v>
      </c>
      <c r="R49" s="48">
        <f t="shared" si="11"/>
        <v>0.22299016343691508</v>
      </c>
      <c r="S49" s="38">
        <f t="shared" si="1"/>
        <v>19.54207801460041</v>
      </c>
      <c r="T49" s="50">
        <f t="shared" si="22"/>
        <v>450</v>
      </c>
      <c r="U49" s="40">
        <f t="shared" si="23"/>
        <v>482.01126120561707</v>
      </c>
      <c r="V49" s="41">
        <f t="shared" si="24"/>
        <v>7.1136136012482476E-2</v>
      </c>
      <c r="W49" s="39">
        <f t="shared" si="25"/>
        <v>32.011261205617075</v>
      </c>
      <c r="X49" s="50">
        <f t="shared" si="14"/>
        <v>4.7497992480156519</v>
      </c>
      <c r="Y49" s="41">
        <f t="shared" si="26"/>
        <v>8.1691245452517158E-2</v>
      </c>
      <c r="Z49" s="52"/>
      <c r="AA49" s="50">
        <f t="shared" ref="AA49:AA112" si="34">(D49*Q49)+(D49*J49)+AA48</f>
        <v>454.74979924801562</v>
      </c>
      <c r="AB49" s="39">
        <f t="shared" ref="AB49:AB112" si="35">(L49*D49)+(D49*R49)</f>
        <v>487.57486600635826</v>
      </c>
      <c r="AC49" s="39">
        <f t="shared" si="29"/>
        <v>32.825066758342643</v>
      </c>
      <c r="AD49" s="41">
        <f t="shared" si="30"/>
        <v>7.2182696534716317E-2</v>
      </c>
      <c r="AF49" s="46">
        <f t="shared" si="3"/>
        <v>0</v>
      </c>
      <c r="AG49" s="46">
        <f t="shared" si="31"/>
        <v>0</v>
      </c>
      <c r="AH49" s="54">
        <f t="shared" si="4"/>
        <v>126</v>
      </c>
      <c r="AI49" s="55">
        <f t="shared" si="19"/>
        <v>0.97995545657015593</v>
      </c>
      <c r="AJ49" s="55">
        <f t="shared" si="32"/>
        <v>0</v>
      </c>
      <c r="AK49" s="55">
        <f t="shared" si="33"/>
        <v>0</v>
      </c>
    </row>
    <row r="50" spans="2:37" s="53" customFormat="1" ht="17.25" customHeight="1" x14ac:dyDescent="0.25">
      <c r="B50" s="91" t="str">
        <f t="shared" si="5"/>
        <v/>
      </c>
      <c r="C50" s="81">
        <f>IF(Sheet3!A21="","",Sheet3!A21)</f>
        <v>37760</v>
      </c>
      <c r="D50" s="82">
        <f>IF(C50="","",Sheet3!E21)</f>
        <v>25.15</v>
      </c>
      <c r="E50" s="56">
        <f>_xlfn.XLOOKUP(WEEKNUM(C50)&amp;YEAR(C50),Sheet4!C:C,Sheet4!B:B,0)</f>
        <v>0</v>
      </c>
      <c r="F50" s="46">
        <f>IF(int=Weekly,-$D$5,IF(int=Bi_Weekly,0,IF(int=Monthly,0,IF(int=Quarterly,0,IF(int=Yearly,0,IF(int=None,0,0))))))</f>
        <v>0</v>
      </c>
      <c r="G50" s="46"/>
      <c r="H50" s="46">
        <f t="shared" si="21"/>
        <v>-450</v>
      </c>
      <c r="I50" s="47"/>
      <c r="J50" s="38">
        <f t="shared" si="0"/>
        <v>0</v>
      </c>
      <c r="K50" s="48"/>
      <c r="L50" s="48">
        <f t="shared" si="6"/>
        <v>19.319087851163495</v>
      </c>
      <c r="M50" s="48"/>
      <c r="N50" s="38">
        <f t="shared" si="7"/>
        <v>0</v>
      </c>
      <c r="O50" s="36">
        <f t="shared" si="8"/>
        <v>0</v>
      </c>
      <c r="P50" s="84">
        <f t="shared" si="9"/>
        <v>-454.28104923173959</v>
      </c>
      <c r="Q50" s="38">
        <f t="shared" si="10"/>
        <v>0</v>
      </c>
      <c r="R50" s="48">
        <f t="shared" si="11"/>
        <v>0.22299016343691508</v>
      </c>
      <c r="S50" s="38">
        <f t="shared" si="1"/>
        <v>19.54207801460041</v>
      </c>
      <c r="T50" s="50">
        <f t="shared" si="22"/>
        <v>450</v>
      </c>
      <c r="U50" s="40">
        <f t="shared" si="23"/>
        <v>485.87505945676185</v>
      </c>
      <c r="V50" s="41">
        <f t="shared" si="24"/>
        <v>7.9722354348359614E-2</v>
      </c>
      <c r="W50" s="39">
        <f t="shared" si="25"/>
        <v>35.875059456761846</v>
      </c>
      <c r="X50" s="50">
        <f t="shared" si="14"/>
        <v>4.7497992480156519</v>
      </c>
      <c r="Y50" s="41">
        <f t="shared" si="26"/>
        <v>9.0277463788394519E-2</v>
      </c>
      <c r="Z50" s="52"/>
      <c r="AA50" s="50">
        <f t="shared" si="34"/>
        <v>454.74979924801562</v>
      </c>
      <c r="AB50" s="39">
        <f t="shared" si="35"/>
        <v>491.48326206720026</v>
      </c>
      <c r="AC50" s="39">
        <f t="shared" si="29"/>
        <v>36.733462819184638</v>
      </c>
      <c r="AD50" s="41">
        <f t="shared" si="30"/>
        <v>8.0777304091014246E-2</v>
      </c>
      <c r="AF50" s="46">
        <f t="shared" si="3"/>
        <v>0</v>
      </c>
      <c r="AG50" s="46">
        <f t="shared" si="31"/>
        <v>0</v>
      </c>
      <c r="AH50" s="54">
        <f t="shared" si="4"/>
        <v>133</v>
      </c>
      <c r="AI50" s="55">
        <f t="shared" si="19"/>
        <v>0.97884187082405349</v>
      </c>
      <c r="AJ50" s="55">
        <f t="shared" si="32"/>
        <v>0</v>
      </c>
      <c r="AK50" s="55">
        <f t="shared" si="33"/>
        <v>0</v>
      </c>
    </row>
    <row r="51" spans="2:37" s="53" customFormat="1" ht="17.25" customHeight="1" x14ac:dyDescent="0.25">
      <c r="B51" s="91" t="str">
        <f t="shared" si="5"/>
        <v/>
      </c>
      <c r="C51" s="81">
        <f>IF(Sheet3!A22="","",Sheet3!A22)</f>
        <v>37767</v>
      </c>
      <c r="D51" s="82">
        <f>IF(C51="","",Sheet3!E22)</f>
        <v>25.459999</v>
      </c>
      <c r="E51" s="56">
        <f>_xlfn.XLOOKUP(WEEKNUM(C51)&amp;YEAR(C51),Sheet4!C:C,Sheet4!B:B,0)</f>
        <v>0</v>
      </c>
      <c r="F51" s="46">
        <f>IF(int=Weekly,-$D$5,IF(int=Bi_Weekly,-$D$5,IF(int=Monthly,-$D$5,IF(int=Quarterly,0,IF(int=Yearly,0,IF(int=None,0,0))))))</f>
        <v>-100</v>
      </c>
      <c r="G51" s="46"/>
      <c r="H51" s="46">
        <f t="shared" si="21"/>
        <v>-550</v>
      </c>
      <c r="I51" s="47"/>
      <c r="J51" s="38">
        <f t="shared" si="0"/>
        <v>3.9277299264622911</v>
      </c>
      <c r="K51" s="48"/>
      <c r="L51" s="48">
        <f t="shared" si="6"/>
        <v>23.246817777625786</v>
      </c>
      <c r="M51" s="48"/>
      <c r="N51" s="38">
        <f t="shared" si="7"/>
        <v>0</v>
      </c>
      <c r="O51" s="36">
        <f t="shared" si="8"/>
        <v>0</v>
      </c>
      <c r="P51" s="84">
        <f t="shared" si="9"/>
        <v>-554.28104923173964</v>
      </c>
      <c r="Q51" s="38">
        <f t="shared" si="10"/>
        <v>0</v>
      </c>
      <c r="R51" s="48">
        <f t="shared" si="11"/>
        <v>0.22299016343691508</v>
      </c>
      <c r="S51" s="38">
        <f t="shared" si="1"/>
        <v>23.469807941062701</v>
      </c>
      <c r="T51" s="50">
        <f t="shared" si="22"/>
        <v>550</v>
      </c>
      <c r="U51" s="40">
        <f t="shared" si="23"/>
        <v>591.86395737153475</v>
      </c>
      <c r="V51" s="41">
        <f t="shared" si="24"/>
        <v>7.6116286130063271E-2</v>
      </c>
      <c r="W51" s="39">
        <f t="shared" si="25"/>
        <v>41.863957371534752</v>
      </c>
      <c r="X51" s="50">
        <f t="shared" si="14"/>
        <v>4.7497992480156519</v>
      </c>
      <c r="Y51" s="41">
        <f t="shared" si="26"/>
        <v>8.4752284762818819E-2</v>
      </c>
      <c r="Z51" s="52"/>
      <c r="AA51" s="50">
        <f t="shared" si="34"/>
        <v>554.74979924801562</v>
      </c>
      <c r="AB51" s="39">
        <f t="shared" si="35"/>
        <v>597.54128670964849</v>
      </c>
      <c r="AC51" s="39">
        <f t="shared" si="29"/>
        <v>42.791487461632869</v>
      </c>
      <c r="AD51" s="41">
        <f t="shared" si="30"/>
        <v>7.7136553306803135E-2</v>
      </c>
      <c r="AF51" s="46">
        <f t="shared" si="3"/>
        <v>-100</v>
      </c>
      <c r="AG51" s="46">
        <f t="shared" si="31"/>
        <v>-100</v>
      </c>
      <c r="AH51" s="54">
        <f t="shared" si="4"/>
        <v>140</v>
      </c>
      <c r="AI51" s="55">
        <f t="shared" si="19"/>
        <v>0.97772828507795095</v>
      </c>
      <c r="AJ51" s="55">
        <f t="shared" si="32"/>
        <v>-97.772828507795097</v>
      </c>
      <c r="AK51" s="55">
        <f t="shared" si="33"/>
        <v>-97.772828507795097</v>
      </c>
    </row>
    <row r="52" spans="2:37" s="53" customFormat="1" ht="17.25" customHeight="1" x14ac:dyDescent="0.25">
      <c r="B52" s="91" t="str">
        <f t="shared" si="5"/>
        <v/>
      </c>
      <c r="C52" s="81">
        <f>IF(Sheet3!A23="","",Sheet3!A23)</f>
        <v>37774</v>
      </c>
      <c r="D52" s="82">
        <f>IF(C52="","",Sheet3!E23)</f>
        <v>26.42</v>
      </c>
      <c r="E52" s="56">
        <f>_xlfn.XLOOKUP(WEEKNUM(C52)&amp;YEAR(C52),Sheet4!C:C,Sheet4!B:B,0)</f>
        <v>0</v>
      </c>
      <c r="F52" s="46">
        <f>IF(int=Weekly,-$D$5,IF(int=Bi_Weekly,0,IF(int=Monthly,0,IF(int=Quarterly,0,IF(int=Yearly,0,IF(int=None,0,0))))))</f>
        <v>0</v>
      </c>
      <c r="G52" s="46"/>
      <c r="H52" s="46">
        <f t="shared" si="21"/>
        <v>-550</v>
      </c>
      <c r="I52" s="47"/>
      <c r="J52" s="38">
        <f t="shared" si="0"/>
        <v>0</v>
      </c>
      <c r="K52" s="48"/>
      <c r="L52" s="48">
        <f t="shared" si="6"/>
        <v>23.246817777625786</v>
      </c>
      <c r="M52" s="48"/>
      <c r="N52" s="38">
        <f t="shared" si="7"/>
        <v>0</v>
      </c>
      <c r="O52" s="36">
        <f t="shared" si="8"/>
        <v>0</v>
      </c>
      <c r="P52" s="84">
        <f t="shared" si="9"/>
        <v>-554.28104923173964</v>
      </c>
      <c r="Q52" s="38">
        <f t="shared" si="10"/>
        <v>0</v>
      </c>
      <c r="R52" s="48">
        <f t="shared" si="11"/>
        <v>0.22299016343691508</v>
      </c>
      <c r="S52" s="38">
        <f t="shared" si="1"/>
        <v>23.469807941062701</v>
      </c>
      <c r="T52" s="50">
        <f t="shared" si="22"/>
        <v>550</v>
      </c>
      <c r="U52" s="40">
        <f t="shared" si="23"/>
        <v>614.18092568487327</v>
      </c>
      <c r="V52" s="41">
        <f t="shared" si="24"/>
        <v>0.11669259215431493</v>
      </c>
      <c r="W52" s="39">
        <f t="shared" si="25"/>
        <v>64.180925684873273</v>
      </c>
      <c r="X52" s="50">
        <f t="shared" si="14"/>
        <v>4.7497992480156519</v>
      </c>
      <c r="Y52" s="41">
        <f t="shared" si="26"/>
        <v>0.1253285907870707</v>
      </c>
      <c r="Z52" s="52"/>
      <c r="AA52" s="50">
        <f t="shared" si="34"/>
        <v>554.74979924801562</v>
      </c>
      <c r="AB52" s="39">
        <f t="shared" si="35"/>
        <v>620.07232580287655</v>
      </c>
      <c r="AC52" s="39">
        <f t="shared" si="29"/>
        <v>65.322526554860929</v>
      </c>
      <c r="AD52" s="41">
        <f t="shared" si="30"/>
        <v>0.11775132977678959</v>
      </c>
      <c r="AF52" s="46">
        <f t="shared" si="3"/>
        <v>0</v>
      </c>
      <c r="AG52" s="46">
        <f t="shared" si="31"/>
        <v>0</v>
      </c>
      <c r="AH52" s="54">
        <f t="shared" si="4"/>
        <v>147</v>
      </c>
      <c r="AI52" s="55">
        <f t="shared" si="19"/>
        <v>0.97661469933184852</v>
      </c>
      <c r="AJ52" s="55">
        <f t="shared" si="32"/>
        <v>0</v>
      </c>
      <c r="AK52" s="55">
        <f t="shared" si="33"/>
        <v>0</v>
      </c>
    </row>
    <row r="53" spans="2:37" s="53" customFormat="1" ht="17.25" customHeight="1" x14ac:dyDescent="0.25">
      <c r="B53" s="91" t="str">
        <f t="shared" si="5"/>
        <v/>
      </c>
      <c r="C53" s="81">
        <f>IF(Sheet3!A24="","",Sheet3!A24)</f>
        <v>37781</v>
      </c>
      <c r="D53" s="82">
        <f>IF(C53="","",Sheet3!E24)</f>
        <v>25.32</v>
      </c>
      <c r="E53" s="56">
        <f>_xlfn.XLOOKUP(WEEKNUM(C53)&amp;YEAR(C53),Sheet4!C:C,Sheet4!B:B,0)</f>
        <v>0</v>
      </c>
      <c r="F53" s="46">
        <f>IF(int=Weekly,-$D$5,IF(int=Bi_Weekly,-$D$5,IF(int=Monthly,0,IF(int=Quarterly,0,IF(int=Yearly,0,IF(int=None,0,0))))))</f>
        <v>0</v>
      </c>
      <c r="G53" s="46"/>
      <c r="H53" s="46">
        <f t="shared" si="21"/>
        <v>-550</v>
      </c>
      <c r="I53" s="47"/>
      <c r="J53" s="38">
        <f t="shared" si="0"/>
        <v>0</v>
      </c>
      <c r="K53" s="48"/>
      <c r="L53" s="48">
        <f t="shared" si="6"/>
        <v>23.246817777625786</v>
      </c>
      <c r="M53" s="48"/>
      <c r="N53" s="38">
        <f t="shared" si="7"/>
        <v>0</v>
      </c>
      <c r="O53" s="36">
        <f t="shared" si="8"/>
        <v>0</v>
      </c>
      <c r="P53" s="84">
        <f t="shared" si="9"/>
        <v>-554.28104923173964</v>
      </c>
      <c r="Q53" s="38">
        <f t="shared" si="10"/>
        <v>0</v>
      </c>
      <c r="R53" s="48">
        <f t="shared" si="11"/>
        <v>0.22299016343691508</v>
      </c>
      <c r="S53" s="38">
        <f t="shared" si="1"/>
        <v>23.469807941062701</v>
      </c>
      <c r="T53" s="50">
        <f t="shared" si="22"/>
        <v>550</v>
      </c>
      <c r="U53" s="40">
        <f t="shared" si="23"/>
        <v>588.60942612948486</v>
      </c>
      <c r="V53" s="41">
        <f t="shared" si="24"/>
        <v>7.0198956599063278E-2</v>
      </c>
      <c r="W53" s="39">
        <f t="shared" si="25"/>
        <v>38.609426129484859</v>
      </c>
      <c r="X53" s="50">
        <f t="shared" si="14"/>
        <v>4.7497992480156519</v>
      </c>
      <c r="Y53" s="41">
        <f t="shared" si="26"/>
        <v>7.8834955231819048E-2</v>
      </c>
      <c r="Z53" s="52"/>
      <c r="AA53" s="50">
        <f t="shared" si="34"/>
        <v>554.74979924801562</v>
      </c>
      <c r="AB53" s="39">
        <f t="shared" si="35"/>
        <v>594.25553706770756</v>
      </c>
      <c r="AC53" s="39">
        <f t="shared" si="29"/>
        <v>39.505737819691944</v>
      </c>
      <c r="AD53" s="41">
        <f t="shared" si="30"/>
        <v>7.1213613548384291E-2</v>
      </c>
      <c r="AF53" s="46">
        <f t="shared" si="3"/>
        <v>0</v>
      </c>
      <c r="AG53" s="46">
        <f t="shared" si="31"/>
        <v>0</v>
      </c>
      <c r="AH53" s="54">
        <f t="shared" si="4"/>
        <v>154</v>
      </c>
      <c r="AI53" s="55">
        <f t="shared" si="19"/>
        <v>0.97550111358574609</v>
      </c>
      <c r="AJ53" s="55">
        <f t="shared" si="32"/>
        <v>0</v>
      </c>
      <c r="AK53" s="55">
        <f t="shared" si="33"/>
        <v>0</v>
      </c>
    </row>
    <row r="54" spans="2:37" s="53" customFormat="1" ht="17.25" customHeight="1" x14ac:dyDescent="0.25">
      <c r="B54" s="91" t="str">
        <f t="shared" si="5"/>
        <v/>
      </c>
      <c r="C54" s="81">
        <f>IF(Sheet3!A25="","",Sheet3!A25)</f>
        <v>37788</v>
      </c>
      <c r="D54" s="82">
        <f>IF(C54="","",Sheet3!E25)</f>
        <v>26.1</v>
      </c>
      <c r="E54" s="56">
        <f>_xlfn.XLOOKUP(WEEKNUM(C54)&amp;YEAR(C54),Sheet4!C:C,Sheet4!B:B,0)</f>
        <v>0</v>
      </c>
      <c r="F54" s="46">
        <f>IF(int=Weekly,-$D$5,IF(int=Bi_Weekly,0,IF(int=Monthly,0,IF(int=Quarterly,0,IF(int=Yearly,0,IF(int=None,0,0))))))</f>
        <v>0</v>
      </c>
      <c r="G54" s="46"/>
      <c r="H54" s="46">
        <f t="shared" si="21"/>
        <v>-550</v>
      </c>
      <c r="I54" s="47"/>
      <c r="J54" s="38">
        <f t="shared" si="0"/>
        <v>0</v>
      </c>
      <c r="K54" s="48"/>
      <c r="L54" s="48">
        <f t="shared" si="6"/>
        <v>23.246817777625786</v>
      </c>
      <c r="M54" s="48"/>
      <c r="N54" s="38">
        <f t="shared" si="7"/>
        <v>0</v>
      </c>
      <c r="O54" s="36">
        <f t="shared" si="8"/>
        <v>0</v>
      </c>
      <c r="P54" s="84">
        <f t="shared" si="9"/>
        <v>-554.28104923173964</v>
      </c>
      <c r="Q54" s="38">
        <f t="shared" si="10"/>
        <v>0</v>
      </c>
      <c r="R54" s="48">
        <f t="shared" si="11"/>
        <v>0.22299016343691508</v>
      </c>
      <c r="S54" s="38">
        <f t="shared" si="1"/>
        <v>23.469807941062701</v>
      </c>
      <c r="T54" s="50">
        <f t="shared" si="22"/>
        <v>550</v>
      </c>
      <c r="U54" s="40">
        <f t="shared" si="23"/>
        <v>606.741943996033</v>
      </c>
      <c r="V54" s="41">
        <f t="shared" si="24"/>
        <v>0.10316717090187821</v>
      </c>
      <c r="W54" s="39">
        <f t="shared" si="25"/>
        <v>56.741943996033001</v>
      </c>
      <c r="X54" s="50">
        <f t="shared" si="14"/>
        <v>4.7497992480156519</v>
      </c>
      <c r="Y54" s="41">
        <f t="shared" si="26"/>
        <v>0.11180316953463376</v>
      </c>
      <c r="Z54" s="52"/>
      <c r="AA54" s="50">
        <f t="shared" si="34"/>
        <v>554.74979924801562</v>
      </c>
      <c r="AB54" s="39">
        <f t="shared" si="35"/>
        <v>612.56198726173648</v>
      </c>
      <c r="AC54" s="39">
        <f t="shared" si="29"/>
        <v>57.812188013720856</v>
      </c>
      <c r="AD54" s="41">
        <f t="shared" si="30"/>
        <v>0.10421308505579896</v>
      </c>
      <c r="AF54" s="46">
        <f t="shared" si="3"/>
        <v>0</v>
      </c>
      <c r="AG54" s="46">
        <f t="shared" si="31"/>
        <v>0</v>
      </c>
      <c r="AH54" s="54">
        <f t="shared" si="4"/>
        <v>161</v>
      </c>
      <c r="AI54" s="55">
        <f t="shared" si="19"/>
        <v>0.97438752783964366</v>
      </c>
      <c r="AJ54" s="55">
        <f t="shared" si="32"/>
        <v>0</v>
      </c>
      <c r="AK54" s="55">
        <f t="shared" si="33"/>
        <v>0</v>
      </c>
    </row>
    <row r="55" spans="2:37" s="53" customFormat="1" ht="17.25" customHeight="1" x14ac:dyDescent="0.25">
      <c r="B55" s="91" t="str">
        <f t="shared" si="5"/>
        <v/>
      </c>
      <c r="C55" s="81">
        <f>IF(Sheet3!A26="","",Sheet3!A26)</f>
        <v>37795</v>
      </c>
      <c r="D55" s="82">
        <f>IF(C55="","",Sheet3!E26)</f>
        <v>25.440000999999999</v>
      </c>
      <c r="E55" s="56">
        <f>_xlfn.XLOOKUP(WEEKNUM(C55)&amp;YEAR(C55),Sheet4!C:C,Sheet4!B:B,0)</f>
        <v>0</v>
      </c>
      <c r="F55" s="46">
        <f>IF(int=Weekly,-$D$5,IF(int=Bi_Weekly,-$D$5,IF(int=Monthly,-$D$5,IF(int=Quarterly,0,IF(int=Yearly,0,IF(int=None,0,0))))))</f>
        <v>-100</v>
      </c>
      <c r="G55" s="46"/>
      <c r="H55" s="46">
        <f t="shared" si="21"/>
        <v>-650</v>
      </c>
      <c r="I55" s="47"/>
      <c r="J55" s="38">
        <f t="shared" si="0"/>
        <v>3.9308174555496285</v>
      </c>
      <c r="K55" s="48"/>
      <c r="L55" s="48">
        <f t="shared" si="6"/>
        <v>27.177635233175415</v>
      </c>
      <c r="M55" s="48"/>
      <c r="N55" s="38">
        <f t="shared" si="7"/>
        <v>0</v>
      </c>
      <c r="O55" s="36">
        <f t="shared" si="8"/>
        <v>0</v>
      </c>
      <c r="P55" s="84">
        <f t="shared" si="9"/>
        <v>-654.28104923173964</v>
      </c>
      <c r="Q55" s="38">
        <f t="shared" si="10"/>
        <v>0</v>
      </c>
      <c r="R55" s="48">
        <f t="shared" si="11"/>
        <v>0.22299016343691508</v>
      </c>
      <c r="S55" s="38">
        <f t="shared" si="1"/>
        <v>27.40062539661233</v>
      </c>
      <c r="T55" s="50">
        <f t="shared" si="22"/>
        <v>650</v>
      </c>
      <c r="U55" s="40">
        <f t="shared" si="23"/>
        <v>691.39906750961779</v>
      </c>
      <c r="V55" s="41">
        <f t="shared" si="24"/>
        <v>6.3690873091719613E-2</v>
      </c>
      <c r="W55" s="39">
        <f t="shared" si="25"/>
        <v>41.399067509617794</v>
      </c>
      <c r="X55" s="50">
        <f t="shared" si="14"/>
        <v>4.7497992480156519</v>
      </c>
      <c r="Y55" s="41">
        <f t="shared" si="26"/>
        <v>7.0998256550205197E-2</v>
      </c>
      <c r="Z55" s="52"/>
      <c r="AA55" s="50">
        <f t="shared" si="34"/>
        <v>654.74979924801562</v>
      </c>
      <c r="AB55" s="39">
        <f t="shared" si="35"/>
        <v>697.07193749044313</v>
      </c>
      <c r="AC55" s="39">
        <f t="shared" si="29"/>
        <v>42.322138242427513</v>
      </c>
      <c r="AD55" s="41">
        <f t="shared" si="30"/>
        <v>6.4638642563976001E-2</v>
      </c>
      <c r="AF55" s="46">
        <f t="shared" si="3"/>
        <v>-100</v>
      </c>
      <c r="AG55" s="46">
        <f t="shared" si="31"/>
        <v>-100</v>
      </c>
      <c r="AH55" s="54">
        <f t="shared" si="4"/>
        <v>168</v>
      </c>
      <c r="AI55" s="55">
        <f t="shared" si="19"/>
        <v>0.97327394209354123</v>
      </c>
      <c r="AJ55" s="55">
        <f t="shared" si="32"/>
        <v>-97.327394209354125</v>
      </c>
      <c r="AK55" s="55">
        <f t="shared" si="33"/>
        <v>-97.327394209354125</v>
      </c>
    </row>
    <row r="56" spans="2:37" s="53" customFormat="1" ht="17.25" customHeight="1" x14ac:dyDescent="0.25">
      <c r="B56" s="91" t="str">
        <f t="shared" si="5"/>
        <v/>
      </c>
      <c r="C56" s="81">
        <f>IF(Sheet3!A27="","",Sheet3!A27)</f>
        <v>37802</v>
      </c>
      <c r="D56" s="82">
        <f>IF(C56="","",Sheet3!E27)</f>
        <v>26.23</v>
      </c>
      <c r="E56" s="56">
        <f>_xlfn.XLOOKUP(WEEKNUM(C56)&amp;YEAR(C56),Sheet4!C:C,Sheet4!B:B,0)</f>
        <v>0</v>
      </c>
      <c r="F56" s="46">
        <f>IF(int=Weekly,-$D$5,IF(int=Bi_Weekly,0,IF(int=Monthly,0,IF(int=Quarterly,0,IF(int=Yearly,0,IF(int=None,0,0))))))</f>
        <v>0</v>
      </c>
      <c r="G56" s="46"/>
      <c r="H56" s="46">
        <f t="shared" si="21"/>
        <v>-650</v>
      </c>
      <c r="I56" s="47"/>
      <c r="J56" s="38">
        <f t="shared" si="0"/>
        <v>0</v>
      </c>
      <c r="K56" s="48"/>
      <c r="L56" s="48">
        <f t="shared" si="6"/>
        <v>27.177635233175415</v>
      </c>
      <c r="M56" s="48"/>
      <c r="N56" s="38">
        <f t="shared" si="7"/>
        <v>0</v>
      </c>
      <c r="O56" s="36">
        <f t="shared" si="8"/>
        <v>0</v>
      </c>
      <c r="P56" s="84">
        <f t="shared" si="9"/>
        <v>-654.28104923173964</v>
      </c>
      <c r="Q56" s="38">
        <f t="shared" si="10"/>
        <v>0</v>
      </c>
      <c r="R56" s="48">
        <f t="shared" si="11"/>
        <v>0.22299016343691508</v>
      </c>
      <c r="S56" s="38">
        <f t="shared" si="1"/>
        <v>27.40062539661233</v>
      </c>
      <c r="T56" s="50">
        <f t="shared" si="22"/>
        <v>650</v>
      </c>
      <c r="U56" s="40">
        <f t="shared" si="23"/>
        <v>712.86937216619117</v>
      </c>
      <c r="V56" s="41">
        <f t="shared" si="24"/>
        <v>9.6722111024909463E-2</v>
      </c>
      <c r="W56" s="39">
        <f t="shared" si="25"/>
        <v>62.86937216619117</v>
      </c>
      <c r="X56" s="50">
        <f t="shared" si="14"/>
        <v>4.7497992480156519</v>
      </c>
      <c r="Y56" s="41">
        <f t="shared" si="26"/>
        <v>0.10402949448339505</v>
      </c>
      <c r="Z56" s="52"/>
      <c r="AA56" s="50">
        <f t="shared" si="34"/>
        <v>654.74979924801562</v>
      </c>
      <c r="AB56" s="39">
        <f t="shared" si="35"/>
        <v>718.71840415314148</v>
      </c>
      <c r="AC56" s="39">
        <f t="shared" si="29"/>
        <v>63.968604905125858</v>
      </c>
      <c r="AD56" s="41">
        <f t="shared" si="30"/>
        <v>9.7699311979315251E-2</v>
      </c>
      <c r="AF56" s="46">
        <f t="shared" si="3"/>
        <v>0</v>
      </c>
      <c r="AG56" s="46">
        <f t="shared" si="31"/>
        <v>0</v>
      </c>
      <c r="AH56" s="54">
        <f t="shared" si="4"/>
        <v>175</v>
      </c>
      <c r="AI56" s="55">
        <f t="shared" si="19"/>
        <v>0.9721603563474388</v>
      </c>
      <c r="AJ56" s="55">
        <f t="shared" si="32"/>
        <v>0</v>
      </c>
      <c r="AK56" s="55">
        <f t="shared" si="33"/>
        <v>0</v>
      </c>
    </row>
    <row r="57" spans="2:37" s="53" customFormat="1" ht="17.25" customHeight="1" x14ac:dyDescent="0.25">
      <c r="B57" s="91" t="str">
        <f t="shared" si="5"/>
        <v/>
      </c>
      <c r="C57" s="81">
        <f>IF(Sheet3!A28="","",Sheet3!A28)</f>
        <v>37809</v>
      </c>
      <c r="D57" s="82">
        <f>IF(C57="","",Sheet3!E28)</f>
        <v>25.41</v>
      </c>
      <c r="E57" s="56">
        <f>_xlfn.XLOOKUP(WEEKNUM(C57)&amp;YEAR(C57),Sheet4!C:C,Sheet4!B:B,0)</f>
        <v>0.28249999999999997</v>
      </c>
      <c r="F57" s="46">
        <f>IF(int=Weekly,-$D$5,IF(int=Bi_Weekly,-$D$5,IF(int=Monthly,0,IF(int=Quarterly,-$D$5,IF(int=Yearly,0,IF(int=None,0,0))))))</f>
        <v>0</v>
      </c>
      <c r="G57" s="46"/>
      <c r="H57" s="46">
        <f t="shared" si="21"/>
        <v>-650</v>
      </c>
      <c r="I57" s="47"/>
      <c r="J57" s="38">
        <f t="shared" si="0"/>
        <v>0</v>
      </c>
      <c r="K57" s="48"/>
      <c r="L57" s="48">
        <f t="shared" si="6"/>
        <v>27.177635233175415</v>
      </c>
      <c r="M57" s="48"/>
      <c r="N57" s="38">
        <f t="shared" si="7"/>
        <v>7.6776819533720539</v>
      </c>
      <c r="O57" s="36">
        <f t="shared" si="8"/>
        <v>-7.6776819533720539</v>
      </c>
      <c r="P57" s="84">
        <f t="shared" si="9"/>
        <v>-661.95873118511167</v>
      </c>
      <c r="Q57" s="38">
        <f t="shared" si="10"/>
        <v>0.30215198557150941</v>
      </c>
      <c r="R57" s="48">
        <f t="shared" si="11"/>
        <v>0.52514214900842449</v>
      </c>
      <c r="S57" s="38">
        <f t="shared" si="1"/>
        <v>27.702777382183839</v>
      </c>
      <c r="T57" s="50">
        <f t="shared" si="22"/>
        <v>650</v>
      </c>
      <c r="U57" s="40">
        <f t="shared" si="23"/>
        <v>690.58371127498731</v>
      </c>
      <c r="V57" s="41">
        <f t="shared" si="24"/>
        <v>6.2436478884595914E-2</v>
      </c>
      <c r="W57" s="39">
        <f t="shared" si="25"/>
        <v>40.583711274987309</v>
      </c>
      <c r="X57" s="50">
        <f t="shared" si="14"/>
        <v>12.427481201387707</v>
      </c>
      <c r="Y57" s="41">
        <f t="shared" si="26"/>
        <v>8.1555680732884772E-2</v>
      </c>
      <c r="Z57" s="52"/>
      <c r="AA57" s="50">
        <f t="shared" si="34"/>
        <v>662.42748120138765</v>
      </c>
      <c r="AB57" s="39">
        <f t="shared" si="35"/>
        <v>703.92757328129142</v>
      </c>
      <c r="AC57" s="39">
        <f t="shared" si="29"/>
        <v>41.500092079903766</v>
      </c>
      <c r="AD57" s="41">
        <f t="shared" si="30"/>
        <v>6.2648506074413746E-2</v>
      </c>
      <c r="AF57" s="46">
        <f t="shared" si="3"/>
        <v>7.6776819533720539</v>
      </c>
      <c r="AG57" s="46">
        <f t="shared" si="31"/>
        <v>0</v>
      </c>
      <c r="AH57" s="54">
        <f t="shared" si="4"/>
        <v>182</v>
      </c>
      <c r="AI57" s="55">
        <f t="shared" si="19"/>
        <v>0.97104677060133626</v>
      </c>
      <c r="AJ57" s="55">
        <f t="shared" si="32"/>
        <v>7.455388266526092</v>
      </c>
      <c r="AK57" s="55">
        <f t="shared" si="33"/>
        <v>0</v>
      </c>
    </row>
    <row r="58" spans="2:37" s="53" customFormat="1" ht="17.25" customHeight="1" x14ac:dyDescent="0.25">
      <c r="B58" s="91" t="str">
        <f t="shared" si="5"/>
        <v/>
      </c>
      <c r="C58" s="81">
        <f>IF(Sheet3!A29="","",Sheet3!A29)</f>
        <v>37816</v>
      </c>
      <c r="D58" s="82">
        <f>IF(C58="","",Sheet3!E29)</f>
        <v>24.18</v>
      </c>
      <c r="E58" s="56">
        <f>_xlfn.XLOOKUP(WEEKNUM(C58)&amp;YEAR(C58),Sheet4!C:C,Sheet4!B:B,0)</f>
        <v>0</v>
      </c>
      <c r="F58" s="46">
        <f>IF(int=Weekly,-$D$5,IF(int=Bi_Weekly,0,IF(int=Monthly,0,IF(int=Quarterly,0,IF(int=Yearly,0,IF(int=None,0,0))))))</f>
        <v>0</v>
      </c>
      <c r="G58" s="46"/>
      <c r="H58" s="46">
        <f t="shared" si="21"/>
        <v>-650</v>
      </c>
      <c r="I58" s="47"/>
      <c r="J58" s="38">
        <f t="shared" si="0"/>
        <v>0</v>
      </c>
      <c r="K58" s="48"/>
      <c r="L58" s="48">
        <f t="shared" si="6"/>
        <v>27.177635233175415</v>
      </c>
      <c r="M58" s="48"/>
      <c r="N58" s="38">
        <f t="shared" si="7"/>
        <v>0</v>
      </c>
      <c r="O58" s="36">
        <f t="shared" si="8"/>
        <v>0</v>
      </c>
      <c r="P58" s="84">
        <f t="shared" si="9"/>
        <v>-661.95873118511167</v>
      </c>
      <c r="Q58" s="38">
        <f t="shared" si="10"/>
        <v>0</v>
      </c>
      <c r="R58" s="48">
        <f t="shared" si="11"/>
        <v>0.52514214900842449</v>
      </c>
      <c r="S58" s="38">
        <f t="shared" si="1"/>
        <v>27.702777382183839</v>
      </c>
      <c r="T58" s="50">
        <f t="shared" si="22"/>
        <v>650</v>
      </c>
      <c r="U58" s="40">
        <f t="shared" si="23"/>
        <v>657.15521993818152</v>
      </c>
      <c r="V58" s="41">
        <f t="shared" si="24"/>
        <v>1.1008030674125369E-2</v>
      </c>
      <c r="W58" s="39">
        <f t="shared" si="25"/>
        <v>7.1552199381815171</v>
      </c>
      <c r="X58" s="50">
        <f t="shared" si="14"/>
        <v>12.427481201387707</v>
      </c>
      <c r="Y58" s="41">
        <f t="shared" si="26"/>
        <v>3.0127232522414227E-2</v>
      </c>
      <c r="Z58" s="52"/>
      <c r="AA58" s="50">
        <f t="shared" si="34"/>
        <v>662.42748120138765</v>
      </c>
      <c r="AB58" s="39">
        <f t="shared" si="35"/>
        <v>669.85315710120517</v>
      </c>
      <c r="AC58" s="39">
        <f t="shared" si="29"/>
        <v>7.4256758998175201</v>
      </c>
      <c r="AD58" s="41">
        <f t="shared" si="30"/>
        <v>1.1209794446254362E-2</v>
      </c>
      <c r="AF58" s="46">
        <f t="shared" si="3"/>
        <v>0</v>
      </c>
      <c r="AG58" s="46">
        <f t="shared" si="31"/>
        <v>0</v>
      </c>
      <c r="AH58" s="54">
        <f t="shared" si="4"/>
        <v>189</v>
      </c>
      <c r="AI58" s="55">
        <f t="shared" si="19"/>
        <v>0.96993318485523383</v>
      </c>
      <c r="AJ58" s="55">
        <f t="shared" si="32"/>
        <v>0</v>
      </c>
      <c r="AK58" s="55">
        <f t="shared" si="33"/>
        <v>0</v>
      </c>
    </row>
    <row r="59" spans="2:37" s="53" customFormat="1" ht="17.25" customHeight="1" x14ac:dyDescent="0.25">
      <c r="B59" s="91" t="str">
        <f t="shared" si="5"/>
        <v/>
      </c>
      <c r="C59" s="81">
        <f>IF(Sheet3!A30="","",Sheet3!A30)</f>
        <v>37823</v>
      </c>
      <c r="D59" s="82">
        <f>IF(C59="","",Sheet3!E30)</f>
        <v>23.540001</v>
      </c>
      <c r="E59" s="56">
        <f>_xlfn.XLOOKUP(WEEKNUM(C59)&amp;YEAR(C59),Sheet4!C:C,Sheet4!B:B,0)</f>
        <v>0</v>
      </c>
      <c r="F59" s="46">
        <f>IF(int=Weekly,-$D$5,IF(int=Bi_Weekly,-$D$5,IF(int=Monthly,-$D$5,IF(int=Quarterly,0,IF(int=Yearly,0,IF(int=None,0,0))))))</f>
        <v>-100</v>
      </c>
      <c r="G59" s="46"/>
      <c r="H59" s="46">
        <f t="shared" si="21"/>
        <v>-750</v>
      </c>
      <c r="I59" s="47"/>
      <c r="J59" s="38">
        <f t="shared" si="0"/>
        <v>4.2480881797753538</v>
      </c>
      <c r="K59" s="48"/>
      <c r="L59" s="48">
        <f t="shared" si="6"/>
        <v>31.42572341295077</v>
      </c>
      <c r="M59" s="48"/>
      <c r="N59" s="38">
        <f t="shared" si="7"/>
        <v>0</v>
      </c>
      <c r="O59" s="36">
        <f t="shared" si="8"/>
        <v>0</v>
      </c>
      <c r="P59" s="84">
        <f t="shared" si="9"/>
        <v>-761.95873118511167</v>
      </c>
      <c r="Q59" s="38">
        <f t="shared" si="10"/>
        <v>0</v>
      </c>
      <c r="R59" s="48">
        <f t="shared" si="11"/>
        <v>0.52514214900842449</v>
      </c>
      <c r="S59" s="38">
        <f t="shared" si="1"/>
        <v>31.950865561959194</v>
      </c>
      <c r="T59" s="50">
        <f t="shared" si="22"/>
        <v>750</v>
      </c>
      <c r="U59" s="40">
        <f t="shared" si="23"/>
        <v>739.76156056658454</v>
      </c>
      <c r="V59" s="41">
        <f t="shared" si="24"/>
        <v>-1.3651252577887241E-2</v>
      </c>
      <c r="W59" s="39">
        <f t="shared" si="25"/>
        <v>-10.238439433415465</v>
      </c>
      <c r="X59" s="50">
        <f t="shared" si="14"/>
        <v>12.427481201387707</v>
      </c>
      <c r="Y59" s="41">
        <f t="shared" si="26"/>
        <v>2.9187223572961773E-3</v>
      </c>
      <c r="Z59" s="52"/>
      <c r="AA59" s="50">
        <f t="shared" si="34"/>
        <v>762.42748120138765</v>
      </c>
      <c r="AB59" s="39">
        <f t="shared" si="35"/>
        <v>752.12340727938499</v>
      </c>
      <c r="AC59" s="39">
        <f t="shared" si="29"/>
        <v>-10.304073922002658</v>
      </c>
      <c r="AD59" s="41">
        <f t="shared" si="30"/>
        <v>-1.3514824919172774E-2</v>
      </c>
      <c r="AF59" s="46">
        <f t="shared" si="3"/>
        <v>-100</v>
      </c>
      <c r="AG59" s="46">
        <f t="shared" si="31"/>
        <v>-100</v>
      </c>
      <c r="AH59" s="54">
        <f t="shared" si="4"/>
        <v>196</v>
      </c>
      <c r="AI59" s="55">
        <f t="shared" si="19"/>
        <v>0.9688195991091314</v>
      </c>
      <c r="AJ59" s="55">
        <f t="shared" si="32"/>
        <v>-96.881959910913139</v>
      </c>
      <c r="AK59" s="55">
        <f t="shared" si="33"/>
        <v>-96.881959910913139</v>
      </c>
    </row>
    <row r="60" spans="2:37" s="53" customFormat="1" ht="17.25" customHeight="1" x14ac:dyDescent="0.25">
      <c r="B60" s="91" t="str">
        <f t="shared" si="5"/>
        <v/>
      </c>
      <c r="C60" s="81">
        <f>IF(Sheet3!A31="","",Sheet3!A31)</f>
        <v>37830</v>
      </c>
      <c r="D60" s="82">
        <f>IF(C60="","",Sheet3!E31)</f>
        <v>23.4</v>
      </c>
      <c r="E60" s="56">
        <f>_xlfn.XLOOKUP(WEEKNUM(C60)&amp;YEAR(C60),Sheet4!C:C,Sheet4!B:B,0)</f>
        <v>0</v>
      </c>
      <c r="F60" s="46">
        <f>IF(int=Weekly,-$D$5,IF(int=Bi_Weekly,0,IF(int=Monthly,0,IF(int=Quarterly,0,IF(int=Yearly,0,IF(int=None,0,0))))))</f>
        <v>0</v>
      </c>
      <c r="G60" s="46"/>
      <c r="H60" s="46">
        <f t="shared" si="21"/>
        <v>-750</v>
      </c>
      <c r="I60" s="47"/>
      <c r="J60" s="38">
        <f t="shared" si="0"/>
        <v>0</v>
      </c>
      <c r="K60" s="48"/>
      <c r="L60" s="48">
        <f t="shared" si="6"/>
        <v>31.42572341295077</v>
      </c>
      <c r="M60" s="48"/>
      <c r="N60" s="38">
        <f t="shared" si="7"/>
        <v>0</v>
      </c>
      <c r="O60" s="36">
        <f t="shared" si="8"/>
        <v>0</v>
      </c>
      <c r="P60" s="84">
        <f t="shared" si="9"/>
        <v>-761.95873118511167</v>
      </c>
      <c r="Q60" s="38">
        <f t="shared" si="10"/>
        <v>0</v>
      </c>
      <c r="R60" s="48">
        <f t="shared" si="11"/>
        <v>0.52514214900842449</v>
      </c>
      <c r="S60" s="38">
        <f t="shared" si="1"/>
        <v>31.950865561959194</v>
      </c>
      <c r="T60" s="50">
        <f t="shared" si="22"/>
        <v>750</v>
      </c>
      <c r="U60" s="40">
        <f t="shared" si="23"/>
        <v>735.36192786304798</v>
      </c>
      <c r="V60" s="41">
        <f t="shared" si="24"/>
        <v>-1.9517429515936047E-2</v>
      </c>
      <c r="W60" s="39">
        <f t="shared" si="25"/>
        <v>-14.638072136952019</v>
      </c>
      <c r="X60" s="50">
        <f t="shared" si="14"/>
        <v>12.427481201387707</v>
      </c>
      <c r="Y60" s="41">
        <f t="shared" si="26"/>
        <v>-2.9474545807525176E-3</v>
      </c>
      <c r="Z60" s="52"/>
      <c r="AA60" s="50">
        <f t="shared" si="34"/>
        <v>762.42748120138765</v>
      </c>
      <c r="AB60" s="39">
        <f t="shared" si="35"/>
        <v>747.65025414984507</v>
      </c>
      <c r="AC60" s="39">
        <f t="shared" si="29"/>
        <v>-14.777227051542582</v>
      </c>
      <c r="AD60" s="41">
        <f t="shared" si="30"/>
        <v>-1.9381813242431267E-2</v>
      </c>
      <c r="AF60" s="46">
        <f t="shared" si="3"/>
        <v>0</v>
      </c>
      <c r="AG60" s="46">
        <f t="shared" si="31"/>
        <v>0</v>
      </c>
      <c r="AH60" s="54">
        <f t="shared" si="4"/>
        <v>203</v>
      </c>
      <c r="AI60" s="55">
        <f t="shared" si="19"/>
        <v>0.96770601336302897</v>
      </c>
      <c r="AJ60" s="55">
        <f t="shared" si="32"/>
        <v>0</v>
      </c>
      <c r="AK60" s="55">
        <f t="shared" si="33"/>
        <v>0</v>
      </c>
    </row>
    <row r="61" spans="2:37" s="53" customFormat="1" ht="17.25" customHeight="1" x14ac:dyDescent="0.25">
      <c r="B61" s="91" t="str">
        <f t="shared" si="5"/>
        <v/>
      </c>
      <c r="C61" s="81">
        <f>IF(Sheet3!A32="","",Sheet3!A32)</f>
        <v>37837</v>
      </c>
      <c r="D61" s="82">
        <f>IF(C61="","",Sheet3!E32)</f>
        <v>23.4</v>
      </c>
      <c r="E61" s="56">
        <f>_xlfn.XLOOKUP(WEEKNUM(C61)&amp;YEAR(C61),Sheet4!C:C,Sheet4!B:B,0)</f>
        <v>0</v>
      </c>
      <c r="F61" s="46">
        <f>IF(int=Weekly,-$D$5,IF(int=Bi_Weekly,-$D$5,IF(int=Monthly,0,IF(int=Quarterly,0,IF(int=Yearly,0,IF(int=None,0,0))))))</f>
        <v>0</v>
      </c>
      <c r="G61" s="46"/>
      <c r="H61" s="46">
        <f t="shared" si="21"/>
        <v>-750</v>
      </c>
      <c r="I61" s="47"/>
      <c r="J61" s="38">
        <f t="shared" si="0"/>
        <v>0</v>
      </c>
      <c r="K61" s="48"/>
      <c r="L61" s="48">
        <f t="shared" si="6"/>
        <v>31.42572341295077</v>
      </c>
      <c r="M61" s="48"/>
      <c r="N61" s="38">
        <f t="shared" si="7"/>
        <v>0</v>
      </c>
      <c r="O61" s="36">
        <f t="shared" si="8"/>
        <v>0</v>
      </c>
      <c r="P61" s="84">
        <f t="shared" si="9"/>
        <v>-761.95873118511167</v>
      </c>
      <c r="Q61" s="38">
        <f t="shared" si="10"/>
        <v>0</v>
      </c>
      <c r="R61" s="48">
        <f t="shared" si="11"/>
        <v>0.52514214900842449</v>
      </c>
      <c r="S61" s="38">
        <f t="shared" si="1"/>
        <v>31.950865561959194</v>
      </c>
      <c r="T61" s="50">
        <f t="shared" si="22"/>
        <v>750</v>
      </c>
      <c r="U61" s="40">
        <f t="shared" si="23"/>
        <v>735.36192786304798</v>
      </c>
      <c r="V61" s="41">
        <f t="shared" si="24"/>
        <v>-1.9517429515936047E-2</v>
      </c>
      <c r="W61" s="39">
        <f t="shared" si="25"/>
        <v>-14.638072136952019</v>
      </c>
      <c r="X61" s="50">
        <f t="shared" si="14"/>
        <v>12.427481201387707</v>
      </c>
      <c r="Y61" s="41">
        <f t="shared" si="26"/>
        <v>-2.9474545807525176E-3</v>
      </c>
      <c r="Z61" s="52"/>
      <c r="AA61" s="50">
        <f t="shared" si="34"/>
        <v>762.42748120138765</v>
      </c>
      <c r="AB61" s="39">
        <f t="shared" si="35"/>
        <v>747.65025414984507</v>
      </c>
      <c r="AC61" s="39">
        <f t="shared" si="29"/>
        <v>-14.777227051542582</v>
      </c>
      <c r="AD61" s="41">
        <f t="shared" si="30"/>
        <v>-1.9381813242431267E-2</v>
      </c>
      <c r="AF61" s="46">
        <f t="shared" si="3"/>
        <v>0</v>
      </c>
      <c r="AG61" s="46">
        <f t="shared" si="31"/>
        <v>0</v>
      </c>
      <c r="AH61" s="54">
        <f t="shared" si="4"/>
        <v>210</v>
      </c>
      <c r="AI61" s="55">
        <f t="shared" si="19"/>
        <v>0.96659242761692654</v>
      </c>
      <c r="AJ61" s="55">
        <f t="shared" si="32"/>
        <v>0</v>
      </c>
      <c r="AK61" s="55">
        <f t="shared" si="33"/>
        <v>0</v>
      </c>
    </row>
    <row r="62" spans="2:37" s="53" customFormat="1" ht="17.25" customHeight="1" x14ac:dyDescent="0.25">
      <c r="B62" s="91" t="str">
        <f t="shared" si="5"/>
        <v/>
      </c>
      <c r="C62" s="81">
        <f>IF(Sheet3!A33="","",Sheet3!A33)</f>
        <v>37844</v>
      </c>
      <c r="D62" s="82">
        <f>IF(C62="","",Sheet3!E33)</f>
        <v>23.23</v>
      </c>
      <c r="E62" s="56">
        <f>_xlfn.XLOOKUP(WEEKNUM(C62)&amp;YEAR(C62),Sheet4!C:C,Sheet4!B:B,0)</f>
        <v>0</v>
      </c>
      <c r="F62" s="46">
        <f>IF(int=Weekly,-$D$5,IF(int=Bi_Weekly,0,IF(int=Monthly,0,IF(int=Quarterly,0,IF(int=Yearly,0,IF(int=None,0,0))))))</f>
        <v>0</v>
      </c>
      <c r="G62" s="46"/>
      <c r="H62" s="46">
        <f t="shared" si="21"/>
        <v>-750</v>
      </c>
      <c r="I62" s="47"/>
      <c r="J62" s="38">
        <f t="shared" si="0"/>
        <v>0</v>
      </c>
      <c r="K62" s="48"/>
      <c r="L62" s="48">
        <f t="shared" si="6"/>
        <v>31.42572341295077</v>
      </c>
      <c r="M62" s="48"/>
      <c r="N62" s="38">
        <f t="shared" si="7"/>
        <v>0</v>
      </c>
      <c r="O62" s="36">
        <f t="shared" si="8"/>
        <v>0</v>
      </c>
      <c r="P62" s="84">
        <f t="shared" si="9"/>
        <v>-761.95873118511167</v>
      </c>
      <c r="Q62" s="38">
        <f t="shared" si="10"/>
        <v>0</v>
      </c>
      <c r="R62" s="48">
        <f t="shared" si="11"/>
        <v>0.52514214900842449</v>
      </c>
      <c r="S62" s="38">
        <f t="shared" si="1"/>
        <v>31.950865561959194</v>
      </c>
      <c r="T62" s="50">
        <f t="shared" si="22"/>
        <v>750</v>
      </c>
      <c r="U62" s="40">
        <f t="shared" si="23"/>
        <v>730.01955488284636</v>
      </c>
      <c r="V62" s="41">
        <f t="shared" si="24"/>
        <v>-2.6640593489538178E-2</v>
      </c>
      <c r="W62" s="39">
        <f t="shared" si="25"/>
        <v>-19.980445117153636</v>
      </c>
      <c r="X62" s="50">
        <f t="shared" si="14"/>
        <v>12.427481201387707</v>
      </c>
      <c r="Y62" s="41">
        <f t="shared" si="26"/>
        <v>-1.0070618554354649E-2</v>
      </c>
      <c r="Z62" s="52"/>
      <c r="AA62" s="50">
        <f t="shared" si="34"/>
        <v>762.42748120138765</v>
      </c>
      <c r="AB62" s="39">
        <f t="shared" si="35"/>
        <v>742.21860700431205</v>
      </c>
      <c r="AC62" s="39">
        <f t="shared" si="29"/>
        <v>-20.208874197075602</v>
      </c>
      <c r="AD62" s="41">
        <f t="shared" si="30"/>
        <v>-2.6505962462464838E-2</v>
      </c>
      <c r="AF62" s="46">
        <f t="shared" si="3"/>
        <v>0</v>
      </c>
      <c r="AG62" s="46">
        <f t="shared" si="31"/>
        <v>0</v>
      </c>
      <c r="AH62" s="54">
        <f t="shared" si="4"/>
        <v>217</v>
      </c>
      <c r="AI62" s="55">
        <f t="shared" si="19"/>
        <v>0.965478841870824</v>
      </c>
      <c r="AJ62" s="55">
        <f t="shared" si="32"/>
        <v>0</v>
      </c>
      <c r="AK62" s="55">
        <f t="shared" si="33"/>
        <v>0</v>
      </c>
    </row>
    <row r="63" spans="2:37" s="53" customFormat="1" ht="17.25" customHeight="1" x14ac:dyDescent="0.25">
      <c r="B63" s="91" t="str">
        <f t="shared" si="5"/>
        <v/>
      </c>
      <c r="C63" s="81">
        <f>IF(Sheet3!A34="","",Sheet3!A34)</f>
        <v>37851</v>
      </c>
      <c r="D63" s="82">
        <f>IF(C63="","",Sheet3!E34)</f>
        <v>23.15</v>
      </c>
      <c r="E63" s="56">
        <f>_xlfn.XLOOKUP(WEEKNUM(C63)&amp;YEAR(C63),Sheet4!C:C,Sheet4!B:B,0)</f>
        <v>0</v>
      </c>
      <c r="F63" s="46">
        <f>IF(int=Weekly,-$D$5,IF(int=Bi_Weekly,-$D$5,IF(int=Monthly,-$D$5,IF(int=Quarterly,0,IF(int=Yearly,0,IF(int=None,0,0))))))</f>
        <v>-100</v>
      </c>
      <c r="G63" s="46"/>
      <c r="H63" s="46">
        <f t="shared" si="21"/>
        <v>-850</v>
      </c>
      <c r="I63" s="47"/>
      <c r="J63" s="38">
        <f t="shared" si="0"/>
        <v>4.3196544276457889</v>
      </c>
      <c r="K63" s="48"/>
      <c r="L63" s="48">
        <f t="shared" si="6"/>
        <v>35.745377840596561</v>
      </c>
      <c r="M63" s="48"/>
      <c r="N63" s="38">
        <f t="shared" si="7"/>
        <v>0</v>
      </c>
      <c r="O63" s="36">
        <f t="shared" si="8"/>
        <v>0</v>
      </c>
      <c r="P63" s="84">
        <f t="shared" si="9"/>
        <v>-861.95873118511167</v>
      </c>
      <c r="Q63" s="38">
        <f t="shared" si="10"/>
        <v>0</v>
      </c>
      <c r="R63" s="48">
        <f t="shared" si="11"/>
        <v>0.52514214900842449</v>
      </c>
      <c r="S63" s="38">
        <f t="shared" si="1"/>
        <v>36.270519989604985</v>
      </c>
      <c r="T63" s="50">
        <f t="shared" si="22"/>
        <v>850</v>
      </c>
      <c r="U63" s="40">
        <f t="shared" si="23"/>
        <v>827.50549700981037</v>
      </c>
      <c r="V63" s="41">
        <f t="shared" si="24"/>
        <v>-2.6464121164929022E-2</v>
      </c>
      <c r="W63" s="39">
        <f t="shared" si="25"/>
        <v>-22.494502990189631</v>
      </c>
      <c r="X63" s="50">
        <f t="shared" si="14"/>
        <v>12.427481201387707</v>
      </c>
      <c r="Y63" s="41">
        <f t="shared" si="26"/>
        <v>-1.1843555045649268E-2</v>
      </c>
      <c r="Z63" s="52"/>
      <c r="AA63" s="50">
        <f t="shared" si="34"/>
        <v>862.42748120138765</v>
      </c>
      <c r="AB63" s="39">
        <f t="shared" si="35"/>
        <v>839.66253775935536</v>
      </c>
      <c r="AC63" s="39">
        <f t="shared" si="29"/>
        <v>-22.76494344203229</v>
      </c>
      <c r="AD63" s="41">
        <f t="shared" si="30"/>
        <v>-2.6396356723605408E-2</v>
      </c>
      <c r="AF63" s="46">
        <f t="shared" si="3"/>
        <v>-100</v>
      </c>
      <c r="AG63" s="46">
        <f t="shared" si="31"/>
        <v>-100</v>
      </c>
      <c r="AH63" s="54">
        <f t="shared" si="4"/>
        <v>224</v>
      </c>
      <c r="AI63" s="55">
        <f t="shared" si="19"/>
        <v>0.96436525612472157</v>
      </c>
      <c r="AJ63" s="55">
        <f t="shared" si="32"/>
        <v>-96.436525612472153</v>
      </c>
      <c r="AK63" s="55">
        <f t="shared" si="33"/>
        <v>-96.436525612472153</v>
      </c>
    </row>
    <row r="64" spans="2:37" s="53" customFormat="1" ht="17.25" customHeight="1" x14ac:dyDescent="0.25">
      <c r="B64" s="91" t="str">
        <f t="shared" si="5"/>
        <v/>
      </c>
      <c r="C64" s="81">
        <f>IF(Sheet3!A35="","",Sheet3!A35)</f>
        <v>37858</v>
      </c>
      <c r="D64" s="82">
        <f>IF(C64="","",Sheet3!E35)</f>
        <v>22.459999</v>
      </c>
      <c r="E64" s="56">
        <f>_xlfn.XLOOKUP(WEEKNUM(C64)&amp;YEAR(C64),Sheet4!C:C,Sheet4!B:B,0)</f>
        <v>0</v>
      </c>
      <c r="F64" s="46">
        <f>IF(int=Weekly,-$D$5,IF(int=Bi_Weekly,0,IF(int=Monthly,0,IF(int=Quarterly,0,IF(int=Yearly,0,IF(int=None,0,0))))))</f>
        <v>0</v>
      </c>
      <c r="G64" s="46"/>
      <c r="H64" s="46">
        <f t="shared" si="21"/>
        <v>-850</v>
      </c>
      <c r="I64" s="47"/>
      <c r="J64" s="38">
        <f t="shared" si="0"/>
        <v>0</v>
      </c>
      <c r="K64" s="48"/>
      <c r="L64" s="48">
        <f t="shared" si="6"/>
        <v>35.745377840596561</v>
      </c>
      <c r="M64" s="48"/>
      <c r="N64" s="38">
        <f t="shared" si="7"/>
        <v>0</v>
      </c>
      <c r="O64" s="36">
        <f t="shared" si="8"/>
        <v>0</v>
      </c>
      <c r="P64" s="84">
        <f t="shared" si="9"/>
        <v>-861.95873118511167</v>
      </c>
      <c r="Q64" s="38">
        <f t="shared" si="10"/>
        <v>0</v>
      </c>
      <c r="R64" s="48">
        <f t="shared" si="11"/>
        <v>0.52514214900842449</v>
      </c>
      <c r="S64" s="38">
        <f t="shared" si="1"/>
        <v>36.270519989604985</v>
      </c>
      <c r="T64" s="50">
        <f t="shared" si="22"/>
        <v>850</v>
      </c>
      <c r="U64" s="40">
        <f t="shared" si="23"/>
        <v>802.84115055442089</v>
      </c>
      <c r="V64" s="41">
        <f t="shared" si="24"/>
        <v>-5.548099934774009E-2</v>
      </c>
      <c r="W64" s="39">
        <f t="shared" si="25"/>
        <v>-47.158849445579108</v>
      </c>
      <c r="X64" s="50">
        <f t="shared" si="14"/>
        <v>12.427481201387707</v>
      </c>
      <c r="Y64" s="41">
        <f t="shared" si="26"/>
        <v>-4.0860433228460447E-2</v>
      </c>
      <c r="Z64" s="52"/>
      <c r="AA64" s="50">
        <f t="shared" si="34"/>
        <v>862.42748120138765</v>
      </c>
      <c r="AB64" s="39">
        <f t="shared" si="35"/>
        <v>814.63584269600801</v>
      </c>
      <c r="AC64" s="39">
        <f t="shared" si="29"/>
        <v>-47.791638505379638</v>
      </c>
      <c r="AD64" s="41">
        <f t="shared" si="30"/>
        <v>-5.5415254670229674E-2</v>
      </c>
      <c r="AF64" s="46">
        <f t="shared" si="3"/>
        <v>0</v>
      </c>
      <c r="AG64" s="46">
        <f t="shared" si="31"/>
        <v>0</v>
      </c>
      <c r="AH64" s="54">
        <f t="shared" si="4"/>
        <v>231</v>
      </c>
      <c r="AI64" s="55">
        <f t="shared" si="19"/>
        <v>0.96325167037861914</v>
      </c>
      <c r="AJ64" s="55">
        <f t="shared" si="32"/>
        <v>0</v>
      </c>
      <c r="AK64" s="55">
        <f t="shared" si="33"/>
        <v>0</v>
      </c>
    </row>
    <row r="65" spans="2:37" s="53" customFormat="1" ht="17.25" customHeight="1" x14ac:dyDescent="0.25">
      <c r="B65" s="91" t="str">
        <f t="shared" si="5"/>
        <v/>
      </c>
      <c r="C65" s="81">
        <f>IF(Sheet3!A36="","",Sheet3!A36)</f>
        <v>37865</v>
      </c>
      <c r="D65" s="82">
        <f>IF(C65="","",Sheet3!E36)</f>
        <v>23</v>
      </c>
      <c r="E65" s="56">
        <f>_xlfn.XLOOKUP(WEEKNUM(C65)&amp;YEAR(C65),Sheet4!C:C,Sheet4!B:B,0)</f>
        <v>0</v>
      </c>
      <c r="F65" s="46">
        <f>IF(int=Weekly,-$D$5,IF(int=Bi_Weekly,-$D$5,IF(int=Monthly,0,IF(int=Quarterly,0,IF(int=Yearly,0,IF(int=None,0,0))))))</f>
        <v>0</v>
      </c>
      <c r="G65" s="46"/>
      <c r="H65" s="46">
        <f t="shared" si="21"/>
        <v>-850</v>
      </c>
      <c r="I65" s="47"/>
      <c r="J65" s="38">
        <f t="shared" si="0"/>
        <v>0</v>
      </c>
      <c r="K65" s="48"/>
      <c r="L65" s="48">
        <f t="shared" si="6"/>
        <v>35.745377840596561</v>
      </c>
      <c r="M65" s="48"/>
      <c r="N65" s="38">
        <f t="shared" si="7"/>
        <v>0</v>
      </c>
      <c r="O65" s="36">
        <f t="shared" si="8"/>
        <v>0</v>
      </c>
      <c r="P65" s="84">
        <f t="shared" si="9"/>
        <v>-861.95873118511167</v>
      </c>
      <c r="Q65" s="38">
        <f t="shared" si="10"/>
        <v>0</v>
      </c>
      <c r="R65" s="48">
        <f t="shared" si="11"/>
        <v>0.52514214900842449</v>
      </c>
      <c r="S65" s="38">
        <f t="shared" si="1"/>
        <v>36.270519989604985</v>
      </c>
      <c r="T65" s="50">
        <f t="shared" si="22"/>
        <v>850</v>
      </c>
      <c r="U65" s="40">
        <f t="shared" si="23"/>
        <v>822.14369033372088</v>
      </c>
      <c r="V65" s="41">
        <f t="shared" si="24"/>
        <v>-3.2772129019151941E-2</v>
      </c>
      <c r="W65" s="39">
        <f t="shared" si="25"/>
        <v>-27.856309666279117</v>
      </c>
      <c r="X65" s="50">
        <f t="shared" si="14"/>
        <v>12.427481201387707</v>
      </c>
      <c r="Y65" s="41">
        <f t="shared" si="26"/>
        <v>-1.8151562899872298E-2</v>
      </c>
      <c r="Z65" s="52"/>
      <c r="AA65" s="50">
        <f t="shared" si="34"/>
        <v>862.42748120138765</v>
      </c>
      <c r="AB65" s="39">
        <f t="shared" si="35"/>
        <v>834.22195976091461</v>
      </c>
      <c r="AC65" s="39">
        <f t="shared" si="29"/>
        <v>-28.205521440473035</v>
      </c>
      <c r="AD65" s="41">
        <f t="shared" si="30"/>
        <v>-3.2704803656281811E-2</v>
      </c>
      <c r="AF65" s="46">
        <f t="shared" si="3"/>
        <v>0</v>
      </c>
      <c r="AG65" s="46">
        <f t="shared" si="31"/>
        <v>0</v>
      </c>
      <c r="AH65" s="54">
        <f t="shared" si="4"/>
        <v>238</v>
      </c>
      <c r="AI65" s="55">
        <f t="shared" si="19"/>
        <v>0.96213808463251671</v>
      </c>
      <c r="AJ65" s="55">
        <f t="shared" si="32"/>
        <v>0</v>
      </c>
      <c r="AK65" s="55">
        <f t="shared" si="33"/>
        <v>0</v>
      </c>
    </row>
    <row r="66" spans="2:37" s="53" customFormat="1" ht="17.25" customHeight="1" x14ac:dyDescent="0.25">
      <c r="B66" s="91" t="str">
        <f t="shared" si="5"/>
        <v/>
      </c>
      <c r="C66" s="81">
        <f>IF(Sheet3!A37="","",Sheet3!A37)</f>
        <v>37872</v>
      </c>
      <c r="D66" s="82">
        <f>IF(C66="","",Sheet3!E37)</f>
        <v>23.43</v>
      </c>
      <c r="E66" s="56">
        <f>_xlfn.XLOOKUP(WEEKNUM(C66)&amp;YEAR(C66),Sheet4!C:C,Sheet4!B:B,0)</f>
        <v>0</v>
      </c>
      <c r="F66" s="46">
        <f>IF(int=Weekly,-$D$5,IF(int=Bi_Weekly,0,IF(int=Monthly,0,IF(int=Quarterly,0,IF(int=Yearly,0,IF(int=None,0,0))))))</f>
        <v>0</v>
      </c>
      <c r="G66" s="46"/>
      <c r="H66" s="46">
        <f t="shared" si="21"/>
        <v>-850</v>
      </c>
      <c r="I66" s="47"/>
      <c r="J66" s="38">
        <f t="shared" si="0"/>
        <v>0</v>
      </c>
      <c r="K66" s="48"/>
      <c r="L66" s="48">
        <f t="shared" si="6"/>
        <v>35.745377840596561</v>
      </c>
      <c r="M66" s="48"/>
      <c r="N66" s="38">
        <f t="shared" si="7"/>
        <v>0</v>
      </c>
      <c r="O66" s="36">
        <f t="shared" si="8"/>
        <v>0</v>
      </c>
      <c r="P66" s="84">
        <f t="shared" si="9"/>
        <v>-861.95873118511167</v>
      </c>
      <c r="Q66" s="38">
        <f t="shared" si="10"/>
        <v>0</v>
      </c>
      <c r="R66" s="48">
        <f t="shared" si="11"/>
        <v>0.52514214900842449</v>
      </c>
      <c r="S66" s="38">
        <f t="shared" si="1"/>
        <v>36.270519989604985</v>
      </c>
      <c r="T66" s="50">
        <f t="shared" si="22"/>
        <v>850</v>
      </c>
      <c r="U66" s="40">
        <f t="shared" si="23"/>
        <v>837.51420280517743</v>
      </c>
      <c r="V66" s="41">
        <f t="shared" si="24"/>
        <v>-1.4689173170379544E-2</v>
      </c>
      <c r="W66" s="39">
        <f t="shared" si="25"/>
        <v>-12.485797194822567</v>
      </c>
      <c r="X66" s="50">
        <f t="shared" si="14"/>
        <v>12.427481201387707</v>
      </c>
      <c r="Y66" s="41">
        <f t="shared" si="26"/>
        <v>-6.8607051099900396E-5</v>
      </c>
      <c r="Z66" s="52"/>
      <c r="AA66" s="50">
        <f t="shared" si="34"/>
        <v>862.42748120138765</v>
      </c>
      <c r="AB66" s="39">
        <f t="shared" si="35"/>
        <v>849.81828335644479</v>
      </c>
      <c r="AC66" s="39">
        <f t="shared" si="29"/>
        <v>-12.609197844942855</v>
      </c>
      <c r="AD66" s="41">
        <f t="shared" si="30"/>
        <v>-1.4620589115942662E-2</v>
      </c>
      <c r="AF66" s="46">
        <f t="shared" si="3"/>
        <v>0</v>
      </c>
      <c r="AG66" s="46">
        <f t="shared" si="31"/>
        <v>0</v>
      </c>
      <c r="AH66" s="54">
        <f t="shared" si="4"/>
        <v>245</v>
      </c>
      <c r="AI66" s="55">
        <f t="shared" si="19"/>
        <v>0.96102449888641428</v>
      </c>
      <c r="AJ66" s="55">
        <f t="shared" si="32"/>
        <v>0</v>
      </c>
      <c r="AK66" s="55">
        <f t="shared" si="33"/>
        <v>0</v>
      </c>
    </row>
    <row r="67" spans="2:37" s="53" customFormat="1" ht="17.25" customHeight="1" x14ac:dyDescent="0.25">
      <c r="B67" s="91" t="str">
        <f t="shared" si="5"/>
        <v/>
      </c>
      <c r="C67" s="81">
        <f>IF(Sheet3!A38="","",Sheet3!A38)</f>
        <v>37879</v>
      </c>
      <c r="D67" s="82">
        <f>IF(C67="","",Sheet3!E38)</f>
        <v>23.860001</v>
      </c>
      <c r="E67" s="56">
        <f>_xlfn.XLOOKUP(WEEKNUM(C67)&amp;YEAR(C67),Sheet4!C:C,Sheet4!B:B,0)</f>
        <v>0</v>
      </c>
      <c r="F67" s="46">
        <f>IF(int=Weekly,-$D$5,IF(int=Bi_Weekly,-$D$5,IF(int=Monthly,-$D$5,IF(int=Quarterly,0,IF(int=Yearly,0,IF(int=None,0,0))))))</f>
        <v>-100</v>
      </c>
      <c r="G67" s="46"/>
      <c r="H67" s="46">
        <f t="shared" si="21"/>
        <v>-950</v>
      </c>
      <c r="I67" s="47"/>
      <c r="J67" s="38">
        <f t="shared" si="0"/>
        <v>4.1911146608920928</v>
      </c>
      <c r="K67" s="48"/>
      <c r="L67" s="48">
        <f t="shared" si="6"/>
        <v>39.936492501488651</v>
      </c>
      <c r="M67" s="48"/>
      <c r="N67" s="38">
        <f t="shared" si="7"/>
        <v>0</v>
      </c>
      <c r="O67" s="36">
        <f t="shared" si="8"/>
        <v>0</v>
      </c>
      <c r="P67" s="84">
        <f t="shared" si="9"/>
        <v>-961.95873118511167</v>
      </c>
      <c r="Q67" s="38">
        <f t="shared" si="10"/>
        <v>0</v>
      </c>
      <c r="R67" s="48">
        <f t="shared" si="11"/>
        <v>0.52514214900842449</v>
      </c>
      <c r="S67" s="38">
        <f t="shared" si="1"/>
        <v>40.461634650497075</v>
      </c>
      <c r="T67" s="50">
        <f t="shared" si="22"/>
        <v>950</v>
      </c>
      <c r="U67" s="40">
        <f t="shared" si="23"/>
        <v>952.88475102201176</v>
      </c>
      <c r="V67" s="41">
        <f t="shared" si="24"/>
        <v>3.0365800231701989E-3</v>
      </c>
      <c r="W67" s="39">
        <f t="shared" si="25"/>
        <v>2.8847510220117556</v>
      </c>
      <c r="X67" s="50">
        <f t="shared" si="14"/>
        <v>12.427481201387707</v>
      </c>
      <c r="Y67" s="41">
        <f t="shared" si="26"/>
        <v>1.6118139182525582E-2</v>
      </c>
      <c r="Z67" s="52"/>
      <c r="AA67" s="50">
        <f t="shared" si="34"/>
        <v>962.42748120138765</v>
      </c>
      <c r="AB67" s="39">
        <f t="shared" si="35"/>
        <v>965.41464322249487</v>
      </c>
      <c r="AC67" s="39">
        <f t="shared" si="29"/>
        <v>2.9871620211072241</v>
      </c>
      <c r="AD67" s="41">
        <f t="shared" si="30"/>
        <v>3.103778808745572E-3</v>
      </c>
      <c r="AF67" s="46">
        <f t="shared" si="3"/>
        <v>-100</v>
      </c>
      <c r="AG67" s="46">
        <f t="shared" si="31"/>
        <v>-100</v>
      </c>
      <c r="AH67" s="54">
        <f t="shared" si="4"/>
        <v>252</v>
      </c>
      <c r="AI67" s="55">
        <f t="shared" si="19"/>
        <v>0.95991091314031185</v>
      </c>
      <c r="AJ67" s="55">
        <f t="shared" si="32"/>
        <v>-95.991091314031181</v>
      </c>
      <c r="AK67" s="55">
        <f t="shared" si="33"/>
        <v>-95.991091314031181</v>
      </c>
    </row>
    <row r="68" spans="2:37" s="53" customFormat="1" ht="17.25" customHeight="1" x14ac:dyDescent="0.25">
      <c r="B68" s="91" t="str">
        <f t="shared" si="5"/>
        <v/>
      </c>
      <c r="C68" s="81">
        <f>IF(Sheet3!A39="","",Sheet3!A39)</f>
        <v>37886</v>
      </c>
      <c r="D68" s="82">
        <f>IF(C68="","",Sheet3!E39)</f>
        <v>21.82</v>
      </c>
      <c r="E68" s="56">
        <f>_xlfn.XLOOKUP(WEEKNUM(C68)&amp;YEAR(C68),Sheet4!C:C,Sheet4!B:B,0)</f>
        <v>0</v>
      </c>
      <c r="F68" s="46">
        <f>IF(int=Weekly,-$D$5,IF(int=Bi_Weekly,0,IF(int=Monthly,0,IF(int=Quarterly,0,IF(int=Yearly,0,IF(int=None,0,0))))))</f>
        <v>0</v>
      </c>
      <c r="G68" s="46"/>
      <c r="H68" s="46">
        <f t="shared" si="21"/>
        <v>-950</v>
      </c>
      <c r="I68" s="47"/>
      <c r="J68" s="38">
        <f t="shared" si="0"/>
        <v>0</v>
      </c>
      <c r="K68" s="48"/>
      <c r="L68" s="48">
        <f t="shared" si="6"/>
        <v>39.936492501488651</v>
      </c>
      <c r="M68" s="48"/>
      <c r="N68" s="38">
        <f t="shared" si="7"/>
        <v>0</v>
      </c>
      <c r="O68" s="36">
        <f t="shared" si="8"/>
        <v>0</v>
      </c>
      <c r="P68" s="84">
        <f t="shared" si="9"/>
        <v>-961.95873118511167</v>
      </c>
      <c r="Q68" s="38">
        <f t="shared" si="10"/>
        <v>0</v>
      </c>
      <c r="R68" s="48">
        <f t="shared" si="11"/>
        <v>0.52514214900842449</v>
      </c>
      <c r="S68" s="38">
        <f t="shared" si="1"/>
        <v>40.461634650497075</v>
      </c>
      <c r="T68" s="50">
        <f t="shared" si="22"/>
        <v>950</v>
      </c>
      <c r="U68" s="40">
        <f t="shared" si="23"/>
        <v>871.41426638248242</v>
      </c>
      <c r="V68" s="41">
        <f t="shared" si="24"/>
        <v>-8.2721824860544801E-2</v>
      </c>
      <c r="W68" s="39">
        <f t="shared" si="25"/>
        <v>-78.585733617517576</v>
      </c>
      <c r="X68" s="50">
        <f t="shared" si="14"/>
        <v>12.427481201387707</v>
      </c>
      <c r="Y68" s="41">
        <f t="shared" si="26"/>
        <v>-6.9640265701189419E-2</v>
      </c>
      <c r="Z68" s="52"/>
      <c r="AA68" s="50">
        <f t="shared" si="34"/>
        <v>962.42748120138765</v>
      </c>
      <c r="AB68" s="39">
        <f t="shared" si="35"/>
        <v>882.87286807384623</v>
      </c>
      <c r="AC68" s="39">
        <f t="shared" si="29"/>
        <v>-79.554613127541415</v>
      </c>
      <c r="AD68" s="41">
        <f t="shared" si="30"/>
        <v>-8.2660371489220452E-2</v>
      </c>
      <c r="AF68" s="46">
        <f t="shared" si="3"/>
        <v>0</v>
      </c>
      <c r="AG68" s="46">
        <f t="shared" si="31"/>
        <v>0</v>
      </c>
      <c r="AH68" s="54">
        <f t="shared" si="4"/>
        <v>259</v>
      </c>
      <c r="AI68" s="55">
        <f t="shared" si="19"/>
        <v>0.95879732739420931</v>
      </c>
      <c r="AJ68" s="55">
        <f t="shared" si="32"/>
        <v>0</v>
      </c>
      <c r="AK68" s="55">
        <f t="shared" si="33"/>
        <v>0</v>
      </c>
    </row>
    <row r="69" spans="2:37" s="53" customFormat="1" ht="17.25" customHeight="1" x14ac:dyDescent="0.25">
      <c r="B69" s="91" t="str">
        <f t="shared" si="5"/>
        <v/>
      </c>
      <c r="C69" s="81">
        <f>IF(Sheet3!A40="","",Sheet3!A40)</f>
        <v>37893</v>
      </c>
      <c r="D69" s="82">
        <f>IF(C69="","",Sheet3!E40)</f>
        <v>22.610001</v>
      </c>
      <c r="E69" s="56">
        <f>_xlfn.XLOOKUP(WEEKNUM(C69)&amp;YEAR(C69),Sheet4!C:C,Sheet4!B:B,0)</f>
        <v>0</v>
      </c>
      <c r="F69" s="46">
        <f>IF(int=Weekly,-$D$5,IF(int=Bi_Weekly,-$D$5,IF(int=Monthly,0,IF(int=Quarterly,0,IF(int=Yearly,0,IF(int=None,0,0))))))</f>
        <v>0</v>
      </c>
      <c r="G69" s="46"/>
      <c r="H69" s="46">
        <f t="shared" si="21"/>
        <v>-950</v>
      </c>
      <c r="I69" s="47"/>
      <c r="J69" s="38">
        <f t="shared" si="0"/>
        <v>0</v>
      </c>
      <c r="K69" s="48"/>
      <c r="L69" s="48">
        <f t="shared" si="6"/>
        <v>39.936492501488651</v>
      </c>
      <c r="M69" s="48"/>
      <c r="N69" s="38">
        <f t="shared" si="7"/>
        <v>0</v>
      </c>
      <c r="O69" s="36">
        <f t="shared" si="8"/>
        <v>0</v>
      </c>
      <c r="P69" s="84">
        <f t="shared" si="9"/>
        <v>-961.95873118511167</v>
      </c>
      <c r="Q69" s="38">
        <f t="shared" si="10"/>
        <v>0</v>
      </c>
      <c r="R69" s="48">
        <f t="shared" si="11"/>
        <v>0.52514214900842449</v>
      </c>
      <c r="S69" s="38">
        <f t="shared" si="1"/>
        <v>40.461634650497075</v>
      </c>
      <c r="T69" s="50">
        <f t="shared" si="22"/>
        <v>950</v>
      </c>
      <c r="U69" s="40">
        <f t="shared" si="23"/>
        <v>902.96413539515095</v>
      </c>
      <c r="V69" s="41">
        <f t="shared" si="24"/>
        <v>-4.9511436426156852E-2</v>
      </c>
      <c r="W69" s="39">
        <f t="shared" si="25"/>
        <v>-47.035864604849053</v>
      </c>
      <c r="X69" s="50">
        <f t="shared" si="14"/>
        <v>12.427481201387707</v>
      </c>
      <c r="Y69" s="41">
        <f t="shared" si="26"/>
        <v>-3.6429877266801469E-2</v>
      </c>
      <c r="Z69" s="52"/>
      <c r="AA69" s="50">
        <f t="shared" si="34"/>
        <v>962.42748120138765</v>
      </c>
      <c r="AB69" s="39">
        <f t="shared" si="35"/>
        <v>914.83759990937358</v>
      </c>
      <c r="AC69" s="39">
        <f t="shared" si="29"/>
        <v>-47.58988129201407</v>
      </c>
      <c r="AD69" s="41">
        <f t="shared" si="30"/>
        <v>-4.9447758113274287E-2</v>
      </c>
      <c r="AF69" s="46">
        <f t="shared" si="3"/>
        <v>0</v>
      </c>
      <c r="AG69" s="46">
        <f t="shared" si="31"/>
        <v>0</v>
      </c>
      <c r="AH69" s="54">
        <f t="shared" si="4"/>
        <v>266</v>
      </c>
      <c r="AI69" s="55">
        <f t="shared" si="19"/>
        <v>0.95768374164810688</v>
      </c>
      <c r="AJ69" s="55">
        <f t="shared" si="32"/>
        <v>0</v>
      </c>
      <c r="AK69" s="55">
        <f t="shared" si="33"/>
        <v>0</v>
      </c>
    </row>
    <row r="70" spans="2:37" s="53" customFormat="1" ht="17.25" customHeight="1" x14ac:dyDescent="0.25">
      <c r="B70" s="91" t="str">
        <f t="shared" si="5"/>
        <v/>
      </c>
      <c r="C70" s="81">
        <f>IF(Sheet3!A41="","",Sheet3!A41)</f>
        <v>37900</v>
      </c>
      <c r="D70" s="82">
        <f>IF(C70="","",Sheet3!E41)</f>
        <v>21.950001</v>
      </c>
      <c r="E70" s="56">
        <f>_xlfn.XLOOKUP(WEEKNUM(C70)&amp;YEAR(C70),Sheet4!C:C,Sheet4!B:B,0)</f>
        <v>0.28249999999999997</v>
      </c>
      <c r="F70" s="46">
        <f>IF(int=Weekly,-$D$5,IF(int=Bi_Weekly,0,IF(int=Monthly,0,IF(int=Quarterly,-$D$5,IF(int=Yearly,0,IF(int=None,0,0))))))</f>
        <v>0</v>
      </c>
      <c r="G70" s="46"/>
      <c r="H70" s="46">
        <f t="shared" si="21"/>
        <v>-950</v>
      </c>
      <c r="I70" s="47"/>
      <c r="J70" s="38">
        <f t="shared" si="0"/>
        <v>0</v>
      </c>
      <c r="K70" s="48"/>
      <c r="L70" s="48">
        <f t="shared" si="6"/>
        <v>39.936492501488651</v>
      </c>
      <c r="M70" s="48"/>
      <c r="N70" s="38">
        <f t="shared" si="7"/>
        <v>11.282059131670543</v>
      </c>
      <c r="O70" s="36">
        <f t="shared" si="8"/>
        <v>-11.282059131670543</v>
      </c>
      <c r="P70" s="84">
        <f t="shared" si="9"/>
        <v>-973.24079031678218</v>
      </c>
      <c r="Q70" s="38">
        <f t="shared" si="10"/>
        <v>0.51398900308344142</v>
      </c>
      <c r="R70" s="48">
        <f t="shared" si="11"/>
        <v>1.039131152091866</v>
      </c>
      <c r="S70" s="38">
        <f t="shared" si="1"/>
        <v>40.97562365358052</v>
      </c>
      <c r="T70" s="50">
        <f t="shared" si="22"/>
        <v>950</v>
      </c>
      <c r="U70" s="40">
        <f t="shared" si="23"/>
        <v>876.60605034416835</v>
      </c>
      <c r="V70" s="41">
        <f t="shared" si="24"/>
        <v>-7.7256789111401769E-2</v>
      </c>
      <c r="W70" s="39">
        <f t="shared" si="25"/>
        <v>-73.393949655831648</v>
      </c>
      <c r="X70" s="50">
        <f t="shared" si="14"/>
        <v>23.70954033305825</v>
      </c>
      <c r="Y70" s="41">
        <f t="shared" si="26"/>
        <v>-5.2299378234498262E-2</v>
      </c>
      <c r="Z70" s="52"/>
      <c r="AA70" s="50">
        <f t="shared" si="34"/>
        <v>973.70954033305816</v>
      </c>
      <c r="AB70" s="39">
        <f t="shared" si="35"/>
        <v>899.41498017171591</v>
      </c>
      <c r="AC70" s="39">
        <f t="shared" si="29"/>
        <v>-74.294560161342247</v>
      </c>
      <c r="AD70" s="41">
        <f t="shared" si="30"/>
        <v>-7.6300536334408031E-2</v>
      </c>
      <c r="AF70" s="46">
        <f t="shared" si="3"/>
        <v>11.282059131670543</v>
      </c>
      <c r="AG70" s="46">
        <f t="shared" si="31"/>
        <v>0</v>
      </c>
      <c r="AH70" s="54">
        <f t="shared" si="4"/>
        <v>273</v>
      </c>
      <c r="AI70" s="55">
        <f t="shared" si="19"/>
        <v>0.95657015590200445</v>
      </c>
      <c r="AJ70" s="55">
        <f t="shared" si="32"/>
        <v>10.792081062477724</v>
      </c>
      <c r="AK70" s="55">
        <f t="shared" si="33"/>
        <v>0</v>
      </c>
    </row>
    <row r="71" spans="2:37" s="53" customFormat="1" ht="17.25" customHeight="1" x14ac:dyDescent="0.25">
      <c r="B71" s="91" t="str">
        <f t="shared" si="5"/>
        <v/>
      </c>
      <c r="C71" s="81">
        <f>IF(Sheet3!A42="","",Sheet3!A42)</f>
        <v>37907</v>
      </c>
      <c r="D71" s="82">
        <f>IF(C71="","",Sheet3!E42)</f>
        <v>22</v>
      </c>
      <c r="E71" s="56">
        <f>_xlfn.XLOOKUP(WEEKNUM(C71)&amp;YEAR(C71),Sheet4!C:C,Sheet4!B:B,0)</f>
        <v>0</v>
      </c>
      <c r="F71" s="46">
        <f>IF(int=Weekly,-$D$5,IF(int=Bi_Weekly,-$D$5,IF(int=Monthly,-$D$5,IF(int=Quarterly,0,IF(int=Yearly,0,IF(int=None,0,0))))))</f>
        <v>-100</v>
      </c>
      <c r="G71" s="46"/>
      <c r="H71" s="46">
        <f t="shared" si="21"/>
        <v>-1050</v>
      </c>
      <c r="I71" s="47"/>
      <c r="J71" s="38">
        <f t="shared" si="0"/>
        <v>4.5454545454545459</v>
      </c>
      <c r="K71" s="48"/>
      <c r="L71" s="48">
        <f t="shared" si="6"/>
        <v>44.481947046943198</v>
      </c>
      <c r="M71" s="48"/>
      <c r="N71" s="38">
        <f t="shared" si="7"/>
        <v>0</v>
      </c>
      <c r="O71" s="36">
        <f t="shared" si="8"/>
        <v>0</v>
      </c>
      <c r="P71" s="84">
        <f t="shared" si="9"/>
        <v>-1073.2407903167823</v>
      </c>
      <c r="Q71" s="38">
        <f t="shared" si="10"/>
        <v>0</v>
      </c>
      <c r="R71" s="48">
        <f t="shared" si="11"/>
        <v>1.039131152091866</v>
      </c>
      <c r="S71" s="38">
        <f t="shared" si="1"/>
        <v>45.521078199035067</v>
      </c>
      <c r="T71" s="50">
        <f t="shared" si="22"/>
        <v>1050</v>
      </c>
      <c r="U71" s="40">
        <f t="shared" si="23"/>
        <v>978.60283503275036</v>
      </c>
      <c r="V71" s="41">
        <f t="shared" si="24"/>
        <v>-6.7997299968809211E-2</v>
      </c>
      <c r="W71" s="39">
        <f t="shared" si="25"/>
        <v>-71.397164967249637</v>
      </c>
      <c r="X71" s="50">
        <f t="shared" si="14"/>
        <v>23.70954033305825</v>
      </c>
      <c r="Y71" s="41">
        <f t="shared" si="26"/>
        <v>-4.541678536589655E-2</v>
      </c>
      <c r="Z71" s="52"/>
      <c r="AA71" s="50">
        <f t="shared" si="34"/>
        <v>1073.7095403330582</v>
      </c>
      <c r="AB71" s="39">
        <f t="shared" si="35"/>
        <v>1001.4637203787714</v>
      </c>
      <c r="AC71" s="39">
        <f t="shared" si="29"/>
        <v>-72.245819954286731</v>
      </c>
      <c r="AD71" s="41">
        <f t="shared" si="30"/>
        <v>-6.728618610567294E-2</v>
      </c>
      <c r="AF71" s="46">
        <f t="shared" si="3"/>
        <v>-100</v>
      </c>
      <c r="AG71" s="46">
        <f t="shared" si="31"/>
        <v>-100</v>
      </c>
      <c r="AH71" s="54">
        <f t="shared" si="4"/>
        <v>280</v>
      </c>
      <c r="AI71" s="55">
        <f t="shared" si="19"/>
        <v>0.95545657015590202</v>
      </c>
      <c r="AJ71" s="55">
        <f t="shared" si="32"/>
        <v>-95.545657015590209</v>
      </c>
      <c r="AK71" s="55">
        <f t="shared" si="33"/>
        <v>-95.545657015590209</v>
      </c>
    </row>
    <row r="72" spans="2:37" s="53" customFormat="1" ht="17.25" customHeight="1" x14ac:dyDescent="0.25">
      <c r="B72" s="91" t="str">
        <f t="shared" si="5"/>
        <v/>
      </c>
      <c r="C72" s="81">
        <f>IF(Sheet3!A43="","",Sheet3!A43)</f>
        <v>37914</v>
      </c>
      <c r="D72" s="82">
        <f>IF(C72="","",Sheet3!E43)</f>
        <v>22.940000999999999</v>
      </c>
      <c r="E72" s="56">
        <f>_xlfn.XLOOKUP(WEEKNUM(C72)&amp;YEAR(C72),Sheet4!C:C,Sheet4!B:B,0)</f>
        <v>0</v>
      </c>
      <c r="F72" s="46">
        <f>IF(int=Weekly,-$D$5,IF(int=Bi_Weekly,0,IF(int=Monthly,0,IF(int=Quarterly,0,IF(int=Yearly,0,IF(int=None,0,0))))))</f>
        <v>0</v>
      </c>
      <c r="G72" s="46"/>
      <c r="H72" s="46">
        <f t="shared" si="21"/>
        <v>-1050</v>
      </c>
      <c r="I72" s="47"/>
      <c r="J72" s="38">
        <f t="shared" si="0"/>
        <v>0</v>
      </c>
      <c r="K72" s="48"/>
      <c r="L72" s="48">
        <f t="shared" si="6"/>
        <v>44.481947046943198</v>
      </c>
      <c r="M72" s="48"/>
      <c r="N72" s="38">
        <f t="shared" si="7"/>
        <v>0</v>
      </c>
      <c r="O72" s="36">
        <f t="shared" si="8"/>
        <v>0</v>
      </c>
      <c r="P72" s="84">
        <f t="shared" si="9"/>
        <v>-1073.2407903167823</v>
      </c>
      <c r="Q72" s="38">
        <f t="shared" si="10"/>
        <v>0</v>
      </c>
      <c r="R72" s="48">
        <f t="shared" si="11"/>
        <v>1.039131152091866</v>
      </c>
      <c r="S72" s="38">
        <f t="shared" si="1"/>
        <v>45.521078199035067</v>
      </c>
      <c r="T72" s="50">
        <f t="shared" si="22"/>
        <v>1050</v>
      </c>
      <c r="U72" s="40">
        <f t="shared" si="23"/>
        <v>1020.415909738824</v>
      </c>
      <c r="V72" s="41">
        <f t="shared" si="24"/>
        <v>-2.8175324058262841E-2</v>
      </c>
      <c r="W72" s="39">
        <f t="shared" si="25"/>
        <v>-29.584090261176016</v>
      </c>
      <c r="X72" s="50">
        <f t="shared" si="14"/>
        <v>23.70954033305825</v>
      </c>
      <c r="Y72" s="41">
        <f t="shared" si="26"/>
        <v>-5.5948094553502914E-3</v>
      </c>
      <c r="Z72" s="52"/>
      <c r="AA72" s="50">
        <f t="shared" si="34"/>
        <v>1073.7095403330582</v>
      </c>
      <c r="AB72" s="39">
        <f t="shared" si="35"/>
        <v>1044.2535794069424</v>
      </c>
      <c r="AC72" s="39">
        <f t="shared" si="29"/>
        <v>-29.455960926115722</v>
      </c>
      <c r="AD72" s="41">
        <f t="shared" si="30"/>
        <v>-2.7433826206833101E-2</v>
      </c>
      <c r="AF72" s="46">
        <f t="shared" si="3"/>
        <v>0</v>
      </c>
      <c r="AG72" s="46">
        <f t="shared" si="31"/>
        <v>0</v>
      </c>
      <c r="AH72" s="54">
        <f t="shared" si="4"/>
        <v>287</v>
      </c>
      <c r="AI72" s="55">
        <f t="shared" si="19"/>
        <v>0.95434298440979959</v>
      </c>
      <c r="AJ72" s="55">
        <f t="shared" si="32"/>
        <v>0</v>
      </c>
      <c r="AK72" s="55">
        <f t="shared" si="33"/>
        <v>0</v>
      </c>
    </row>
    <row r="73" spans="2:37" s="53" customFormat="1" ht="17.25" customHeight="1" x14ac:dyDescent="0.25">
      <c r="B73" s="91" t="str">
        <f t="shared" si="5"/>
        <v/>
      </c>
      <c r="C73" s="81">
        <f>IF(Sheet3!A44="","",Sheet3!A44)</f>
        <v>37921</v>
      </c>
      <c r="D73" s="82">
        <f>IF(C73="","",Sheet3!E44)</f>
        <v>23.98</v>
      </c>
      <c r="E73" s="56">
        <f>_xlfn.XLOOKUP(WEEKNUM(C73)&amp;YEAR(C73),Sheet4!C:C,Sheet4!B:B,0)</f>
        <v>0</v>
      </c>
      <c r="F73" s="46">
        <f>IF(int=Weekly,-$D$5,IF(int=Bi_Weekly,-$D$5,IF(int=Monthly,0,IF(int=Quarterly,0,IF(int=Yearly,0,IF(int=None,0,0))))))</f>
        <v>0</v>
      </c>
      <c r="G73" s="46"/>
      <c r="H73" s="46">
        <f t="shared" si="21"/>
        <v>-1050</v>
      </c>
      <c r="I73" s="47"/>
      <c r="J73" s="38">
        <f t="shared" si="0"/>
        <v>0</v>
      </c>
      <c r="K73" s="48"/>
      <c r="L73" s="48">
        <f t="shared" si="6"/>
        <v>44.481947046943198</v>
      </c>
      <c r="M73" s="48"/>
      <c r="N73" s="38">
        <f t="shared" si="7"/>
        <v>0</v>
      </c>
      <c r="O73" s="36">
        <f t="shared" si="8"/>
        <v>0</v>
      </c>
      <c r="P73" s="84">
        <f t="shared" si="9"/>
        <v>-1073.2407903167823</v>
      </c>
      <c r="Q73" s="38">
        <f t="shared" si="10"/>
        <v>0</v>
      </c>
      <c r="R73" s="48">
        <f t="shared" si="11"/>
        <v>1.039131152091866</v>
      </c>
      <c r="S73" s="38">
        <f t="shared" si="1"/>
        <v>45.521078199035067</v>
      </c>
      <c r="T73" s="50">
        <f t="shared" si="22"/>
        <v>1050</v>
      </c>
      <c r="U73" s="40">
        <f t="shared" si="23"/>
        <v>1066.6770901856978</v>
      </c>
      <c r="V73" s="41">
        <f t="shared" si="24"/>
        <v>1.5882943033997954E-2</v>
      </c>
      <c r="W73" s="39">
        <f t="shared" si="25"/>
        <v>16.677090185697807</v>
      </c>
      <c r="X73" s="50">
        <f t="shared" si="14"/>
        <v>23.70954033305825</v>
      </c>
      <c r="Y73" s="41">
        <f t="shared" si="26"/>
        <v>3.8463457636910503E-2</v>
      </c>
      <c r="Z73" s="52"/>
      <c r="AA73" s="50">
        <f t="shared" si="34"/>
        <v>1073.7095403330582</v>
      </c>
      <c r="AB73" s="39">
        <f t="shared" si="35"/>
        <v>1091.5954552128608</v>
      </c>
      <c r="AC73" s="39">
        <f t="shared" si="29"/>
        <v>17.885914879802613</v>
      </c>
      <c r="AD73" s="41">
        <f t="shared" si="30"/>
        <v>1.6658057144816274E-2</v>
      </c>
      <c r="AF73" s="46">
        <f t="shared" si="3"/>
        <v>0</v>
      </c>
      <c r="AG73" s="46">
        <f t="shared" si="31"/>
        <v>0</v>
      </c>
      <c r="AH73" s="54">
        <f t="shared" si="4"/>
        <v>294</v>
      </c>
      <c r="AI73" s="55">
        <f t="shared" si="19"/>
        <v>0.95322939866369716</v>
      </c>
      <c r="AJ73" s="55">
        <f t="shared" si="32"/>
        <v>0</v>
      </c>
      <c r="AK73" s="55">
        <f t="shared" si="33"/>
        <v>0</v>
      </c>
    </row>
    <row r="74" spans="2:37" s="53" customFormat="1" ht="17.25" customHeight="1" x14ac:dyDescent="0.25">
      <c r="B74" s="91" t="str">
        <f t="shared" si="5"/>
        <v/>
      </c>
      <c r="C74" s="81">
        <f>IF(Sheet3!A45="","",Sheet3!A45)</f>
        <v>37928</v>
      </c>
      <c r="D74" s="82">
        <f>IF(C74="","",Sheet3!E45)</f>
        <v>22.959999</v>
      </c>
      <c r="E74" s="56">
        <f>_xlfn.XLOOKUP(WEEKNUM(C74)&amp;YEAR(C74),Sheet4!C:C,Sheet4!B:B,0)</f>
        <v>0</v>
      </c>
      <c r="F74" s="46">
        <f>IF(int=Weekly,-$D$5,IF(int=Bi_Weekly,0,IF(int=Monthly,0,IF(int=Quarterly,0,IF(int=Yearly,0,IF(int=None,0,0))))))</f>
        <v>0</v>
      </c>
      <c r="G74" s="46"/>
      <c r="H74" s="46">
        <f t="shared" si="21"/>
        <v>-1050</v>
      </c>
      <c r="I74" s="47"/>
      <c r="J74" s="38">
        <f t="shared" si="0"/>
        <v>0</v>
      </c>
      <c r="K74" s="48"/>
      <c r="L74" s="48">
        <f t="shared" si="6"/>
        <v>44.481947046943198</v>
      </c>
      <c r="M74" s="48"/>
      <c r="N74" s="38">
        <f t="shared" si="7"/>
        <v>0</v>
      </c>
      <c r="O74" s="36">
        <f t="shared" si="8"/>
        <v>0</v>
      </c>
      <c r="P74" s="84">
        <f t="shared" si="9"/>
        <v>-1073.2407903167823</v>
      </c>
      <c r="Q74" s="38">
        <f t="shared" si="10"/>
        <v>0</v>
      </c>
      <c r="R74" s="48">
        <f t="shared" si="11"/>
        <v>1.039131152091866</v>
      </c>
      <c r="S74" s="38">
        <f t="shared" si="1"/>
        <v>45.521078199035067</v>
      </c>
      <c r="T74" s="50">
        <f t="shared" si="22"/>
        <v>1050</v>
      </c>
      <c r="U74" s="40">
        <f t="shared" si="23"/>
        <v>1021.3054597158688</v>
      </c>
      <c r="V74" s="41">
        <f t="shared" si="24"/>
        <v>-2.732813360393449E-2</v>
      </c>
      <c r="W74" s="39">
        <f t="shared" si="25"/>
        <v>-28.694540284131222</v>
      </c>
      <c r="X74" s="50">
        <f t="shared" si="14"/>
        <v>23.70954033305825</v>
      </c>
      <c r="Y74" s="41">
        <f t="shared" si="26"/>
        <v>-4.74761900102183E-3</v>
      </c>
      <c r="Z74" s="52"/>
      <c r="AA74" s="50">
        <f t="shared" si="34"/>
        <v>1073.7095403330582</v>
      </c>
      <c r="AB74" s="39">
        <f t="shared" si="35"/>
        <v>1045.1639099287668</v>
      </c>
      <c r="AC74" s="39">
        <f t="shared" si="29"/>
        <v>-28.545630404291387</v>
      </c>
      <c r="AD74" s="41">
        <f t="shared" si="30"/>
        <v>-2.6585989350003114E-2</v>
      </c>
      <c r="AF74" s="46">
        <f t="shared" si="3"/>
        <v>0</v>
      </c>
      <c r="AG74" s="46">
        <f t="shared" si="31"/>
        <v>0</v>
      </c>
      <c r="AH74" s="54">
        <f t="shared" si="4"/>
        <v>301</v>
      </c>
      <c r="AI74" s="55">
        <f t="shared" si="19"/>
        <v>0.95211581291759462</v>
      </c>
      <c r="AJ74" s="55">
        <f t="shared" si="32"/>
        <v>0</v>
      </c>
      <c r="AK74" s="55">
        <f t="shared" si="33"/>
        <v>0</v>
      </c>
    </row>
    <row r="75" spans="2:37" s="53" customFormat="1" ht="17.25" customHeight="1" x14ac:dyDescent="0.25">
      <c r="B75" s="91" t="str">
        <f t="shared" si="5"/>
        <v/>
      </c>
      <c r="C75" s="81">
        <f>IF(Sheet3!A46="","",Sheet3!A46)</f>
        <v>37935</v>
      </c>
      <c r="D75" s="82">
        <f>IF(C75="","",Sheet3!E46)</f>
        <v>23.610001</v>
      </c>
      <c r="E75" s="56">
        <f>_xlfn.XLOOKUP(WEEKNUM(C75)&amp;YEAR(C75),Sheet4!C:C,Sheet4!B:B,0)</f>
        <v>0</v>
      </c>
      <c r="F75" s="46">
        <f>IF(int=Weekly,-$D$5,IF(int=Bi_Weekly,-$D$5,IF(int=Monthly,-$D$5,IF(int=Quarterly,0,IF(int=Yearly,0,IF(int=None,0,0))))))</f>
        <v>-100</v>
      </c>
      <c r="G75" s="46"/>
      <c r="H75" s="46">
        <f t="shared" si="21"/>
        <v>-1150</v>
      </c>
      <c r="I75" s="47"/>
      <c r="J75" s="38">
        <f t="shared" si="0"/>
        <v>4.2354932555911367</v>
      </c>
      <c r="K75" s="48"/>
      <c r="L75" s="48">
        <f t="shared" si="6"/>
        <v>48.717440302534335</v>
      </c>
      <c r="M75" s="48"/>
      <c r="N75" s="38">
        <f t="shared" si="7"/>
        <v>0</v>
      </c>
      <c r="O75" s="36">
        <f t="shared" si="8"/>
        <v>0</v>
      </c>
      <c r="P75" s="84">
        <f t="shared" si="9"/>
        <v>-1173.2407903167823</v>
      </c>
      <c r="Q75" s="38">
        <f t="shared" si="10"/>
        <v>0</v>
      </c>
      <c r="R75" s="48">
        <f t="shared" si="11"/>
        <v>1.039131152091866</v>
      </c>
      <c r="S75" s="38">
        <f t="shared" si="1"/>
        <v>49.756571454626204</v>
      </c>
      <c r="T75" s="50">
        <f t="shared" si="22"/>
        <v>1150</v>
      </c>
      <c r="U75" s="40">
        <f t="shared" si="23"/>
        <v>1150.2188142602761</v>
      </c>
      <c r="V75" s="41">
        <f t="shared" si="24"/>
        <v>1.902732698053633E-4</v>
      </c>
      <c r="W75" s="39">
        <f t="shared" si="25"/>
        <v>0.21881426027607631</v>
      </c>
      <c r="X75" s="50">
        <f t="shared" si="14"/>
        <v>23.70954033305825</v>
      </c>
      <c r="Y75" s="41">
        <f t="shared" si="26"/>
        <v>2.0807264863768937E-2</v>
      </c>
      <c r="Z75" s="52"/>
      <c r="AA75" s="50">
        <f t="shared" si="34"/>
        <v>1173.7095403330582</v>
      </c>
      <c r="AB75" s="39">
        <f t="shared" si="35"/>
        <v>1174.7527018002961</v>
      </c>
      <c r="AC75" s="39">
        <f t="shared" si="29"/>
        <v>1.043161467237951</v>
      </c>
      <c r="AD75" s="41">
        <f t="shared" si="30"/>
        <v>8.887731004911803E-4</v>
      </c>
      <c r="AF75" s="46">
        <f t="shared" si="3"/>
        <v>-100</v>
      </c>
      <c r="AG75" s="46">
        <f t="shared" si="31"/>
        <v>-100</v>
      </c>
      <c r="AH75" s="54">
        <f t="shared" si="4"/>
        <v>308</v>
      </c>
      <c r="AI75" s="55">
        <f t="shared" si="19"/>
        <v>0.95100222717149219</v>
      </c>
      <c r="AJ75" s="55">
        <f t="shared" si="32"/>
        <v>-95.100222717149222</v>
      </c>
      <c r="AK75" s="55">
        <f t="shared" si="33"/>
        <v>-95.100222717149222</v>
      </c>
    </row>
    <row r="76" spans="2:37" s="53" customFormat="1" ht="17.25" customHeight="1" x14ac:dyDescent="0.25">
      <c r="B76" s="91" t="str">
        <f t="shared" si="5"/>
        <v/>
      </c>
      <c r="C76" s="81">
        <f>IF(Sheet3!A47="","",Sheet3!A47)</f>
        <v>37942</v>
      </c>
      <c r="D76" s="82">
        <f>IF(C76="","",Sheet3!E47)</f>
        <v>23.030000999999999</v>
      </c>
      <c r="E76" s="56">
        <f>_xlfn.XLOOKUP(WEEKNUM(C76)&amp;YEAR(C76),Sheet4!C:C,Sheet4!B:B,0)</f>
        <v>0</v>
      </c>
      <c r="F76" s="46">
        <f>IF(int=Weekly,-$D$5,IF(int=Bi_Weekly,0,IF(int=Monthly,0,IF(int=Quarterly,0,IF(int=Yearly,0,IF(int=None,0,0))))))</f>
        <v>0</v>
      </c>
      <c r="G76" s="46"/>
      <c r="H76" s="46">
        <f t="shared" si="21"/>
        <v>-1150</v>
      </c>
      <c r="I76" s="47"/>
      <c r="J76" s="38">
        <f t="shared" si="0"/>
        <v>0</v>
      </c>
      <c r="K76" s="48"/>
      <c r="L76" s="48">
        <f t="shared" si="6"/>
        <v>48.717440302534335</v>
      </c>
      <c r="M76" s="48"/>
      <c r="N76" s="38">
        <f t="shared" si="7"/>
        <v>0</v>
      </c>
      <c r="O76" s="36">
        <f t="shared" si="8"/>
        <v>0</v>
      </c>
      <c r="P76" s="84">
        <f t="shared" si="9"/>
        <v>-1173.2407903167823</v>
      </c>
      <c r="Q76" s="38">
        <f t="shared" si="10"/>
        <v>0</v>
      </c>
      <c r="R76" s="48">
        <f t="shared" si="11"/>
        <v>1.039131152091866</v>
      </c>
      <c r="S76" s="38">
        <f t="shared" si="1"/>
        <v>49.756571454626204</v>
      </c>
      <c r="T76" s="50">
        <f t="shared" si="22"/>
        <v>1150</v>
      </c>
      <c r="U76" s="40">
        <f t="shared" si="23"/>
        <v>1121.9626988848061</v>
      </c>
      <c r="V76" s="41">
        <f t="shared" si="24"/>
        <v>-2.4380261839299089E-2</v>
      </c>
      <c r="W76" s="39">
        <f t="shared" si="25"/>
        <v>-28.037301115193941</v>
      </c>
      <c r="X76" s="50">
        <f t="shared" si="14"/>
        <v>23.70954033305825</v>
      </c>
      <c r="Y76" s="41">
        <f t="shared" si="26"/>
        <v>-3.7632702453355149E-3</v>
      </c>
      <c r="Z76" s="52"/>
      <c r="AA76" s="50">
        <f t="shared" si="34"/>
        <v>1173.7095403330582</v>
      </c>
      <c r="AB76" s="39">
        <f t="shared" si="35"/>
        <v>1145.8938903566129</v>
      </c>
      <c r="AC76" s="39">
        <f t="shared" si="29"/>
        <v>-27.815649976445229</v>
      </c>
      <c r="AD76" s="41">
        <f t="shared" si="30"/>
        <v>-2.3698921258280103E-2</v>
      </c>
      <c r="AF76" s="46">
        <f t="shared" si="3"/>
        <v>0</v>
      </c>
      <c r="AG76" s="46">
        <f t="shared" si="31"/>
        <v>0</v>
      </c>
      <c r="AH76" s="54">
        <f t="shared" si="4"/>
        <v>315</v>
      </c>
      <c r="AI76" s="55">
        <f t="shared" si="19"/>
        <v>0.94988864142538976</v>
      </c>
      <c r="AJ76" s="55">
        <f t="shared" si="32"/>
        <v>0</v>
      </c>
      <c r="AK76" s="55">
        <f t="shared" si="33"/>
        <v>0</v>
      </c>
    </row>
    <row r="77" spans="2:37" s="53" customFormat="1" ht="17.25" customHeight="1" x14ac:dyDescent="0.25">
      <c r="B77" s="91" t="str">
        <f t="shared" si="5"/>
        <v/>
      </c>
      <c r="C77" s="81">
        <f>IF(Sheet3!A48="","",Sheet3!A48)</f>
        <v>37949</v>
      </c>
      <c r="D77" s="82">
        <f>IF(C77="","",Sheet3!E48)</f>
        <v>23.280000999999999</v>
      </c>
      <c r="E77" s="56">
        <f>_xlfn.XLOOKUP(WEEKNUM(C77)&amp;YEAR(C77),Sheet4!C:C,Sheet4!B:B,0)</f>
        <v>0</v>
      </c>
      <c r="F77" s="46">
        <f>IF(int=Weekly,-$D$5,IF(int=Bi_Weekly,-$D$5,IF(int=Monthly,0,IF(int=Quarterly,0,IF(int=Yearly,0,IF(int=None,0,0))))))</f>
        <v>0</v>
      </c>
      <c r="G77" s="46"/>
      <c r="H77" s="46">
        <f t="shared" si="21"/>
        <v>-1150</v>
      </c>
      <c r="I77" s="47"/>
      <c r="J77" s="38">
        <f t="shared" si="0"/>
        <v>0</v>
      </c>
      <c r="K77" s="48"/>
      <c r="L77" s="48">
        <f t="shared" si="6"/>
        <v>48.717440302534335</v>
      </c>
      <c r="M77" s="48"/>
      <c r="N77" s="38">
        <f t="shared" si="7"/>
        <v>0</v>
      </c>
      <c r="O77" s="36">
        <f t="shared" si="8"/>
        <v>0</v>
      </c>
      <c r="P77" s="84">
        <f t="shared" si="9"/>
        <v>-1173.2407903167823</v>
      </c>
      <c r="Q77" s="38">
        <f t="shared" si="10"/>
        <v>0</v>
      </c>
      <c r="R77" s="48">
        <f t="shared" si="11"/>
        <v>1.039131152091866</v>
      </c>
      <c r="S77" s="38">
        <f t="shared" si="1"/>
        <v>49.756571454626204</v>
      </c>
      <c r="T77" s="50">
        <f t="shared" si="22"/>
        <v>1150</v>
      </c>
      <c r="U77" s="40">
        <f t="shared" si="23"/>
        <v>1134.1420589604395</v>
      </c>
      <c r="V77" s="41">
        <f t="shared" si="24"/>
        <v>-1.3789513947443877E-2</v>
      </c>
      <c r="W77" s="39">
        <f t="shared" si="25"/>
        <v>-15.857941039560501</v>
      </c>
      <c r="X77" s="50">
        <f t="shared" si="14"/>
        <v>23.70954033305825</v>
      </c>
      <c r="Y77" s="41">
        <f t="shared" si="26"/>
        <v>6.8274776465198084E-3</v>
      </c>
      <c r="Z77" s="52"/>
      <c r="AA77" s="50">
        <f t="shared" si="34"/>
        <v>1173.7095403330582</v>
      </c>
      <c r="AB77" s="39">
        <f t="shared" si="35"/>
        <v>1158.3330332202693</v>
      </c>
      <c r="AC77" s="39">
        <f t="shared" si="29"/>
        <v>-15.376507112788886</v>
      </c>
      <c r="AD77" s="41">
        <f t="shared" si="30"/>
        <v>-1.310077713812019E-2</v>
      </c>
      <c r="AF77" s="46">
        <f t="shared" si="3"/>
        <v>0</v>
      </c>
      <c r="AG77" s="46">
        <f t="shared" si="31"/>
        <v>0</v>
      </c>
      <c r="AH77" s="54">
        <f t="shared" si="4"/>
        <v>322</v>
      </c>
      <c r="AI77" s="55">
        <f t="shared" si="19"/>
        <v>0.94877505567928733</v>
      </c>
      <c r="AJ77" s="55">
        <f t="shared" si="32"/>
        <v>0</v>
      </c>
      <c r="AK77" s="55">
        <f t="shared" si="33"/>
        <v>0</v>
      </c>
    </row>
    <row r="78" spans="2:37" s="53" customFormat="1" ht="17.25" customHeight="1" x14ac:dyDescent="0.25">
      <c r="B78" s="91" t="str">
        <f t="shared" si="5"/>
        <v/>
      </c>
      <c r="C78" s="81">
        <f>IF(Sheet3!A49="","",Sheet3!A49)</f>
        <v>37956</v>
      </c>
      <c r="D78" s="82">
        <f>IF(C78="","",Sheet3!E49)</f>
        <v>24.389999</v>
      </c>
      <c r="E78" s="56">
        <f>_xlfn.XLOOKUP(WEEKNUM(C78)&amp;YEAR(C78),Sheet4!C:C,Sheet4!B:B,0)</f>
        <v>0</v>
      </c>
      <c r="F78" s="46">
        <f>IF(int=Weekly,-$D$5,IF(int=Bi_Weekly,0,IF(int=Monthly,0,IF(int=Quarterly,0,IF(int=Yearly,0,IF(int=None,0,0))))))</f>
        <v>0</v>
      </c>
      <c r="G78" s="46"/>
      <c r="H78" s="46">
        <f t="shared" si="21"/>
        <v>-1150</v>
      </c>
      <c r="I78" s="47"/>
      <c r="J78" s="38">
        <f t="shared" si="0"/>
        <v>0</v>
      </c>
      <c r="K78" s="48"/>
      <c r="L78" s="48">
        <f t="shared" si="6"/>
        <v>48.717440302534335</v>
      </c>
      <c r="M78" s="48"/>
      <c r="N78" s="38">
        <f t="shared" si="7"/>
        <v>0</v>
      </c>
      <c r="O78" s="36">
        <f t="shared" si="8"/>
        <v>0</v>
      </c>
      <c r="P78" s="84">
        <f t="shared" si="9"/>
        <v>-1173.2407903167823</v>
      </c>
      <c r="Q78" s="38">
        <f t="shared" si="10"/>
        <v>0</v>
      </c>
      <c r="R78" s="48">
        <f t="shared" si="11"/>
        <v>1.039131152091866</v>
      </c>
      <c r="S78" s="38">
        <f t="shared" si="1"/>
        <v>49.756571454626204</v>
      </c>
      <c r="T78" s="50">
        <f t="shared" si="22"/>
        <v>1150</v>
      </c>
      <c r="U78" s="40">
        <f t="shared" si="23"/>
        <v>1188.2183202613721</v>
      </c>
      <c r="V78" s="41">
        <f t="shared" si="24"/>
        <v>3.323332196641049E-2</v>
      </c>
      <c r="W78" s="39">
        <f t="shared" si="25"/>
        <v>38.218320261372128</v>
      </c>
      <c r="X78" s="50">
        <f t="shared" si="14"/>
        <v>23.70954033305825</v>
      </c>
      <c r="Y78" s="41">
        <f t="shared" si="26"/>
        <v>5.3850313560374063E-2</v>
      </c>
      <c r="Z78" s="52"/>
      <c r="AA78" s="50">
        <f t="shared" si="34"/>
        <v>1173.7095403330582</v>
      </c>
      <c r="AB78" s="39">
        <f t="shared" si="35"/>
        <v>1213.5627280217616</v>
      </c>
      <c r="AC78" s="39">
        <f t="shared" si="29"/>
        <v>39.853187688703429</v>
      </c>
      <c r="AD78" s="41">
        <f t="shared" si="30"/>
        <v>3.3954897970237541E-2</v>
      </c>
      <c r="AF78" s="46">
        <f t="shared" si="3"/>
        <v>0</v>
      </c>
      <c r="AG78" s="46">
        <f t="shared" si="31"/>
        <v>0</v>
      </c>
      <c r="AH78" s="54">
        <f t="shared" si="4"/>
        <v>329</v>
      </c>
      <c r="AI78" s="55">
        <f t="shared" si="19"/>
        <v>0.9476614699331849</v>
      </c>
      <c r="AJ78" s="55">
        <f t="shared" si="32"/>
        <v>0</v>
      </c>
      <c r="AK78" s="55">
        <f t="shared" si="33"/>
        <v>0</v>
      </c>
    </row>
    <row r="79" spans="2:37" s="53" customFormat="1" ht="17.25" customHeight="1" x14ac:dyDescent="0.25">
      <c r="B79" s="91" t="str">
        <f t="shared" si="5"/>
        <v/>
      </c>
      <c r="C79" s="81">
        <f>IF(Sheet3!A50="","",Sheet3!A50)</f>
        <v>37963</v>
      </c>
      <c r="D79" s="82">
        <f>IF(C79="","",Sheet3!E50)</f>
        <v>24.559999000000001</v>
      </c>
      <c r="E79" s="56">
        <f>_xlfn.XLOOKUP(WEEKNUM(C79)&amp;YEAR(C79),Sheet4!C:C,Sheet4!B:B,0)</f>
        <v>0</v>
      </c>
      <c r="F79" s="46">
        <f>IF(int=Weekly,-$D$5,IF(int=Bi_Weekly,-$D$5,IF(int=Monthly,-$D$5,IF(int=Quarterly,0,IF(int=Yearly,0,IF(int=None,0,0))))))</f>
        <v>-100</v>
      </c>
      <c r="G79" s="46"/>
      <c r="H79" s="46">
        <f t="shared" si="21"/>
        <v>-1250</v>
      </c>
      <c r="I79" s="47"/>
      <c r="J79" s="38">
        <f t="shared" si="0"/>
        <v>4.0716614035692755</v>
      </c>
      <c r="K79" s="48"/>
      <c r="L79" s="48">
        <f t="shared" si="6"/>
        <v>52.789101706103608</v>
      </c>
      <c r="M79" s="48"/>
      <c r="N79" s="38">
        <f t="shared" si="7"/>
        <v>0</v>
      </c>
      <c r="O79" s="36">
        <f t="shared" si="8"/>
        <v>0</v>
      </c>
      <c r="P79" s="84">
        <f t="shared" si="9"/>
        <v>-1273.2407903167823</v>
      </c>
      <c r="Q79" s="38">
        <f t="shared" si="10"/>
        <v>0</v>
      </c>
      <c r="R79" s="48">
        <f t="shared" si="11"/>
        <v>1.039131152091866</v>
      </c>
      <c r="S79" s="38">
        <f t="shared" si="1"/>
        <v>53.828232858195477</v>
      </c>
      <c r="T79" s="50">
        <f t="shared" si="22"/>
        <v>1250</v>
      </c>
      <c r="U79" s="40">
        <f t="shared" si="23"/>
        <v>1296.5002851128029</v>
      </c>
      <c r="V79" s="41">
        <f t="shared" si="24"/>
        <v>3.7200228090242371E-2</v>
      </c>
      <c r="W79" s="39">
        <f t="shared" si="25"/>
        <v>46.500285112802885</v>
      </c>
      <c r="X79" s="50">
        <f t="shared" si="14"/>
        <v>23.70954033305825</v>
      </c>
      <c r="Y79" s="41">
        <f t="shared" si="26"/>
        <v>5.6167860356688859E-2</v>
      </c>
      <c r="Z79" s="52"/>
      <c r="AA79" s="50">
        <f t="shared" si="34"/>
        <v>1273.7095403330582</v>
      </c>
      <c r="AB79" s="39">
        <f t="shared" si="35"/>
        <v>1322.0213451690479</v>
      </c>
      <c r="AC79" s="39">
        <f t="shared" si="29"/>
        <v>48.311804835989733</v>
      </c>
      <c r="AD79" s="41">
        <f t="shared" si="30"/>
        <v>3.7930001547571646E-2</v>
      </c>
      <c r="AF79" s="46">
        <f t="shared" si="3"/>
        <v>-100</v>
      </c>
      <c r="AG79" s="46">
        <f t="shared" si="31"/>
        <v>-100</v>
      </c>
      <c r="AH79" s="54">
        <f t="shared" si="4"/>
        <v>336</v>
      </c>
      <c r="AI79" s="55">
        <f t="shared" si="19"/>
        <v>0.94654788418708236</v>
      </c>
      <c r="AJ79" s="55">
        <f t="shared" si="32"/>
        <v>-94.654788418708236</v>
      </c>
      <c r="AK79" s="55">
        <f t="shared" si="33"/>
        <v>-94.654788418708236</v>
      </c>
    </row>
    <row r="80" spans="2:37" s="53" customFormat="1" ht="17.25" customHeight="1" x14ac:dyDescent="0.25">
      <c r="B80" s="91" t="str">
        <f t="shared" si="5"/>
        <v/>
      </c>
      <c r="C80" s="81">
        <f>IF(Sheet3!A51="","",Sheet3!A51)</f>
        <v>37970</v>
      </c>
      <c r="D80" s="82">
        <f>IF(C80="","",Sheet3!E51)</f>
        <v>25.24</v>
      </c>
      <c r="E80" s="56">
        <f>_xlfn.XLOOKUP(WEEKNUM(C80)&amp;YEAR(C80),Sheet4!C:C,Sheet4!B:B,0)</f>
        <v>0</v>
      </c>
      <c r="F80" s="46">
        <f>IF(int=Weekly,-$D$5,IF(int=Bi_Weekly,0,IF(int=Monthly,0,IF(int=Quarterly,0,IF(int=Yearly,0,IF(int=None,0,0))))))</f>
        <v>0</v>
      </c>
      <c r="G80" s="46"/>
      <c r="H80" s="46">
        <f t="shared" si="21"/>
        <v>-1250</v>
      </c>
      <c r="I80" s="47"/>
      <c r="J80" s="38">
        <f t="shared" si="0"/>
        <v>0</v>
      </c>
      <c r="K80" s="48"/>
      <c r="L80" s="48">
        <f t="shared" si="6"/>
        <v>52.789101706103608</v>
      </c>
      <c r="M80" s="48"/>
      <c r="N80" s="38">
        <f t="shared" si="7"/>
        <v>0</v>
      </c>
      <c r="O80" s="36">
        <f t="shared" si="8"/>
        <v>0</v>
      </c>
      <c r="P80" s="84">
        <f t="shared" si="9"/>
        <v>-1273.2407903167823</v>
      </c>
      <c r="Q80" s="38">
        <f t="shared" si="10"/>
        <v>0</v>
      </c>
      <c r="R80" s="48">
        <f t="shared" si="11"/>
        <v>1.039131152091866</v>
      </c>
      <c r="S80" s="38">
        <f t="shared" si="1"/>
        <v>53.828232858195477</v>
      </c>
      <c r="T80" s="50">
        <f t="shared" si="22"/>
        <v>1250</v>
      </c>
      <c r="U80" s="40">
        <f t="shared" si="23"/>
        <v>1332.3969270620551</v>
      </c>
      <c r="V80" s="41">
        <f t="shared" si="24"/>
        <v>6.5917541649644029E-2</v>
      </c>
      <c r="W80" s="39">
        <f t="shared" si="25"/>
        <v>82.396927062055056</v>
      </c>
      <c r="X80" s="50">
        <f t="shared" si="14"/>
        <v>23.70954033305825</v>
      </c>
      <c r="Y80" s="41">
        <f t="shared" si="26"/>
        <v>8.4885173916090517E-2</v>
      </c>
      <c r="Z80" s="52"/>
      <c r="AA80" s="50">
        <f t="shared" si="34"/>
        <v>1273.7095403330582</v>
      </c>
      <c r="AB80" s="39">
        <f t="shared" si="35"/>
        <v>1358.6245973408538</v>
      </c>
      <c r="AC80" s="39">
        <f t="shared" si="29"/>
        <v>84.915057007795667</v>
      </c>
      <c r="AD80" s="41">
        <f t="shared" si="30"/>
        <v>6.6667520591540352E-2</v>
      </c>
      <c r="AF80" s="46">
        <f t="shared" si="3"/>
        <v>0</v>
      </c>
      <c r="AG80" s="46">
        <f t="shared" si="31"/>
        <v>0</v>
      </c>
      <c r="AH80" s="54">
        <f t="shared" si="4"/>
        <v>343</v>
      </c>
      <c r="AI80" s="55">
        <f t="shared" si="19"/>
        <v>0.94543429844097993</v>
      </c>
      <c r="AJ80" s="55">
        <f t="shared" si="32"/>
        <v>0</v>
      </c>
      <c r="AK80" s="55">
        <f t="shared" si="33"/>
        <v>0</v>
      </c>
    </row>
    <row r="81" spans="2:37" s="53" customFormat="1" ht="17.25" customHeight="1" x14ac:dyDescent="0.25">
      <c r="B81" s="91" t="str">
        <f t="shared" si="5"/>
        <v/>
      </c>
      <c r="C81" s="81">
        <f>IF(Sheet3!A52="","",Sheet3!A52)</f>
        <v>37977</v>
      </c>
      <c r="D81" s="82">
        <f>IF(C81="","",Sheet3!E52)</f>
        <v>25.209999</v>
      </c>
      <c r="E81" s="56">
        <f>_xlfn.XLOOKUP(WEEKNUM(C81)&amp;YEAR(C81),Sheet4!C:C,Sheet4!B:B,0)</f>
        <v>0</v>
      </c>
      <c r="F81" s="46">
        <f>IF(int=Weekly,-$D$5,IF(int=Bi_Weekly,-$D$5,IF(int=Monthly,0,IF(int=Quarterly,0,IF(int=Yearly,0,IF(int=None,0,0))))))</f>
        <v>0</v>
      </c>
      <c r="G81" s="46"/>
      <c r="H81" s="46">
        <f t="shared" si="21"/>
        <v>-1250</v>
      </c>
      <c r="I81" s="47"/>
      <c r="J81" s="38">
        <f t="shared" si="0"/>
        <v>0</v>
      </c>
      <c r="K81" s="48"/>
      <c r="L81" s="48">
        <f t="shared" si="6"/>
        <v>52.789101706103608</v>
      </c>
      <c r="M81" s="48"/>
      <c r="N81" s="38">
        <f t="shared" si="7"/>
        <v>0</v>
      </c>
      <c r="O81" s="36">
        <f t="shared" si="8"/>
        <v>0</v>
      </c>
      <c r="P81" s="84">
        <f t="shared" si="9"/>
        <v>-1273.2407903167823</v>
      </c>
      <c r="Q81" s="38">
        <f t="shared" si="10"/>
        <v>0</v>
      </c>
      <c r="R81" s="48">
        <f t="shared" si="11"/>
        <v>1.039131152091866</v>
      </c>
      <c r="S81" s="38">
        <f t="shared" si="1"/>
        <v>53.828232858195477</v>
      </c>
      <c r="T81" s="50">
        <f t="shared" si="22"/>
        <v>1250</v>
      </c>
      <c r="U81" s="40">
        <f t="shared" si="23"/>
        <v>1330.8132012217702</v>
      </c>
      <c r="V81" s="41">
        <f t="shared" si="24"/>
        <v>6.4650560977416172E-2</v>
      </c>
      <c r="W81" s="39">
        <f t="shared" si="25"/>
        <v>80.813201221770214</v>
      </c>
      <c r="X81" s="50">
        <f t="shared" si="14"/>
        <v>23.70954033305825</v>
      </c>
      <c r="Y81" s="41">
        <f t="shared" si="26"/>
        <v>8.361819324386266E-2</v>
      </c>
      <c r="Z81" s="52"/>
      <c r="AA81" s="50">
        <f t="shared" si="34"/>
        <v>1273.7095403330582</v>
      </c>
      <c r="AB81" s="39">
        <f t="shared" si="35"/>
        <v>1357.0096965268749</v>
      </c>
      <c r="AC81" s="39">
        <f t="shared" si="29"/>
        <v>83.300156193816747</v>
      </c>
      <c r="AD81" s="41">
        <f t="shared" si="30"/>
        <v>6.5399648472472593E-2</v>
      </c>
      <c r="AF81" s="46">
        <f t="shared" si="3"/>
        <v>0</v>
      </c>
      <c r="AG81" s="46">
        <f t="shared" si="31"/>
        <v>0</v>
      </c>
      <c r="AH81" s="54">
        <f t="shared" si="4"/>
        <v>350</v>
      </c>
      <c r="AI81" s="55">
        <f t="shared" si="19"/>
        <v>0.9443207126948775</v>
      </c>
      <c r="AJ81" s="55">
        <f t="shared" si="32"/>
        <v>0</v>
      </c>
      <c r="AK81" s="55">
        <f t="shared" si="33"/>
        <v>0</v>
      </c>
    </row>
    <row r="82" spans="2:37" s="53" customFormat="1" ht="17.25" customHeight="1" x14ac:dyDescent="0.25">
      <c r="B82" s="91" t="str">
        <f t="shared" si="5"/>
        <v/>
      </c>
      <c r="C82" s="81">
        <f>IF(Sheet3!A53="","",Sheet3!A53)</f>
        <v>37984</v>
      </c>
      <c r="D82" s="82">
        <f>IF(C82="","",Sheet3!E53)</f>
        <v>26.139999</v>
      </c>
      <c r="E82" s="56">
        <f>_xlfn.XLOOKUP(WEEKNUM(C82)&amp;YEAR(C82),Sheet4!C:C,Sheet4!B:B,0)</f>
        <v>0</v>
      </c>
      <c r="F82" s="46">
        <f>IF(int=Weekly,-$D$5,IF(int=Bi_Weekly,0,IF(int=Monthly,0,IF(int=Quarterly,0,IF(int=Yearly,0,IF(int=None,0,0))))))</f>
        <v>0</v>
      </c>
      <c r="G82" s="46"/>
      <c r="H82" s="46">
        <f t="shared" si="21"/>
        <v>-1250</v>
      </c>
      <c r="I82" s="47"/>
      <c r="J82" s="38">
        <f t="shared" si="0"/>
        <v>0</v>
      </c>
      <c r="K82" s="48"/>
      <c r="L82" s="48">
        <f t="shared" si="6"/>
        <v>52.789101706103608</v>
      </c>
      <c r="M82" s="48"/>
      <c r="N82" s="38">
        <f t="shared" si="7"/>
        <v>0</v>
      </c>
      <c r="O82" s="36">
        <f t="shared" si="8"/>
        <v>0</v>
      </c>
      <c r="P82" s="84">
        <f t="shared" si="9"/>
        <v>-1273.2407903167823</v>
      </c>
      <c r="Q82" s="38">
        <f t="shared" si="10"/>
        <v>0</v>
      </c>
      <c r="R82" s="48">
        <f t="shared" si="11"/>
        <v>1.039131152091866</v>
      </c>
      <c r="S82" s="38">
        <f t="shared" si="1"/>
        <v>53.828232858195477</v>
      </c>
      <c r="T82" s="50">
        <f t="shared" si="22"/>
        <v>1250</v>
      </c>
      <c r="U82" s="40">
        <f t="shared" si="23"/>
        <v>1379.9070658084465</v>
      </c>
      <c r="V82" s="41">
        <f t="shared" si="24"/>
        <v>0.10392565264675713</v>
      </c>
      <c r="W82" s="39">
        <f t="shared" si="25"/>
        <v>129.90706580844653</v>
      </c>
      <c r="X82" s="50">
        <f t="shared" si="14"/>
        <v>23.70954033305825</v>
      </c>
      <c r="Y82" s="41">
        <f t="shared" si="26"/>
        <v>0.12289328491320384</v>
      </c>
      <c r="Z82" s="52"/>
      <c r="AA82" s="50">
        <f t="shared" si="34"/>
        <v>1273.7095403330582</v>
      </c>
      <c r="AB82" s="39">
        <f t="shared" si="35"/>
        <v>1407.0699530849968</v>
      </c>
      <c r="AC82" s="39">
        <f t="shared" si="29"/>
        <v>133.36041275193861</v>
      </c>
      <c r="AD82" s="41">
        <f t="shared" si="30"/>
        <v>0.10470237407271576</v>
      </c>
      <c r="AF82" s="46">
        <f t="shared" si="3"/>
        <v>0</v>
      </c>
      <c r="AG82" s="46">
        <f t="shared" si="31"/>
        <v>0</v>
      </c>
      <c r="AH82" s="54">
        <f t="shared" si="4"/>
        <v>357</v>
      </c>
      <c r="AI82" s="55">
        <f t="shared" si="19"/>
        <v>0.94320712694877507</v>
      </c>
      <c r="AJ82" s="55">
        <f t="shared" si="32"/>
        <v>0</v>
      </c>
      <c r="AK82" s="55">
        <f t="shared" si="33"/>
        <v>0</v>
      </c>
    </row>
    <row r="83" spans="2:37" s="53" customFormat="1" ht="17.25" customHeight="1" x14ac:dyDescent="0.25">
      <c r="B83" s="91" t="str">
        <f t="shared" si="5"/>
        <v/>
      </c>
      <c r="C83" s="81">
        <f>IF(Sheet3!A54="","",Sheet3!A54)</f>
        <v>37991</v>
      </c>
      <c r="D83" s="82">
        <f>IF(C83="","",Sheet3!E54)</f>
        <v>26.200001</v>
      </c>
      <c r="E83" s="56">
        <f>_xlfn.XLOOKUP(WEEKNUM(C83)&amp;YEAR(C83),Sheet4!C:C,Sheet4!B:B,0)</f>
        <v>0.3125</v>
      </c>
      <c r="F83" s="46">
        <f>IF(int=Weekly,-$D$5,IF(int=Bi_Weekly,-$D$5,IF(int=Monthly,-$D$5,IF(int=Quarterly,-$D$5,IF(int=Yearly,-$D$5,IF(int=None,0,0))))))</f>
        <v>-100</v>
      </c>
      <c r="G83" s="46"/>
      <c r="H83" s="46">
        <f t="shared" si="21"/>
        <v>-1350</v>
      </c>
      <c r="I83" s="47"/>
      <c r="J83" s="38">
        <f t="shared" si="0"/>
        <v>3.8167937474506202</v>
      </c>
      <c r="K83" s="48"/>
      <c r="L83" s="48">
        <f t="shared" si="6"/>
        <v>56.605895453554226</v>
      </c>
      <c r="M83" s="48"/>
      <c r="N83" s="38">
        <f t="shared" si="7"/>
        <v>17.689342329235696</v>
      </c>
      <c r="O83" s="36">
        <f t="shared" si="8"/>
        <v>-17.689342329235696</v>
      </c>
      <c r="P83" s="84">
        <f t="shared" si="9"/>
        <v>-1390.9301326460179</v>
      </c>
      <c r="Q83" s="38">
        <f t="shared" si="10"/>
        <v>0.67516571198740394</v>
      </c>
      <c r="R83" s="48">
        <f t="shared" si="11"/>
        <v>1.71429686407927</v>
      </c>
      <c r="S83" s="38">
        <f t="shared" si="1"/>
        <v>58.320192317633499</v>
      </c>
      <c r="T83" s="50">
        <f t="shared" si="22"/>
        <v>1350</v>
      </c>
      <c r="U83" s="40">
        <f t="shared" si="23"/>
        <v>1483.0745174890162</v>
      </c>
      <c r="V83" s="41">
        <f t="shared" si="24"/>
        <v>9.8573716658530541E-2</v>
      </c>
      <c r="W83" s="39">
        <f t="shared" si="25"/>
        <v>133.07451748901622</v>
      </c>
      <c r="X83" s="50">
        <f t="shared" si="14"/>
        <v>41.398882662293943</v>
      </c>
      <c r="Y83" s="41">
        <f t="shared" si="26"/>
        <v>0.12923955566763712</v>
      </c>
      <c r="Z83" s="52"/>
      <c r="AA83" s="50">
        <f t="shared" si="34"/>
        <v>1391.3988826622938</v>
      </c>
      <c r="AB83" s="39">
        <f t="shared" si="35"/>
        <v>1527.98909704219</v>
      </c>
      <c r="AC83" s="39">
        <f t="shared" si="29"/>
        <v>136.59021437989622</v>
      </c>
      <c r="AD83" s="41">
        <f t="shared" si="30"/>
        <v>9.8167546403764128E-2</v>
      </c>
      <c r="AF83" s="46">
        <f t="shared" si="3"/>
        <v>-82.3106576707643</v>
      </c>
      <c r="AG83" s="46">
        <f t="shared" si="31"/>
        <v>-100</v>
      </c>
      <c r="AH83" s="54">
        <f t="shared" si="4"/>
        <v>364</v>
      </c>
      <c r="AI83" s="55">
        <f t="shared" si="19"/>
        <v>0.94209354120267264</v>
      </c>
      <c r="AJ83" s="55">
        <f t="shared" si="32"/>
        <v>-77.544338963771267</v>
      </c>
      <c r="AK83" s="55">
        <f t="shared" si="33"/>
        <v>-94.209354120267264</v>
      </c>
    </row>
    <row r="84" spans="2:37" s="53" customFormat="1" ht="17.25" customHeight="1" x14ac:dyDescent="0.25">
      <c r="B84" s="91" t="str">
        <f t="shared" si="5"/>
        <v/>
      </c>
      <c r="C84" s="81">
        <f>IF(Sheet3!A55="","",Sheet3!A55)</f>
        <v>37998</v>
      </c>
      <c r="D84" s="82">
        <f>IF(C84="","",Sheet3!E55)</f>
        <v>26.469999000000001</v>
      </c>
      <c r="E84" s="56">
        <f>_xlfn.XLOOKUP(WEEKNUM(C84)&amp;YEAR(C84),Sheet4!C:C,Sheet4!B:B,0)</f>
        <v>0</v>
      </c>
      <c r="F84" s="46">
        <f>IF(int=Weekly,-$D$5,IF(int=Bi_Weekly,0,IF(int=Monthly,0,IF(int=Quarterly,0,IF(int=Yearly,0,IF(int=None,0,0))))))</f>
        <v>0</v>
      </c>
      <c r="G84" s="46"/>
      <c r="H84" s="46">
        <f t="shared" si="21"/>
        <v>-1350</v>
      </c>
      <c r="I84" s="47"/>
      <c r="J84" s="38">
        <f t="shared" si="0"/>
        <v>0</v>
      </c>
      <c r="K84" s="48"/>
      <c r="L84" s="48">
        <f t="shared" si="6"/>
        <v>56.605895453554226</v>
      </c>
      <c r="M84" s="48"/>
      <c r="N84" s="38">
        <f t="shared" si="7"/>
        <v>0</v>
      </c>
      <c r="O84" s="36">
        <f t="shared" si="8"/>
        <v>0</v>
      </c>
      <c r="P84" s="84">
        <f t="shared" si="9"/>
        <v>-1390.9301326460179</v>
      </c>
      <c r="Q84" s="38">
        <f t="shared" si="10"/>
        <v>0</v>
      </c>
      <c r="R84" s="48">
        <f t="shared" si="11"/>
        <v>1.71429686407927</v>
      </c>
      <c r="S84" s="38">
        <f t="shared" si="1"/>
        <v>58.320192317633499</v>
      </c>
      <c r="T84" s="50">
        <f t="shared" si="22"/>
        <v>1350</v>
      </c>
      <c r="U84" s="40">
        <f t="shared" si="23"/>
        <v>1498.357996049685</v>
      </c>
      <c r="V84" s="41">
        <f t="shared" si="24"/>
        <v>0.10989481188865557</v>
      </c>
      <c r="W84" s="39">
        <f t="shared" si="25"/>
        <v>148.35799604968497</v>
      </c>
      <c r="X84" s="50">
        <f t="shared" si="14"/>
        <v>41.398882662293943</v>
      </c>
      <c r="Y84" s="41">
        <f t="shared" si="26"/>
        <v>0.14056065089776215</v>
      </c>
      <c r="Z84" s="52"/>
      <c r="AA84" s="50">
        <f t="shared" si="34"/>
        <v>1391.3988826622938</v>
      </c>
      <c r="AB84" s="39">
        <f t="shared" si="35"/>
        <v>1543.7354323275663</v>
      </c>
      <c r="AC84" s="39">
        <f t="shared" si="29"/>
        <v>152.33654966527251</v>
      </c>
      <c r="AD84" s="41">
        <f t="shared" si="30"/>
        <v>0.1094844559410546</v>
      </c>
      <c r="AF84" s="46">
        <f t="shared" si="3"/>
        <v>0</v>
      </c>
      <c r="AG84" s="46">
        <f t="shared" si="31"/>
        <v>0</v>
      </c>
      <c r="AH84" s="54">
        <f t="shared" si="4"/>
        <v>371</v>
      </c>
      <c r="AI84" s="55">
        <f t="shared" si="19"/>
        <v>0.94097995545657021</v>
      </c>
      <c r="AJ84" s="55">
        <f t="shared" si="32"/>
        <v>0</v>
      </c>
      <c r="AK84" s="55">
        <f t="shared" si="33"/>
        <v>0</v>
      </c>
    </row>
    <row r="85" spans="2:37" s="53" customFormat="1" ht="17.25" customHeight="1" x14ac:dyDescent="0.25">
      <c r="B85" s="91" t="str">
        <f t="shared" si="5"/>
        <v/>
      </c>
      <c r="C85" s="81">
        <f>IF(Sheet3!A56="","",Sheet3!A56)</f>
        <v>38005</v>
      </c>
      <c r="D85" s="82">
        <f>IF(C85="","",Sheet3!E56)</f>
        <v>26.42</v>
      </c>
      <c r="E85" s="56">
        <f>_xlfn.XLOOKUP(WEEKNUM(C85)&amp;YEAR(C85),Sheet4!C:C,Sheet4!B:B,0)</f>
        <v>0</v>
      </c>
      <c r="F85" s="46">
        <f>IF(int=Weekly,-$D$5,IF(int=Bi_Weekly,-$D$5,IF(int=Monthly,0,IF(int=Quarterly,0,IF(int=Yearly,0,IF(int=None,0,0))))))</f>
        <v>0</v>
      </c>
      <c r="G85" s="46"/>
      <c r="H85" s="46">
        <f t="shared" si="21"/>
        <v>-1350</v>
      </c>
      <c r="I85" s="47"/>
      <c r="J85" s="38">
        <f t="shared" si="0"/>
        <v>0</v>
      </c>
      <c r="K85" s="48"/>
      <c r="L85" s="48">
        <f t="shared" si="6"/>
        <v>56.605895453554226</v>
      </c>
      <c r="M85" s="48"/>
      <c r="N85" s="38">
        <f t="shared" si="7"/>
        <v>0</v>
      </c>
      <c r="O85" s="36">
        <f t="shared" si="8"/>
        <v>0</v>
      </c>
      <c r="P85" s="84">
        <f t="shared" si="9"/>
        <v>-1390.9301326460179</v>
      </c>
      <c r="Q85" s="38">
        <f t="shared" si="10"/>
        <v>0</v>
      </c>
      <c r="R85" s="48">
        <f t="shared" si="11"/>
        <v>1.71429686407927</v>
      </c>
      <c r="S85" s="38">
        <f t="shared" si="1"/>
        <v>58.320192317633499</v>
      </c>
      <c r="T85" s="50">
        <f t="shared" si="22"/>
        <v>1350</v>
      </c>
      <c r="U85" s="40">
        <f t="shared" si="23"/>
        <v>1495.5277578829027</v>
      </c>
      <c r="V85" s="41">
        <f t="shared" si="24"/>
        <v>0.10779833917252057</v>
      </c>
      <c r="W85" s="39">
        <f t="shared" si="25"/>
        <v>145.52775788290273</v>
      </c>
      <c r="X85" s="50">
        <f t="shared" si="14"/>
        <v>41.398882662293943</v>
      </c>
      <c r="Y85" s="41">
        <f t="shared" si="26"/>
        <v>0.13846417818162715</v>
      </c>
      <c r="Z85" s="52"/>
      <c r="AA85" s="50">
        <f t="shared" si="34"/>
        <v>1391.3988826622938</v>
      </c>
      <c r="AB85" s="39">
        <f t="shared" si="35"/>
        <v>1540.8194810318771</v>
      </c>
      <c r="AC85" s="39">
        <f t="shared" si="29"/>
        <v>149.42059836958333</v>
      </c>
      <c r="AD85" s="41">
        <f t="shared" si="30"/>
        <v>0.1073887583434614</v>
      </c>
      <c r="AF85" s="46">
        <f t="shared" si="3"/>
        <v>0</v>
      </c>
      <c r="AG85" s="46">
        <f t="shared" si="31"/>
        <v>0</v>
      </c>
      <c r="AH85" s="54">
        <f t="shared" si="4"/>
        <v>378</v>
      </c>
      <c r="AI85" s="55">
        <f t="shared" si="19"/>
        <v>0.93986636971046766</v>
      </c>
      <c r="AJ85" s="55">
        <f t="shared" si="32"/>
        <v>0</v>
      </c>
      <c r="AK85" s="55">
        <f t="shared" si="33"/>
        <v>0</v>
      </c>
    </row>
    <row r="86" spans="2:37" s="53" customFormat="1" ht="17.25" customHeight="1" x14ac:dyDescent="0.25">
      <c r="B86" s="91" t="str">
        <f t="shared" si="5"/>
        <v/>
      </c>
      <c r="C86" s="81">
        <f>IF(Sheet3!A57="","",Sheet3!A57)</f>
        <v>38012</v>
      </c>
      <c r="D86" s="82">
        <f>IF(C86="","",Sheet3!E57)</f>
        <v>25.5</v>
      </c>
      <c r="E86" s="56">
        <f>_xlfn.XLOOKUP(WEEKNUM(C86)&amp;YEAR(C86),Sheet4!C:C,Sheet4!B:B,0)</f>
        <v>0</v>
      </c>
      <c r="F86" s="46">
        <f>IF(int=Weekly,-$D$5,IF(int=Bi_Weekly,0,IF(int=Monthly,0,IF(int=Quarterly,0,IF(int=Yearly,0,IF(int=None,0,0))))))</f>
        <v>0</v>
      </c>
      <c r="G86" s="46"/>
      <c r="H86" s="46">
        <f t="shared" si="21"/>
        <v>-1350</v>
      </c>
      <c r="I86" s="47"/>
      <c r="J86" s="38">
        <f t="shared" si="0"/>
        <v>0</v>
      </c>
      <c r="K86" s="48"/>
      <c r="L86" s="48">
        <f t="shared" si="6"/>
        <v>56.605895453554226</v>
      </c>
      <c r="M86" s="48"/>
      <c r="N86" s="38">
        <f t="shared" si="7"/>
        <v>0</v>
      </c>
      <c r="O86" s="36">
        <f t="shared" si="8"/>
        <v>0</v>
      </c>
      <c r="P86" s="84">
        <f t="shared" si="9"/>
        <v>-1390.9301326460179</v>
      </c>
      <c r="Q86" s="38">
        <f t="shared" si="10"/>
        <v>0</v>
      </c>
      <c r="R86" s="48">
        <f t="shared" si="11"/>
        <v>1.71429686407927</v>
      </c>
      <c r="S86" s="38">
        <f t="shared" si="1"/>
        <v>58.320192317633499</v>
      </c>
      <c r="T86" s="50">
        <f t="shared" si="22"/>
        <v>1350</v>
      </c>
      <c r="U86" s="40">
        <f t="shared" si="23"/>
        <v>1443.4503340656327</v>
      </c>
      <c r="V86" s="41">
        <f t="shared" si="24"/>
        <v>6.9222469678246412E-2</v>
      </c>
      <c r="W86" s="39">
        <f t="shared" si="25"/>
        <v>93.45033406563266</v>
      </c>
      <c r="X86" s="50">
        <f t="shared" si="14"/>
        <v>41.398882662293943</v>
      </c>
      <c r="Y86" s="41">
        <f t="shared" si="26"/>
        <v>9.9888308687352989E-2</v>
      </c>
      <c r="Z86" s="52"/>
      <c r="AA86" s="50">
        <f t="shared" si="34"/>
        <v>1391.3988826622938</v>
      </c>
      <c r="AB86" s="39">
        <f t="shared" si="35"/>
        <v>1487.164904099654</v>
      </c>
      <c r="AC86" s="39">
        <f t="shared" si="29"/>
        <v>95.766021437360223</v>
      </c>
      <c r="AD86" s="41">
        <f t="shared" si="30"/>
        <v>6.882715131560424E-2</v>
      </c>
      <c r="AF86" s="46">
        <f t="shared" si="3"/>
        <v>0</v>
      </c>
      <c r="AG86" s="46">
        <f t="shared" si="31"/>
        <v>0</v>
      </c>
      <c r="AH86" s="54">
        <f t="shared" si="4"/>
        <v>385</v>
      </c>
      <c r="AI86" s="55">
        <f t="shared" si="19"/>
        <v>0.93875278396436523</v>
      </c>
      <c r="AJ86" s="55">
        <f t="shared" si="32"/>
        <v>0</v>
      </c>
      <c r="AK86" s="55">
        <f t="shared" si="33"/>
        <v>0</v>
      </c>
    </row>
    <row r="87" spans="2:37" s="53" customFormat="1" ht="17.25" customHeight="1" x14ac:dyDescent="0.25">
      <c r="B87" s="91" t="str">
        <f t="shared" si="5"/>
        <v/>
      </c>
      <c r="C87" s="81">
        <f>IF(Sheet3!A58="","",Sheet3!A58)</f>
        <v>38019</v>
      </c>
      <c r="D87" s="82">
        <f>IF(C87="","",Sheet3!E58)</f>
        <v>26.02</v>
      </c>
      <c r="E87" s="56">
        <f>_xlfn.XLOOKUP(WEEKNUM(C87)&amp;YEAR(C87),Sheet4!C:C,Sheet4!B:B,0)</f>
        <v>0</v>
      </c>
      <c r="F87" s="46">
        <f>IF(int=Weekly,-$D$5,IF(int=Bi_Weekly,-$D$5,IF(int=Monthly,-$D$5,IF(int=Quarterly,0,IF(int=Yearly,0,IF(int=None,0,0))))))</f>
        <v>-100</v>
      </c>
      <c r="G87" s="46"/>
      <c r="H87" s="46">
        <f t="shared" si="21"/>
        <v>-1450</v>
      </c>
      <c r="I87" s="47"/>
      <c r="J87" s="38">
        <f t="shared" si="0"/>
        <v>3.8431975403535743</v>
      </c>
      <c r="K87" s="48"/>
      <c r="L87" s="48">
        <f t="shared" si="6"/>
        <v>60.449092993907797</v>
      </c>
      <c r="M87" s="48"/>
      <c r="N87" s="38">
        <f t="shared" si="7"/>
        <v>0</v>
      </c>
      <c r="O87" s="36">
        <f t="shared" si="8"/>
        <v>0</v>
      </c>
      <c r="P87" s="84">
        <f t="shared" si="9"/>
        <v>-1490.9301326460179</v>
      </c>
      <c r="Q87" s="38">
        <f t="shared" si="10"/>
        <v>0</v>
      </c>
      <c r="R87" s="48">
        <f t="shared" si="11"/>
        <v>1.71429686407927</v>
      </c>
      <c r="S87" s="38">
        <f t="shared" si="1"/>
        <v>62.16338985798707</v>
      </c>
      <c r="T87" s="50">
        <f t="shared" si="22"/>
        <v>1450</v>
      </c>
      <c r="U87" s="40">
        <f t="shared" si="23"/>
        <v>1572.8853997014808</v>
      </c>
      <c r="V87" s="41">
        <f t="shared" si="24"/>
        <v>8.474855151826266E-2</v>
      </c>
      <c r="W87" s="39">
        <f t="shared" si="25"/>
        <v>122.88539970148076</v>
      </c>
      <c r="X87" s="50">
        <f t="shared" si="14"/>
        <v>41.398882662293943</v>
      </c>
      <c r="Y87" s="41">
        <f t="shared" si="26"/>
        <v>0.11329950507846531</v>
      </c>
      <c r="Z87" s="52"/>
      <c r="AA87" s="50">
        <f t="shared" si="34"/>
        <v>1491.3988826622938</v>
      </c>
      <c r="AB87" s="39">
        <f t="shared" si="35"/>
        <v>1617.4914041048235</v>
      </c>
      <c r="AC87" s="39">
        <f t="shared" si="29"/>
        <v>126.09252144252969</v>
      </c>
      <c r="AD87" s="41">
        <f t="shared" si="30"/>
        <v>8.45464770748936E-2</v>
      </c>
      <c r="AF87" s="46">
        <f t="shared" si="3"/>
        <v>-100</v>
      </c>
      <c r="AG87" s="46">
        <f t="shared" si="31"/>
        <v>-100</v>
      </c>
      <c r="AH87" s="54">
        <f t="shared" si="4"/>
        <v>392</v>
      </c>
      <c r="AI87" s="55">
        <f t="shared" si="19"/>
        <v>0.9376391982182628</v>
      </c>
      <c r="AJ87" s="55">
        <f t="shared" si="32"/>
        <v>-93.763919821826278</v>
      </c>
      <c r="AK87" s="55">
        <f t="shared" si="33"/>
        <v>-93.763919821826278</v>
      </c>
    </row>
    <row r="88" spans="2:37" s="53" customFormat="1" ht="17.25" customHeight="1" x14ac:dyDescent="0.25">
      <c r="B88" s="91" t="str">
        <f t="shared" si="5"/>
        <v/>
      </c>
      <c r="C88" s="81">
        <f>IF(Sheet3!A59="","",Sheet3!A59)</f>
        <v>38026</v>
      </c>
      <c r="D88" s="82">
        <f>IF(C88="","",Sheet3!E59)</f>
        <v>25.049999</v>
      </c>
      <c r="E88" s="56">
        <f>_xlfn.XLOOKUP(WEEKNUM(C88)&amp;YEAR(C88),Sheet4!C:C,Sheet4!B:B,0)</f>
        <v>0</v>
      </c>
      <c r="F88" s="46">
        <f>IF(int=Weekly,-$D$5,IF(int=Bi_Weekly,0,IF(int=Monthly,0,IF(int=Quarterly,0,IF(int=Yearly,0,IF(int=None,0,0))))))</f>
        <v>0</v>
      </c>
      <c r="G88" s="46"/>
      <c r="H88" s="46">
        <f t="shared" si="21"/>
        <v>-1450</v>
      </c>
      <c r="I88" s="47"/>
      <c r="J88" s="38">
        <f t="shared" si="0"/>
        <v>0</v>
      </c>
      <c r="K88" s="48"/>
      <c r="L88" s="48">
        <f t="shared" si="6"/>
        <v>60.449092993907797</v>
      </c>
      <c r="M88" s="48"/>
      <c r="N88" s="38">
        <f t="shared" si="7"/>
        <v>0</v>
      </c>
      <c r="O88" s="36">
        <f t="shared" si="8"/>
        <v>0</v>
      </c>
      <c r="P88" s="84">
        <f t="shared" si="9"/>
        <v>-1490.9301326460179</v>
      </c>
      <c r="Q88" s="38">
        <f t="shared" si="10"/>
        <v>0</v>
      </c>
      <c r="R88" s="48">
        <f t="shared" si="11"/>
        <v>1.71429686407927</v>
      </c>
      <c r="S88" s="38">
        <f t="shared" si="1"/>
        <v>62.16338985798707</v>
      </c>
      <c r="T88" s="50">
        <f t="shared" si="22"/>
        <v>1450</v>
      </c>
      <c r="U88" s="40">
        <f t="shared" si="23"/>
        <v>1514.2497190482973</v>
      </c>
      <c r="V88" s="41">
        <f t="shared" si="24"/>
        <v>4.4310151067791237E-2</v>
      </c>
      <c r="W88" s="39">
        <f t="shared" si="25"/>
        <v>64.249719048297266</v>
      </c>
      <c r="X88" s="50">
        <f t="shared" si="14"/>
        <v>41.398882662293943</v>
      </c>
      <c r="Y88" s="41">
        <f t="shared" si="26"/>
        <v>7.2861104627993889E-2</v>
      </c>
      <c r="Z88" s="52"/>
      <c r="AA88" s="50">
        <f t="shared" si="34"/>
        <v>1491.3988826622938</v>
      </c>
      <c r="AB88" s="39">
        <f t="shared" si="35"/>
        <v>1557.1928537791862</v>
      </c>
      <c r="AC88" s="39">
        <f t="shared" si="29"/>
        <v>65.793971116892408</v>
      </c>
      <c r="AD88" s="41">
        <f t="shared" si="30"/>
        <v>4.4115609768624608E-2</v>
      </c>
      <c r="AF88" s="46">
        <f t="shared" si="3"/>
        <v>0</v>
      </c>
      <c r="AG88" s="46">
        <f t="shared" si="31"/>
        <v>0</v>
      </c>
      <c r="AH88" s="54">
        <f t="shared" si="4"/>
        <v>399</v>
      </c>
      <c r="AI88" s="55">
        <f t="shared" si="19"/>
        <v>0.93652561247216037</v>
      </c>
      <c r="AJ88" s="55">
        <f t="shared" si="32"/>
        <v>0</v>
      </c>
      <c r="AK88" s="55">
        <f t="shared" si="33"/>
        <v>0</v>
      </c>
    </row>
    <row r="89" spans="2:37" s="53" customFormat="1" ht="17.25" customHeight="1" x14ac:dyDescent="0.25">
      <c r="B89" s="91" t="str">
        <f t="shared" si="5"/>
        <v/>
      </c>
      <c r="C89" s="81">
        <f>IF(Sheet3!A60="","",Sheet3!A60)</f>
        <v>38033</v>
      </c>
      <c r="D89" s="82">
        <f>IF(C89="","",Sheet3!E60)</f>
        <v>23.879999000000002</v>
      </c>
      <c r="E89" s="56">
        <f>_xlfn.XLOOKUP(WEEKNUM(C89)&amp;YEAR(C89),Sheet4!C:C,Sheet4!B:B,0)</f>
        <v>0</v>
      </c>
      <c r="F89" s="46">
        <f>IF(int=Weekly,-$D$5,IF(int=Bi_Weekly,-$D$5,IF(int=Monthly,0,IF(int=Quarterly,0,IF(int=Yearly,0,IF(int=None,0,0))))))</f>
        <v>0</v>
      </c>
      <c r="G89" s="46"/>
      <c r="H89" s="46">
        <f t="shared" si="21"/>
        <v>-1450</v>
      </c>
      <c r="I89" s="47"/>
      <c r="J89" s="38">
        <f t="shared" si="0"/>
        <v>0</v>
      </c>
      <c r="K89" s="48"/>
      <c r="L89" s="48">
        <f t="shared" si="6"/>
        <v>60.449092993907797</v>
      </c>
      <c r="M89" s="48"/>
      <c r="N89" s="38">
        <f t="shared" si="7"/>
        <v>0</v>
      </c>
      <c r="O89" s="36">
        <f t="shared" si="8"/>
        <v>0</v>
      </c>
      <c r="P89" s="84">
        <f t="shared" si="9"/>
        <v>-1490.9301326460179</v>
      </c>
      <c r="Q89" s="38">
        <f t="shared" si="10"/>
        <v>0</v>
      </c>
      <c r="R89" s="48">
        <f t="shared" si="11"/>
        <v>1.71429686407927</v>
      </c>
      <c r="S89" s="38">
        <f t="shared" si="1"/>
        <v>62.16338985798707</v>
      </c>
      <c r="T89" s="50">
        <f t="shared" si="22"/>
        <v>1450</v>
      </c>
      <c r="U89" s="40">
        <f t="shared" si="23"/>
        <v>1443.5242802454252</v>
      </c>
      <c r="V89" s="41">
        <f t="shared" si="24"/>
        <v>-4.466013623844689E-3</v>
      </c>
      <c r="W89" s="39">
        <f t="shared" si="25"/>
        <v>-6.4757197545748113</v>
      </c>
      <c r="X89" s="50">
        <f t="shared" si="14"/>
        <v>41.398882662293943</v>
      </c>
      <c r="Y89" s="41">
        <f t="shared" si="26"/>
        <v>2.4084939936358074E-2</v>
      </c>
      <c r="Z89" s="52"/>
      <c r="AA89" s="50">
        <f t="shared" si="34"/>
        <v>1491.3988826622938</v>
      </c>
      <c r="AB89" s="39">
        <f t="shared" si="35"/>
        <v>1484.4616876453413</v>
      </c>
      <c r="AC89" s="39">
        <f t="shared" si="29"/>
        <v>-6.9371950169525007</v>
      </c>
      <c r="AD89" s="41">
        <f t="shared" si="30"/>
        <v>-4.6514685625678176E-3</v>
      </c>
      <c r="AF89" s="46">
        <f t="shared" si="3"/>
        <v>0</v>
      </c>
      <c r="AG89" s="46">
        <f t="shared" si="31"/>
        <v>0</v>
      </c>
      <c r="AH89" s="54">
        <f t="shared" si="4"/>
        <v>406</v>
      </c>
      <c r="AI89" s="55">
        <f t="shared" si="19"/>
        <v>0.93541202672605794</v>
      </c>
      <c r="AJ89" s="55">
        <f t="shared" si="32"/>
        <v>0</v>
      </c>
      <c r="AK89" s="55">
        <f t="shared" si="33"/>
        <v>0</v>
      </c>
    </row>
    <row r="90" spans="2:37" s="53" customFormat="1" ht="17.25" customHeight="1" x14ac:dyDescent="0.25">
      <c r="B90" s="91" t="str">
        <f t="shared" si="5"/>
        <v/>
      </c>
      <c r="C90" s="81">
        <f>IF(Sheet3!A61="","",Sheet3!A61)</f>
        <v>38040</v>
      </c>
      <c r="D90" s="82">
        <f>IF(C90="","",Sheet3!E61)</f>
        <v>24.01</v>
      </c>
      <c r="E90" s="56">
        <f>_xlfn.XLOOKUP(WEEKNUM(C90)&amp;YEAR(C90),Sheet4!C:C,Sheet4!B:B,0)</f>
        <v>0</v>
      </c>
      <c r="F90" s="46">
        <f>IF(int=Weekly,-$D$5,IF(int=Bi_Weekly,0,IF(int=Monthly,0,IF(int=Quarterly,0,IF(int=Yearly,0,IF(int=None,0,0))))))</f>
        <v>0</v>
      </c>
      <c r="G90" s="46"/>
      <c r="H90" s="46">
        <f t="shared" si="21"/>
        <v>-1450</v>
      </c>
      <c r="I90" s="47"/>
      <c r="J90" s="38">
        <f t="shared" si="0"/>
        <v>0</v>
      </c>
      <c r="K90" s="48"/>
      <c r="L90" s="48">
        <f t="shared" si="6"/>
        <v>60.449092993907797</v>
      </c>
      <c r="M90" s="48"/>
      <c r="N90" s="38">
        <f t="shared" si="7"/>
        <v>0</v>
      </c>
      <c r="O90" s="36">
        <f t="shared" si="8"/>
        <v>0</v>
      </c>
      <c r="P90" s="84">
        <f t="shared" si="9"/>
        <v>-1490.9301326460179</v>
      </c>
      <c r="Q90" s="38">
        <f t="shared" si="10"/>
        <v>0</v>
      </c>
      <c r="R90" s="48">
        <f t="shared" si="11"/>
        <v>1.71429686407927</v>
      </c>
      <c r="S90" s="38">
        <f t="shared" si="1"/>
        <v>62.16338985798707</v>
      </c>
      <c r="T90" s="50">
        <f t="shared" si="22"/>
        <v>1450</v>
      </c>
      <c r="U90" s="40">
        <f t="shared" si="23"/>
        <v>1451.3827227837262</v>
      </c>
      <c r="V90" s="41">
        <f t="shared" si="24"/>
        <v>9.5360191981108677E-4</v>
      </c>
      <c r="W90" s="39">
        <f t="shared" si="25"/>
        <v>1.3827227837261944</v>
      </c>
      <c r="X90" s="50">
        <f t="shared" si="14"/>
        <v>41.398882662293943</v>
      </c>
      <c r="Y90" s="41">
        <f t="shared" si="26"/>
        <v>2.9504555480013961E-2</v>
      </c>
      <c r="Z90" s="52"/>
      <c r="AA90" s="50">
        <f t="shared" si="34"/>
        <v>1491.3988826622938</v>
      </c>
      <c r="AB90" s="39">
        <f t="shared" si="35"/>
        <v>1492.5429904902694</v>
      </c>
      <c r="AC90" s="39">
        <f t="shared" si="29"/>
        <v>1.1441078279756312</v>
      </c>
      <c r="AD90" s="41">
        <f t="shared" si="30"/>
        <v>7.6713737771694213E-4</v>
      </c>
      <c r="AF90" s="46">
        <f t="shared" si="3"/>
        <v>0</v>
      </c>
      <c r="AG90" s="46">
        <f t="shared" si="31"/>
        <v>0</v>
      </c>
      <c r="AH90" s="54">
        <f t="shared" si="4"/>
        <v>413</v>
      </c>
      <c r="AI90" s="55">
        <f t="shared" si="19"/>
        <v>0.9342984409799554</v>
      </c>
      <c r="AJ90" s="55">
        <f t="shared" si="32"/>
        <v>0</v>
      </c>
      <c r="AK90" s="55">
        <f t="shared" si="33"/>
        <v>0</v>
      </c>
    </row>
    <row r="91" spans="2:37" s="53" customFormat="1" ht="17.25" customHeight="1" x14ac:dyDescent="0.25">
      <c r="B91" s="91" t="str">
        <f t="shared" si="5"/>
        <v/>
      </c>
      <c r="C91" s="81">
        <f>IF(Sheet3!A62="","",Sheet3!A62)</f>
        <v>38047</v>
      </c>
      <c r="D91" s="82">
        <f>IF(C91="","",Sheet3!E62)</f>
        <v>25.02</v>
      </c>
      <c r="E91" s="56">
        <f>_xlfn.XLOOKUP(WEEKNUM(C91)&amp;YEAR(C91),Sheet4!C:C,Sheet4!B:B,0)</f>
        <v>0</v>
      </c>
      <c r="F91" s="46">
        <f>IF(int=Weekly,-$D$5,IF(int=Bi_Weekly,-$D$5,IF(int=Monthly,-$D$5,IF(int=Quarterly,0,IF(int=Yearly,0,IF(int=None,0,0))))))</f>
        <v>-100</v>
      </c>
      <c r="G91" s="46"/>
      <c r="H91" s="46">
        <f t="shared" si="21"/>
        <v>-1550</v>
      </c>
      <c r="I91" s="47"/>
      <c r="J91" s="38">
        <f t="shared" si="0"/>
        <v>3.9968025579536373</v>
      </c>
      <c r="K91" s="48"/>
      <c r="L91" s="48">
        <f t="shared" si="6"/>
        <v>64.44589555186144</v>
      </c>
      <c r="M91" s="48"/>
      <c r="N91" s="38">
        <f t="shared" si="7"/>
        <v>0</v>
      </c>
      <c r="O91" s="36">
        <f t="shared" si="8"/>
        <v>0</v>
      </c>
      <c r="P91" s="84">
        <f t="shared" si="9"/>
        <v>-1590.9301326460179</v>
      </c>
      <c r="Q91" s="38">
        <f t="shared" si="10"/>
        <v>0</v>
      </c>
      <c r="R91" s="48">
        <f t="shared" si="11"/>
        <v>1.71429686407927</v>
      </c>
      <c r="S91" s="38">
        <f t="shared" si="1"/>
        <v>66.160192415940713</v>
      </c>
      <c r="T91" s="50">
        <f t="shared" si="22"/>
        <v>1550</v>
      </c>
      <c r="U91" s="40">
        <f t="shared" si="23"/>
        <v>1612.4363067075733</v>
      </c>
      <c r="V91" s="41">
        <f t="shared" si="24"/>
        <v>4.0281488198434356E-2</v>
      </c>
      <c r="W91" s="39">
        <f t="shared" si="25"/>
        <v>62.436306707573294</v>
      </c>
      <c r="X91" s="50">
        <f t="shared" si="14"/>
        <v>41.398882662293943</v>
      </c>
      <c r="Y91" s="41">
        <f t="shared" si="26"/>
        <v>6.6990444754753131E-2</v>
      </c>
      <c r="Z91" s="52"/>
      <c r="AA91" s="50">
        <f t="shared" si="34"/>
        <v>1591.3988826622938</v>
      </c>
      <c r="AB91" s="39">
        <f t="shared" si="35"/>
        <v>1655.3280142468366</v>
      </c>
      <c r="AC91" s="39">
        <f t="shared" si="29"/>
        <v>63.929131584542802</v>
      </c>
      <c r="AD91" s="41">
        <f t="shared" si="30"/>
        <v>4.0171657955165863E-2</v>
      </c>
      <c r="AF91" s="46">
        <f t="shared" si="3"/>
        <v>-100</v>
      </c>
      <c r="AG91" s="46">
        <f t="shared" si="31"/>
        <v>-100</v>
      </c>
      <c r="AH91" s="54">
        <f t="shared" si="4"/>
        <v>420</v>
      </c>
      <c r="AI91" s="55">
        <f t="shared" si="19"/>
        <v>0.93318485523385297</v>
      </c>
      <c r="AJ91" s="55">
        <f t="shared" si="32"/>
        <v>-93.318485523385291</v>
      </c>
      <c r="AK91" s="55">
        <f t="shared" si="33"/>
        <v>-93.318485523385291</v>
      </c>
    </row>
    <row r="92" spans="2:37" s="53" customFormat="1" ht="17.25" customHeight="1" x14ac:dyDescent="0.25">
      <c r="B92" s="91" t="str">
        <f t="shared" si="5"/>
        <v/>
      </c>
      <c r="C92" s="81">
        <f>IF(Sheet3!A63="","",Sheet3!A63)</f>
        <v>38054</v>
      </c>
      <c r="D92" s="82">
        <f>IF(C92="","",Sheet3!E63)</f>
        <v>24.360001</v>
      </c>
      <c r="E92" s="56">
        <f>_xlfn.XLOOKUP(WEEKNUM(C92)&amp;YEAR(C92),Sheet4!C:C,Sheet4!B:B,0)</f>
        <v>0</v>
      </c>
      <c r="F92" s="46">
        <f>IF(int=Weekly,-$D$5,IF(int=Bi_Weekly,0,IF(int=Monthly,0,IF(int=Quarterly,0,IF(int=Yearly,0,IF(int=None,0,0))))))</f>
        <v>0</v>
      </c>
      <c r="G92" s="46"/>
      <c r="H92" s="46">
        <f t="shared" si="21"/>
        <v>-1550</v>
      </c>
      <c r="I92" s="47"/>
      <c r="J92" s="38">
        <f t="shared" si="0"/>
        <v>0</v>
      </c>
      <c r="K92" s="48"/>
      <c r="L92" s="48">
        <f t="shared" si="6"/>
        <v>64.44589555186144</v>
      </c>
      <c r="M92" s="48"/>
      <c r="N92" s="38">
        <f t="shared" si="7"/>
        <v>0</v>
      </c>
      <c r="O92" s="36">
        <f t="shared" si="8"/>
        <v>0</v>
      </c>
      <c r="P92" s="84">
        <f t="shared" si="9"/>
        <v>-1590.9301326460179</v>
      </c>
      <c r="Q92" s="38">
        <f t="shared" si="10"/>
        <v>0</v>
      </c>
      <c r="R92" s="48">
        <f t="shared" si="11"/>
        <v>1.71429686407927</v>
      </c>
      <c r="S92" s="38">
        <f t="shared" si="1"/>
        <v>66.160192415940713</v>
      </c>
      <c r="T92" s="50">
        <f t="shared" si="22"/>
        <v>1550</v>
      </c>
      <c r="U92" s="40">
        <f t="shared" si="23"/>
        <v>1569.9020800892404</v>
      </c>
      <c r="V92" s="41">
        <f t="shared" si="24"/>
        <v>1.2840051670477637E-2</v>
      </c>
      <c r="W92" s="39">
        <f t="shared" si="25"/>
        <v>19.902080089240371</v>
      </c>
      <c r="X92" s="50">
        <f t="shared" si="14"/>
        <v>41.398882662293943</v>
      </c>
      <c r="Y92" s="41">
        <f t="shared" si="26"/>
        <v>3.9549008226796412E-2</v>
      </c>
      <c r="Z92" s="52"/>
      <c r="AA92" s="50">
        <f t="shared" si="34"/>
        <v>1591.3988826622938</v>
      </c>
      <c r="AB92" s="39">
        <f t="shared" si="35"/>
        <v>1611.6623534125083</v>
      </c>
      <c r="AC92" s="39">
        <f t="shared" si="29"/>
        <v>20.263470750214537</v>
      </c>
      <c r="AD92" s="41">
        <f t="shared" si="30"/>
        <v>1.2733118623481365E-2</v>
      </c>
      <c r="AF92" s="46">
        <f t="shared" si="3"/>
        <v>0</v>
      </c>
      <c r="AG92" s="46">
        <f t="shared" si="31"/>
        <v>0</v>
      </c>
      <c r="AH92" s="54">
        <f t="shared" si="4"/>
        <v>427</v>
      </c>
      <c r="AI92" s="55">
        <f t="shared" si="19"/>
        <v>0.93207126948775054</v>
      </c>
      <c r="AJ92" s="55">
        <f t="shared" si="32"/>
        <v>0</v>
      </c>
      <c r="AK92" s="55">
        <f t="shared" si="33"/>
        <v>0</v>
      </c>
    </row>
    <row r="93" spans="2:37" s="53" customFormat="1" ht="17.25" customHeight="1" x14ac:dyDescent="0.25">
      <c r="B93" s="91" t="str">
        <f t="shared" si="5"/>
        <v/>
      </c>
      <c r="C93" s="81">
        <f>IF(Sheet3!A64="","",Sheet3!A64)</f>
        <v>38061</v>
      </c>
      <c r="D93" s="82">
        <f>IF(C93="","",Sheet3!E64)</f>
        <v>24.620000999999998</v>
      </c>
      <c r="E93" s="56">
        <f>_xlfn.XLOOKUP(WEEKNUM(C93)&amp;YEAR(C93),Sheet4!C:C,Sheet4!B:B,0)</f>
        <v>0</v>
      </c>
      <c r="F93" s="46">
        <f>IF(int=Weekly,-$D$5,IF(int=Bi_Weekly,-$D$5,IF(int=Monthly,0,IF(int=Quarterly,0,IF(int=Yearly,0,IF(int=None,0,0))))))</f>
        <v>0</v>
      </c>
      <c r="G93" s="46"/>
      <c r="H93" s="46">
        <f t="shared" si="21"/>
        <v>-1550</v>
      </c>
      <c r="I93" s="47"/>
      <c r="J93" s="38">
        <f t="shared" si="0"/>
        <v>0</v>
      </c>
      <c r="K93" s="48"/>
      <c r="L93" s="48">
        <f t="shared" si="6"/>
        <v>64.44589555186144</v>
      </c>
      <c r="M93" s="48"/>
      <c r="N93" s="38">
        <f t="shared" si="7"/>
        <v>0</v>
      </c>
      <c r="O93" s="36">
        <f t="shared" si="8"/>
        <v>0</v>
      </c>
      <c r="P93" s="84">
        <f t="shared" si="9"/>
        <v>-1590.9301326460179</v>
      </c>
      <c r="Q93" s="38">
        <f t="shared" si="10"/>
        <v>0</v>
      </c>
      <c r="R93" s="48">
        <f t="shared" si="11"/>
        <v>1.71429686407927</v>
      </c>
      <c r="S93" s="38">
        <f t="shared" si="1"/>
        <v>66.160192415940713</v>
      </c>
      <c r="T93" s="50">
        <f t="shared" si="22"/>
        <v>1550</v>
      </c>
      <c r="U93" s="40">
        <f t="shared" si="23"/>
        <v>1586.6580129327242</v>
      </c>
      <c r="V93" s="41">
        <f t="shared" si="24"/>
        <v>2.3650330924338103E-2</v>
      </c>
      <c r="W93" s="39">
        <f t="shared" si="25"/>
        <v>36.658012932724205</v>
      </c>
      <c r="X93" s="50">
        <f t="shared" si="14"/>
        <v>41.398882662293943</v>
      </c>
      <c r="Y93" s="41">
        <f t="shared" si="26"/>
        <v>5.0359287480656878E-2</v>
      </c>
      <c r="Z93" s="52"/>
      <c r="AA93" s="50">
        <f t="shared" si="34"/>
        <v>1591.3988826622938</v>
      </c>
      <c r="AB93" s="39">
        <f t="shared" si="35"/>
        <v>1628.8640034406526</v>
      </c>
      <c r="AC93" s="39">
        <f t="shared" si="29"/>
        <v>37.465120778358823</v>
      </c>
      <c r="AD93" s="41">
        <f t="shared" si="30"/>
        <v>2.3542256555868946E-2</v>
      </c>
      <c r="AF93" s="46">
        <f t="shared" si="3"/>
        <v>0</v>
      </c>
      <c r="AG93" s="46">
        <f t="shared" si="31"/>
        <v>0</v>
      </c>
      <c r="AH93" s="54">
        <f t="shared" si="4"/>
        <v>434</v>
      </c>
      <c r="AI93" s="55">
        <f t="shared" si="19"/>
        <v>0.93095768374164811</v>
      </c>
      <c r="AJ93" s="55">
        <f t="shared" si="32"/>
        <v>0</v>
      </c>
      <c r="AK93" s="55">
        <f t="shared" si="33"/>
        <v>0</v>
      </c>
    </row>
    <row r="94" spans="2:37" s="53" customFormat="1" ht="17.25" customHeight="1" x14ac:dyDescent="0.25">
      <c r="B94" s="91" t="str">
        <f t="shared" si="5"/>
        <v/>
      </c>
      <c r="C94" s="81">
        <f>IF(Sheet3!A65="","",Sheet3!A65)</f>
        <v>38068</v>
      </c>
      <c r="D94" s="82">
        <f>IF(C94="","",Sheet3!E65)</f>
        <v>23.92</v>
      </c>
      <c r="E94" s="56">
        <f>_xlfn.XLOOKUP(WEEKNUM(C94)&amp;YEAR(C94),Sheet4!C:C,Sheet4!B:B,0)</f>
        <v>0</v>
      </c>
      <c r="F94" s="46">
        <f>IF(int=Weekly,-$D$5,IF(int=Bi_Weekly,0,IF(int=Monthly,0,IF(int=Quarterly,0,IF(int=Yearly,0,IF(int=None,0,0))))))</f>
        <v>0</v>
      </c>
      <c r="G94" s="46"/>
      <c r="H94" s="46">
        <f t="shared" si="21"/>
        <v>-1550</v>
      </c>
      <c r="I94" s="47"/>
      <c r="J94" s="38">
        <f t="shared" si="0"/>
        <v>0</v>
      </c>
      <c r="K94" s="48"/>
      <c r="L94" s="48">
        <f t="shared" si="6"/>
        <v>64.44589555186144</v>
      </c>
      <c r="M94" s="48"/>
      <c r="N94" s="38">
        <f t="shared" si="7"/>
        <v>0</v>
      </c>
      <c r="O94" s="36">
        <f t="shared" si="8"/>
        <v>0</v>
      </c>
      <c r="P94" s="84">
        <f t="shared" si="9"/>
        <v>-1590.9301326460179</v>
      </c>
      <c r="Q94" s="38">
        <f t="shared" si="10"/>
        <v>0</v>
      </c>
      <c r="R94" s="48">
        <f t="shared" si="11"/>
        <v>1.71429686407927</v>
      </c>
      <c r="S94" s="38">
        <f t="shared" si="1"/>
        <v>66.160192415940713</v>
      </c>
      <c r="T94" s="50">
        <f t="shared" si="22"/>
        <v>1550</v>
      </c>
      <c r="U94" s="40">
        <f t="shared" si="23"/>
        <v>1541.5458216005259</v>
      </c>
      <c r="V94" s="41">
        <f t="shared" si="24"/>
        <v>-5.4543086448219924E-3</v>
      </c>
      <c r="W94" s="39">
        <f t="shared" si="25"/>
        <v>-8.4541783994741309</v>
      </c>
      <c r="X94" s="50">
        <f t="shared" si="14"/>
        <v>41.398882662293943</v>
      </c>
      <c r="Y94" s="41">
        <f t="shared" si="26"/>
        <v>2.1254647911496782E-2</v>
      </c>
      <c r="Z94" s="52"/>
      <c r="AA94" s="50">
        <f t="shared" si="34"/>
        <v>1591.3988826622938</v>
      </c>
      <c r="AB94" s="39">
        <f t="shared" si="35"/>
        <v>1582.551802589302</v>
      </c>
      <c r="AC94" s="39">
        <f t="shared" si="29"/>
        <v>-8.84708007299173</v>
      </c>
      <c r="AD94" s="41">
        <f t="shared" si="30"/>
        <v>-5.5593102203208566E-3</v>
      </c>
      <c r="AF94" s="46">
        <f t="shared" si="3"/>
        <v>0</v>
      </c>
      <c r="AG94" s="46">
        <f t="shared" si="31"/>
        <v>0</v>
      </c>
      <c r="AH94" s="54">
        <f t="shared" si="4"/>
        <v>441</v>
      </c>
      <c r="AI94" s="55">
        <f t="shared" si="19"/>
        <v>0.92984409799554568</v>
      </c>
      <c r="AJ94" s="55">
        <f t="shared" si="32"/>
        <v>0</v>
      </c>
      <c r="AK94" s="55">
        <f t="shared" si="33"/>
        <v>0</v>
      </c>
    </row>
    <row r="95" spans="2:37" s="53" customFormat="1" ht="17.25" customHeight="1" x14ac:dyDescent="0.25">
      <c r="B95" s="91" t="str">
        <f t="shared" si="5"/>
        <v/>
      </c>
      <c r="C95" s="81">
        <f>IF(Sheet3!A66="","",Sheet3!A66)</f>
        <v>38075</v>
      </c>
      <c r="D95" s="82">
        <f>IF(C95="","",Sheet3!E66)</f>
        <v>24.870000999999998</v>
      </c>
      <c r="E95" s="56">
        <f>_xlfn.XLOOKUP(WEEKNUM(C95)&amp;YEAR(C95),Sheet4!C:C,Sheet4!B:B,0)</f>
        <v>0</v>
      </c>
      <c r="F95" s="46">
        <f>IF(int=Weekly,-$D$5,IF(int=Bi_Weekly,-$D$5,IF(int=Monthly,-$D$5,IF(int=Quarterly,0,IF(int=Yearly,0,IF(int=None,0,0))))))</f>
        <v>-100</v>
      </c>
      <c r="G95" s="46"/>
      <c r="H95" s="46">
        <f t="shared" si="21"/>
        <v>-1650</v>
      </c>
      <c r="I95" s="47"/>
      <c r="J95" s="38">
        <f t="shared" ref="J95:J158" si="36">IF(D$24=0,"",ABS($F95*D$24)/D95)</f>
        <v>4.0209085636948707</v>
      </c>
      <c r="K95" s="48"/>
      <c r="L95" s="48">
        <f t="shared" si="6"/>
        <v>68.466804115556315</v>
      </c>
      <c r="M95" s="48"/>
      <c r="N95" s="38">
        <f t="shared" si="7"/>
        <v>0</v>
      </c>
      <c r="O95" s="36">
        <f t="shared" si="8"/>
        <v>0</v>
      </c>
      <c r="P95" s="84">
        <f t="shared" si="9"/>
        <v>-1690.9301326460179</v>
      </c>
      <c r="Q95" s="38">
        <f t="shared" si="10"/>
        <v>0</v>
      </c>
      <c r="R95" s="48">
        <f t="shared" si="11"/>
        <v>1.71429686407927</v>
      </c>
      <c r="S95" s="38">
        <f t="shared" ref="S95:S158" si="37">IF(D95=0,"",L95+R95)</f>
        <v>70.181100979635588</v>
      </c>
      <c r="T95" s="50">
        <f t="shared" si="22"/>
        <v>1650</v>
      </c>
      <c r="U95" s="40">
        <f t="shared" si="23"/>
        <v>1702.7694868206895</v>
      </c>
      <c r="V95" s="41">
        <f t="shared" si="24"/>
        <v>3.1981507164054346E-2</v>
      </c>
      <c r="W95" s="39">
        <f t="shared" si="25"/>
        <v>52.769486820689508</v>
      </c>
      <c r="X95" s="50">
        <f t="shared" si="14"/>
        <v>41.398882662293943</v>
      </c>
      <c r="Y95" s="41">
        <f t="shared" si="26"/>
        <v>5.7071739080596151E-2</v>
      </c>
      <c r="Z95" s="52"/>
      <c r="AA95" s="50">
        <f t="shared" si="34"/>
        <v>1691.3988826622938</v>
      </c>
      <c r="AB95" s="39">
        <f t="shared" si="35"/>
        <v>1745.4040515446379</v>
      </c>
      <c r="AC95" s="39">
        <f t="shared" si="29"/>
        <v>54.005168882344151</v>
      </c>
      <c r="AD95" s="41">
        <f t="shared" si="30"/>
        <v>3.1929292040999258E-2</v>
      </c>
      <c r="AF95" s="46">
        <f t="shared" ref="AF95:AF158" si="38">F95+ABS(O95)</f>
        <v>-100</v>
      </c>
      <c r="AG95" s="46">
        <f t="shared" si="31"/>
        <v>-100</v>
      </c>
      <c r="AH95" s="54">
        <f t="shared" ref="AH95:AH158" si="39">DATEDIF($C$31,C95,"d")</f>
        <v>448</v>
      </c>
      <c r="AI95" s="55">
        <f t="shared" si="19"/>
        <v>0.92873051224944325</v>
      </c>
      <c r="AJ95" s="55">
        <f t="shared" si="32"/>
        <v>-92.873051224944319</v>
      </c>
      <c r="AK95" s="55">
        <f t="shared" si="33"/>
        <v>-92.873051224944319</v>
      </c>
    </row>
    <row r="96" spans="2:37" s="53" customFormat="1" ht="17.25" customHeight="1" x14ac:dyDescent="0.25">
      <c r="B96" s="91" t="str">
        <f t="shared" ref="B96:B159" si="40">IF(C95="","",IF(C$30&lt;C96,"",B95+1))</f>
        <v/>
      </c>
      <c r="C96" s="81">
        <f>IF(Sheet3!A67="","",Sheet3!A67)</f>
        <v>38082</v>
      </c>
      <c r="D96" s="82">
        <f>IF(C96="","",Sheet3!E67)</f>
        <v>24.459999</v>
      </c>
      <c r="E96" s="56">
        <f>_xlfn.XLOOKUP(WEEKNUM(C96)&amp;YEAR(C96),Sheet4!C:C,Sheet4!B:B,0)</f>
        <v>0.3125</v>
      </c>
      <c r="F96" s="46">
        <f>IF(int=Weekly,-$D$5,IF(int=Bi_Weekly,0,IF(int=Monthly,0,IF(int=Quarterly,-$D$5,IF(int=Yearly,0,IF(int=None,0,0))))))</f>
        <v>0</v>
      </c>
      <c r="G96" s="46"/>
      <c r="H96" s="46">
        <f t="shared" si="21"/>
        <v>-1650</v>
      </c>
      <c r="I96" s="47"/>
      <c r="J96" s="38">
        <f t="shared" si="36"/>
        <v>0</v>
      </c>
      <c r="K96" s="48"/>
      <c r="L96" s="48">
        <f t="shared" ref="L96:L159" si="41">IF(D96=0,"",L95+J96)</f>
        <v>68.466804115556315</v>
      </c>
      <c r="M96" s="48"/>
      <c r="N96" s="38">
        <f t="shared" ref="N96:N159" si="42">IF(D96=0,"",L96*E96)</f>
        <v>21.395876286111349</v>
      </c>
      <c r="O96" s="36">
        <f t="shared" ref="O96:O159" si="43">-(IF(D96=0,"",N96))</f>
        <v>-21.395876286111349</v>
      </c>
      <c r="P96" s="84">
        <f t="shared" ref="P96:P159" si="44">P95+F96+O96</f>
        <v>-1712.3260089321293</v>
      </c>
      <c r="Q96" s="38">
        <f t="shared" ref="Q96:Q159" si="45">IF(D96=0,"",ABS($O96)/D96)</f>
        <v>0.87472923797385882</v>
      </c>
      <c r="R96" s="48">
        <f t="shared" ref="R96:R159" si="46">IF(D96=0,"",Q96+R95)</f>
        <v>2.5890261020531287</v>
      </c>
      <c r="S96" s="38">
        <f t="shared" si="37"/>
        <v>71.05583021760944</v>
      </c>
      <c r="T96" s="50">
        <f t="shared" si="22"/>
        <v>1650</v>
      </c>
      <c r="U96" s="40">
        <f t="shared" si="23"/>
        <v>1674.6979601997034</v>
      </c>
      <c r="V96" s="41">
        <f t="shared" si="24"/>
        <v>1.4968460727093014E-2</v>
      </c>
      <c r="W96" s="39">
        <f t="shared" si="25"/>
        <v>24.697960199703402</v>
      </c>
      <c r="X96" s="50">
        <f t="shared" ref="X96:X159" si="47">ABS(O96)+X95</f>
        <v>62.794758948405288</v>
      </c>
      <c r="Y96" s="41">
        <f t="shared" si="26"/>
        <v>5.3025890392793151E-2</v>
      </c>
      <c r="Z96" s="52"/>
      <c r="AA96" s="50">
        <f t="shared" si="34"/>
        <v>1712.7947589484052</v>
      </c>
      <c r="AB96" s="39">
        <f t="shared" si="35"/>
        <v>1738.0255360668968</v>
      </c>
      <c r="AC96" s="39">
        <f t="shared" si="29"/>
        <v>25.230777118491687</v>
      </c>
      <c r="AD96" s="41">
        <f t="shared" si="30"/>
        <v>1.473076501821069E-2</v>
      </c>
      <c r="AF96" s="46">
        <f t="shared" si="38"/>
        <v>21.395876286111349</v>
      </c>
      <c r="AG96" s="46">
        <f t="shared" si="31"/>
        <v>0</v>
      </c>
      <c r="AH96" s="54">
        <f t="shared" si="39"/>
        <v>455</v>
      </c>
      <c r="AI96" s="55">
        <f t="shared" ref="AI96:AI159" si="48">(AH$30-AH96)/AH$30</f>
        <v>0.92761692650334071</v>
      </c>
      <c r="AJ96" s="55">
        <f t="shared" si="32"/>
        <v>19.847177000368323</v>
      </c>
      <c r="AK96" s="55">
        <f t="shared" si="33"/>
        <v>0</v>
      </c>
    </row>
    <row r="97" spans="2:37" s="53" customFormat="1" ht="17.25" customHeight="1" x14ac:dyDescent="0.25">
      <c r="B97" s="91" t="str">
        <f t="shared" si="40"/>
        <v/>
      </c>
      <c r="C97" s="81">
        <f>IF(Sheet3!A68="","",Sheet3!A68)</f>
        <v>38089</v>
      </c>
      <c r="D97" s="82">
        <f>IF(C97="","",Sheet3!E68)</f>
        <v>24.17</v>
      </c>
      <c r="E97" s="56">
        <f>_xlfn.XLOOKUP(WEEKNUM(C97)&amp;YEAR(C97),Sheet4!C:C,Sheet4!B:B,0)</f>
        <v>0</v>
      </c>
      <c r="F97" s="46">
        <f>IF(int=Weekly,-$D$5,IF(int=Bi_Weekly,-$D$5,IF(int=Monthly,0,IF(int=Quarterly,0,IF(int=Yearly,0,IF(int=None,0,0))))))</f>
        <v>0</v>
      </c>
      <c r="G97" s="46"/>
      <c r="H97" s="46">
        <f t="shared" ref="H97:H160" si="49">H96+F97</f>
        <v>-1650</v>
      </c>
      <c r="I97" s="47"/>
      <c r="J97" s="38">
        <f t="shared" si="36"/>
        <v>0</v>
      </c>
      <c r="K97" s="48"/>
      <c r="L97" s="48">
        <f t="shared" si="41"/>
        <v>68.466804115556315</v>
      </c>
      <c r="M97" s="48"/>
      <c r="N97" s="38">
        <f t="shared" si="42"/>
        <v>0</v>
      </c>
      <c r="O97" s="36">
        <f t="shared" si="43"/>
        <v>0</v>
      </c>
      <c r="P97" s="84">
        <f t="shared" si="44"/>
        <v>-1712.3260089321293</v>
      </c>
      <c r="Q97" s="38">
        <f t="shared" si="45"/>
        <v>0</v>
      </c>
      <c r="R97" s="48">
        <f t="shared" si="46"/>
        <v>2.5890261020531287</v>
      </c>
      <c r="S97" s="38">
        <f t="shared" si="37"/>
        <v>71.05583021760944</v>
      </c>
      <c r="T97" s="50">
        <f t="shared" ref="T97:T160" si="50">IF(D97=0,"",D97*J97)+T96</f>
        <v>1650</v>
      </c>
      <c r="U97" s="40">
        <f t="shared" ref="U97:U160" si="51">IF(D97=0,"",L97*D97)</f>
        <v>1654.8426554729963</v>
      </c>
      <c r="V97" s="41">
        <f t="shared" ref="V97:V160" si="52">(U97/T97)-1</f>
        <v>2.9349427109068849E-3</v>
      </c>
      <c r="W97" s="39">
        <f t="shared" ref="W97:W160" si="53">U97-T97</f>
        <v>4.8426554729962845</v>
      </c>
      <c r="X97" s="50">
        <f t="shared" si="47"/>
        <v>62.794758948405288</v>
      </c>
      <c r="Y97" s="41">
        <f t="shared" ref="Y97:Y160" si="54">((U97+X97)/T97)-1</f>
        <v>4.0992372376607022E-2</v>
      </c>
      <c r="Z97" s="52"/>
      <c r="AA97" s="50">
        <f t="shared" si="34"/>
        <v>1712.7947589484052</v>
      </c>
      <c r="AB97" s="39">
        <f t="shared" si="35"/>
        <v>1717.4194163596203</v>
      </c>
      <c r="AC97" s="39">
        <f t="shared" ref="AC97:AC160" si="55">AB97-AA97</f>
        <v>4.6246574112151393</v>
      </c>
      <c r="AD97" s="41">
        <f t="shared" ref="AD97:AD160" si="56">(AB97/AA97)-1</f>
        <v>2.7000651345141513E-3</v>
      </c>
      <c r="AF97" s="46">
        <f t="shared" si="38"/>
        <v>0</v>
      </c>
      <c r="AG97" s="46">
        <f t="shared" ref="AG97:AG160" si="57">F97</f>
        <v>0</v>
      </c>
      <c r="AH97" s="54">
        <f t="shared" si="39"/>
        <v>462</v>
      </c>
      <c r="AI97" s="55">
        <f t="shared" si="48"/>
        <v>0.92650334075723828</v>
      </c>
      <c r="AJ97" s="55">
        <f t="shared" ref="AJ97:AJ160" si="58">AI97*AF97</f>
        <v>0</v>
      </c>
      <c r="AK97" s="55">
        <f t="shared" ref="AK97:AK160" si="59">$AI97*AG97</f>
        <v>0</v>
      </c>
    </row>
    <row r="98" spans="2:37" s="53" customFormat="1" ht="17.25" customHeight="1" x14ac:dyDescent="0.25">
      <c r="B98" s="91" t="str">
        <f t="shared" si="40"/>
        <v/>
      </c>
      <c r="C98" s="81">
        <f>IF(Sheet3!A69="","",Sheet3!A69)</f>
        <v>38096</v>
      </c>
      <c r="D98" s="82">
        <f>IF(C98="","",Sheet3!E69)</f>
        <v>25.42</v>
      </c>
      <c r="E98" s="56">
        <f>_xlfn.XLOOKUP(WEEKNUM(C98)&amp;YEAR(C98),Sheet4!C:C,Sheet4!B:B,0)</f>
        <v>0</v>
      </c>
      <c r="F98" s="46">
        <f>IF(int=Weekly,-$D$5,IF(int=Bi_Weekly,0,IF(int=Monthly,0,IF(int=Quarterly,0,IF(int=Yearly,0,IF(int=None,0,0))))))</f>
        <v>0</v>
      </c>
      <c r="G98" s="46"/>
      <c r="H98" s="46">
        <f t="shared" si="49"/>
        <v>-1650</v>
      </c>
      <c r="I98" s="47"/>
      <c r="J98" s="38">
        <f t="shared" si="36"/>
        <v>0</v>
      </c>
      <c r="K98" s="48"/>
      <c r="L98" s="48">
        <f t="shared" si="41"/>
        <v>68.466804115556315</v>
      </c>
      <c r="M98" s="48"/>
      <c r="N98" s="38">
        <f t="shared" si="42"/>
        <v>0</v>
      </c>
      <c r="O98" s="36">
        <f t="shared" si="43"/>
        <v>0</v>
      </c>
      <c r="P98" s="84">
        <f t="shared" si="44"/>
        <v>-1712.3260089321293</v>
      </c>
      <c r="Q98" s="38">
        <f t="shared" si="45"/>
        <v>0</v>
      </c>
      <c r="R98" s="48">
        <f t="shared" si="46"/>
        <v>2.5890261020531287</v>
      </c>
      <c r="S98" s="38">
        <f t="shared" si="37"/>
        <v>71.05583021760944</v>
      </c>
      <c r="T98" s="50">
        <f t="shared" si="50"/>
        <v>1650</v>
      </c>
      <c r="U98" s="40">
        <f t="shared" si="51"/>
        <v>1740.4261606174416</v>
      </c>
      <c r="V98" s="41">
        <f t="shared" si="52"/>
        <v>5.4803733707540436E-2</v>
      </c>
      <c r="W98" s="39">
        <f t="shared" si="53"/>
        <v>90.42616061744161</v>
      </c>
      <c r="X98" s="50">
        <f t="shared" si="47"/>
        <v>62.794758948405288</v>
      </c>
      <c r="Y98" s="41">
        <f t="shared" si="54"/>
        <v>9.2861163373240574E-2</v>
      </c>
      <c r="Z98" s="52"/>
      <c r="AA98" s="50">
        <f t="shared" si="34"/>
        <v>1712.7947589484052</v>
      </c>
      <c r="AB98" s="39">
        <f t="shared" si="35"/>
        <v>1806.2392041316321</v>
      </c>
      <c r="AC98" s="39">
        <f t="shared" si="55"/>
        <v>93.44444518322689</v>
      </c>
      <c r="AD98" s="41">
        <f t="shared" si="56"/>
        <v>5.4556708966460477E-2</v>
      </c>
      <c r="AF98" s="46">
        <f t="shared" si="38"/>
        <v>0</v>
      </c>
      <c r="AG98" s="46">
        <f t="shared" si="57"/>
        <v>0</v>
      </c>
      <c r="AH98" s="54">
        <f t="shared" si="39"/>
        <v>469</v>
      </c>
      <c r="AI98" s="55">
        <f t="shared" si="48"/>
        <v>0.92538975501113585</v>
      </c>
      <c r="AJ98" s="55">
        <f t="shared" si="58"/>
        <v>0</v>
      </c>
      <c r="AK98" s="55">
        <f t="shared" si="59"/>
        <v>0</v>
      </c>
    </row>
    <row r="99" spans="2:37" s="53" customFormat="1" ht="17.25" customHeight="1" x14ac:dyDescent="0.25">
      <c r="B99" s="91" t="str">
        <f t="shared" si="40"/>
        <v/>
      </c>
      <c r="C99" s="81">
        <f>IF(Sheet3!A70="","",Sheet3!A70)</f>
        <v>38103</v>
      </c>
      <c r="D99" s="82">
        <f>IF(C99="","",Sheet3!E70)</f>
        <v>24.9</v>
      </c>
      <c r="E99" s="56">
        <f>_xlfn.XLOOKUP(WEEKNUM(C99)&amp;YEAR(C99),Sheet4!C:C,Sheet4!B:B,0)</f>
        <v>0</v>
      </c>
      <c r="F99" s="46">
        <f>IF(int=Weekly,-$D$5,IF(int=Bi_Weekly,-$D$5,IF(int=Monthly,-$D$5,IF(int=Quarterly,0,IF(int=Yearly,0,IF(int=None,0,0))))))</f>
        <v>-100</v>
      </c>
      <c r="G99" s="46"/>
      <c r="H99" s="46">
        <f t="shared" si="49"/>
        <v>-1750</v>
      </c>
      <c r="I99" s="47"/>
      <c r="J99" s="38">
        <f t="shared" si="36"/>
        <v>4.0160642570281126</v>
      </c>
      <c r="K99" s="48"/>
      <c r="L99" s="48">
        <f t="shared" si="41"/>
        <v>72.48286837258442</v>
      </c>
      <c r="M99" s="48"/>
      <c r="N99" s="38">
        <f t="shared" si="42"/>
        <v>0</v>
      </c>
      <c r="O99" s="36">
        <f t="shared" si="43"/>
        <v>0</v>
      </c>
      <c r="P99" s="84">
        <f t="shared" si="44"/>
        <v>-1812.3260089321293</v>
      </c>
      <c r="Q99" s="38">
        <f t="shared" si="45"/>
        <v>0</v>
      </c>
      <c r="R99" s="48">
        <f t="shared" si="46"/>
        <v>2.5890261020531287</v>
      </c>
      <c r="S99" s="38">
        <f t="shared" si="37"/>
        <v>75.071894474637546</v>
      </c>
      <c r="T99" s="50">
        <f t="shared" si="50"/>
        <v>1750</v>
      </c>
      <c r="U99" s="40">
        <f t="shared" si="51"/>
        <v>1804.8234224773519</v>
      </c>
      <c r="V99" s="41">
        <f t="shared" si="52"/>
        <v>3.132766998705816E-2</v>
      </c>
      <c r="W99" s="39">
        <f t="shared" si="53"/>
        <v>54.823422477351869</v>
      </c>
      <c r="X99" s="50">
        <f t="shared" si="47"/>
        <v>62.794758948405288</v>
      </c>
      <c r="Y99" s="41">
        <f t="shared" si="54"/>
        <v>6.7210389386147096E-2</v>
      </c>
      <c r="Z99" s="52"/>
      <c r="AA99" s="50">
        <f t="shared" si="34"/>
        <v>1812.7947589484052</v>
      </c>
      <c r="AB99" s="39">
        <f t="shared" si="35"/>
        <v>1869.2901724184749</v>
      </c>
      <c r="AC99" s="39">
        <f t="shared" si="55"/>
        <v>56.495413470069707</v>
      </c>
      <c r="AD99" s="41">
        <f t="shared" si="56"/>
        <v>3.1164815096245357E-2</v>
      </c>
      <c r="AF99" s="46">
        <f t="shared" si="38"/>
        <v>-100</v>
      </c>
      <c r="AG99" s="46">
        <f t="shared" si="57"/>
        <v>-100</v>
      </c>
      <c r="AH99" s="54">
        <f t="shared" si="39"/>
        <v>476</v>
      </c>
      <c r="AI99" s="55">
        <f t="shared" si="48"/>
        <v>0.92427616926503342</v>
      </c>
      <c r="AJ99" s="55">
        <f t="shared" si="58"/>
        <v>-92.427616926503347</v>
      </c>
      <c r="AK99" s="55">
        <f t="shared" si="59"/>
        <v>-92.427616926503347</v>
      </c>
    </row>
    <row r="100" spans="2:37" s="53" customFormat="1" ht="17.25" customHeight="1" x14ac:dyDescent="0.25">
      <c r="B100" s="91" t="str">
        <f t="shared" si="40"/>
        <v/>
      </c>
      <c r="C100" s="81">
        <f>IF(Sheet3!A71="","",Sheet3!A71)</f>
        <v>38110</v>
      </c>
      <c r="D100" s="82">
        <f>IF(C100="","",Sheet3!E71)</f>
        <v>24.74</v>
      </c>
      <c r="E100" s="56">
        <f>_xlfn.XLOOKUP(WEEKNUM(C100)&amp;YEAR(C100),Sheet4!C:C,Sheet4!B:B,0)</f>
        <v>0</v>
      </c>
      <c r="F100" s="46">
        <f>IF(int=Weekly,-$D$5,IF(int=Bi_Weekly,0,IF(int=Monthly,0,IF(int=Quarterly,0,IF(int=Yearly,0,IF(int=None,0,0))))))</f>
        <v>0</v>
      </c>
      <c r="G100" s="46"/>
      <c r="H100" s="46">
        <f t="shared" si="49"/>
        <v>-1750</v>
      </c>
      <c r="I100" s="47"/>
      <c r="J100" s="38">
        <f t="shared" si="36"/>
        <v>0</v>
      </c>
      <c r="K100" s="48"/>
      <c r="L100" s="48">
        <f t="shared" si="41"/>
        <v>72.48286837258442</v>
      </c>
      <c r="M100" s="48"/>
      <c r="N100" s="38">
        <f t="shared" si="42"/>
        <v>0</v>
      </c>
      <c r="O100" s="36">
        <f t="shared" si="43"/>
        <v>0</v>
      </c>
      <c r="P100" s="84">
        <f t="shared" si="44"/>
        <v>-1812.3260089321293</v>
      </c>
      <c r="Q100" s="38">
        <f t="shared" si="45"/>
        <v>0</v>
      </c>
      <c r="R100" s="48">
        <f t="shared" si="46"/>
        <v>2.5890261020531287</v>
      </c>
      <c r="S100" s="38">
        <f t="shared" si="37"/>
        <v>75.071894474637546</v>
      </c>
      <c r="T100" s="50">
        <f t="shared" si="50"/>
        <v>1750</v>
      </c>
      <c r="U100" s="40">
        <f t="shared" si="51"/>
        <v>1793.2261635377383</v>
      </c>
      <c r="V100" s="41">
        <f t="shared" si="52"/>
        <v>2.470066487870759E-2</v>
      </c>
      <c r="W100" s="39">
        <f t="shared" si="53"/>
        <v>43.22616353773833</v>
      </c>
      <c r="X100" s="50">
        <f t="shared" si="47"/>
        <v>62.794758948405288</v>
      </c>
      <c r="Y100" s="41">
        <f t="shared" si="54"/>
        <v>6.0583384277796304E-2</v>
      </c>
      <c r="Z100" s="52"/>
      <c r="AA100" s="50">
        <f t="shared" si="34"/>
        <v>1812.7947589484052</v>
      </c>
      <c r="AB100" s="39">
        <f t="shared" si="35"/>
        <v>1857.2786693025328</v>
      </c>
      <c r="AC100" s="39">
        <f t="shared" si="55"/>
        <v>44.483910354127602</v>
      </c>
      <c r="AD100" s="41">
        <f t="shared" si="56"/>
        <v>2.4538856445024404E-2</v>
      </c>
      <c r="AF100" s="46">
        <f t="shared" si="38"/>
        <v>0</v>
      </c>
      <c r="AG100" s="46">
        <f t="shared" si="57"/>
        <v>0</v>
      </c>
      <c r="AH100" s="54">
        <f t="shared" si="39"/>
        <v>483</v>
      </c>
      <c r="AI100" s="55">
        <f t="shared" si="48"/>
        <v>0.92316258351893099</v>
      </c>
      <c r="AJ100" s="55">
        <f t="shared" si="58"/>
        <v>0</v>
      </c>
      <c r="AK100" s="55">
        <f t="shared" si="59"/>
        <v>0</v>
      </c>
    </row>
    <row r="101" spans="2:37" s="53" customFormat="1" ht="17.25" customHeight="1" x14ac:dyDescent="0.25">
      <c r="B101" s="91" t="str">
        <f t="shared" si="40"/>
        <v/>
      </c>
      <c r="C101" s="81">
        <f>IF(Sheet3!A72="","",Sheet3!A72)</f>
        <v>38117</v>
      </c>
      <c r="D101" s="82">
        <f>IF(C101="","",Sheet3!E72)</f>
        <v>24.5</v>
      </c>
      <c r="E101" s="56">
        <f>_xlfn.XLOOKUP(WEEKNUM(C101)&amp;YEAR(C101),Sheet4!C:C,Sheet4!B:B,0)</f>
        <v>0</v>
      </c>
      <c r="F101" s="46">
        <f>IF(int=Weekly,-$D$5,IF(int=Bi_Weekly,-$D$5,IF(int=Monthly,0,IF(int=Quarterly,0,IF(int=Yearly,0,IF(int=None,0,0))))))</f>
        <v>0</v>
      </c>
      <c r="G101" s="46"/>
      <c r="H101" s="46">
        <f t="shared" si="49"/>
        <v>-1750</v>
      </c>
      <c r="I101" s="47"/>
      <c r="J101" s="38">
        <f t="shared" si="36"/>
        <v>0</v>
      </c>
      <c r="K101" s="48"/>
      <c r="L101" s="48">
        <f t="shared" si="41"/>
        <v>72.48286837258442</v>
      </c>
      <c r="M101" s="48"/>
      <c r="N101" s="38">
        <f t="shared" si="42"/>
        <v>0</v>
      </c>
      <c r="O101" s="36">
        <f t="shared" si="43"/>
        <v>0</v>
      </c>
      <c r="P101" s="84">
        <f t="shared" si="44"/>
        <v>-1812.3260089321293</v>
      </c>
      <c r="Q101" s="38">
        <f t="shared" si="45"/>
        <v>0</v>
      </c>
      <c r="R101" s="48">
        <f t="shared" si="46"/>
        <v>2.5890261020531287</v>
      </c>
      <c r="S101" s="38">
        <f t="shared" si="37"/>
        <v>75.071894474637546</v>
      </c>
      <c r="T101" s="50">
        <f t="shared" si="50"/>
        <v>1750</v>
      </c>
      <c r="U101" s="40">
        <f t="shared" si="51"/>
        <v>1775.8302751283184</v>
      </c>
      <c r="V101" s="41">
        <f t="shared" si="52"/>
        <v>1.4760157216181957E-2</v>
      </c>
      <c r="W101" s="39">
        <f t="shared" si="53"/>
        <v>25.830275128318362</v>
      </c>
      <c r="X101" s="50">
        <f t="shared" si="47"/>
        <v>62.794758948405288</v>
      </c>
      <c r="Y101" s="41">
        <f t="shared" si="54"/>
        <v>5.0642876615270671E-2</v>
      </c>
      <c r="Z101" s="52"/>
      <c r="AA101" s="50">
        <f t="shared" si="34"/>
        <v>1812.7947589484052</v>
      </c>
      <c r="AB101" s="39">
        <f t="shared" si="35"/>
        <v>1839.2614146286201</v>
      </c>
      <c r="AC101" s="39">
        <f t="shared" si="55"/>
        <v>26.466655680214899</v>
      </c>
      <c r="AD101" s="41">
        <f t="shared" si="56"/>
        <v>1.4599918468193307E-2</v>
      </c>
      <c r="AF101" s="46">
        <f t="shared" si="38"/>
        <v>0</v>
      </c>
      <c r="AG101" s="46">
        <f t="shared" si="57"/>
        <v>0</v>
      </c>
      <c r="AH101" s="54">
        <f t="shared" si="39"/>
        <v>490</v>
      </c>
      <c r="AI101" s="55">
        <f t="shared" si="48"/>
        <v>0.92204899777282856</v>
      </c>
      <c r="AJ101" s="55">
        <f t="shared" si="58"/>
        <v>0</v>
      </c>
      <c r="AK101" s="55">
        <f t="shared" si="59"/>
        <v>0</v>
      </c>
    </row>
    <row r="102" spans="2:37" s="53" customFormat="1" ht="17.25" customHeight="1" x14ac:dyDescent="0.25">
      <c r="B102" s="91" t="str">
        <f t="shared" si="40"/>
        <v/>
      </c>
      <c r="C102" s="81">
        <f>IF(Sheet3!A73="","",Sheet3!A73)</f>
        <v>38124</v>
      </c>
      <c r="D102" s="82">
        <f>IF(C102="","",Sheet3!E73)</f>
        <v>24.33</v>
      </c>
      <c r="E102" s="56">
        <f>_xlfn.XLOOKUP(WEEKNUM(C102)&amp;YEAR(C102),Sheet4!C:C,Sheet4!B:B,0)</f>
        <v>0</v>
      </c>
      <c r="F102" s="46">
        <f>IF(int=Weekly,-$D$5,IF(int=Bi_Weekly,0,IF(int=Monthly,0,IF(int=Quarterly,0,IF(int=Yearly,0,IF(int=None,0,0))))))</f>
        <v>0</v>
      </c>
      <c r="G102" s="46"/>
      <c r="H102" s="46">
        <f t="shared" si="49"/>
        <v>-1750</v>
      </c>
      <c r="I102" s="47"/>
      <c r="J102" s="38">
        <f t="shared" si="36"/>
        <v>0</v>
      </c>
      <c r="K102" s="48"/>
      <c r="L102" s="48">
        <f t="shared" si="41"/>
        <v>72.48286837258442</v>
      </c>
      <c r="M102" s="48"/>
      <c r="N102" s="38">
        <f t="shared" si="42"/>
        <v>0</v>
      </c>
      <c r="O102" s="36">
        <f t="shared" si="43"/>
        <v>0</v>
      </c>
      <c r="P102" s="84">
        <f t="shared" si="44"/>
        <v>-1812.3260089321293</v>
      </c>
      <c r="Q102" s="38">
        <f t="shared" si="45"/>
        <v>0</v>
      </c>
      <c r="R102" s="48">
        <f t="shared" si="46"/>
        <v>2.5890261020531287</v>
      </c>
      <c r="S102" s="38">
        <f t="shared" si="37"/>
        <v>75.071894474637546</v>
      </c>
      <c r="T102" s="50">
        <f t="shared" si="50"/>
        <v>1750</v>
      </c>
      <c r="U102" s="40">
        <f t="shared" si="51"/>
        <v>1763.5081875049789</v>
      </c>
      <c r="V102" s="41">
        <f t="shared" si="52"/>
        <v>7.7189642885593379E-3</v>
      </c>
      <c r="W102" s="39">
        <f t="shared" si="53"/>
        <v>13.508187504978878</v>
      </c>
      <c r="X102" s="50">
        <f t="shared" si="47"/>
        <v>62.794758948405288</v>
      </c>
      <c r="Y102" s="41">
        <f t="shared" si="54"/>
        <v>4.3601683687648052E-2</v>
      </c>
      <c r="Z102" s="52"/>
      <c r="AA102" s="50">
        <f t="shared" si="34"/>
        <v>1812.7947589484052</v>
      </c>
      <c r="AB102" s="39">
        <f t="shared" si="35"/>
        <v>1826.4991925679315</v>
      </c>
      <c r="AC102" s="39">
        <f t="shared" si="55"/>
        <v>13.704433619526299</v>
      </c>
      <c r="AD102" s="41">
        <f t="shared" si="56"/>
        <v>7.5598374012710856E-3</v>
      </c>
      <c r="AF102" s="46">
        <f t="shared" si="38"/>
        <v>0</v>
      </c>
      <c r="AG102" s="46">
        <f t="shared" si="57"/>
        <v>0</v>
      </c>
      <c r="AH102" s="54">
        <f t="shared" si="39"/>
        <v>497</v>
      </c>
      <c r="AI102" s="55">
        <f t="shared" si="48"/>
        <v>0.92093541202672602</v>
      </c>
      <c r="AJ102" s="55">
        <f t="shared" si="58"/>
        <v>0</v>
      </c>
      <c r="AK102" s="55">
        <f t="shared" si="59"/>
        <v>0</v>
      </c>
    </row>
    <row r="103" spans="2:37" s="53" customFormat="1" ht="17.25" customHeight="1" x14ac:dyDescent="0.25">
      <c r="B103" s="91" t="str">
        <f t="shared" si="40"/>
        <v/>
      </c>
      <c r="C103" s="81">
        <f>IF(Sheet3!A74="","",Sheet3!A74)</f>
        <v>38131</v>
      </c>
      <c r="D103" s="82">
        <f>IF(C103="","",Sheet3!E74)</f>
        <v>23.700001</v>
      </c>
      <c r="E103" s="56">
        <f>_xlfn.XLOOKUP(WEEKNUM(C103)&amp;YEAR(C103),Sheet4!C:C,Sheet4!B:B,0)</f>
        <v>0</v>
      </c>
      <c r="F103" s="46">
        <f>IF(int=Weekly,-$D$5,IF(int=Bi_Weekly,-$D$5,IF(int=Monthly,-$D$5,IF(int=Quarterly,0,IF(int=Yearly,0,IF(int=None,0,0))))))</f>
        <v>-100</v>
      </c>
      <c r="G103" s="46"/>
      <c r="H103" s="46">
        <f t="shared" si="49"/>
        <v>-1850</v>
      </c>
      <c r="I103" s="47"/>
      <c r="J103" s="38">
        <f t="shared" si="36"/>
        <v>4.2194091046662825</v>
      </c>
      <c r="K103" s="48"/>
      <c r="L103" s="48">
        <f t="shared" si="41"/>
        <v>76.702277477250703</v>
      </c>
      <c r="M103" s="48"/>
      <c r="N103" s="38">
        <f t="shared" si="42"/>
        <v>0</v>
      </c>
      <c r="O103" s="36">
        <f t="shared" si="43"/>
        <v>0</v>
      </c>
      <c r="P103" s="84">
        <f t="shared" si="44"/>
        <v>-1912.3260089321293</v>
      </c>
      <c r="Q103" s="38">
        <f t="shared" si="45"/>
        <v>0</v>
      </c>
      <c r="R103" s="48">
        <f t="shared" si="46"/>
        <v>2.5890261020531287</v>
      </c>
      <c r="S103" s="38">
        <f t="shared" si="37"/>
        <v>79.291303579303829</v>
      </c>
      <c r="T103" s="50">
        <f t="shared" si="50"/>
        <v>1850</v>
      </c>
      <c r="U103" s="40">
        <f t="shared" si="51"/>
        <v>1817.8440529131192</v>
      </c>
      <c r="V103" s="41">
        <f t="shared" si="52"/>
        <v>-1.7381593019935582E-2</v>
      </c>
      <c r="W103" s="39">
        <f t="shared" si="53"/>
        <v>-32.155947086880815</v>
      </c>
      <c r="X103" s="50">
        <f t="shared" si="47"/>
        <v>62.794758948405288</v>
      </c>
      <c r="Y103" s="41">
        <f t="shared" si="54"/>
        <v>1.6561519925148316E-2</v>
      </c>
      <c r="Z103" s="52"/>
      <c r="AA103" s="50">
        <f t="shared" si="34"/>
        <v>1912.7947589484052</v>
      </c>
      <c r="AB103" s="39">
        <f t="shared" si="35"/>
        <v>1879.2039741208043</v>
      </c>
      <c r="AC103" s="39">
        <f t="shared" si="55"/>
        <v>-33.590784827600828</v>
      </c>
      <c r="AD103" s="41">
        <f t="shared" si="56"/>
        <v>-1.7561102502219317E-2</v>
      </c>
      <c r="AF103" s="46">
        <f t="shared" si="38"/>
        <v>-100</v>
      </c>
      <c r="AG103" s="46">
        <f t="shared" si="57"/>
        <v>-100</v>
      </c>
      <c r="AH103" s="54">
        <f t="shared" si="39"/>
        <v>504</v>
      </c>
      <c r="AI103" s="55">
        <f t="shared" si="48"/>
        <v>0.91982182628062359</v>
      </c>
      <c r="AJ103" s="55">
        <f t="shared" si="58"/>
        <v>-91.982182628062361</v>
      </c>
      <c r="AK103" s="55">
        <f t="shared" si="59"/>
        <v>-91.982182628062361</v>
      </c>
    </row>
    <row r="104" spans="2:37" s="53" customFormat="1" ht="17.25" customHeight="1" x14ac:dyDescent="0.25">
      <c r="B104" s="91" t="str">
        <f t="shared" si="40"/>
        <v/>
      </c>
      <c r="C104" s="81">
        <f>IF(Sheet3!A75="","",Sheet3!A75)</f>
        <v>38138</v>
      </c>
      <c r="D104" s="82">
        <f>IF(C104="","",Sheet3!E75)</f>
        <v>23.93</v>
      </c>
      <c r="E104" s="56">
        <f>_xlfn.XLOOKUP(WEEKNUM(C104)&amp;YEAR(C104),Sheet4!C:C,Sheet4!B:B,0)</f>
        <v>0</v>
      </c>
      <c r="F104" s="46">
        <f>IF(int=Weekly,-$D$5,IF(int=Bi_Weekly,0,IF(int=Monthly,0,IF(int=Quarterly,0,IF(int=Yearly,0,IF(int=None,0,0))))))</f>
        <v>0</v>
      </c>
      <c r="G104" s="46"/>
      <c r="H104" s="46">
        <f t="shared" si="49"/>
        <v>-1850</v>
      </c>
      <c r="I104" s="47"/>
      <c r="J104" s="38">
        <f t="shared" si="36"/>
        <v>0</v>
      </c>
      <c r="K104" s="48"/>
      <c r="L104" s="48">
        <f t="shared" si="41"/>
        <v>76.702277477250703</v>
      </c>
      <c r="M104" s="48"/>
      <c r="N104" s="38">
        <f t="shared" si="42"/>
        <v>0</v>
      </c>
      <c r="O104" s="36">
        <f t="shared" si="43"/>
        <v>0</v>
      </c>
      <c r="P104" s="84">
        <f t="shared" si="44"/>
        <v>-1912.3260089321293</v>
      </c>
      <c r="Q104" s="38">
        <f t="shared" si="45"/>
        <v>0</v>
      </c>
      <c r="R104" s="48">
        <f t="shared" si="46"/>
        <v>2.5890261020531287</v>
      </c>
      <c r="S104" s="38">
        <f t="shared" si="37"/>
        <v>79.291303579303829</v>
      </c>
      <c r="T104" s="50">
        <f t="shared" si="50"/>
        <v>1850</v>
      </c>
      <c r="U104" s="40">
        <f t="shared" si="51"/>
        <v>1835.4855000306093</v>
      </c>
      <c r="V104" s="41">
        <f t="shared" si="52"/>
        <v>-7.8456756591300802E-3</v>
      </c>
      <c r="W104" s="39">
        <f t="shared" si="53"/>
        <v>-14.514499969390727</v>
      </c>
      <c r="X104" s="50">
        <f t="shared" si="47"/>
        <v>62.794758948405288</v>
      </c>
      <c r="Y104" s="41">
        <f t="shared" si="54"/>
        <v>2.6097437285953928E-2</v>
      </c>
      <c r="Z104" s="52"/>
      <c r="AA104" s="50">
        <f t="shared" si="34"/>
        <v>1912.7947589484052</v>
      </c>
      <c r="AB104" s="39">
        <f t="shared" si="35"/>
        <v>1897.4408946527406</v>
      </c>
      <c r="AC104" s="39">
        <f t="shared" si="55"/>
        <v>-15.353864295664607</v>
      </c>
      <c r="AD104" s="41">
        <f t="shared" si="56"/>
        <v>-8.0269272089106281E-3</v>
      </c>
      <c r="AF104" s="46">
        <f t="shared" si="38"/>
        <v>0</v>
      </c>
      <c r="AG104" s="46">
        <f t="shared" si="57"/>
        <v>0</v>
      </c>
      <c r="AH104" s="54">
        <f t="shared" si="39"/>
        <v>511</v>
      </c>
      <c r="AI104" s="55">
        <f t="shared" si="48"/>
        <v>0.91870824053452116</v>
      </c>
      <c r="AJ104" s="55">
        <f t="shared" si="58"/>
        <v>0</v>
      </c>
      <c r="AK104" s="55">
        <f t="shared" si="59"/>
        <v>0</v>
      </c>
    </row>
    <row r="105" spans="2:37" s="53" customFormat="1" ht="17.25" customHeight="1" x14ac:dyDescent="0.25">
      <c r="B105" s="91" t="str">
        <f t="shared" si="40"/>
        <v/>
      </c>
      <c r="C105" s="81">
        <f>IF(Sheet3!A76="","",Sheet3!A76)</f>
        <v>38145</v>
      </c>
      <c r="D105" s="82">
        <f>IF(C105="","",Sheet3!E76)</f>
        <v>24.809999000000001</v>
      </c>
      <c r="E105" s="56">
        <f>_xlfn.XLOOKUP(WEEKNUM(C105)&amp;YEAR(C105),Sheet4!C:C,Sheet4!B:B,0)</f>
        <v>0</v>
      </c>
      <c r="F105" s="46">
        <f>IF(int=Weekly,-$D$5,IF(int=Bi_Weekly,-$D$5,IF(int=Monthly,0,IF(int=Quarterly,0,IF(int=Yearly,0,IF(int=None,0,0))))))</f>
        <v>0</v>
      </c>
      <c r="G105" s="46"/>
      <c r="H105" s="46">
        <f t="shared" si="49"/>
        <v>-1850</v>
      </c>
      <c r="I105" s="47"/>
      <c r="J105" s="38">
        <f t="shared" si="36"/>
        <v>0</v>
      </c>
      <c r="K105" s="48"/>
      <c r="L105" s="48">
        <f t="shared" si="41"/>
        <v>76.702277477250703</v>
      </c>
      <c r="M105" s="48"/>
      <c r="N105" s="38">
        <f t="shared" si="42"/>
        <v>0</v>
      </c>
      <c r="O105" s="36">
        <f t="shared" si="43"/>
        <v>0</v>
      </c>
      <c r="P105" s="84">
        <f t="shared" si="44"/>
        <v>-1912.3260089321293</v>
      </c>
      <c r="Q105" s="38">
        <f t="shared" si="45"/>
        <v>0</v>
      </c>
      <c r="R105" s="48">
        <f t="shared" si="46"/>
        <v>2.5890261020531287</v>
      </c>
      <c r="S105" s="38">
        <f t="shared" si="37"/>
        <v>79.291303579303829</v>
      </c>
      <c r="T105" s="50">
        <f t="shared" si="50"/>
        <v>1850</v>
      </c>
      <c r="U105" s="40">
        <f t="shared" si="51"/>
        <v>1902.9834275083126</v>
      </c>
      <c r="V105" s="41">
        <f t="shared" si="52"/>
        <v>2.8639690545033902E-2</v>
      </c>
      <c r="W105" s="39">
        <f t="shared" si="53"/>
        <v>52.983427508312616</v>
      </c>
      <c r="X105" s="50">
        <f t="shared" si="47"/>
        <v>62.794758948405288</v>
      </c>
      <c r="Y105" s="41">
        <f t="shared" si="54"/>
        <v>6.2582803490117911E-2</v>
      </c>
      <c r="Z105" s="52"/>
      <c r="AA105" s="50">
        <f t="shared" si="34"/>
        <v>1912.7947589484052</v>
      </c>
      <c r="AB105" s="39">
        <f t="shared" si="35"/>
        <v>1967.2171625112246</v>
      </c>
      <c r="AC105" s="39">
        <f t="shared" si="55"/>
        <v>54.422403562819454</v>
      </c>
      <c r="AD105" s="41">
        <f t="shared" si="56"/>
        <v>2.8451773672121039E-2</v>
      </c>
      <c r="AF105" s="46">
        <f t="shared" si="38"/>
        <v>0</v>
      </c>
      <c r="AG105" s="46">
        <f t="shared" si="57"/>
        <v>0</v>
      </c>
      <c r="AH105" s="54">
        <f t="shared" si="39"/>
        <v>518</v>
      </c>
      <c r="AI105" s="55">
        <f t="shared" si="48"/>
        <v>0.91759465478841873</v>
      </c>
      <c r="AJ105" s="55">
        <f t="shared" si="58"/>
        <v>0</v>
      </c>
      <c r="AK105" s="55">
        <f t="shared" si="59"/>
        <v>0</v>
      </c>
    </row>
    <row r="106" spans="2:37" s="53" customFormat="1" ht="17.25" customHeight="1" x14ac:dyDescent="0.25">
      <c r="B106" s="91" t="str">
        <f t="shared" si="40"/>
        <v/>
      </c>
      <c r="C106" s="81">
        <f>IF(Sheet3!A77="","",Sheet3!A77)</f>
        <v>38152</v>
      </c>
      <c r="D106" s="82">
        <f>IF(C106="","",Sheet3!E77)</f>
        <v>24.6</v>
      </c>
      <c r="E106" s="56">
        <f>_xlfn.XLOOKUP(WEEKNUM(C106)&amp;YEAR(C106),Sheet4!C:C,Sheet4!B:B,0)</f>
        <v>0</v>
      </c>
      <c r="F106" s="46">
        <f>IF(int=Weekly,-$D$5,IF(int=Bi_Weekly,0,IF(int=Monthly,0,IF(int=Quarterly,0,IF(int=Yearly,0,IF(int=None,0,0))))))</f>
        <v>0</v>
      </c>
      <c r="G106" s="46"/>
      <c r="H106" s="46">
        <f t="shared" si="49"/>
        <v>-1850</v>
      </c>
      <c r="I106" s="47"/>
      <c r="J106" s="38">
        <f t="shared" si="36"/>
        <v>0</v>
      </c>
      <c r="K106" s="48"/>
      <c r="L106" s="48">
        <f t="shared" si="41"/>
        <v>76.702277477250703</v>
      </c>
      <c r="M106" s="48"/>
      <c r="N106" s="38">
        <f t="shared" si="42"/>
        <v>0</v>
      </c>
      <c r="O106" s="36">
        <f t="shared" si="43"/>
        <v>0</v>
      </c>
      <c r="P106" s="84">
        <f t="shared" si="44"/>
        <v>-1912.3260089321293</v>
      </c>
      <c r="Q106" s="38">
        <f t="shared" si="45"/>
        <v>0</v>
      </c>
      <c r="R106" s="48">
        <f t="shared" si="46"/>
        <v>2.5890261020531287</v>
      </c>
      <c r="S106" s="38">
        <f t="shared" si="37"/>
        <v>79.291303579303829</v>
      </c>
      <c r="T106" s="50">
        <f t="shared" si="50"/>
        <v>1850</v>
      </c>
      <c r="U106" s="40">
        <f t="shared" si="51"/>
        <v>1886.8760259403675</v>
      </c>
      <c r="V106" s="41">
        <f t="shared" si="52"/>
        <v>1.9932986994793289E-2</v>
      </c>
      <c r="W106" s="39">
        <f t="shared" si="53"/>
        <v>36.876025940367526</v>
      </c>
      <c r="X106" s="50">
        <f t="shared" si="47"/>
        <v>62.794758948405288</v>
      </c>
      <c r="Y106" s="41">
        <f t="shared" si="54"/>
        <v>5.3876099939877298E-2</v>
      </c>
      <c r="Z106" s="52"/>
      <c r="AA106" s="50">
        <f t="shared" si="34"/>
        <v>1912.7947589484052</v>
      </c>
      <c r="AB106" s="39">
        <f t="shared" si="35"/>
        <v>1950.5660680508745</v>
      </c>
      <c r="AC106" s="39">
        <f t="shared" si="55"/>
        <v>37.771309102469331</v>
      </c>
      <c r="AD106" s="41">
        <f t="shared" si="56"/>
        <v>1.9746660704588415E-2</v>
      </c>
      <c r="AF106" s="46">
        <f t="shared" si="38"/>
        <v>0</v>
      </c>
      <c r="AG106" s="46">
        <f t="shared" si="57"/>
        <v>0</v>
      </c>
      <c r="AH106" s="54">
        <f t="shared" si="39"/>
        <v>525</v>
      </c>
      <c r="AI106" s="55">
        <f t="shared" si="48"/>
        <v>0.9164810690423163</v>
      </c>
      <c r="AJ106" s="55">
        <f t="shared" si="58"/>
        <v>0</v>
      </c>
      <c r="AK106" s="55">
        <f t="shared" si="59"/>
        <v>0</v>
      </c>
    </row>
    <row r="107" spans="2:37" s="53" customFormat="1" ht="17.25" customHeight="1" x14ac:dyDescent="0.25">
      <c r="B107" s="91" t="str">
        <f t="shared" si="40"/>
        <v/>
      </c>
      <c r="C107" s="81">
        <f>IF(Sheet3!A78="","",Sheet3!A78)</f>
        <v>38159</v>
      </c>
      <c r="D107" s="82">
        <f>IF(C107="","",Sheet3!E78)</f>
        <v>23.799999</v>
      </c>
      <c r="E107" s="56">
        <f>_xlfn.XLOOKUP(WEEKNUM(C107)&amp;YEAR(C107),Sheet4!C:C,Sheet4!B:B,0)</f>
        <v>0</v>
      </c>
      <c r="F107" s="46">
        <f>IF(int=Weekly,-$D$5,IF(int=Bi_Weekly,-$D$5,IF(int=Monthly,-$D$5,IF(int=Quarterly,0,IF(int=Yearly,0,IF(int=None,0,0))))))</f>
        <v>-100</v>
      </c>
      <c r="G107" s="46"/>
      <c r="H107" s="46">
        <f t="shared" si="49"/>
        <v>-1950</v>
      </c>
      <c r="I107" s="47"/>
      <c r="J107" s="38">
        <f t="shared" si="36"/>
        <v>4.2016808488101196</v>
      </c>
      <c r="K107" s="48"/>
      <c r="L107" s="48">
        <f t="shared" si="41"/>
        <v>80.903958326060817</v>
      </c>
      <c r="M107" s="48"/>
      <c r="N107" s="38">
        <f t="shared" si="42"/>
        <v>0</v>
      </c>
      <c r="O107" s="36">
        <f t="shared" si="43"/>
        <v>0</v>
      </c>
      <c r="P107" s="84">
        <f t="shared" si="44"/>
        <v>-2012.3260089321293</v>
      </c>
      <c r="Q107" s="38">
        <f t="shared" si="45"/>
        <v>0</v>
      </c>
      <c r="R107" s="48">
        <f t="shared" si="46"/>
        <v>2.5890261020531287</v>
      </c>
      <c r="S107" s="38">
        <f t="shared" si="37"/>
        <v>83.492984428113942</v>
      </c>
      <c r="T107" s="50">
        <f t="shared" si="50"/>
        <v>1950</v>
      </c>
      <c r="U107" s="40">
        <f t="shared" si="51"/>
        <v>1925.5141272562892</v>
      </c>
      <c r="V107" s="41">
        <f t="shared" si="52"/>
        <v>-1.2556857817287659E-2</v>
      </c>
      <c r="W107" s="39">
        <f t="shared" si="53"/>
        <v>-24.485872743710843</v>
      </c>
      <c r="X107" s="50">
        <f t="shared" si="47"/>
        <v>62.794758948405288</v>
      </c>
      <c r="Y107" s="41">
        <f t="shared" si="54"/>
        <v>1.9645582669074235E-2</v>
      </c>
      <c r="Z107" s="52"/>
      <c r="AA107" s="50">
        <f t="shared" si="34"/>
        <v>2012.7947589484052</v>
      </c>
      <c r="AB107" s="39">
        <f t="shared" si="35"/>
        <v>1987.1329458961275</v>
      </c>
      <c r="AC107" s="39">
        <f t="shared" si="55"/>
        <v>-25.661813052277694</v>
      </c>
      <c r="AD107" s="41">
        <f t="shared" si="56"/>
        <v>-1.2749344133668572E-2</v>
      </c>
      <c r="AF107" s="46">
        <f t="shared" si="38"/>
        <v>-100</v>
      </c>
      <c r="AG107" s="46">
        <f t="shared" si="57"/>
        <v>-100</v>
      </c>
      <c r="AH107" s="54">
        <f t="shared" si="39"/>
        <v>532</v>
      </c>
      <c r="AI107" s="55">
        <f t="shared" si="48"/>
        <v>0.91536748329621376</v>
      </c>
      <c r="AJ107" s="55">
        <f t="shared" si="58"/>
        <v>-91.536748329621375</v>
      </c>
      <c r="AK107" s="55">
        <f t="shared" si="59"/>
        <v>-91.536748329621375</v>
      </c>
    </row>
    <row r="108" spans="2:37" s="53" customFormat="1" ht="17.25" customHeight="1" x14ac:dyDescent="0.25">
      <c r="B108" s="91" t="str">
        <f t="shared" si="40"/>
        <v/>
      </c>
      <c r="C108" s="81">
        <f>IF(Sheet3!A79="","",Sheet3!A79)</f>
        <v>38166</v>
      </c>
      <c r="D108" s="82">
        <f>IF(C108="","",Sheet3!E79)</f>
        <v>24.110001</v>
      </c>
      <c r="E108" s="56">
        <f>_xlfn.XLOOKUP(WEEKNUM(C108)&amp;YEAR(C108),Sheet4!C:C,Sheet4!B:B,0)</f>
        <v>0</v>
      </c>
      <c r="F108" s="46">
        <f>IF(int=Weekly,-$D$5,IF(int=Bi_Weekly,0,IF(int=Monthly,0,IF(int=Quarterly,0,IF(int=Yearly,0,IF(int=None,0,0))))))</f>
        <v>0</v>
      </c>
      <c r="G108" s="46"/>
      <c r="H108" s="46">
        <f t="shared" si="49"/>
        <v>-1950</v>
      </c>
      <c r="I108" s="47"/>
      <c r="J108" s="38">
        <f t="shared" si="36"/>
        <v>0</v>
      </c>
      <c r="K108" s="48"/>
      <c r="L108" s="48">
        <f t="shared" si="41"/>
        <v>80.903958326060817</v>
      </c>
      <c r="M108" s="48"/>
      <c r="N108" s="38">
        <f t="shared" si="42"/>
        <v>0</v>
      </c>
      <c r="O108" s="36">
        <f t="shared" si="43"/>
        <v>0</v>
      </c>
      <c r="P108" s="84">
        <f t="shared" si="44"/>
        <v>-2012.3260089321293</v>
      </c>
      <c r="Q108" s="38">
        <f t="shared" si="45"/>
        <v>0</v>
      </c>
      <c r="R108" s="48">
        <f t="shared" si="46"/>
        <v>2.5890261020531287</v>
      </c>
      <c r="S108" s="38">
        <f t="shared" si="37"/>
        <v>83.492984428113942</v>
      </c>
      <c r="T108" s="50">
        <f t="shared" si="50"/>
        <v>1950</v>
      </c>
      <c r="U108" s="40">
        <f t="shared" si="51"/>
        <v>1950.5945161452846</v>
      </c>
      <c r="V108" s="41">
        <f t="shared" si="52"/>
        <v>3.0488007450490962E-4</v>
      </c>
      <c r="W108" s="39">
        <f t="shared" si="53"/>
        <v>0.59451614528461505</v>
      </c>
      <c r="X108" s="50">
        <f t="shared" si="47"/>
        <v>62.794758948405288</v>
      </c>
      <c r="Y108" s="41">
        <f t="shared" si="54"/>
        <v>3.2507320560866582E-2</v>
      </c>
      <c r="Z108" s="52"/>
      <c r="AA108" s="50">
        <f t="shared" si="34"/>
        <v>2012.7947589484052</v>
      </c>
      <c r="AB108" s="39">
        <f t="shared" si="35"/>
        <v>2013.0159380548116</v>
      </c>
      <c r="AC108" s="39">
        <f t="shared" si="55"/>
        <v>0.22117910640645277</v>
      </c>
      <c r="AD108" s="41">
        <f t="shared" si="56"/>
        <v>1.0988656713406542E-4</v>
      </c>
      <c r="AF108" s="46">
        <f t="shared" si="38"/>
        <v>0</v>
      </c>
      <c r="AG108" s="46">
        <f t="shared" si="57"/>
        <v>0</v>
      </c>
      <c r="AH108" s="54">
        <f t="shared" si="39"/>
        <v>539</v>
      </c>
      <c r="AI108" s="55">
        <f t="shared" si="48"/>
        <v>0.91425389755011133</v>
      </c>
      <c r="AJ108" s="55">
        <f t="shared" si="58"/>
        <v>0</v>
      </c>
      <c r="AK108" s="55">
        <f t="shared" si="59"/>
        <v>0</v>
      </c>
    </row>
    <row r="109" spans="2:37" s="53" customFormat="1" ht="17.25" customHeight="1" x14ac:dyDescent="0.25">
      <c r="B109" s="91" t="str">
        <f t="shared" si="40"/>
        <v/>
      </c>
      <c r="C109" s="81">
        <f>IF(Sheet3!A80="","",Sheet3!A80)</f>
        <v>38173</v>
      </c>
      <c r="D109" s="82">
        <f>IF(C109="","",Sheet3!E80)</f>
        <v>23.59</v>
      </c>
      <c r="E109" s="56">
        <f>_xlfn.XLOOKUP(WEEKNUM(C109)&amp;YEAR(C109),Sheet4!C:C,Sheet4!B:B,0)</f>
        <v>0.3125</v>
      </c>
      <c r="F109" s="46">
        <f>IF(int=Weekly,-$D$5,IF(int=Bi_Weekly,-$D$5,IF(int=Monthly,0,IF(int=Quarterly,-$D$5,IF(int=Yearly,0,IF(int=None,0,0))))))</f>
        <v>0</v>
      </c>
      <c r="G109" s="46"/>
      <c r="H109" s="46">
        <f t="shared" si="49"/>
        <v>-1950</v>
      </c>
      <c r="I109" s="47"/>
      <c r="J109" s="38">
        <f t="shared" si="36"/>
        <v>0</v>
      </c>
      <c r="K109" s="48"/>
      <c r="L109" s="48">
        <f t="shared" si="41"/>
        <v>80.903958326060817</v>
      </c>
      <c r="M109" s="48"/>
      <c r="N109" s="38">
        <f t="shared" si="42"/>
        <v>25.282486976894006</v>
      </c>
      <c r="O109" s="36">
        <f t="shared" si="43"/>
        <v>-25.282486976894006</v>
      </c>
      <c r="P109" s="84">
        <f t="shared" si="44"/>
        <v>-2037.6084959090233</v>
      </c>
      <c r="Q109" s="38">
        <f t="shared" si="45"/>
        <v>1.0717459506949558</v>
      </c>
      <c r="R109" s="48">
        <f t="shared" si="46"/>
        <v>3.6607720527480847</v>
      </c>
      <c r="S109" s="38">
        <f t="shared" si="37"/>
        <v>84.564730378808903</v>
      </c>
      <c r="T109" s="50">
        <f t="shared" si="50"/>
        <v>1950</v>
      </c>
      <c r="U109" s="40">
        <f t="shared" si="51"/>
        <v>1908.5243769117747</v>
      </c>
      <c r="V109" s="41">
        <f t="shared" si="52"/>
        <v>-2.1269550301654006E-2</v>
      </c>
      <c r="W109" s="39">
        <f t="shared" si="53"/>
        <v>-41.475623088225348</v>
      </c>
      <c r="X109" s="50">
        <f t="shared" si="47"/>
        <v>88.077245925299295</v>
      </c>
      <c r="Y109" s="41">
        <f t="shared" si="54"/>
        <v>2.3898268121576471E-2</v>
      </c>
      <c r="Z109" s="52"/>
      <c r="AA109" s="50">
        <f t="shared" si="34"/>
        <v>2038.0772459252992</v>
      </c>
      <c r="AB109" s="39">
        <f t="shared" si="35"/>
        <v>1994.8819896361019</v>
      </c>
      <c r="AC109" s="39">
        <f t="shared" si="55"/>
        <v>-43.195256289197232</v>
      </c>
      <c r="AD109" s="41">
        <f t="shared" si="56"/>
        <v>-2.1194121260887933E-2</v>
      </c>
      <c r="AF109" s="46">
        <f t="shared" si="38"/>
        <v>25.282486976894006</v>
      </c>
      <c r="AG109" s="46">
        <f t="shared" si="57"/>
        <v>0</v>
      </c>
      <c r="AH109" s="54">
        <f t="shared" si="39"/>
        <v>546</v>
      </c>
      <c r="AI109" s="55">
        <f t="shared" si="48"/>
        <v>0.9131403118040089</v>
      </c>
      <c r="AJ109" s="55">
        <f t="shared" si="58"/>
        <v>23.086458041261785</v>
      </c>
      <c r="AK109" s="55">
        <f t="shared" si="59"/>
        <v>0</v>
      </c>
    </row>
    <row r="110" spans="2:37" s="53" customFormat="1" ht="17.25" customHeight="1" x14ac:dyDescent="0.25">
      <c r="B110" s="91" t="str">
        <f t="shared" si="40"/>
        <v/>
      </c>
      <c r="C110" s="81">
        <f>IF(Sheet3!A81="","",Sheet3!A81)</f>
        <v>38180</v>
      </c>
      <c r="D110" s="82">
        <f>IF(C110="","",Sheet3!E81)</f>
        <v>23.1</v>
      </c>
      <c r="E110" s="56">
        <f>_xlfn.XLOOKUP(WEEKNUM(C110)&amp;YEAR(C110),Sheet4!C:C,Sheet4!B:B,0)</f>
        <v>0</v>
      </c>
      <c r="F110" s="46">
        <f>IF(int=Weekly,-$D$5,IF(int=Bi_Weekly,0,IF(int=Monthly,0,IF(int=Quarterly,0,IF(int=Yearly,0,IF(int=None,0,0))))))</f>
        <v>0</v>
      </c>
      <c r="G110" s="46"/>
      <c r="H110" s="46">
        <f t="shared" si="49"/>
        <v>-1950</v>
      </c>
      <c r="I110" s="47"/>
      <c r="J110" s="38">
        <f t="shared" si="36"/>
        <v>0</v>
      </c>
      <c r="K110" s="48"/>
      <c r="L110" s="48">
        <f t="shared" si="41"/>
        <v>80.903958326060817</v>
      </c>
      <c r="M110" s="48"/>
      <c r="N110" s="38">
        <f t="shared" si="42"/>
        <v>0</v>
      </c>
      <c r="O110" s="36">
        <f t="shared" si="43"/>
        <v>0</v>
      </c>
      <c r="P110" s="84">
        <f t="shared" si="44"/>
        <v>-2037.6084959090233</v>
      </c>
      <c r="Q110" s="38">
        <f t="shared" si="45"/>
        <v>0</v>
      </c>
      <c r="R110" s="48">
        <f t="shared" si="46"/>
        <v>3.6607720527480847</v>
      </c>
      <c r="S110" s="38">
        <f t="shared" si="37"/>
        <v>84.564730378808903</v>
      </c>
      <c r="T110" s="50">
        <f t="shared" si="50"/>
        <v>1950</v>
      </c>
      <c r="U110" s="40">
        <f t="shared" si="51"/>
        <v>1868.8814373320049</v>
      </c>
      <c r="V110" s="41">
        <f t="shared" si="52"/>
        <v>-4.1599262906664158E-2</v>
      </c>
      <c r="W110" s="39">
        <f t="shared" si="53"/>
        <v>-81.118562667995093</v>
      </c>
      <c r="X110" s="50">
        <f t="shared" si="47"/>
        <v>88.077245925299295</v>
      </c>
      <c r="Y110" s="41">
        <f t="shared" si="54"/>
        <v>3.5685555165663185E-3</v>
      </c>
      <c r="Z110" s="52"/>
      <c r="AA110" s="50">
        <f t="shared" si="34"/>
        <v>2038.0772459252992</v>
      </c>
      <c r="AB110" s="39">
        <f t="shared" si="35"/>
        <v>1953.4452717504857</v>
      </c>
      <c r="AC110" s="39">
        <f t="shared" si="55"/>
        <v>-84.631974174813422</v>
      </c>
      <c r="AD110" s="41">
        <f t="shared" si="56"/>
        <v>-4.1525400641225452E-2</v>
      </c>
      <c r="AF110" s="46">
        <f t="shared" si="38"/>
        <v>0</v>
      </c>
      <c r="AG110" s="46">
        <f t="shared" si="57"/>
        <v>0</v>
      </c>
      <c r="AH110" s="54">
        <f t="shared" si="39"/>
        <v>553</v>
      </c>
      <c r="AI110" s="55">
        <f t="shared" si="48"/>
        <v>0.91202672605790647</v>
      </c>
      <c r="AJ110" s="55">
        <f t="shared" si="58"/>
        <v>0</v>
      </c>
      <c r="AK110" s="55">
        <f t="shared" si="59"/>
        <v>0</v>
      </c>
    </row>
    <row r="111" spans="2:37" s="53" customFormat="1" ht="17.25" customHeight="1" x14ac:dyDescent="0.25">
      <c r="B111" s="91" t="str">
        <f t="shared" si="40"/>
        <v/>
      </c>
      <c r="C111" s="81">
        <f>IF(Sheet3!A82="","",Sheet3!A82)</f>
        <v>38187</v>
      </c>
      <c r="D111" s="82">
        <f>IF(C111="","",Sheet3!E82)</f>
        <v>24.219999000000001</v>
      </c>
      <c r="E111" s="56">
        <f>_xlfn.XLOOKUP(WEEKNUM(C111)&amp;YEAR(C111),Sheet4!C:C,Sheet4!B:B,0)</f>
        <v>0</v>
      </c>
      <c r="F111" s="46">
        <f>IF(int=Weekly,-$D$5,IF(int=Bi_Weekly,-$D$5,IF(int=Monthly,-$D$5,IF(int=Quarterly,0,IF(int=Yearly,0,IF(int=None,0,0))))))</f>
        <v>-100</v>
      </c>
      <c r="G111" s="46"/>
      <c r="H111" s="46">
        <f t="shared" si="49"/>
        <v>-2050</v>
      </c>
      <c r="I111" s="47"/>
      <c r="J111" s="38">
        <f t="shared" si="36"/>
        <v>4.1288193281923746</v>
      </c>
      <c r="K111" s="48"/>
      <c r="L111" s="48">
        <f t="shared" si="41"/>
        <v>85.032777654253195</v>
      </c>
      <c r="M111" s="48"/>
      <c r="N111" s="38">
        <f t="shared" si="42"/>
        <v>0</v>
      </c>
      <c r="O111" s="36">
        <f t="shared" si="43"/>
        <v>0</v>
      </c>
      <c r="P111" s="84">
        <f t="shared" si="44"/>
        <v>-2137.6084959090231</v>
      </c>
      <c r="Q111" s="38">
        <f t="shared" si="45"/>
        <v>0</v>
      </c>
      <c r="R111" s="48">
        <f t="shared" si="46"/>
        <v>3.6607720527480847</v>
      </c>
      <c r="S111" s="38">
        <f t="shared" si="37"/>
        <v>88.693549707001281</v>
      </c>
      <c r="T111" s="50">
        <f t="shared" si="50"/>
        <v>2050</v>
      </c>
      <c r="U111" s="40">
        <f t="shared" si="51"/>
        <v>2059.493789753235</v>
      </c>
      <c r="V111" s="41">
        <f t="shared" si="52"/>
        <v>4.6311169527974982E-3</v>
      </c>
      <c r="W111" s="39">
        <f t="shared" si="53"/>
        <v>9.493789753234978</v>
      </c>
      <c r="X111" s="50">
        <f t="shared" si="47"/>
        <v>88.077245925299295</v>
      </c>
      <c r="Y111" s="41">
        <f t="shared" si="54"/>
        <v>4.7595627160260667E-2</v>
      </c>
      <c r="Z111" s="52"/>
      <c r="AA111" s="50">
        <f t="shared" si="34"/>
        <v>2138.0772459252989</v>
      </c>
      <c r="AB111" s="39">
        <f t="shared" si="35"/>
        <v>2148.1576852100216</v>
      </c>
      <c r="AC111" s="39">
        <f t="shared" si="55"/>
        <v>10.080439284722615</v>
      </c>
      <c r="AD111" s="41">
        <f t="shared" si="56"/>
        <v>4.7147217454064361E-3</v>
      </c>
      <c r="AF111" s="46">
        <f t="shared" si="38"/>
        <v>-100</v>
      </c>
      <c r="AG111" s="46">
        <f t="shared" si="57"/>
        <v>-100</v>
      </c>
      <c r="AH111" s="54">
        <f t="shared" si="39"/>
        <v>560</v>
      </c>
      <c r="AI111" s="55">
        <f t="shared" si="48"/>
        <v>0.91091314031180404</v>
      </c>
      <c r="AJ111" s="55">
        <f t="shared" si="58"/>
        <v>-91.091314031180403</v>
      </c>
      <c r="AK111" s="55">
        <f t="shared" si="59"/>
        <v>-91.091314031180403</v>
      </c>
    </row>
    <row r="112" spans="2:37" s="53" customFormat="1" ht="17.25" customHeight="1" x14ac:dyDescent="0.25">
      <c r="B112" s="91" t="str">
        <f t="shared" si="40"/>
        <v/>
      </c>
      <c r="C112" s="81">
        <f>IF(Sheet3!A83="","",Sheet3!A83)</f>
        <v>38194</v>
      </c>
      <c r="D112" s="82">
        <f>IF(C112="","",Sheet3!E83)</f>
        <v>25.34</v>
      </c>
      <c r="E112" s="56">
        <f>_xlfn.XLOOKUP(WEEKNUM(C112)&amp;YEAR(C112),Sheet4!C:C,Sheet4!B:B,0)</f>
        <v>0</v>
      </c>
      <c r="F112" s="46">
        <f>IF(int=Weekly,-$D$5,IF(int=Bi_Weekly,0,IF(int=Monthly,0,IF(int=Quarterly,0,IF(int=Yearly,0,IF(int=None,0,0))))))</f>
        <v>0</v>
      </c>
      <c r="G112" s="46"/>
      <c r="H112" s="46">
        <f t="shared" si="49"/>
        <v>-2050</v>
      </c>
      <c r="I112" s="47"/>
      <c r="J112" s="38">
        <f t="shared" si="36"/>
        <v>0</v>
      </c>
      <c r="K112" s="48"/>
      <c r="L112" s="48">
        <f t="shared" si="41"/>
        <v>85.032777654253195</v>
      </c>
      <c r="M112" s="48"/>
      <c r="N112" s="38">
        <f t="shared" si="42"/>
        <v>0</v>
      </c>
      <c r="O112" s="36">
        <f t="shared" si="43"/>
        <v>0</v>
      </c>
      <c r="P112" s="84">
        <f t="shared" si="44"/>
        <v>-2137.6084959090231</v>
      </c>
      <c r="Q112" s="38">
        <f t="shared" si="45"/>
        <v>0</v>
      </c>
      <c r="R112" s="48">
        <f t="shared" si="46"/>
        <v>3.6607720527480847</v>
      </c>
      <c r="S112" s="38">
        <f t="shared" si="37"/>
        <v>88.693549707001281</v>
      </c>
      <c r="T112" s="50">
        <f t="shared" si="50"/>
        <v>2050</v>
      </c>
      <c r="U112" s="40">
        <f t="shared" si="51"/>
        <v>2154.7305857587758</v>
      </c>
      <c r="V112" s="41">
        <f t="shared" si="52"/>
        <v>5.1088090614036963E-2</v>
      </c>
      <c r="W112" s="39">
        <f t="shared" si="53"/>
        <v>104.73058575877576</v>
      </c>
      <c r="X112" s="50">
        <f t="shared" si="47"/>
        <v>88.077245925299295</v>
      </c>
      <c r="Y112" s="41">
        <f t="shared" si="54"/>
        <v>9.4052600821500132E-2</v>
      </c>
      <c r="Z112" s="52"/>
      <c r="AA112" s="50">
        <f t="shared" si="34"/>
        <v>2138.0772459252989</v>
      </c>
      <c r="AB112" s="39">
        <f t="shared" si="35"/>
        <v>2247.4945495754123</v>
      </c>
      <c r="AC112" s="39">
        <f t="shared" si="55"/>
        <v>109.41730365011335</v>
      </c>
      <c r="AD112" s="41">
        <f t="shared" si="56"/>
        <v>5.1175561527834645E-2</v>
      </c>
      <c r="AF112" s="46">
        <f t="shared" si="38"/>
        <v>0</v>
      </c>
      <c r="AG112" s="46">
        <f t="shared" si="57"/>
        <v>0</v>
      </c>
      <c r="AH112" s="54">
        <f t="shared" si="39"/>
        <v>567</v>
      </c>
      <c r="AI112" s="55">
        <f t="shared" si="48"/>
        <v>0.90979955456570161</v>
      </c>
      <c r="AJ112" s="55">
        <f t="shared" si="58"/>
        <v>0</v>
      </c>
      <c r="AK112" s="55">
        <f t="shared" si="59"/>
        <v>0</v>
      </c>
    </row>
    <row r="113" spans="2:37" s="53" customFormat="1" ht="17.25" customHeight="1" x14ac:dyDescent="0.25">
      <c r="B113" s="91" t="str">
        <f t="shared" si="40"/>
        <v/>
      </c>
      <c r="C113" s="81">
        <f>IF(Sheet3!A84="","",Sheet3!A84)</f>
        <v>38201</v>
      </c>
      <c r="D113" s="82">
        <f>IF(C113="","",Sheet3!E84)</f>
        <v>24.85</v>
      </c>
      <c r="E113" s="56">
        <f>_xlfn.XLOOKUP(WEEKNUM(C113)&amp;YEAR(C113),Sheet4!C:C,Sheet4!B:B,0)</f>
        <v>0</v>
      </c>
      <c r="F113" s="46">
        <f>IF(int=Weekly,-$D$5,IF(int=Bi_Weekly,-$D$5,IF(int=Monthly,0,IF(int=Quarterly,0,IF(int=Yearly,0,IF(int=None,0,0))))))</f>
        <v>0</v>
      </c>
      <c r="G113" s="46"/>
      <c r="H113" s="46">
        <f t="shared" si="49"/>
        <v>-2050</v>
      </c>
      <c r="I113" s="47"/>
      <c r="J113" s="38">
        <f t="shared" si="36"/>
        <v>0</v>
      </c>
      <c r="K113" s="48"/>
      <c r="L113" s="48">
        <f t="shared" si="41"/>
        <v>85.032777654253195</v>
      </c>
      <c r="M113" s="48"/>
      <c r="N113" s="38">
        <f t="shared" si="42"/>
        <v>0</v>
      </c>
      <c r="O113" s="36">
        <f t="shared" si="43"/>
        <v>0</v>
      </c>
      <c r="P113" s="84">
        <f t="shared" si="44"/>
        <v>-2137.6084959090231</v>
      </c>
      <c r="Q113" s="38">
        <f t="shared" si="45"/>
        <v>0</v>
      </c>
      <c r="R113" s="48">
        <f t="shared" si="46"/>
        <v>3.6607720527480847</v>
      </c>
      <c r="S113" s="38">
        <f t="shared" si="37"/>
        <v>88.693549707001281</v>
      </c>
      <c r="T113" s="50">
        <f t="shared" si="50"/>
        <v>2050</v>
      </c>
      <c r="U113" s="40">
        <f t="shared" si="51"/>
        <v>2113.064524708192</v>
      </c>
      <c r="V113" s="41">
        <f t="shared" si="52"/>
        <v>3.0763182784483867E-2</v>
      </c>
      <c r="W113" s="39">
        <f t="shared" si="53"/>
        <v>63.064524708192039</v>
      </c>
      <c r="X113" s="50">
        <f t="shared" si="47"/>
        <v>88.077245925299295</v>
      </c>
      <c r="Y113" s="41">
        <f t="shared" si="54"/>
        <v>7.3727692991947036E-2</v>
      </c>
      <c r="Z113" s="52"/>
      <c r="AA113" s="50">
        <f t="shared" ref="AA113:AA176" si="60">(D113*Q113)+(D113*J113)+AA112</f>
        <v>2138.0772459252989</v>
      </c>
      <c r="AB113" s="39">
        <f t="shared" ref="AB113:AB176" si="61">(L113*D113)+(D113*R113)</f>
        <v>2204.0347102189821</v>
      </c>
      <c r="AC113" s="39">
        <f t="shared" si="55"/>
        <v>65.957464293683188</v>
      </c>
      <c r="AD113" s="41">
        <f t="shared" si="56"/>
        <v>3.0848962271771807E-2</v>
      </c>
      <c r="AF113" s="46">
        <f t="shared" si="38"/>
        <v>0</v>
      </c>
      <c r="AG113" s="46">
        <f t="shared" si="57"/>
        <v>0</v>
      </c>
      <c r="AH113" s="54">
        <f t="shared" si="39"/>
        <v>574</v>
      </c>
      <c r="AI113" s="55">
        <f t="shared" si="48"/>
        <v>0.90868596881959907</v>
      </c>
      <c r="AJ113" s="55">
        <f t="shared" si="58"/>
        <v>0</v>
      </c>
      <c r="AK113" s="55">
        <f t="shared" si="59"/>
        <v>0</v>
      </c>
    </row>
    <row r="114" spans="2:37" s="53" customFormat="1" ht="17.25" customHeight="1" x14ac:dyDescent="0.25">
      <c r="B114" s="91" t="str">
        <f t="shared" si="40"/>
        <v/>
      </c>
      <c r="C114" s="81">
        <f>IF(Sheet3!A85="","",Sheet3!A85)</f>
        <v>38208</v>
      </c>
      <c r="D114" s="82">
        <f>IF(C114="","",Sheet3!E85)</f>
        <v>25.059999000000001</v>
      </c>
      <c r="E114" s="56">
        <f>_xlfn.XLOOKUP(WEEKNUM(C114)&amp;YEAR(C114),Sheet4!C:C,Sheet4!B:B,0)</f>
        <v>0</v>
      </c>
      <c r="F114" s="46">
        <f>IF(int=Weekly,-$D$5,IF(int=Bi_Weekly,0,IF(int=Monthly,0,IF(int=Quarterly,0,IF(int=Yearly,0,IF(int=None,0,0))))))</f>
        <v>0</v>
      </c>
      <c r="G114" s="46"/>
      <c r="H114" s="46">
        <f t="shared" si="49"/>
        <v>-2050</v>
      </c>
      <c r="I114" s="47"/>
      <c r="J114" s="38">
        <f t="shared" si="36"/>
        <v>0</v>
      </c>
      <c r="K114" s="48"/>
      <c r="L114" s="48">
        <f t="shared" si="41"/>
        <v>85.032777654253195</v>
      </c>
      <c r="M114" s="48"/>
      <c r="N114" s="38">
        <f t="shared" si="42"/>
        <v>0</v>
      </c>
      <c r="O114" s="36">
        <f t="shared" si="43"/>
        <v>0</v>
      </c>
      <c r="P114" s="84">
        <f t="shared" si="44"/>
        <v>-2137.6084959090231</v>
      </c>
      <c r="Q114" s="38">
        <f t="shared" si="45"/>
        <v>0</v>
      </c>
      <c r="R114" s="48">
        <f t="shared" si="46"/>
        <v>3.6607720527480847</v>
      </c>
      <c r="S114" s="38">
        <f t="shared" si="37"/>
        <v>88.693549707001281</v>
      </c>
      <c r="T114" s="50">
        <f t="shared" si="50"/>
        <v>2050</v>
      </c>
      <c r="U114" s="40">
        <f t="shared" si="51"/>
        <v>2130.9213229828074</v>
      </c>
      <c r="V114" s="41">
        <f t="shared" si="52"/>
        <v>3.9473816089174329E-2</v>
      </c>
      <c r="W114" s="39">
        <f t="shared" si="53"/>
        <v>80.921322982807396</v>
      </c>
      <c r="X114" s="50">
        <f t="shared" si="47"/>
        <v>88.077245925299295</v>
      </c>
      <c r="Y114" s="41">
        <f t="shared" si="54"/>
        <v>8.2438326296637499E-2</v>
      </c>
      <c r="Z114" s="52"/>
      <c r="AA114" s="50">
        <f t="shared" si="60"/>
        <v>2138.0772459252989</v>
      </c>
      <c r="AB114" s="39">
        <f t="shared" si="61"/>
        <v>2222.6602669639024</v>
      </c>
      <c r="AC114" s="39">
        <f t="shared" si="55"/>
        <v>84.58302103860342</v>
      </c>
      <c r="AD114" s="41">
        <f t="shared" si="56"/>
        <v>3.9560320470085841E-2</v>
      </c>
      <c r="AF114" s="46">
        <f t="shared" si="38"/>
        <v>0</v>
      </c>
      <c r="AG114" s="46">
        <f t="shared" si="57"/>
        <v>0</v>
      </c>
      <c r="AH114" s="54">
        <f t="shared" si="39"/>
        <v>581</v>
      </c>
      <c r="AI114" s="55">
        <f t="shared" si="48"/>
        <v>0.90757238307349664</v>
      </c>
      <c r="AJ114" s="55">
        <f t="shared" si="58"/>
        <v>0</v>
      </c>
      <c r="AK114" s="55">
        <f t="shared" si="59"/>
        <v>0</v>
      </c>
    </row>
    <row r="115" spans="2:37" s="53" customFormat="1" ht="17.25" customHeight="1" x14ac:dyDescent="0.25">
      <c r="B115" s="91" t="str">
        <f t="shared" si="40"/>
        <v/>
      </c>
      <c r="C115" s="81">
        <f>IF(Sheet3!A86="","",Sheet3!A86)</f>
        <v>38215</v>
      </c>
      <c r="D115" s="82">
        <f>IF(C115="","",Sheet3!E86)</f>
        <v>25.57</v>
      </c>
      <c r="E115" s="56">
        <f>_xlfn.XLOOKUP(WEEKNUM(C115)&amp;YEAR(C115),Sheet4!C:C,Sheet4!B:B,0)</f>
        <v>0</v>
      </c>
      <c r="F115" s="46">
        <f>IF(int=Weekly,-$D$5,IF(int=Bi_Weekly,-$D$5,IF(int=Monthly,-$D$5,IF(int=Quarterly,0,IF(int=Yearly,0,IF(int=None,0,0))))))</f>
        <v>-100</v>
      </c>
      <c r="G115" s="46"/>
      <c r="H115" s="46">
        <f t="shared" si="49"/>
        <v>-2150</v>
      </c>
      <c r="I115" s="47"/>
      <c r="J115" s="38">
        <f t="shared" si="36"/>
        <v>3.9108330074305826</v>
      </c>
      <c r="K115" s="48"/>
      <c r="L115" s="48">
        <f t="shared" si="41"/>
        <v>88.943610661683778</v>
      </c>
      <c r="M115" s="48"/>
      <c r="N115" s="38">
        <f t="shared" si="42"/>
        <v>0</v>
      </c>
      <c r="O115" s="36">
        <f t="shared" si="43"/>
        <v>0</v>
      </c>
      <c r="P115" s="84">
        <f t="shared" si="44"/>
        <v>-2237.6084959090231</v>
      </c>
      <c r="Q115" s="38">
        <f t="shared" si="45"/>
        <v>0</v>
      </c>
      <c r="R115" s="48">
        <f t="shared" si="46"/>
        <v>3.6607720527480847</v>
      </c>
      <c r="S115" s="38">
        <f t="shared" si="37"/>
        <v>92.604382714431864</v>
      </c>
      <c r="T115" s="50">
        <f t="shared" si="50"/>
        <v>2150</v>
      </c>
      <c r="U115" s="40">
        <f t="shared" si="51"/>
        <v>2274.2881246192542</v>
      </c>
      <c r="V115" s="41">
        <f t="shared" si="52"/>
        <v>5.7808430055467097E-2</v>
      </c>
      <c r="W115" s="39">
        <f t="shared" si="53"/>
        <v>124.28812461925418</v>
      </c>
      <c r="X115" s="50">
        <f t="shared" si="47"/>
        <v>88.077245925299295</v>
      </c>
      <c r="Y115" s="41">
        <f t="shared" si="54"/>
        <v>9.8774590950955199E-2</v>
      </c>
      <c r="Z115" s="52"/>
      <c r="AA115" s="50">
        <f t="shared" si="60"/>
        <v>2238.0772459252989</v>
      </c>
      <c r="AB115" s="39">
        <f t="shared" si="61"/>
        <v>2367.8940660080225</v>
      </c>
      <c r="AC115" s="39">
        <f t="shared" si="55"/>
        <v>129.81682008272355</v>
      </c>
      <c r="AD115" s="41">
        <f t="shared" si="56"/>
        <v>5.8003726332087613E-2</v>
      </c>
      <c r="AF115" s="46">
        <f t="shared" si="38"/>
        <v>-100</v>
      </c>
      <c r="AG115" s="46">
        <f t="shared" si="57"/>
        <v>-100</v>
      </c>
      <c r="AH115" s="54">
        <f t="shared" si="39"/>
        <v>588</v>
      </c>
      <c r="AI115" s="55">
        <f t="shared" si="48"/>
        <v>0.90645879732739421</v>
      </c>
      <c r="AJ115" s="55">
        <f t="shared" si="58"/>
        <v>-90.645879732739417</v>
      </c>
      <c r="AK115" s="55">
        <f t="shared" si="59"/>
        <v>-90.645879732739417</v>
      </c>
    </row>
    <row r="116" spans="2:37" s="53" customFormat="1" ht="17.25" customHeight="1" x14ac:dyDescent="0.25">
      <c r="B116" s="91" t="str">
        <f t="shared" si="40"/>
        <v/>
      </c>
      <c r="C116" s="81">
        <f>IF(Sheet3!A87="","",Sheet3!A87)</f>
        <v>38222</v>
      </c>
      <c r="D116" s="82">
        <f>IF(C116="","",Sheet3!E87)</f>
        <v>25.84</v>
      </c>
      <c r="E116" s="56">
        <f>_xlfn.XLOOKUP(WEEKNUM(C116)&amp;YEAR(C116),Sheet4!C:C,Sheet4!B:B,0)</f>
        <v>0</v>
      </c>
      <c r="F116" s="46">
        <f>IF(int=Weekly,-$D$5,IF(int=Bi_Weekly,0,IF(int=Monthly,0,IF(int=Quarterly,0,IF(int=Yearly,0,IF(int=None,0,0))))))</f>
        <v>0</v>
      </c>
      <c r="G116" s="46"/>
      <c r="H116" s="46">
        <f t="shared" si="49"/>
        <v>-2150</v>
      </c>
      <c r="I116" s="47"/>
      <c r="J116" s="38">
        <f t="shared" si="36"/>
        <v>0</v>
      </c>
      <c r="K116" s="48"/>
      <c r="L116" s="48">
        <f t="shared" si="41"/>
        <v>88.943610661683778</v>
      </c>
      <c r="M116" s="48"/>
      <c r="N116" s="38">
        <f t="shared" si="42"/>
        <v>0</v>
      </c>
      <c r="O116" s="36">
        <f t="shared" si="43"/>
        <v>0</v>
      </c>
      <c r="P116" s="84">
        <f t="shared" si="44"/>
        <v>-2237.6084959090231</v>
      </c>
      <c r="Q116" s="38">
        <f t="shared" si="45"/>
        <v>0</v>
      </c>
      <c r="R116" s="48">
        <f t="shared" si="46"/>
        <v>3.6607720527480847</v>
      </c>
      <c r="S116" s="38">
        <f t="shared" si="37"/>
        <v>92.604382714431864</v>
      </c>
      <c r="T116" s="50">
        <f t="shared" si="50"/>
        <v>2150</v>
      </c>
      <c r="U116" s="40">
        <f t="shared" si="51"/>
        <v>2298.3028994979086</v>
      </c>
      <c r="V116" s="41">
        <f t="shared" si="52"/>
        <v>6.8978092789724998E-2</v>
      </c>
      <c r="W116" s="39">
        <f t="shared" si="53"/>
        <v>148.30289949790858</v>
      </c>
      <c r="X116" s="50">
        <f t="shared" si="47"/>
        <v>88.077245925299295</v>
      </c>
      <c r="Y116" s="41">
        <f t="shared" si="54"/>
        <v>0.1099442536852131</v>
      </c>
      <c r="Z116" s="52"/>
      <c r="AA116" s="50">
        <f t="shared" si="60"/>
        <v>2238.0772459252989</v>
      </c>
      <c r="AB116" s="39">
        <f t="shared" si="61"/>
        <v>2392.8972493409192</v>
      </c>
      <c r="AC116" s="39">
        <f t="shared" si="55"/>
        <v>154.82000341562025</v>
      </c>
      <c r="AD116" s="41">
        <f t="shared" si="56"/>
        <v>6.9175451248382647E-2</v>
      </c>
      <c r="AF116" s="46">
        <f t="shared" si="38"/>
        <v>0</v>
      </c>
      <c r="AG116" s="46">
        <f t="shared" si="57"/>
        <v>0</v>
      </c>
      <c r="AH116" s="54">
        <f t="shared" si="39"/>
        <v>595</v>
      </c>
      <c r="AI116" s="55">
        <f t="shared" si="48"/>
        <v>0.90534521158129178</v>
      </c>
      <c r="AJ116" s="55">
        <f t="shared" si="58"/>
        <v>0</v>
      </c>
      <c r="AK116" s="55">
        <f t="shared" si="59"/>
        <v>0</v>
      </c>
    </row>
    <row r="117" spans="2:37" s="53" customFormat="1" ht="17.25" customHeight="1" x14ac:dyDescent="0.25">
      <c r="B117" s="91" t="str">
        <f t="shared" si="40"/>
        <v/>
      </c>
      <c r="C117" s="81">
        <f>IF(Sheet3!A88="","",Sheet3!A88)</f>
        <v>38229</v>
      </c>
      <c r="D117" s="82">
        <f>IF(C117="","",Sheet3!E88)</f>
        <v>26.200001</v>
      </c>
      <c r="E117" s="56">
        <f>_xlfn.XLOOKUP(WEEKNUM(C117)&amp;YEAR(C117),Sheet4!C:C,Sheet4!B:B,0)</f>
        <v>0</v>
      </c>
      <c r="F117" s="46">
        <f>IF(int=Weekly,-$D$5,IF(int=Bi_Weekly,-$D$5,IF(int=Monthly,0,IF(int=Quarterly,0,IF(int=Yearly,0,IF(int=None,0,0))))))</f>
        <v>0</v>
      </c>
      <c r="G117" s="46"/>
      <c r="H117" s="46">
        <f t="shared" si="49"/>
        <v>-2150</v>
      </c>
      <c r="I117" s="47"/>
      <c r="J117" s="38">
        <f t="shared" si="36"/>
        <v>0</v>
      </c>
      <c r="K117" s="48"/>
      <c r="L117" s="48">
        <f t="shared" si="41"/>
        <v>88.943610661683778</v>
      </c>
      <c r="M117" s="48"/>
      <c r="N117" s="38">
        <f t="shared" si="42"/>
        <v>0</v>
      </c>
      <c r="O117" s="36">
        <f t="shared" si="43"/>
        <v>0</v>
      </c>
      <c r="P117" s="84">
        <f t="shared" si="44"/>
        <v>-2237.6084959090231</v>
      </c>
      <c r="Q117" s="38">
        <f t="shared" si="45"/>
        <v>0</v>
      </c>
      <c r="R117" s="48">
        <f t="shared" si="46"/>
        <v>3.6607720527480847</v>
      </c>
      <c r="S117" s="38">
        <f t="shared" si="37"/>
        <v>92.604382714431864</v>
      </c>
      <c r="T117" s="50">
        <f t="shared" si="50"/>
        <v>2150</v>
      </c>
      <c r="U117" s="40">
        <f t="shared" si="51"/>
        <v>2330.3226882797258</v>
      </c>
      <c r="V117" s="41">
        <f t="shared" si="52"/>
        <v>8.3871017804523662E-2</v>
      </c>
      <c r="W117" s="39">
        <f t="shared" si="53"/>
        <v>180.32268827972575</v>
      </c>
      <c r="X117" s="50">
        <f t="shared" si="47"/>
        <v>88.077245925299295</v>
      </c>
      <c r="Y117" s="41">
        <f t="shared" si="54"/>
        <v>0.12483717870001176</v>
      </c>
      <c r="Z117" s="52"/>
      <c r="AA117" s="50">
        <f t="shared" si="60"/>
        <v>2238.0772459252989</v>
      </c>
      <c r="AB117" s="39">
        <f t="shared" si="61"/>
        <v>2426.2349197224976</v>
      </c>
      <c r="AC117" s="39">
        <f t="shared" si="55"/>
        <v>188.15767379719864</v>
      </c>
      <c r="AD117" s="41">
        <f t="shared" si="56"/>
        <v>8.4071125846868489E-2</v>
      </c>
      <c r="AF117" s="46">
        <f t="shared" si="38"/>
        <v>0</v>
      </c>
      <c r="AG117" s="46">
        <f t="shared" si="57"/>
        <v>0</v>
      </c>
      <c r="AH117" s="54">
        <f t="shared" si="39"/>
        <v>602</v>
      </c>
      <c r="AI117" s="55">
        <f t="shared" si="48"/>
        <v>0.90423162583518935</v>
      </c>
      <c r="AJ117" s="55">
        <f t="shared" si="58"/>
        <v>0</v>
      </c>
      <c r="AK117" s="55">
        <f t="shared" si="59"/>
        <v>0</v>
      </c>
    </row>
    <row r="118" spans="2:37" s="53" customFormat="1" ht="17.25" customHeight="1" x14ac:dyDescent="0.25">
      <c r="B118" s="91" t="str">
        <f t="shared" si="40"/>
        <v/>
      </c>
      <c r="C118" s="81">
        <f>IF(Sheet3!A89="","",Sheet3!A89)</f>
        <v>38236</v>
      </c>
      <c r="D118" s="82">
        <f>IF(C118="","",Sheet3!E89)</f>
        <v>26.57</v>
      </c>
      <c r="E118" s="56">
        <f>_xlfn.XLOOKUP(WEEKNUM(C118)&amp;YEAR(C118),Sheet4!C:C,Sheet4!B:B,0)</f>
        <v>0</v>
      </c>
      <c r="F118" s="46">
        <f>IF(int=Weekly,-$D$5,IF(int=Bi_Weekly,0,IF(int=Monthly,0,IF(int=Quarterly,0,IF(int=Yearly,0,IF(int=None,0,0))))))</f>
        <v>0</v>
      </c>
      <c r="G118" s="46"/>
      <c r="H118" s="46">
        <f t="shared" si="49"/>
        <v>-2150</v>
      </c>
      <c r="I118" s="47"/>
      <c r="J118" s="38">
        <f t="shared" si="36"/>
        <v>0</v>
      </c>
      <c r="K118" s="48"/>
      <c r="L118" s="48">
        <f t="shared" si="41"/>
        <v>88.943610661683778</v>
      </c>
      <c r="M118" s="48"/>
      <c r="N118" s="38">
        <f t="shared" si="42"/>
        <v>0</v>
      </c>
      <c r="O118" s="36">
        <f t="shared" si="43"/>
        <v>0</v>
      </c>
      <c r="P118" s="84">
        <f t="shared" si="44"/>
        <v>-2237.6084959090231</v>
      </c>
      <c r="Q118" s="38">
        <f t="shared" si="45"/>
        <v>0</v>
      </c>
      <c r="R118" s="48">
        <f t="shared" si="46"/>
        <v>3.6607720527480847</v>
      </c>
      <c r="S118" s="38">
        <f t="shared" si="37"/>
        <v>92.604382714431864</v>
      </c>
      <c r="T118" s="50">
        <f t="shared" si="50"/>
        <v>2150</v>
      </c>
      <c r="U118" s="40">
        <f t="shared" si="51"/>
        <v>2363.2317352809382</v>
      </c>
      <c r="V118" s="41">
        <f t="shared" si="52"/>
        <v>9.917755129345962E-2</v>
      </c>
      <c r="W118" s="39">
        <f t="shared" si="53"/>
        <v>213.23173528093821</v>
      </c>
      <c r="X118" s="50">
        <f t="shared" si="47"/>
        <v>88.077245925299295</v>
      </c>
      <c r="Y118" s="41">
        <f t="shared" si="54"/>
        <v>0.14014371218894772</v>
      </c>
      <c r="Z118" s="52"/>
      <c r="AA118" s="50">
        <f t="shared" si="60"/>
        <v>2238.0772459252989</v>
      </c>
      <c r="AB118" s="39">
        <f t="shared" si="61"/>
        <v>2460.4984487224547</v>
      </c>
      <c r="AC118" s="39">
        <f t="shared" si="55"/>
        <v>222.42120279715573</v>
      </c>
      <c r="AD118" s="41">
        <f t="shared" si="56"/>
        <v>9.9380485281328701E-2</v>
      </c>
      <c r="AF118" s="46">
        <f t="shared" si="38"/>
        <v>0</v>
      </c>
      <c r="AG118" s="46">
        <f t="shared" si="57"/>
        <v>0</v>
      </c>
      <c r="AH118" s="54">
        <f t="shared" si="39"/>
        <v>609</v>
      </c>
      <c r="AI118" s="55">
        <f t="shared" si="48"/>
        <v>0.9031180400890868</v>
      </c>
      <c r="AJ118" s="55">
        <f t="shared" si="58"/>
        <v>0</v>
      </c>
      <c r="AK118" s="55">
        <f t="shared" si="59"/>
        <v>0</v>
      </c>
    </row>
    <row r="119" spans="2:37" s="53" customFormat="1" ht="17.25" customHeight="1" x14ac:dyDescent="0.25">
      <c r="B119" s="91" t="str">
        <f t="shared" si="40"/>
        <v/>
      </c>
      <c r="C119" s="81">
        <f>IF(Sheet3!A90="","",Sheet3!A90)</f>
        <v>38243</v>
      </c>
      <c r="D119" s="82">
        <f>IF(C119="","",Sheet3!E90)</f>
        <v>26.48</v>
      </c>
      <c r="E119" s="56">
        <f>_xlfn.XLOOKUP(WEEKNUM(C119)&amp;YEAR(C119),Sheet4!C:C,Sheet4!B:B,0)</f>
        <v>0</v>
      </c>
      <c r="F119" s="46">
        <f>IF(int=Weekly,-$D$5,IF(int=Bi_Weekly,-$D$5,IF(int=Monthly,-$D$5,IF(int=Quarterly,0,IF(int=Yearly,0,IF(int=None,0,0))))))</f>
        <v>-100</v>
      </c>
      <c r="G119" s="46"/>
      <c r="H119" s="46">
        <f t="shared" si="49"/>
        <v>-2250</v>
      </c>
      <c r="I119" s="47"/>
      <c r="J119" s="38">
        <f t="shared" si="36"/>
        <v>3.7764350453172204</v>
      </c>
      <c r="K119" s="48"/>
      <c r="L119" s="48">
        <f t="shared" si="41"/>
        <v>92.720045707000992</v>
      </c>
      <c r="M119" s="48"/>
      <c r="N119" s="38">
        <f t="shared" si="42"/>
        <v>0</v>
      </c>
      <c r="O119" s="36">
        <f t="shared" si="43"/>
        <v>0</v>
      </c>
      <c r="P119" s="84">
        <f t="shared" si="44"/>
        <v>-2337.6084959090231</v>
      </c>
      <c r="Q119" s="38">
        <f t="shared" si="45"/>
        <v>0</v>
      </c>
      <c r="R119" s="48">
        <f t="shared" si="46"/>
        <v>3.6607720527480847</v>
      </c>
      <c r="S119" s="38">
        <f t="shared" si="37"/>
        <v>96.380817759749078</v>
      </c>
      <c r="T119" s="50">
        <f t="shared" si="50"/>
        <v>2250</v>
      </c>
      <c r="U119" s="40">
        <f t="shared" si="51"/>
        <v>2455.2268103213864</v>
      </c>
      <c r="V119" s="41">
        <f t="shared" si="52"/>
        <v>9.1211915698393931E-2</v>
      </c>
      <c r="W119" s="39">
        <f t="shared" si="53"/>
        <v>205.22681032138644</v>
      </c>
      <c r="X119" s="50">
        <f t="shared" si="47"/>
        <v>88.077245925299295</v>
      </c>
      <c r="Y119" s="41">
        <f t="shared" si="54"/>
        <v>0.13035735833186046</v>
      </c>
      <c r="Z119" s="52"/>
      <c r="AA119" s="50">
        <f t="shared" si="60"/>
        <v>2338.0772459252989</v>
      </c>
      <c r="AB119" s="39">
        <f t="shared" si="61"/>
        <v>2552.1640542781556</v>
      </c>
      <c r="AC119" s="39">
        <f t="shared" si="55"/>
        <v>214.08680835285668</v>
      </c>
      <c r="AD119" s="41">
        <f t="shared" si="56"/>
        <v>9.1565327332943314E-2</v>
      </c>
      <c r="AF119" s="46">
        <f t="shared" si="38"/>
        <v>-100</v>
      </c>
      <c r="AG119" s="46">
        <f t="shared" si="57"/>
        <v>-100</v>
      </c>
      <c r="AH119" s="54">
        <f t="shared" si="39"/>
        <v>616</v>
      </c>
      <c r="AI119" s="55">
        <f t="shared" si="48"/>
        <v>0.90200445434298437</v>
      </c>
      <c r="AJ119" s="55">
        <f t="shared" si="58"/>
        <v>-90.200445434298445</v>
      </c>
      <c r="AK119" s="55">
        <f t="shared" si="59"/>
        <v>-90.200445434298445</v>
      </c>
    </row>
    <row r="120" spans="2:37" s="53" customFormat="1" ht="17.25" customHeight="1" x14ac:dyDescent="0.25">
      <c r="B120" s="91" t="str">
        <f t="shared" si="40"/>
        <v/>
      </c>
      <c r="C120" s="81">
        <f>IF(Sheet3!A91="","",Sheet3!A91)</f>
        <v>38250</v>
      </c>
      <c r="D120" s="82">
        <f>IF(C120="","",Sheet3!E91)</f>
        <v>26.049999</v>
      </c>
      <c r="E120" s="56">
        <f>_xlfn.XLOOKUP(WEEKNUM(C120)&amp;YEAR(C120),Sheet4!C:C,Sheet4!B:B,0)</f>
        <v>0</v>
      </c>
      <c r="F120" s="46">
        <f>IF(int=Weekly,-$D$5,IF(int=Bi_Weekly,0,IF(int=Monthly,0,IF(int=Quarterly,0,IF(int=Yearly,0,IF(int=None,0,0))))))</f>
        <v>0</v>
      </c>
      <c r="G120" s="46"/>
      <c r="H120" s="46">
        <f t="shared" si="49"/>
        <v>-2250</v>
      </c>
      <c r="I120" s="47"/>
      <c r="J120" s="38">
        <f t="shared" si="36"/>
        <v>0</v>
      </c>
      <c r="K120" s="48"/>
      <c r="L120" s="48">
        <f t="shared" si="41"/>
        <v>92.720045707000992</v>
      </c>
      <c r="M120" s="48"/>
      <c r="N120" s="38">
        <f t="shared" si="42"/>
        <v>0</v>
      </c>
      <c r="O120" s="36">
        <f t="shared" si="43"/>
        <v>0</v>
      </c>
      <c r="P120" s="84">
        <f t="shared" si="44"/>
        <v>-2337.6084959090231</v>
      </c>
      <c r="Q120" s="38">
        <f t="shared" si="45"/>
        <v>0</v>
      </c>
      <c r="R120" s="48">
        <f t="shared" si="46"/>
        <v>3.6607720527480847</v>
      </c>
      <c r="S120" s="38">
        <f t="shared" si="37"/>
        <v>96.380817759749078</v>
      </c>
      <c r="T120" s="50">
        <f t="shared" si="50"/>
        <v>2250</v>
      </c>
      <c r="U120" s="40">
        <f t="shared" si="51"/>
        <v>2415.3570979473302</v>
      </c>
      <c r="V120" s="41">
        <f t="shared" si="52"/>
        <v>7.3492043532146667E-2</v>
      </c>
      <c r="W120" s="39">
        <f t="shared" si="53"/>
        <v>165.3570979473302</v>
      </c>
      <c r="X120" s="50">
        <f t="shared" si="47"/>
        <v>88.077245925299295</v>
      </c>
      <c r="Y120" s="41">
        <f t="shared" si="54"/>
        <v>0.1126374861656132</v>
      </c>
      <c r="Z120" s="52"/>
      <c r="AA120" s="50">
        <f t="shared" si="60"/>
        <v>2338.0772459252989</v>
      </c>
      <c r="AB120" s="39">
        <f t="shared" si="61"/>
        <v>2510.7202062606457</v>
      </c>
      <c r="AC120" s="39">
        <f t="shared" si="55"/>
        <v>172.64296033534674</v>
      </c>
      <c r="AD120" s="41">
        <f t="shared" si="56"/>
        <v>7.3839716218196516E-2</v>
      </c>
      <c r="AF120" s="46">
        <f t="shared" si="38"/>
        <v>0</v>
      </c>
      <c r="AG120" s="46">
        <f t="shared" si="57"/>
        <v>0</v>
      </c>
      <c r="AH120" s="54">
        <f t="shared" si="39"/>
        <v>623</v>
      </c>
      <c r="AI120" s="55">
        <f t="shared" si="48"/>
        <v>0.90089086859688194</v>
      </c>
      <c r="AJ120" s="55">
        <f t="shared" si="58"/>
        <v>0</v>
      </c>
      <c r="AK120" s="55">
        <f t="shared" si="59"/>
        <v>0</v>
      </c>
    </row>
    <row r="121" spans="2:37" s="53" customFormat="1" ht="17.25" customHeight="1" x14ac:dyDescent="0.25">
      <c r="B121" s="91" t="str">
        <f t="shared" si="40"/>
        <v/>
      </c>
      <c r="C121" s="81">
        <f>IF(Sheet3!A92="","",Sheet3!A92)</f>
        <v>38257</v>
      </c>
      <c r="D121" s="82">
        <f>IF(C121="","",Sheet3!E92)</f>
        <v>26.32</v>
      </c>
      <c r="E121" s="56">
        <f>_xlfn.XLOOKUP(WEEKNUM(C121)&amp;YEAR(C121),Sheet4!C:C,Sheet4!B:B,0)</f>
        <v>0</v>
      </c>
      <c r="F121" s="46">
        <f>IF(int=Weekly,-$D$5,IF(int=Bi_Weekly,-$D$5,IF(int=Monthly,0,IF(int=Quarterly,0,IF(int=Yearly,0,IF(int=None,0,0))))))</f>
        <v>0</v>
      </c>
      <c r="G121" s="46"/>
      <c r="H121" s="46">
        <f t="shared" si="49"/>
        <v>-2250</v>
      </c>
      <c r="I121" s="47"/>
      <c r="J121" s="38">
        <f t="shared" si="36"/>
        <v>0</v>
      </c>
      <c r="K121" s="48"/>
      <c r="L121" s="48">
        <f t="shared" si="41"/>
        <v>92.720045707000992</v>
      </c>
      <c r="M121" s="48"/>
      <c r="N121" s="38">
        <f t="shared" si="42"/>
        <v>0</v>
      </c>
      <c r="O121" s="36">
        <f t="shared" si="43"/>
        <v>0</v>
      </c>
      <c r="P121" s="84">
        <f t="shared" si="44"/>
        <v>-2337.6084959090231</v>
      </c>
      <c r="Q121" s="38">
        <f t="shared" si="45"/>
        <v>0</v>
      </c>
      <c r="R121" s="48">
        <f t="shared" si="46"/>
        <v>3.6607720527480847</v>
      </c>
      <c r="S121" s="38">
        <f t="shared" si="37"/>
        <v>96.380817759749078</v>
      </c>
      <c r="T121" s="50">
        <f t="shared" si="50"/>
        <v>2250</v>
      </c>
      <c r="U121" s="40">
        <f t="shared" si="51"/>
        <v>2440.391603008266</v>
      </c>
      <c r="V121" s="41">
        <f t="shared" si="52"/>
        <v>8.4618490225895959E-2</v>
      </c>
      <c r="W121" s="39">
        <f t="shared" si="53"/>
        <v>190.39160300826597</v>
      </c>
      <c r="X121" s="50">
        <f t="shared" si="47"/>
        <v>88.077245925299295</v>
      </c>
      <c r="Y121" s="41">
        <f t="shared" si="54"/>
        <v>0.12376393285936249</v>
      </c>
      <c r="Z121" s="52"/>
      <c r="AA121" s="50">
        <f t="shared" si="60"/>
        <v>2338.0772459252989</v>
      </c>
      <c r="AB121" s="39">
        <f t="shared" si="61"/>
        <v>2536.7431234365954</v>
      </c>
      <c r="AC121" s="39">
        <f t="shared" si="55"/>
        <v>198.66587751129646</v>
      </c>
      <c r="AD121" s="41">
        <f t="shared" si="56"/>
        <v>8.4969766442714034E-2</v>
      </c>
      <c r="AF121" s="46">
        <f t="shared" si="38"/>
        <v>0</v>
      </c>
      <c r="AG121" s="46">
        <f t="shared" si="57"/>
        <v>0</v>
      </c>
      <c r="AH121" s="54">
        <f t="shared" si="39"/>
        <v>630</v>
      </c>
      <c r="AI121" s="55">
        <f t="shared" si="48"/>
        <v>0.89977728285077951</v>
      </c>
      <c r="AJ121" s="55">
        <f t="shared" si="58"/>
        <v>0</v>
      </c>
      <c r="AK121" s="55">
        <f t="shared" si="59"/>
        <v>0</v>
      </c>
    </row>
    <row r="122" spans="2:37" s="53" customFormat="1" ht="17.25" customHeight="1" x14ac:dyDescent="0.25">
      <c r="B122" s="91" t="str">
        <f t="shared" si="40"/>
        <v/>
      </c>
      <c r="C122" s="81">
        <f>IF(Sheet3!A93="","",Sheet3!A93)</f>
        <v>38264</v>
      </c>
      <c r="D122" s="82">
        <f>IF(C122="","",Sheet3!E93)</f>
        <v>26.83</v>
      </c>
      <c r="E122" s="56">
        <f>_xlfn.XLOOKUP(WEEKNUM(C122)&amp;YEAR(C122),Sheet4!C:C,Sheet4!B:B,0)</f>
        <v>0.3125</v>
      </c>
      <c r="F122" s="46">
        <f>IF(int=Weekly,-$D$5,IF(int=Bi_Weekly,0,IF(int=Monthly,0,IF(int=Quarterly,-$D$5,IF(int=Yearly,0,IF(int=None,0,0))))))</f>
        <v>0</v>
      </c>
      <c r="G122" s="46"/>
      <c r="H122" s="46">
        <f t="shared" si="49"/>
        <v>-2250</v>
      </c>
      <c r="I122" s="47"/>
      <c r="J122" s="38">
        <f t="shared" si="36"/>
        <v>0</v>
      </c>
      <c r="K122" s="48"/>
      <c r="L122" s="48">
        <f t="shared" si="41"/>
        <v>92.720045707000992</v>
      </c>
      <c r="M122" s="48"/>
      <c r="N122" s="38">
        <f t="shared" si="42"/>
        <v>28.975014283437808</v>
      </c>
      <c r="O122" s="36">
        <f t="shared" si="43"/>
        <v>-28.975014283437808</v>
      </c>
      <c r="P122" s="84">
        <f t="shared" si="44"/>
        <v>-2366.5835101924608</v>
      </c>
      <c r="Q122" s="38">
        <f t="shared" si="45"/>
        <v>1.0799483519730828</v>
      </c>
      <c r="R122" s="48">
        <f t="shared" si="46"/>
        <v>4.7407204047211673</v>
      </c>
      <c r="S122" s="38">
        <f t="shared" si="37"/>
        <v>97.460766111722165</v>
      </c>
      <c r="T122" s="50">
        <f t="shared" si="50"/>
        <v>2250</v>
      </c>
      <c r="U122" s="40">
        <f t="shared" si="51"/>
        <v>2487.6788263188364</v>
      </c>
      <c r="V122" s="41">
        <f t="shared" si="52"/>
        <v>0.10563503391948292</v>
      </c>
      <c r="W122" s="39">
        <f t="shared" si="53"/>
        <v>237.6788263188364</v>
      </c>
      <c r="X122" s="50">
        <f t="shared" si="47"/>
        <v>117.0522602087371</v>
      </c>
      <c r="Y122" s="41">
        <f t="shared" si="54"/>
        <v>0.15765826067892164</v>
      </c>
      <c r="Z122" s="52"/>
      <c r="AA122" s="50">
        <f t="shared" si="60"/>
        <v>2367.0522602087367</v>
      </c>
      <c r="AB122" s="39">
        <f t="shared" si="61"/>
        <v>2614.8723547775053</v>
      </c>
      <c r="AC122" s="39">
        <f t="shared" si="55"/>
        <v>247.82009456876858</v>
      </c>
      <c r="AD122" s="41">
        <f t="shared" si="56"/>
        <v>0.10469565828128991</v>
      </c>
      <c r="AF122" s="46">
        <f t="shared" si="38"/>
        <v>28.975014283437808</v>
      </c>
      <c r="AG122" s="46">
        <f t="shared" si="57"/>
        <v>0</v>
      </c>
      <c r="AH122" s="54">
        <f t="shared" si="39"/>
        <v>637</v>
      </c>
      <c r="AI122" s="55">
        <f t="shared" si="48"/>
        <v>0.89866369710467708</v>
      </c>
      <c r="AJ122" s="55">
        <f t="shared" si="58"/>
        <v>26.038793459615047</v>
      </c>
      <c r="AK122" s="55">
        <f t="shared" si="59"/>
        <v>0</v>
      </c>
    </row>
    <row r="123" spans="2:37" s="53" customFormat="1" ht="17.25" customHeight="1" x14ac:dyDescent="0.25">
      <c r="B123" s="91" t="str">
        <f t="shared" si="40"/>
        <v/>
      </c>
      <c r="C123" s="81">
        <f>IF(Sheet3!A94="","",Sheet3!A94)</f>
        <v>38271</v>
      </c>
      <c r="D123" s="82">
        <f>IF(C123="","",Sheet3!E94)</f>
        <v>26.68</v>
      </c>
      <c r="E123" s="56">
        <f>_xlfn.XLOOKUP(WEEKNUM(C123)&amp;YEAR(C123),Sheet4!C:C,Sheet4!B:B,0)</f>
        <v>0</v>
      </c>
      <c r="F123" s="46">
        <f>IF(int=Weekly,-$D$5,IF(int=Bi_Weekly,-$D$5,IF(int=Monthly,-$D$5,IF(int=Quarterly,0,IF(int=Yearly,0,IF(int=None,0,0))))))</f>
        <v>-100</v>
      </c>
      <c r="G123" s="46"/>
      <c r="H123" s="46">
        <f t="shared" si="49"/>
        <v>-2350</v>
      </c>
      <c r="I123" s="47"/>
      <c r="J123" s="38">
        <f t="shared" si="36"/>
        <v>3.7481259370314843</v>
      </c>
      <c r="K123" s="48"/>
      <c r="L123" s="48">
        <f t="shared" si="41"/>
        <v>96.468171644032481</v>
      </c>
      <c r="M123" s="48"/>
      <c r="N123" s="38">
        <f t="shared" si="42"/>
        <v>0</v>
      </c>
      <c r="O123" s="36">
        <f t="shared" si="43"/>
        <v>0</v>
      </c>
      <c r="P123" s="84">
        <f t="shared" si="44"/>
        <v>-2466.5835101924608</v>
      </c>
      <c r="Q123" s="38">
        <f t="shared" si="45"/>
        <v>0</v>
      </c>
      <c r="R123" s="48">
        <f t="shared" si="46"/>
        <v>4.7407204047211673</v>
      </c>
      <c r="S123" s="38">
        <f t="shared" si="37"/>
        <v>101.20889204875365</v>
      </c>
      <c r="T123" s="50">
        <f t="shared" si="50"/>
        <v>2350</v>
      </c>
      <c r="U123" s="40">
        <f t="shared" si="51"/>
        <v>2573.7708194627867</v>
      </c>
      <c r="V123" s="41">
        <f t="shared" si="52"/>
        <v>9.5221625303313573E-2</v>
      </c>
      <c r="W123" s="39">
        <f t="shared" si="53"/>
        <v>223.77081946278668</v>
      </c>
      <c r="X123" s="50">
        <f t="shared" si="47"/>
        <v>117.0522602087371</v>
      </c>
      <c r="Y123" s="41">
        <f t="shared" si="54"/>
        <v>0.14503109773256329</v>
      </c>
      <c r="Z123" s="52"/>
      <c r="AA123" s="50">
        <f t="shared" si="60"/>
        <v>2467.0522602087367</v>
      </c>
      <c r="AB123" s="39">
        <f t="shared" si="61"/>
        <v>2700.2532398607473</v>
      </c>
      <c r="AC123" s="39">
        <f t="shared" si="55"/>
        <v>233.20097965201057</v>
      </c>
      <c r="AD123" s="41">
        <f t="shared" si="56"/>
        <v>9.4526161205956472E-2</v>
      </c>
      <c r="AF123" s="46">
        <f t="shared" si="38"/>
        <v>-100</v>
      </c>
      <c r="AG123" s="46">
        <f t="shared" si="57"/>
        <v>-100</v>
      </c>
      <c r="AH123" s="54">
        <f t="shared" si="39"/>
        <v>644</v>
      </c>
      <c r="AI123" s="55">
        <f t="shared" si="48"/>
        <v>0.89755011135857465</v>
      </c>
      <c r="AJ123" s="55">
        <f t="shared" si="58"/>
        <v>-89.755011135857472</v>
      </c>
      <c r="AK123" s="55">
        <f t="shared" si="59"/>
        <v>-89.755011135857472</v>
      </c>
    </row>
    <row r="124" spans="2:37" s="53" customFormat="1" ht="17.25" customHeight="1" x14ac:dyDescent="0.25">
      <c r="B124" s="91" t="str">
        <f t="shared" si="40"/>
        <v/>
      </c>
      <c r="C124" s="81">
        <f>IF(Sheet3!A95="","",Sheet3!A95)</f>
        <v>38278</v>
      </c>
      <c r="D124" s="82">
        <f>IF(C124="","",Sheet3!E95)</f>
        <v>25.24</v>
      </c>
      <c r="E124" s="56">
        <f>_xlfn.XLOOKUP(WEEKNUM(C124)&amp;YEAR(C124),Sheet4!C:C,Sheet4!B:B,0)</f>
        <v>0</v>
      </c>
      <c r="F124" s="46">
        <f>IF(int=Weekly,-$D$5,IF(int=Bi_Weekly,0,IF(int=Monthly,0,IF(int=Quarterly,0,IF(int=Yearly,0,IF(int=None,0,0))))))</f>
        <v>0</v>
      </c>
      <c r="G124" s="46"/>
      <c r="H124" s="46">
        <f t="shared" si="49"/>
        <v>-2350</v>
      </c>
      <c r="I124" s="47"/>
      <c r="J124" s="38">
        <f t="shared" si="36"/>
        <v>0</v>
      </c>
      <c r="K124" s="48"/>
      <c r="L124" s="48">
        <f t="shared" si="41"/>
        <v>96.468171644032481</v>
      </c>
      <c r="M124" s="48"/>
      <c r="N124" s="38">
        <f t="shared" si="42"/>
        <v>0</v>
      </c>
      <c r="O124" s="36">
        <f t="shared" si="43"/>
        <v>0</v>
      </c>
      <c r="P124" s="84">
        <f t="shared" si="44"/>
        <v>-2466.5835101924608</v>
      </c>
      <c r="Q124" s="38">
        <f t="shared" si="45"/>
        <v>0</v>
      </c>
      <c r="R124" s="48">
        <f t="shared" si="46"/>
        <v>4.7407204047211673</v>
      </c>
      <c r="S124" s="38">
        <f t="shared" si="37"/>
        <v>101.20889204875365</v>
      </c>
      <c r="T124" s="50">
        <f t="shared" si="50"/>
        <v>2350</v>
      </c>
      <c r="U124" s="40">
        <f t="shared" si="51"/>
        <v>2434.8566522953797</v>
      </c>
      <c r="V124" s="41">
        <f t="shared" si="52"/>
        <v>3.6109213742714807E-2</v>
      </c>
      <c r="W124" s="39">
        <f t="shared" si="53"/>
        <v>84.856652295379718</v>
      </c>
      <c r="X124" s="50">
        <f t="shared" si="47"/>
        <v>117.0522602087371</v>
      </c>
      <c r="Y124" s="41">
        <f t="shared" si="54"/>
        <v>8.591868617196452E-2</v>
      </c>
      <c r="Z124" s="52"/>
      <c r="AA124" s="50">
        <f t="shared" si="60"/>
        <v>2467.0522602087367</v>
      </c>
      <c r="AB124" s="39">
        <f t="shared" si="61"/>
        <v>2554.5124353105421</v>
      </c>
      <c r="AC124" s="39">
        <f t="shared" si="55"/>
        <v>87.460175101805362</v>
      </c>
      <c r="AD124" s="41">
        <f t="shared" si="56"/>
        <v>3.545128593846858E-2</v>
      </c>
      <c r="AF124" s="46">
        <f t="shared" si="38"/>
        <v>0</v>
      </c>
      <c r="AG124" s="46">
        <f t="shared" si="57"/>
        <v>0</v>
      </c>
      <c r="AH124" s="54">
        <f t="shared" si="39"/>
        <v>651</v>
      </c>
      <c r="AI124" s="55">
        <f t="shared" si="48"/>
        <v>0.89643652561247211</v>
      </c>
      <c r="AJ124" s="55">
        <f t="shared" si="58"/>
        <v>0</v>
      </c>
      <c r="AK124" s="55">
        <f t="shared" si="59"/>
        <v>0</v>
      </c>
    </row>
    <row r="125" spans="2:37" s="53" customFormat="1" ht="17.25" customHeight="1" x14ac:dyDescent="0.25">
      <c r="B125" s="91" t="str">
        <f t="shared" si="40"/>
        <v/>
      </c>
      <c r="C125" s="81">
        <f>IF(Sheet3!A96="","",Sheet3!A96)</f>
        <v>38285</v>
      </c>
      <c r="D125" s="82">
        <f>IF(C125="","",Sheet3!E96)</f>
        <v>25.26</v>
      </c>
      <c r="E125" s="56">
        <f>_xlfn.XLOOKUP(WEEKNUM(C125)&amp;YEAR(C125),Sheet4!C:C,Sheet4!B:B,0)</f>
        <v>0</v>
      </c>
      <c r="F125" s="46">
        <f>IF(int=Weekly,-$D$5,IF(int=Bi_Weekly,-$D$5,IF(int=Monthly,0,IF(int=Quarterly,0,IF(int=Yearly,0,IF(int=None,0,0))))))</f>
        <v>0</v>
      </c>
      <c r="G125" s="46"/>
      <c r="H125" s="46">
        <f t="shared" si="49"/>
        <v>-2350</v>
      </c>
      <c r="I125" s="47"/>
      <c r="J125" s="38">
        <f t="shared" si="36"/>
        <v>0</v>
      </c>
      <c r="K125" s="48"/>
      <c r="L125" s="48">
        <f t="shared" si="41"/>
        <v>96.468171644032481</v>
      </c>
      <c r="M125" s="48"/>
      <c r="N125" s="38">
        <f t="shared" si="42"/>
        <v>0</v>
      </c>
      <c r="O125" s="36">
        <f t="shared" si="43"/>
        <v>0</v>
      </c>
      <c r="P125" s="84">
        <f t="shared" si="44"/>
        <v>-2466.5835101924608</v>
      </c>
      <c r="Q125" s="38">
        <f t="shared" si="45"/>
        <v>0</v>
      </c>
      <c r="R125" s="48">
        <f t="shared" si="46"/>
        <v>4.7407204047211673</v>
      </c>
      <c r="S125" s="38">
        <f t="shared" si="37"/>
        <v>101.20889204875365</v>
      </c>
      <c r="T125" s="50">
        <f t="shared" si="50"/>
        <v>2350</v>
      </c>
      <c r="U125" s="40">
        <f t="shared" si="51"/>
        <v>2436.7860157282607</v>
      </c>
      <c r="V125" s="41">
        <f t="shared" si="52"/>
        <v>3.6930219458834346E-2</v>
      </c>
      <c r="W125" s="39">
        <f t="shared" si="53"/>
        <v>86.786015728260736</v>
      </c>
      <c r="X125" s="50">
        <f t="shared" si="47"/>
        <v>117.0522602087371</v>
      </c>
      <c r="Y125" s="41">
        <f t="shared" si="54"/>
        <v>8.673969188808428E-2</v>
      </c>
      <c r="Z125" s="52"/>
      <c r="AA125" s="50">
        <f t="shared" si="60"/>
        <v>2467.0522602087367</v>
      </c>
      <c r="AB125" s="39">
        <f t="shared" si="61"/>
        <v>2556.5366131515175</v>
      </c>
      <c r="AC125" s="39">
        <f t="shared" si="55"/>
        <v>89.484352942780788</v>
      </c>
      <c r="AD125" s="41">
        <f t="shared" si="56"/>
        <v>3.6271770317183982E-2</v>
      </c>
      <c r="AF125" s="46">
        <f t="shared" si="38"/>
        <v>0</v>
      </c>
      <c r="AG125" s="46">
        <f t="shared" si="57"/>
        <v>0</v>
      </c>
      <c r="AH125" s="54">
        <f t="shared" si="39"/>
        <v>658</v>
      </c>
      <c r="AI125" s="55">
        <f t="shared" si="48"/>
        <v>0.89532293986636968</v>
      </c>
      <c r="AJ125" s="55">
        <f t="shared" si="58"/>
        <v>0</v>
      </c>
      <c r="AK125" s="55">
        <f t="shared" si="59"/>
        <v>0</v>
      </c>
    </row>
    <row r="126" spans="2:37" s="53" customFormat="1" ht="17.25" customHeight="1" x14ac:dyDescent="0.25">
      <c r="B126" s="91" t="str">
        <f t="shared" si="40"/>
        <v/>
      </c>
      <c r="C126" s="81">
        <f>IF(Sheet3!A97="","",Sheet3!A97)</f>
        <v>38292</v>
      </c>
      <c r="D126" s="82">
        <f>IF(C126="","",Sheet3!E97)</f>
        <v>26.25</v>
      </c>
      <c r="E126" s="56">
        <f>_xlfn.XLOOKUP(WEEKNUM(C126)&amp;YEAR(C126),Sheet4!C:C,Sheet4!B:B,0)</f>
        <v>0</v>
      </c>
      <c r="F126" s="46">
        <f>IF(int=Weekly,-$D$5,IF(int=Bi_Weekly,0,IF(int=Monthly,0,IF(int=Quarterly,0,IF(int=Yearly,0,IF(int=None,0,0))))))</f>
        <v>0</v>
      </c>
      <c r="G126" s="46"/>
      <c r="H126" s="46">
        <f t="shared" si="49"/>
        <v>-2350</v>
      </c>
      <c r="I126" s="47"/>
      <c r="J126" s="38">
        <f t="shared" si="36"/>
        <v>0</v>
      </c>
      <c r="K126" s="48"/>
      <c r="L126" s="48">
        <f t="shared" si="41"/>
        <v>96.468171644032481</v>
      </c>
      <c r="M126" s="48"/>
      <c r="N126" s="38">
        <f t="shared" si="42"/>
        <v>0</v>
      </c>
      <c r="O126" s="36">
        <f t="shared" si="43"/>
        <v>0</v>
      </c>
      <c r="P126" s="84">
        <f t="shared" si="44"/>
        <v>-2466.5835101924608</v>
      </c>
      <c r="Q126" s="38">
        <f t="shared" si="45"/>
        <v>0</v>
      </c>
      <c r="R126" s="48">
        <f t="shared" si="46"/>
        <v>4.7407204047211673</v>
      </c>
      <c r="S126" s="38">
        <f t="shared" si="37"/>
        <v>101.20889204875365</v>
      </c>
      <c r="T126" s="50">
        <f t="shared" si="50"/>
        <v>2350</v>
      </c>
      <c r="U126" s="40">
        <f t="shared" si="51"/>
        <v>2532.2895056558527</v>
      </c>
      <c r="V126" s="41">
        <f t="shared" si="52"/>
        <v>7.757000240674583E-2</v>
      </c>
      <c r="W126" s="39">
        <f t="shared" si="53"/>
        <v>182.28950565585274</v>
      </c>
      <c r="X126" s="50">
        <f t="shared" si="47"/>
        <v>117.0522602087371</v>
      </c>
      <c r="Y126" s="41">
        <f t="shared" si="54"/>
        <v>0.12737947483599577</v>
      </c>
      <c r="Z126" s="52"/>
      <c r="AA126" s="50">
        <f t="shared" si="60"/>
        <v>2467.0522602087367</v>
      </c>
      <c r="AB126" s="39">
        <f t="shared" si="61"/>
        <v>2656.7334162797833</v>
      </c>
      <c r="AC126" s="39">
        <f t="shared" si="55"/>
        <v>189.68115607104664</v>
      </c>
      <c r="AD126" s="41">
        <f t="shared" si="56"/>
        <v>7.6885747063581755E-2</v>
      </c>
      <c r="AF126" s="46">
        <f t="shared" si="38"/>
        <v>0</v>
      </c>
      <c r="AG126" s="46">
        <f t="shared" si="57"/>
        <v>0</v>
      </c>
      <c r="AH126" s="54">
        <f t="shared" si="39"/>
        <v>665</v>
      </c>
      <c r="AI126" s="55">
        <f t="shared" si="48"/>
        <v>0.89420935412026725</v>
      </c>
      <c r="AJ126" s="55">
        <f t="shared" si="58"/>
        <v>0</v>
      </c>
      <c r="AK126" s="55">
        <f t="shared" si="59"/>
        <v>0</v>
      </c>
    </row>
    <row r="127" spans="2:37" s="53" customFormat="1" ht="17.25" customHeight="1" x14ac:dyDescent="0.25">
      <c r="B127" s="91" t="str">
        <f t="shared" si="40"/>
        <v/>
      </c>
      <c r="C127" s="81">
        <f>IF(Sheet3!A98="","",Sheet3!A98)</f>
        <v>38299</v>
      </c>
      <c r="D127" s="82">
        <f>IF(C127="","",Sheet3!E98)</f>
        <v>26.67</v>
      </c>
      <c r="E127" s="56">
        <f>_xlfn.XLOOKUP(WEEKNUM(C127)&amp;YEAR(C127),Sheet4!C:C,Sheet4!B:B,0)</f>
        <v>0</v>
      </c>
      <c r="F127" s="46">
        <f>IF(int=Weekly,-$D$5,IF(int=Bi_Weekly,-$D$5,IF(int=Monthly,-$D$5,IF(int=Quarterly,0,IF(int=Yearly,0,IF(int=None,0,0))))))</f>
        <v>-100</v>
      </c>
      <c r="G127" s="46"/>
      <c r="H127" s="46">
        <f t="shared" si="49"/>
        <v>-2450</v>
      </c>
      <c r="I127" s="47"/>
      <c r="J127" s="38">
        <f t="shared" si="36"/>
        <v>3.7495313085864264</v>
      </c>
      <c r="K127" s="48"/>
      <c r="L127" s="48">
        <f t="shared" si="41"/>
        <v>100.21770295261891</v>
      </c>
      <c r="M127" s="48"/>
      <c r="N127" s="38">
        <f t="shared" si="42"/>
        <v>0</v>
      </c>
      <c r="O127" s="36">
        <f t="shared" si="43"/>
        <v>0</v>
      </c>
      <c r="P127" s="84">
        <f t="shared" si="44"/>
        <v>-2566.5835101924608</v>
      </c>
      <c r="Q127" s="38">
        <f t="shared" si="45"/>
        <v>0</v>
      </c>
      <c r="R127" s="48">
        <f t="shared" si="46"/>
        <v>4.7407204047211673</v>
      </c>
      <c r="S127" s="38">
        <f t="shared" si="37"/>
        <v>104.95842335734008</v>
      </c>
      <c r="T127" s="50">
        <f t="shared" si="50"/>
        <v>2450</v>
      </c>
      <c r="U127" s="40">
        <f t="shared" si="51"/>
        <v>2672.8061377463464</v>
      </c>
      <c r="V127" s="41">
        <f t="shared" si="52"/>
        <v>9.0941280712794503E-2</v>
      </c>
      <c r="W127" s="39">
        <f t="shared" si="53"/>
        <v>222.80613774634639</v>
      </c>
      <c r="X127" s="50">
        <f t="shared" si="47"/>
        <v>117.0522602087371</v>
      </c>
      <c r="Y127" s="41">
        <f t="shared" si="54"/>
        <v>0.13871771345105444</v>
      </c>
      <c r="Z127" s="52"/>
      <c r="AA127" s="50">
        <f t="shared" si="60"/>
        <v>2567.0522602087367</v>
      </c>
      <c r="AB127" s="39">
        <f t="shared" si="61"/>
        <v>2799.24115094026</v>
      </c>
      <c r="AC127" s="39">
        <f t="shared" si="55"/>
        <v>232.18889073152332</v>
      </c>
      <c r="AD127" s="41">
        <f t="shared" si="56"/>
        <v>9.0449615822251861E-2</v>
      </c>
      <c r="AF127" s="46">
        <f t="shared" si="38"/>
        <v>-100</v>
      </c>
      <c r="AG127" s="46">
        <f t="shared" si="57"/>
        <v>-100</v>
      </c>
      <c r="AH127" s="54">
        <f t="shared" si="39"/>
        <v>672</v>
      </c>
      <c r="AI127" s="55">
        <f t="shared" si="48"/>
        <v>0.89309576837416482</v>
      </c>
      <c r="AJ127" s="55">
        <f t="shared" si="58"/>
        <v>-89.309576837416486</v>
      </c>
      <c r="AK127" s="55">
        <f t="shared" si="59"/>
        <v>-89.309576837416486</v>
      </c>
    </row>
    <row r="128" spans="2:37" s="53" customFormat="1" ht="17.25" customHeight="1" x14ac:dyDescent="0.25">
      <c r="B128" s="91" t="str">
        <f t="shared" si="40"/>
        <v/>
      </c>
      <c r="C128" s="81">
        <f>IF(Sheet3!A99="","",Sheet3!A99)</f>
        <v>38306</v>
      </c>
      <c r="D128" s="82">
        <f>IF(C128="","",Sheet3!E99)</f>
        <v>25.889999</v>
      </c>
      <c r="E128" s="56">
        <f>_xlfn.XLOOKUP(WEEKNUM(C128)&amp;YEAR(C128),Sheet4!C:C,Sheet4!B:B,0)</f>
        <v>0</v>
      </c>
      <c r="F128" s="46">
        <f>IF(int=Weekly,-$D$5,IF(int=Bi_Weekly,0,IF(int=Monthly,0,IF(int=Quarterly,0,IF(int=Yearly,0,IF(int=None,0,0))))))</f>
        <v>0</v>
      </c>
      <c r="G128" s="46"/>
      <c r="H128" s="46">
        <f t="shared" si="49"/>
        <v>-2450</v>
      </c>
      <c r="I128" s="47"/>
      <c r="J128" s="38">
        <f t="shared" si="36"/>
        <v>0</v>
      </c>
      <c r="K128" s="48"/>
      <c r="L128" s="48">
        <f t="shared" si="41"/>
        <v>100.21770295261891</v>
      </c>
      <c r="M128" s="48"/>
      <c r="N128" s="38">
        <f t="shared" si="42"/>
        <v>0</v>
      </c>
      <c r="O128" s="36">
        <f t="shared" si="43"/>
        <v>0</v>
      </c>
      <c r="P128" s="84">
        <f t="shared" si="44"/>
        <v>-2566.5835101924608</v>
      </c>
      <c r="Q128" s="38">
        <f t="shared" si="45"/>
        <v>0</v>
      </c>
      <c r="R128" s="48">
        <f t="shared" si="46"/>
        <v>4.7407204047211673</v>
      </c>
      <c r="S128" s="38">
        <f t="shared" si="37"/>
        <v>104.95842335734008</v>
      </c>
      <c r="T128" s="50">
        <f t="shared" si="50"/>
        <v>2450</v>
      </c>
      <c r="U128" s="40">
        <f t="shared" si="51"/>
        <v>2594.6362292256003</v>
      </c>
      <c r="V128" s="41">
        <f t="shared" si="52"/>
        <v>5.9035195602285873E-2</v>
      </c>
      <c r="W128" s="39">
        <f t="shared" si="53"/>
        <v>144.63622922560035</v>
      </c>
      <c r="X128" s="50">
        <f t="shared" si="47"/>
        <v>117.0522602087371</v>
      </c>
      <c r="Y128" s="41">
        <f t="shared" si="54"/>
        <v>0.10681162834054603</v>
      </c>
      <c r="Z128" s="52"/>
      <c r="AA128" s="50">
        <f t="shared" si="60"/>
        <v>2567.0522602087367</v>
      </c>
      <c r="AB128" s="39">
        <f t="shared" si="61"/>
        <v>2717.3734757631109</v>
      </c>
      <c r="AC128" s="39">
        <f t="shared" si="55"/>
        <v>150.32121555437425</v>
      </c>
      <c r="AD128" s="41">
        <f t="shared" si="56"/>
        <v>5.8557910130801583E-2</v>
      </c>
      <c r="AF128" s="46">
        <f t="shared" si="38"/>
        <v>0</v>
      </c>
      <c r="AG128" s="46">
        <f t="shared" si="57"/>
        <v>0</v>
      </c>
      <c r="AH128" s="54">
        <f t="shared" si="39"/>
        <v>679</v>
      </c>
      <c r="AI128" s="55">
        <f t="shared" si="48"/>
        <v>0.89198218262806239</v>
      </c>
      <c r="AJ128" s="55">
        <f t="shared" si="58"/>
        <v>0</v>
      </c>
      <c r="AK128" s="55">
        <f t="shared" si="59"/>
        <v>0</v>
      </c>
    </row>
    <row r="129" spans="2:37" s="53" customFormat="1" ht="17.25" customHeight="1" x14ac:dyDescent="0.25">
      <c r="B129" s="91" t="str">
        <f t="shared" si="40"/>
        <v/>
      </c>
      <c r="C129" s="81">
        <f>IF(Sheet3!A100="","",Sheet3!A100)</f>
        <v>38313</v>
      </c>
      <c r="D129" s="82">
        <f>IF(C129="","",Sheet3!E100)</f>
        <v>25.48</v>
      </c>
      <c r="E129" s="56">
        <f>_xlfn.XLOOKUP(WEEKNUM(C129)&amp;YEAR(C129),Sheet4!C:C,Sheet4!B:B,0)</f>
        <v>0</v>
      </c>
      <c r="F129" s="46">
        <f>IF(int=Weekly,-$D$5,IF(int=Bi_Weekly,-$D$5,IF(int=Monthly,0,IF(int=Quarterly,0,IF(int=Yearly,0,IF(int=None,0,0))))))</f>
        <v>0</v>
      </c>
      <c r="G129" s="46"/>
      <c r="H129" s="46">
        <f t="shared" si="49"/>
        <v>-2450</v>
      </c>
      <c r="I129" s="47"/>
      <c r="J129" s="38">
        <f t="shared" si="36"/>
        <v>0</v>
      </c>
      <c r="K129" s="48"/>
      <c r="L129" s="48">
        <f t="shared" si="41"/>
        <v>100.21770295261891</v>
      </c>
      <c r="M129" s="48"/>
      <c r="N129" s="38">
        <f t="shared" si="42"/>
        <v>0</v>
      </c>
      <c r="O129" s="36">
        <f t="shared" si="43"/>
        <v>0</v>
      </c>
      <c r="P129" s="84">
        <f t="shared" si="44"/>
        <v>-2566.5835101924608</v>
      </c>
      <c r="Q129" s="38">
        <f t="shared" si="45"/>
        <v>0</v>
      </c>
      <c r="R129" s="48">
        <f t="shared" si="46"/>
        <v>4.7407204047211673</v>
      </c>
      <c r="S129" s="38">
        <f t="shared" si="37"/>
        <v>104.95842335734008</v>
      </c>
      <c r="T129" s="50">
        <f t="shared" si="50"/>
        <v>2450</v>
      </c>
      <c r="U129" s="40">
        <f t="shared" si="51"/>
        <v>2553.5470712327296</v>
      </c>
      <c r="V129" s="41">
        <f t="shared" si="52"/>
        <v>4.2264110707236568E-2</v>
      </c>
      <c r="W129" s="39">
        <f t="shared" si="53"/>
        <v>103.54707123272965</v>
      </c>
      <c r="X129" s="50">
        <f t="shared" si="47"/>
        <v>117.0522602087371</v>
      </c>
      <c r="Y129" s="41">
        <f t="shared" si="54"/>
        <v>9.0040543445496724E-2</v>
      </c>
      <c r="Z129" s="52"/>
      <c r="AA129" s="50">
        <f t="shared" si="60"/>
        <v>2567.0522602087367</v>
      </c>
      <c r="AB129" s="39">
        <f t="shared" si="61"/>
        <v>2674.3406271450249</v>
      </c>
      <c r="AC129" s="39">
        <f t="shared" si="55"/>
        <v>107.28836693628818</v>
      </c>
      <c r="AD129" s="41">
        <f t="shared" si="56"/>
        <v>4.1794383620208819E-2</v>
      </c>
      <c r="AF129" s="46">
        <f t="shared" si="38"/>
        <v>0</v>
      </c>
      <c r="AG129" s="46">
        <f t="shared" si="57"/>
        <v>0</v>
      </c>
      <c r="AH129" s="54">
        <f t="shared" si="39"/>
        <v>686</v>
      </c>
      <c r="AI129" s="55">
        <f t="shared" si="48"/>
        <v>0.89086859688195996</v>
      </c>
      <c r="AJ129" s="55">
        <f t="shared" si="58"/>
        <v>0</v>
      </c>
      <c r="AK129" s="55">
        <f t="shared" si="59"/>
        <v>0</v>
      </c>
    </row>
    <row r="130" spans="2:37" s="53" customFormat="1" ht="17.25" customHeight="1" x14ac:dyDescent="0.25">
      <c r="B130" s="91" t="str">
        <f t="shared" si="40"/>
        <v/>
      </c>
      <c r="C130" s="81">
        <f>IF(Sheet3!A101="","",Sheet3!A101)</f>
        <v>38320</v>
      </c>
      <c r="D130" s="82">
        <f>IF(C130="","",Sheet3!E101)</f>
        <v>25.809999000000001</v>
      </c>
      <c r="E130" s="56">
        <f>_xlfn.XLOOKUP(WEEKNUM(C130)&amp;YEAR(C130),Sheet4!C:C,Sheet4!B:B,0)</f>
        <v>0</v>
      </c>
      <c r="F130" s="46">
        <f>IF(int=Weekly,-$D$5,IF(int=Bi_Weekly,0,IF(int=Monthly,0,IF(int=Quarterly,0,IF(int=Yearly,0,IF(int=None,0,0))))))</f>
        <v>0</v>
      </c>
      <c r="G130" s="46"/>
      <c r="H130" s="46">
        <f t="shared" si="49"/>
        <v>-2450</v>
      </c>
      <c r="I130" s="47"/>
      <c r="J130" s="38">
        <f t="shared" si="36"/>
        <v>0</v>
      </c>
      <c r="K130" s="48"/>
      <c r="L130" s="48">
        <f t="shared" si="41"/>
        <v>100.21770295261891</v>
      </c>
      <c r="M130" s="48"/>
      <c r="N130" s="38">
        <f t="shared" si="42"/>
        <v>0</v>
      </c>
      <c r="O130" s="36">
        <f t="shared" si="43"/>
        <v>0</v>
      </c>
      <c r="P130" s="84">
        <f t="shared" si="44"/>
        <v>-2566.5835101924608</v>
      </c>
      <c r="Q130" s="38">
        <f t="shared" si="45"/>
        <v>0</v>
      </c>
      <c r="R130" s="48">
        <f t="shared" si="46"/>
        <v>4.7407204047211673</v>
      </c>
      <c r="S130" s="38">
        <f t="shared" si="37"/>
        <v>104.95842335734008</v>
      </c>
      <c r="T130" s="50">
        <f t="shared" si="50"/>
        <v>2450</v>
      </c>
      <c r="U130" s="40">
        <f t="shared" si="51"/>
        <v>2586.6188129893912</v>
      </c>
      <c r="V130" s="41">
        <f t="shared" si="52"/>
        <v>5.5762780811996482E-2</v>
      </c>
      <c r="W130" s="39">
        <f t="shared" si="53"/>
        <v>136.61881298939124</v>
      </c>
      <c r="X130" s="50">
        <f t="shared" si="47"/>
        <v>117.0522602087371</v>
      </c>
      <c r="Y130" s="41">
        <f t="shared" si="54"/>
        <v>0.10353921355025641</v>
      </c>
      <c r="Z130" s="52"/>
      <c r="AA130" s="50">
        <f t="shared" si="60"/>
        <v>2567.0522602087367</v>
      </c>
      <c r="AB130" s="39">
        <f t="shared" si="61"/>
        <v>2708.9768018945242</v>
      </c>
      <c r="AC130" s="39">
        <f t="shared" si="55"/>
        <v>141.92454168578752</v>
      </c>
      <c r="AD130" s="41">
        <f t="shared" si="56"/>
        <v>5.5286970150832504E-2</v>
      </c>
      <c r="AF130" s="46">
        <f t="shared" si="38"/>
        <v>0</v>
      </c>
      <c r="AG130" s="46">
        <f t="shared" si="57"/>
        <v>0</v>
      </c>
      <c r="AH130" s="54">
        <f t="shared" si="39"/>
        <v>693</v>
      </c>
      <c r="AI130" s="55">
        <f t="shared" si="48"/>
        <v>0.88975501113585742</v>
      </c>
      <c r="AJ130" s="55">
        <f t="shared" si="58"/>
        <v>0</v>
      </c>
      <c r="AK130" s="55">
        <f t="shared" si="59"/>
        <v>0</v>
      </c>
    </row>
    <row r="131" spans="2:37" s="53" customFormat="1" ht="17.25" customHeight="1" x14ac:dyDescent="0.25">
      <c r="B131" s="91" t="str">
        <f t="shared" si="40"/>
        <v/>
      </c>
      <c r="C131" s="81">
        <f>IF(Sheet3!A102="","",Sheet3!A102)</f>
        <v>38327</v>
      </c>
      <c r="D131" s="82">
        <f>IF(C131="","",Sheet3!E102)</f>
        <v>25.309999000000001</v>
      </c>
      <c r="E131" s="56">
        <f>_xlfn.XLOOKUP(WEEKNUM(C131)&amp;YEAR(C131),Sheet4!C:C,Sheet4!B:B,0)</f>
        <v>0</v>
      </c>
      <c r="F131" s="46">
        <f>IF(int=Weekly,-$D$5,IF(int=Bi_Weekly,-$D$5,IF(int=Monthly,-$D$5,IF(int=Quarterly,0,IF(int=Yearly,0,IF(int=None,0,0))))))</f>
        <v>-100</v>
      </c>
      <c r="G131" s="46"/>
      <c r="H131" s="46">
        <f t="shared" si="49"/>
        <v>-2550</v>
      </c>
      <c r="I131" s="47"/>
      <c r="J131" s="38">
        <f t="shared" si="36"/>
        <v>3.9510076630188724</v>
      </c>
      <c r="K131" s="48"/>
      <c r="L131" s="48">
        <f t="shared" si="41"/>
        <v>104.16871061563778</v>
      </c>
      <c r="M131" s="48"/>
      <c r="N131" s="38">
        <f t="shared" si="42"/>
        <v>0</v>
      </c>
      <c r="O131" s="36">
        <f t="shared" si="43"/>
        <v>0</v>
      </c>
      <c r="P131" s="84">
        <f t="shared" si="44"/>
        <v>-2666.5835101924608</v>
      </c>
      <c r="Q131" s="38">
        <f t="shared" si="45"/>
        <v>0</v>
      </c>
      <c r="R131" s="48">
        <f t="shared" si="46"/>
        <v>4.7407204047211673</v>
      </c>
      <c r="S131" s="38">
        <f t="shared" si="37"/>
        <v>108.90943102035895</v>
      </c>
      <c r="T131" s="50">
        <f t="shared" si="50"/>
        <v>2550</v>
      </c>
      <c r="U131" s="40">
        <f t="shared" si="51"/>
        <v>2636.5099615130816</v>
      </c>
      <c r="V131" s="41">
        <f t="shared" si="52"/>
        <v>3.3925475103169234E-2</v>
      </c>
      <c r="W131" s="39">
        <f t="shared" si="53"/>
        <v>86.509961513081635</v>
      </c>
      <c r="X131" s="50">
        <f t="shared" si="47"/>
        <v>117.0522602087371</v>
      </c>
      <c r="Y131" s="41">
        <f t="shared" si="54"/>
        <v>7.9828322243850502E-2</v>
      </c>
      <c r="Z131" s="52"/>
      <c r="AA131" s="50">
        <f t="shared" si="60"/>
        <v>2667.0522602087367</v>
      </c>
      <c r="AB131" s="39">
        <f t="shared" si="61"/>
        <v>2756.497590215854</v>
      </c>
      <c r="AC131" s="39">
        <f t="shared" si="55"/>
        <v>89.445330007117263</v>
      </c>
      <c r="AD131" s="41">
        <f t="shared" si="56"/>
        <v>3.3537149362088847E-2</v>
      </c>
      <c r="AF131" s="46">
        <f t="shared" si="38"/>
        <v>-100</v>
      </c>
      <c r="AG131" s="46">
        <f t="shared" si="57"/>
        <v>-100</v>
      </c>
      <c r="AH131" s="54">
        <f t="shared" si="39"/>
        <v>700</v>
      </c>
      <c r="AI131" s="55">
        <f t="shared" si="48"/>
        <v>0.88864142538975499</v>
      </c>
      <c r="AJ131" s="55">
        <f t="shared" si="58"/>
        <v>-88.8641425389755</v>
      </c>
      <c r="AK131" s="55">
        <f t="shared" si="59"/>
        <v>-88.8641425389755</v>
      </c>
    </row>
    <row r="132" spans="2:37" s="53" customFormat="1" ht="17.25" customHeight="1" x14ac:dyDescent="0.25">
      <c r="B132" s="91" t="str">
        <f t="shared" si="40"/>
        <v/>
      </c>
      <c r="C132" s="81">
        <f>IF(Sheet3!A103="","",Sheet3!A103)</f>
        <v>38334</v>
      </c>
      <c r="D132" s="82">
        <f>IF(C132="","",Sheet3!E103)</f>
        <v>25.700001</v>
      </c>
      <c r="E132" s="56">
        <f>_xlfn.XLOOKUP(WEEKNUM(C132)&amp;YEAR(C132),Sheet4!C:C,Sheet4!B:B,0)</f>
        <v>0</v>
      </c>
      <c r="F132" s="46">
        <f>IF(int=Weekly,-$D$5,IF(int=Bi_Weekly,0,IF(int=Monthly,0,IF(int=Quarterly,0,IF(int=Yearly,0,IF(int=None,0,0))))))</f>
        <v>0</v>
      </c>
      <c r="G132" s="46"/>
      <c r="H132" s="46">
        <f t="shared" si="49"/>
        <v>-2550</v>
      </c>
      <c r="I132" s="47"/>
      <c r="J132" s="38">
        <f t="shared" si="36"/>
        <v>0</v>
      </c>
      <c r="K132" s="48"/>
      <c r="L132" s="48">
        <f t="shared" si="41"/>
        <v>104.16871061563778</v>
      </c>
      <c r="M132" s="48"/>
      <c r="N132" s="38">
        <f t="shared" si="42"/>
        <v>0</v>
      </c>
      <c r="O132" s="36">
        <f t="shared" si="43"/>
        <v>0</v>
      </c>
      <c r="P132" s="84">
        <f t="shared" si="44"/>
        <v>-2666.5835101924608</v>
      </c>
      <c r="Q132" s="38">
        <f t="shared" si="45"/>
        <v>0</v>
      </c>
      <c r="R132" s="48">
        <f t="shared" si="46"/>
        <v>4.7407204047211673</v>
      </c>
      <c r="S132" s="38">
        <f t="shared" si="37"/>
        <v>108.90943102035895</v>
      </c>
      <c r="T132" s="50">
        <f t="shared" si="50"/>
        <v>2550</v>
      </c>
      <c r="U132" s="40">
        <f t="shared" si="51"/>
        <v>2677.1359669906014</v>
      </c>
      <c r="V132" s="41">
        <f t="shared" si="52"/>
        <v>4.9857241957098619E-2</v>
      </c>
      <c r="W132" s="39">
        <f t="shared" si="53"/>
        <v>127.13596699060145</v>
      </c>
      <c r="X132" s="50">
        <f t="shared" si="47"/>
        <v>117.0522602087371</v>
      </c>
      <c r="Y132" s="41">
        <f t="shared" si="54"/>
        <v>9.5760089097779888E-2</v>
      </c>
      <c r="Z132" s="52"/>
      <c r="AA132" s="50">
        <f t="shared" si="60"/>
        <v>2667.0522602087367</v>
      </c>
      <c r="AB132" s="39">
        <f t="shared" si="61"/>
        <v>2798.9724861326558</v>
      </c>
      <c r="AC132" s="39">
        <f t="shared" si="55"/>
        <v>131.92022592391913</v>
      </c>
      <c r="AD132" s="41">
        <f t="shared" si="56"/>
        <v>4.9462932501215473E-2</v>
      </c>
      <c r="AF132" s="46">
        <f t="shared" si="38"/>
        <v>0</v>
      </c>
      <c r="AG132" s="46">
        <f t="shared" si="57"/>
        <v>0</v>
      </c>
      <c r="AH132" s="54">
        <f t="shared" si="39"/>
        <v>707</v>
      </c>
      <c r="AI132" s="55">
        <f t="shared" si="48"/>
        <v>0.88752783964365256</v>
      </c>
      <c r="AJ132" s="55">
        <f t="shared" si="58"/>
        <v>0</v>
      </c>
      <c r="AK132" s="55">
        <f t="shared" si="59"/>
        <v>0</v>
      </c>
    </row>
    <row r="133" spans="2:37" s="53" customFormat="1" ht="17.25" customHeight="1" x14ac:dyDescent="0.25">
      <c r="B133" s="91" t="str">
        <f t="shared" si="40"/>
        <v/>
      </c>
      <c r="C133" s="81">
        <f>IF(Sheet3!A104="","",Sheet3!A104)</f>
        <v>38341</v>
      </c>
      <c r="D133" s="82">
        <f>IF(C133="","",Sheet3!E104)</f>
        <v>26.030000999999999</v>
      </c>
      <c r="E133" s="56">
        <f>_xlfn.XLOOKUP(WEEKNUM(C133)&amp;YEAR(C133),Sheet4!C:C,Sheet4!B:B,0)</f>
        <v>0</v>
      </c>
      <c r="F133" s="46">
        <f>IF(int=Weekly,-$D$5,IF(int=Bi_Weekly,-$D$5,IF(int=Monthly,0,IF(int=Quarterly,0,IF(int=Yearly,0,IF(int=None,0,0))))))</f>
        <v>0</v>
      </c>
      <c r="G133" s="46"/>
      <c r="H133" s="46">
        <f t="shared" si="49"/>
        <v>-2550</v>
      </c>
      <c r="I133" s="47"/>
      <c r="J133" s="38">
        <f t="shared" si="36"/>
        <v>0</v>
      </c>
      <c r="K133" s="48"/>
      <c r="L133" s="48">
        <f t="shared" si="41"/>
        <v>104.16871061563778</v>
      </c>
      <c r="M133" s="48"/>
      <c r="N133" s="38">
        <f t="shared" si="42"/>
        <v>0</v>
      </c>
      <c r="O133" s="36">
        <f t="shared" si="43"/>
        <v>0</v>
      </c>
      <c r="P133" s="84">
        <f t="shared" si="44"/>
        <v>-2666.5835101924608</v>
      </c>
      <c r="Q133" s="38">
        <f t="shared" si="45"/>
        <v>0</v>
      </c>
      <c r="R133" s="48">
        <f t="shared" si="46"/>
        <v>4.7407204047211673</v>
      </c>
      <c r="S133" s="38">
        <f t="shared" si="37"/>
        <v>108.90943102035895</v>
      </c>
      <c r="T133" s="50">
        <f t="shared" si="50"/>
        <v>2550</v>
      </c>
      <c r="U133" s="40">
        <f t="shared" si="51"/>
        <v>2711.511641493762</v>
      </c>
      <c r="V133" s="41">
        <f t="shared" si="52"/>
        <v>6.3337898625004607E-2</v>
      </c>
      <c r="W133" s="39">
        <f t="shared" si="53"/>
        <v>161.511641493762</v>
      </c>
      <c r="X133" s="50">
        <f t="shared" si="47"/>
        <v>117.0522602087371</v>
      </c>
      <c r="Y133" s="41">
        <f t="shared" si="54"/>
        <v>0.10924074576568588</v>
      </c>
      <c r="Z133" s="52"/>
      <c r="AA133" s="50">
        <f t="shared" si="60"/>
        <v>2667.0522602087367</v>
      </c>
      <c r="AB133" s="39">
        <f t="shared" si="61"/>
        <v>2834.9125983693743</v>
      </c>
      <c r="AC133" s="39">
        <f t="shared" si="55"/>
        <v>167.86033816063764</v>
      </c>
      <c r="AD133" s="41">
        <f t="shared" si="56"/>
        <v>6.2938526051791843E-2</v>
      </c>
      <c r="AF133" s="46">
        <f t="shared" si="38"/>
        <v>0</v>
      </c>
      <c r="AG133" s="46">
        <f t="shared" si="57"/>
        <v>0</v>
      </c>
      <c r="AH133" s="54">
        <f t="shared" si="39"/>
        <v>714</v>
      </c>
      <c r="AI133" s="55">
        <f t="shared" si="48"/>
        <v>0.88641425389755013</v>
      </c>
      <c r="AJ133" s="55">
        <f t="shared" si="58"/>
        <v>0</v>
      </c>
      <c r="AK133" s="55">
        <f t="shared" si="59"/>
        <v>0</v>
      </c>
    </row>
    <row r="134" spans="2:37" s="53" customFormat="1" ht="17.25" customHeight="1" x14ac:dyDescent="0.25">
      <c r="B134" s="91" t="str">
        <f t="shared" si="40"/>
        <v/>
      </c>
      <c r="C134" s="81">
        <f>IF(Sheet3!A105="","",Sheet3!A105)</f>
        <v>38348</v>
      </c>
      <c r="D134" s="82">
        <f>IF(C134="","",Sheet3!E105)</f>
        <v>25.77</v>
      </c>
      <c r="E134" s="56">
        <f>_xlfn.XLOOKUP(WEEKNUM(C134)&amp;YEAR(C134),Sheet4!C:C,Sheet4!B:B,0)</f>
        <v>0</v>
      </c>
      <c r="F134" s="46">
        <f>IF(int=Weekly,-$D$5,IF(int=Bi_Weekly,0,IF(int=Monthly,0,IF(int=Quarterly,0,IF(int=Yearly,0,IF(int=None,0,0))))))</f>
        <v>0</v>
      </c>
      <c r="G134" s="46"/>
      <c r="H134" s="46">
        <f t="shared" si="49"/>
        <v>-2550</v>
      </c>
      <c r="I134" s="47"/>
      <c r="J134" s="38">
        <f t="shared" si="36"/>
        <v>0</v>
      </c>
      <c r="K134" s="48"/>
      <c r="L134" s="48">
        <f t="shared" si="41"/>
        <v>104.16871061563778</v>
      </c>
      <c r="M134" s="48"/>
      <c r="N134" s="38">
        <f t="shared" si="42"/>
        <v>0</v>
      </c>
      <c r="O134" s="36">
        <f t="shared" si="43"/>
        <v>0</v>
      </c>
      <c r="P134" s="84">
        <f t="shared" si="44"/>
        <v>-2666.5835101924608</v>
      </c>
      <c r="Q134" s="38">
        <f t="shared" si="45"/>
        <v>0</v>
      </c>
      <c r="R134" s="48">
        <f t="shared" si="46"/>
        <v>4.7407204047211673</v>
      </c>
      <c r="S134" s="38">
        <f t="shared" si="37"/>
        <v>108.90943102035895</v>
      </c>
      <c r="T134" s="50">
        <f t="shared" si="50"/>
        <v>2550</v>
      </c>
      <c r="U134" s="40">
        <f t="shared" si="51"/>
        <v>2684.4276725649856</v>
      </c>
      <c r="V134" s="41">
        <f t="shared" si="52"/>
        <v>5.2716734339210092E-2</v>
      </c>
      <c r="W134" s="39">
        <f t="shared" si="53"/>
        <v>134.42767256498564</v>
      </c>
      <c r="X134" s="50">
        <f t="shared" si="47"/>
        <v>117.0522602087371</v>
      </c>
      <c r="Y134" s="41">
        <f t="shared" si="54"/>
        <v>9.8619581479891361E-2</v>
      </c>
      <c r="Z134" s="52"/>
      <c r="AA134" s="50">
        <f t="shared" si="60"/>
        <v>2667.0522602087367</v>
      </c>
      <c r="AB134" s="39">
        <f t="shared" si="61"/>
        <v>2806.59603739465</v>
      </c>
      <c r="AC134" s="39">
        <f t="shared" si="55"/>
        <v>139.54377718591331</v>
      </c>
      <c r="AD134" s="41">
        <f t="shared" si="56"/>
        <v>5.2321350904084518E-2</v>
      </c>
      <c r="AF134" s="46">
        <f t="shared" si="38"/>
        <v>0</v>
      </c>
      <c r="AG134" s="46">
        <f t="shared" si="57"/>
        <v>0</v>
      </c>
      <c r="AH134" s="54">
        <f t="shared" si="39"/>
        <v>721</v>
      </c>
      <c r="AI134" s="55">
        <f t="shared" si="48"/>
        <v>0.8853006681514477</v>
      </c>
      <c r="AJ134" s="55">
        <f t="shared" si="58"/>
        <v>0</v>
      </c>
      <c r="AK134" s="55">
        <f t="shared" si="59"/>
        <v>0</v>
      </c>
    </row>
    <row r="135" spans="2:37" s="53" customFormat="1" ht="17.25" customHeight="1" x14ac:dyDescent="0.25">
      <c r="B135" s="91" t="str">
        <f t="shared" si="40"/>
        <v/>
      </c>
      <c r="C135" s="81">
        <f>IF(Sheet3!A106="","",Sheet3!A106)</f>
        <v>38355</v>
      </c>
      <c r="D135" s="82">
        <f>IF(C135="","",Sheet3!E106)</f>
        <v>25.08</v>
      </c>
      <c r="E135" s="56">
        <f>_xlfn.XLOOKUP(WEEKNUM(C135)&amp;YEAR(C135),Sheet4!C:C,Sheet4!B:B,0)</f>
        <v>0.32250000000000001</v>
      </c>
      <c r="F135" s="46">
        <f>IF(int=Weekly,-$D$5,IF(int=Bi_Weekly,-$D$5,IF(int=Monthly,-$D$5,IF(int=Quarterly,-$D$5,IF(int=Yearly,-$D$5,IF(int=None,0,0))))))</f>
        <v>-100</v>
      </c>
      <c r="G135" s="46"/>
      <c r="H135" s="46">
        <f t="shared" si="49"/>
        <v>-2650</v>
      </c>
      <c r="I135" s="47"/>
      <c r="J135" s="38">
        <f t="shared" si="36"/>
        <v>3.9872408293460926</v>
      </c>
      <c r="K135" s="48"/>
      <c r="L135" s="48">
        <f t="shared" si="41"/>
        <v>108.15595144498387</v>
      </c>
      <c r="M135" s="48"/>
      <c r="N135" s="38">
        <f t="shared" si="42"/>
        <v>34.8802943410073</v>
      </c>
      <c r="O135" s="36">
        <f t="shared" si="43"/>
        <v>-34.8802943410073</v>
      </c>
      <c r="P135" s="84">
        <f t="shared" si="44"/>
        <v>-2801.4638045334682</v>
      </c>
      <c r="Q135" s="38">
        <f t="shared" si="45"/>
        <v>1.3907613373607377</v>
      </c>
      <c r="R135" s="48">
        <f t="shared" si="46"/>
        <v>6.1314817420819052</v>
      </c>
      <c r="S135" s="38">
        <f t="shared" si="37"/>
        <v>114.28743318706577</v>
      </c>
      <c r="T135" s="50">
        <f t="shared" si="50"/>
        <v>2650</v>
      </c>
      <c r="U135" s="40">
        <f t="shared" si="51"/>
        <v>2712.5512622401952</v>
      </c>
      <c r="V135" s="41">
        <f t="shared" si="52"/>
        <v>2.3604249901960417E-2</v>
      </c>
      <c r="W135" s="39">
        <f t="shared" si="53"/>
        <v>62.551262240195229</v>
      </c>
      <c r="X135" s="50">
        <f t="shared" si="47"/>
        <v>151.9325545497444</v>
      </c>
      <c r="Y135" s="41">
        <f t="shared" si="54"/>
        <v>8.0937289354694242E-2</v>
      </c>
      <c r="Z135" s="52"/>
      <c r="AA135" s="50">
        <f t="shared" si="60"/>
        <v>2801.9325545497441</v>
      </c>
      <c r="AB135" s="39">
        <f t="shared" si="61"/>
        <v>2866.3288243316092</v>
      </c>
      <c r="AC135" s="39">
        <f t="shared" si="55"/>
        <v>64.396269781865158</v>
      </c>
      <c r="AD135" s="41">
        <f t="shared" si="56"/>
        <v>2.298280509189965E-2</v>
      </c>
      <c r="AF135" s="46">
        <f t="shared" si="38"/>
        <v>-65.1197056589927</v>
      </c>
      <c r="AG135" s="46">
        <f t="shared" si="57"/>
        <v>-100</v>
      </c>
      <c r="AH135" s="54">
        <f t="shared" si="39"/>
        <v>728</v>
      </c>
      <c r="AI135" s="55">
        <f t="shared" si="48"/>
        <v>0.88418708240534516</v>
      </c>
      <c r="AJ135" s="55">
        <f t="shared" si="58"/>
        <v>-57.5780025537196</v>
      </c>
      <c r="AK135" s="55">
        <f t="shared" si="59"/>
        <v>-88.418708240534514</v>
      </c>
    </row>
    <row r="136" spans="2:37" s="53" customFormat="1" ht="17.25" customHeight="1" x14ac:dyDescent="0.25">
      <c r="B136" s="91" t="str">
        <f t="shared" si="40"/>
        <v/>
      </c>
      <c r="C136" s="81">
        <f>IF(Sheet3!A107="","",Sheet3!A107)</f>
        <v>38362</v>
      </c>
      <c r="D136" s="82">
        <f>IF(C136="","",Sheet3!E107)</f>
        <v>24.41</v>
      </c>
      <c r="E136" s="56">
        <f>_xlfn.XLOOKUP(WEEKNUM(C136)&amp;YEAR(C136),Sheet4!C:C,Sheet4!B:B,0)</f>
        <v>0</v>
      </c>
      <c r="F136" s="46">
        <f>IF(int=Weekly,-$D$5,IF(int=Bi_Weekly,0,IF(int=Monthly,0,IF(int=Quarterly,0,IF(int=Yearly,0,IF(int=None,0,0))))))</f>
        <v>0</v>
      </c>
      <c r="G136" s="46"/>
      <c r="H136" s="46">
        <f t="shared" si="49"/>
        <v>-2650</v>
      </c>
      <c r="I136" s="47"/>
      <c r="J136" s="38">
        <f t="shared" si="36"/>
        <v>0</v>
      </c>
      <c r="K136" s="48"/>
      <c r="L136" s="48">
        <f t="shared" si="41"/>
        <v>108.15595144498387</v>
      </c>
      <c r="M136" s="48"/>
      <c r="N136" s="38">
        <f t="shared" si="42"/>
        <v>0</v>
      </c>
      <c r="O136" s="36">
        <f t="shared" si="43"/>
        <v>0</v>
      </c>
      <c r="P136" s="84">
        <f t="shared" si="44"/>
        <v>-2801.4638045334682</v>
      </c>
      <c r="Q136" s="38">
        <f t="shared" si="45"/>
        <v>0</v>
      </c>
      <c r="R136" s="48">
        <f t="shared" si="46"/>
        <v>6.1314817420819052</v>
      </c>
      <c r="S136" s="38">
        <f t="shared" si="37"/>
        <v>114.28743318706577</v>
      </c>
      <c r="T136" s="50">
        <f t="shared" si="50"/>
        <v>2650</v>
      </c>
      <c r="U136" s="40">
        <f t="shared" si="51"/>
        <v>2640.0867747720563</v>
      </c>
      <c r="V136" s="41">
        <f t="shared" si="52"/>
        <v>-3.740839708658017E-3</v>
      </c>
      <c r="W136" s="39">
        <f t="shared" si="53"/>
        <v>-9.9132252279437125</v>
      </c>
      <c r="X136" s="50">
        <f t="shared" si="47"/>
        <v>151.9325545497444</v>
      </c>
      <c r="Y136" s="41">
        <f t="shared" si="54"/>
        <v>5.3592199744075808E-2</v>
      </c>
      <c r="Z136" s="52"/>
      <c r="AA136" s="50">
        <f t="shared" si="60"/>
        <v>2801.9325545497441</v>
      </c>
      <c r="AB136" s="39">
        <f t="shared" si="61"/>
        <v>2789.7562440962756</v>
      </c>
      <c r="AC136" s="39">
        <f t="shared" si="55"/>
        <v>-12.176310453468432</v>
      </c>
      <c r="AD136" s="41">
        <f t="shared" si="56"/>
        <v>-4.3456829229157057E-3</v>
      </c>
      <c r="AF136" s="46">
        <f t="shared" si="38"/>
        <v>0</v>
      </c>
      <c r="AG136" s="46">
        <f t="shared" si="57"/>
        <v>0</v>
      </c>
      <c r="AH136" s="54">
        <f t="shared" si="39"/>
        <v>735</v>
      </c>
      <c r="AI136" s="55">
        <f t="shared" si="48"/>
        <v>0.88307349665924273</v>
      </c>
      <c r="AJ136" s="55">
        <f t="shared" si="58"/>
        <v>0</v>
      </c>
      <c r="AK136" s="55">
        <f t="shared" si="59"/>
        <v>0</v>
      </c>
    </row>
    <row r="137" spans="2:37" s="53" customFormat="1" ht="17.25" customHeight="1" x14ac:dyDescent="0.25">
      <c r="B137" s="91" t="str">
        <f t="shared" si="40"/>
        <v/>
      </c>
      <c r="C137" s="81">
        <f>IF(Sheet3!A108="","",Sheet3!A108)</f>
        <v>38369</v>
      </c>
      <c r="D137" s="82">
        <f>IF(C137="","",Sheet3!E108)</f>
        <v>24.58</v>
      </c>
      <c r="E137" s="56">
        <f>_xlfn.XLOOKUP(WEEKNUM(C137)&amp;YEAR(C137),Sheet4!C:C,Sheet4!B:B,0)</f>
        <v>0</v>
      </c>
      <c r="F137" s="46">
        <f>IF(int=Weekly,-$D$5,IF(int=Bi_Weekly,-$D$5,IF(int=Monthly,0,IF(int=Quarterly,0,IF(int=Yearly,0,IF(int=None,0,0))))))</f>
        <v>0</v>
      </c>
      <c r="G137" s="46"/>
      <c r="H137" s="46">
        <f t="shared" si="49"/>
        <v>-2650</v>
      </c>
      <c r="I137" s="47"/>
      <c r="J137" s="38">
        <f t="shared" si="36"/>
        <v>0</v>
      </c>
      <c r="K137" s="48"/>
      <c r="L137" s="48">
        <f t="shared" si="41"/>
        <v>108.15595144498387</v>
      </c>
      <c r="M137" s="48"/>
      <c r="N137" s="38">
        <f t="shared" si="42"/>
        <v>0</v>
      </c>
      <c r="O137" s="36">
        <f t="shared" si="43"/>
        <v>0</v>
      </c>
      <c r="P137" s="84">
        <f t="shared" si="44"/>
        <v>-2801.4638045334682</v>
      </c>
      <c r="Q137" s="38">
        <f t="shared" si="45"/>
        <v>0</v>
      </c>
      <c r="R137" s="48">
        <f t="shared" si="46"/>
        <v>6.1314817420819052</v>
      </c>
      <c r="S137" s="38">
        <f t="shared" si="37"/>
        <v>114.28743318706577</v>
      </c>
      <c r="T137" s="50">
        <f t="shared" si="50"/>
        <v>2650</v>
      </c>
      <c r="U137" s="40">
        <f t="shared" si="51"/>
        <v>2658.4732865177034</v>
      </c>
      <c r="V137" s="41">
        <f t="shared" si="52"/>
        <v>3.1974666104541694E-3</v>
      </c>
      <c r="W137" s="39">
        <f t="shared" si="53"/>
        <v>8.4732865177034</v>
      </c>
      <c r="X137" s="50">
        <f t="shared" si="47"/>
        <v>151.9325545497444</v>
      </c>
      <c r="Y137" s="41">
        <f t="shared" si="54"/>
        <v>6.0530506063187994E-2</v>
      </c>
      <c r="Z137" s="52"/>
      <c r="AA137" s="50">
        <f t="shared" si="60"/>
        <v>2801.9325545497441</v>
      </c>
      <c r="AB137" s="39">
        <f t="shared" si="61"/>
        <v>2809.1851077380766</v>
      </c>
      <c r="AC137" s="39">
        <f t="shared" si="55"/>
        <v>7.2525531883325129</v>
      </c>
      <c r="AD137" s="41">
        <f t="shared" si="56"/>
        <v>2.5884110509926117E-3</v>
      </c>
      <c r="AF137" s="46">
        <f t="shared" si="38"/>
        <v>0</v>
      </c>
      <c r="AG137" s="46">
        <f t="shared" si="57"/>
        <v>0</v>
      </c>
      <c r="AH137" s="54">
        <f t="shared" si="39"/>
        <v>742</v>
      </c>
      <c r="AI137" s="55">
        <f t="shared" si="48"/>
        <v>0.8819599109131403</v>
      </c>
      <c r="AJ137" s="55">
        <f t="shared" si="58"/>
        <v>0</v>
      </c>
      <c r="AK137" s="55">
        <f t="shared" si="59"/>
        <v>0</v>
      </c>
    </row>
    <row r="138" spans="2:37" s="53" customFormat="1" ht="17.25" customHeight="1" x14ac:dyDescent="0.25">
      <c r="B138" s="91" t="str">
        <f t="shared" si="40"/>
        <v/>
      </c>
      <c r="C138" s="81">
        <f>IF(Sheet3!A109="","",Sheet3!A109)</f>
        <v>38376</v>
      </c>
      <c r="D138" s="82">
        <f>IF(C138="","",Sheet3!E109)</f>
        <v>23.620000999999998</v>
      </c>
      <c r="E138" s="56">
        <f>_xlfn.XLOOKUP(WEEKNUM(C138)&amp;YEAR(C138),Sheet4!C:C,Sheet4!B:B,0)</f>
        <v>0</v>
      </c>
      <c r="F138" s="46">
        <f>IF(int=Weekly,-$D$5,IF(int=Bi_Weekly,0,IF(int=Monthly,0,IF(int=Quarterly,0,IF(int=Yearly,0,IF(int=None,0,0))))))</f>
        <v>0</v>
      </c>
      <c r="G138" s="46"/>
      <c r="H138" s="46">
        <f t="shared" si="49"/>
        <v>-2650</v>
      </c>
      <c r="I138" s="47"/>
      <c r="J138" s="38">
        <f t="shared" si="36"/>
        <v>0</v>
      </c>
      <c r="K138" s="48"/>
      <c r="L138" s="48">
        <f t="shared" si="41"/>
        <v>108.15595144498387</v>
      </c>
      <c r="M138" s="48"/>
      <c r="N138" s="38">
        <f t="shared" si="42"/>
        <v>0</v>
      </c>
      <c r="O138" s="36">
        <f t="shared" si="43"/>
        <v>0</v>
      </c>
      <c r="P138" s="84">
        <f t="shared" si="44"/>
        <v>-2801.4638045334682</v>
      </c>
      <c r="Q138" s="38">
        <f t="shared" si="45"/>
        <v>0</v>
      </c>
      <c r="R138" s="48">
        <f t="shared" si="46"/>
        <v>6.1314817420819052</v>
      </c>
      <c r="S138" s="38">
        <f t="shared" si="37"/>
        <v>114.28743318706577</v>
      </c>
      <c r="T138" s="50">
        <f t="shared" si="50"/>
        <v>2650</v>
      </c>
      <c r="U138" s="40">
        <f t="shared" si="51"/>
        <v>2554.6436812864704</v>
      </c>
      <c r="V138" s="41">
        <f t="shared" si="52"/>
        <v>-3.5983516495671553E-2</v>
      </c>
      <c r="W138" s="39">
        <f t="shared" si="53"/>
        <v>-95.356318713529618</v>
      </c>
      <c r="X138" s="50">
        <f t="shared" si="47"/>
        <v>151.9325545497444</v>
      </c>
      <c r="Y138" s="41">
        <f t="shared" si="54"/>
        <v>2.1349522957062161E-2</v>
      </c>
      <c r="Z138" s="52"/>
      <c r="AA138" s="50">
        <f t="shared" si="60"/>
        <v>2801.9325545497441</v>
      </c>
      <c r="AB138" s="39">
        <f t="shared" si="61"/>
        <v>2699.4692861659269</v>
      </c>
      <c r="AC138" s="39">
        <f t="shared" si="55"/>
        <v>-102.46326838381719</v>
      </c>
      <c r="AD138" s="41">
        <f t="shared" si="56"/>
        <v>-3.6568784718760794E-2</v>
      </c>
      <c r="AF138" s="46">
        <f t="shared" si="38"/>
        <v>0</v>
      </c>
      <c r="AG138" s="46">
        <f t="shared" si="57"/>
        <v>0</v>
      </c>
      <c r="AH138" s="54">
        <f t="shared" si="39"/>
        <v>749</v>
      </c>
      <c r="AI138" s="55">
        <f t="shared" si="48"/>
        <v>0.88084632516703787</v>
      </c>
      <c r="AJ138" s="55">
        <f t="shared" si="58"/>
        <v>0</v>
      </c>
      <c r="AK138" s="55">
        <f t="shared" si="59"/>
        <v>0</v>
      </c>
    </row>
    <row r="139" spans="2:37" s="53" customFormat="1" ht="17.25" customHeight="1" x14ac:dyDescent="0.25">
      <c r="B139" s="91" t="str">
        <f t="shared" si="40"/>
        <v/>
      </c>
      <c r="C139" s="81">
        <f>IF(Sheet3!A110="","",Sheet3!A110)</f>
        <v>38383</v>
      </c>
      <c r="D139" s="82">
        <f>IF(C139="","",Sheet3!E110)</f>
        <v>24.6</v>
      </c>
      <c r="E139" s="56">
        <f>_xlfn.XLOOKUP(WEEKNUM(C139)&amp;YEAR(C139),Sheet4!C:C,Sheet4!B:B,0)</f>
        <v>0</v>
      </c>
      <c r="F139" s="46">
        <f>IF(int=Weekly,-$D$5,IF(int=Bi_Weekly,-$D$5,IF(int=Monthly,-$D$5,IF(int=Quarterly,0,IF(int=Yearly,0,IF(int=None,0,0))))))</f>
        <v>-100</v>
      </c>
      <c r="G139" s="46"/>
      <c r="H139" s="46">
        <f t="shared" si="49"/>
        <v>-2750</v>
      </c>
      <c r="I139" s="47"/>
      <c r="J139" s="38">
        <f t="shared" si="36"/>
        <v>4.0650406504065035</v>
      </c>
      <c r="K139" s="48"/>
      <c r="L139" s="48">
        <f t="shared" si="41"/>
        <v>112.22099209539037</v>
      </c>
      <c r="M139" s="48"/>
      <c r="N139" s="38">
        <f t="shared" si="42"/>
        <v>0</v>
      </c>
      <c r="O139" s="36">
        <f t="shared" si="43"/>
        <v>0</v>
      </c>
      <c r="P139" s="84">
        <f t="shared" si="44"/>
        <v>-2901.4638045334682</v>
      </c>
      <c r="Q139" s="38">
        <f t="shared" si="45"/>
        <v>0</v>
      </c>
      <c r="R139" s="48">
        <f t="shared" si="46"/>
        <v>6.1314817420819052</v>
      </c>
      <c r="S139" s="38">
        <f t="shared" si="37"/>
        <v>118.35247383747227</v>
      </c>
      <c r="T139" s="50">
        <f t="shared" si="50"/>
        <v>2750</v>
      </c>
      <c r="U139" s="40">
        <f t="shared" si="51"/>
        <v>2760.6364055466033</v>
      </c>
      <c r="V139" s="41">
        <f t="shared" si="52"/>
        <v>3.8677838351284244E-3</v>
      </c>
      <c r="W139" s="39">
        <f t="shared" si="53"/>
        <v>10.636405546603328</v>
      </c>
      <c r="X139" s="50">
        <f t="shared" si="47"/>
        <v>151.9325545497444</v>
      </c>
      <c r="Y139" s="41">
        <f t="shared" si="54"/>
        <v>5.911598548958108E-2</v>
      </c>
      <c r="Z139" s="52"/>
      <c r="AA139" s="50">
        <f t="shared" si="60"/>
        <v>2901.9325545497441</v>
      </c>
      <c r="AB139" s="39">
        <f t="shared" si="61"/>
        <v>2911.4708564018183</v>
      </c>
      <c r="AC139" s="39">
        <f t="shared" si="55"/>
        <v>9.5383018520742553</v>
      </c>
      <c r="AD139" s="41">
        <f t="shared" si="56"/>
        <v>3.2868792340192687E-3</v>
      </c>
      <c r="AF139" s="46">
        <f t="shared" si="38"/>
        <v>-100</v>
      </c>
      <c r="AG139" s="46">
        <f t="shared" si="57"/>
        <v>-100</v>
      </c>
      <c r="AH139" s="54">
        <f t="shared" si="39"/>
        <v>756</v>
      </c>
      <c r="AI139" s="55">
        <f t="shared" si="48"/>
        <v>0.87973273942093544</v>
      </c>
      <c r="AJ139" s="55">
        <f t="shared" si="58"/>
        <v>-87.973273942093542</v>
      </c>
      <c r="AK139" s="55">
        <f t="shared" si="59"/>
        <v>-87.973273942093542</v>
      </c>
    </row>
    <row r="140" spans="2:37" s="53" customFormat="1" ht="17.25" customHeight="1" x14ac:dyDescent="0.25">
      <c r="B140" s="91" t="str">
        <f t="shared" si="40"/>
        <v/>
      </c>
      <c r="C140" s="81">
        <f>IF(Sheet3!A111="","",Sheet3!A111)</f>
        <v>38390</v>
      </c>
      <c r="D140" s="82">
        <f>IF(C140="","",Sheet3!E111)</f>
        <v>24.26</v>
      </c>
      <c r="E140" s="56">
        <f>_xlfn.XLOOKUP(WEEKNUM(C140)&amp;YEAR(C140),Sheet4!C:C,Sheet4!B:B,0)</f>
        <v>0</v>
      </c>
      <c r="F140" s="46">
        <f>IF(int=Weekly,-$D$5,IF(int=Bi_Weekly,0,IF(int=Monthly,0,IF(int=Quarterly,0,IF(int=Yearly,0,IF(int=None,0,0))))))</f>
        <v>0</v>
      </c>
      <c r="G140" s="46"/>
      <c r="H140" s="46">
        <f t="shared" si="49"/>
        <v>-2750</v>
      </c>
      <c r="I140" s="47"/>
      <c r="J140" s="38">
        <f t="shared" si="36"/>
        <v>0</v>
      </c>
      <c r="K140" s="48"/>
      <c r="L140" s="48">
        <f t="shared" si="41"/>
        <v>112.22099209539037</v>
      </c>
      <c r="M140" s="48"/>
      <c r="N140" s="38">
        <f t="shared" si="42"/>
        <v>0</v>
      </c>
      <c r="O140" s="36">
        <f t="shared" si="43"/>
        <v>0</v>
      </c>
      <c r="P140" s="84">
        <f t="shared" si="44"/>
        <v>-2901.4638045334682</v>
      </c>
      <c r="Q140" s="38">
        <f t="shared" si="45"/>
        <v>0</v>
      </c>
      <c r="R140" s="48">
        <f t="shared" si="46"/>
        <v>6.1314817420819052</v>
      </c>
      <c r="S140" s="38">
        <f t="shared" si="37"/>
        <v>118.35247383747227</v>
      </c>
      <c r="T140" s="50">
        <f t="shared" si="50"/>
        <v>2750</v>
      </c>
      <c r="U140" s="40">
        <f t="shared" si="51"/>
        <v>2722.4812682341708</v>
      </c>
      <c r="V140" s="41">
        <f t="shared" si="52"/>
        <v>-1.0006811551210637E-2</v>
      </c>
      <c r="W140" s="39">
        <f t="shared" si="53"/>
        <v>-27.518731765829216</v>
      </c>
      <c r="X140" s="50">
        <f t="shared" si="47"/>
        <v>151.9325545497444</v>
      </c>
      <c r="Y140" s="41">
        <f t="shared" si="54"/>
        <v>4.5241390103242018E-2</v>
      </c>
      <c r="Z140" s="52"/>
      <c r="AA140" s="50">
        <f t="shared" si="60"/>
        <v>2901.9325545497441</v>
      </c>
      <c r="AB140" s="39">
        <f t="shared" si="61"/>
        <v>2871.2310152970776</v>
      </c>
      <c r="AC140" s="39">
        <f t="shared" si="55"/>
        <v>-30.701539252666407</v>
      </c>
      <c r="AD140" s="41">
        <f t="shared" si="56"/>
        <v>-1.0579687389540293E-2</v>
      </c>
      <c r="AF140" s="46">
        <f t="shared" si="38"/>
        <v>0</v>
      </c>
      <c r="AG140" s="46">
        <f t="shared" si="57"/>
        <v>0</v>
      </c>
      <c r="AH140" s="54">
        <f t="shared" si="39"/>
        <v>763</v>
      </c>
      <c r="AI140" s="55">
        <f t="shared" si="48"/>
        <v>0.87861915367483301</v>
      </c>
      <c r="AJ140" s="55">
        <f t="shared" si="58"/>
        <v>0</v>
      </c>
      <c r="AK140" s="55">
        <f t="shared" si="59"/>
        <v>0</v>
      </c>
    </row>
    <row r="141" spans="2:37" s="53" customFormat="1" ht="17.25" customHeight="1" x14ac:dyDescent="0.25">
      <c r="B141" s="91" t="str">
        <f t="shared" si="40"/>
        <v/>
      </c>
      <c r="C141" s="81">
        <f>IF(Sheet3!A112="","",Sheet3!A112)</f>
        <v>38397</v>
      </c>
      <c r="D141" s="82">
        <f>IF(C141="","",Sheet3!E112)</f>
        <v>24.18</v>
      </c>
      <c r="E141" s="56">
        <f>_xlfn.XLOOKUP(WEEKNUM(C141)&amp;YEAR(C141),Sheet4!C:C,Sheet4!B:B,0)</f>
        <v>0</v>
      </c>
      <c r="F141" s="46">
        <f>IF(int=Weekly,-$D$5,IF(int=Bi_Weekly,-$D$5,IF(int=Monthly,0,IF(int=Quarterly,0,IF(int=Yearly,0,IF(int=None,0,0))))))</f>
        <v>0</v>
      </c>
      <c r="G141" s="46"/>
      <c r="H141" s="46">
        <f t="shared" si="49"/>
        <v>-2750</v>
      </c>
      <c r="I141" s="47"/>
      <c r="J141" s="38">
        <f t="shared" si="36"/>
        <v>0</v>
      </c>
      <c r="K141" s="48"/>
      <c r="L141" s="48">
        <f t="shared" si="41"/>
        <v>112.22099209539037</v>
      </c>
      <c r="M141" s="48"/>
      <c r="N141" s="38">
        <f t="shared" si="42"/>
        <v>0</v>
      </c>
      <c r="O141" s="36">
        <f t="shared" si="43"/>
        <v>0</v>
      </c>
      <c r="P141" s="84">
        <f t="shared" si="44"/>
        <v>-2901.4638045334682</v>
      </c>
      <c r="Q141" s="38">
        <f t="shared" si="45"/>
        <v>0</v>
      </c>
      <c r="R141" s="48">
        <f t="shared" si="46"/>
        <v>6.1314817420819052</v>
      </c>
      <c r="S141" s="38">
        <f t="shared" si="37"/>
        <v>118.35247383747227</v>
      </c>
      <c r="T141" s="50">
        <f t="shared" si="50"/>
        <v>2750</v>
      </c>
      <c r="U141" s="40">
        <f t="shared" si="51"/>
        <v>2713.5035888665393</v>
      </c>
      <c r="V141" s="41">
        <f t="shared" si="52"/>
        <v>-1.3271422230349383E-2</v>
      </c>
      <c r="W141" s="39">
        <f t="shared" si="53"/>
        <v>-36.496411133460697</v>
      </c>
      <c r="X141" s="50">
        <f t="shared" si="47"/>
        <v>151.9325545497444</v>
      </c>
      <c r="Y141" s="41">
        <f t="shared" si="54"/>
        <v>4.1976779424103272E-2</v>
      </c>
      <c r="Z141" s="52"/>
      <c r="AA141" s="50">
        <f t="shared" si="60"/>
        <v>2901.9325545497441</v>
      </c>
      <c r="AB141" s="39">
        <f t="shared" si="61"/>
        <v>2861.7628173900798</v>
      </c>
      <c r="AC141" s="39">
        <f t="shared" si="55"/>
        <v>-40.169737159664237</v>
      </c>
      <c r="AD141" s="41">
        <f t="shared" si="56"/>
        <v>-1.3842408948024909E-2</v>
      </c>
      <c r="AF141" s="46">
        <f t="shared" si="38"/>
        <v>0</v>
      </c>
      <c r="AG141" s="46">
        <f t="shared" si="57"/>
        <v>0</v>
      </c>
      <c r="AH141" s="54">
        <f t="shared" si="39"/>
        <v>770</v>
      </c>
      <c r="AI141" s="55">
        <f t="shared" si="48"/>
        <v>0.87750556792873047</v>
      </c>
      <c r="AJ141" s="55">
        <f t="shared" si="58"/>
        <v>0</v>
      </c>
      <c r="AK141" s="55">
        <f t="shared" si="59"/>
        <v>0</v>
      </c>
    </row>
    <row r="142" spans="2:37" s="53" customFormat="1" ht="17.25" customHeight="1" x14ac:dyDescent="0.25">
      <c r="B142" s="91" t="str">
        <f t="shared" si="40"/>
        <v/>
      </c>
      <c r="C142" s="81">
        <f>IF(Sheet3!A113="","",Sheet3!A113)</f>
        <v>38404</v>
      </c>
      <c r="D142" s="82">
        <f>IF(C142="","",Sheet3!E113)</f>
        <v>24.209999</v>
      </c>
      <c r="E142" s="56">
        <f>_xlfn.XLOOKUP(WEEKNUM(C142)&amp;YEAR(C142),Sheet4!C:C,Sheet4!B:B,0)</f>
        <v>0</v>
      </c>
      <c r="F142" s="46">
        <f>IF(int=Weekly,-$D$5,IF(int=Bi_Weekly,0,IF(int=Monthly,0,IF(int=Quarterly,0,IF(int=Yearly,0,IF(int=None,0,0))))))</f>
        <v>0</v>
      </c>
      <c r="G142" s="46"/>
      <c r="H142" s="46">
        <f t="shared" si="49"/>
        <v>-2750</v>
      </c>
      <c r="I142" s="47"/>
      <c r="J142" s="38">
        <f t="shared" si="36"/>
        <v>0</v>
      </c>
      <c r="K142" s="48"/>
      <c r="L142" s="48">
        <f t="shared" si="41"/>
        <v>112.22099209539037</v>
      </c>
      <c r="M142" s="48"/>
      <c r="N142" s="38">
        <f t="shared" si="42"/>
        <v>0</v>
      </c>
      <c r="O142" s="36">
        <f t="shared" si="43"/>
        <v>0</v>
      </c>
      <c r="P142" s="84">
        <f t="shared" si="44"/>
        <v>-2901.4638045334682</v>
      </c>
      <c r="Q142" s="38">
        <f t="shared" si="45"/>
        <v>0</v>
      </c>
      <c r="R142" s="48">
        <f t="shared" si="46"/>
        <v>6.1314817420819052</v>
      </c>
      <c r="S142" s="38">
        <f t="shared" si="37"/>
        <v>118.35247383747227</v>
      </c>
      <c r="T142" s="50">
        <f t="shared" si="50"/>
        <v>2750</v>
      </c>
      <c r="U142" s="40">
        <f t="shared" si="51"/>
        <v>2716.8701064084089</v>
      </c>
      <c r="V142" s="41">
        <f t="shared" si="52"/>
        <v>-1.2047234033305876E-2</v>
      </c>
      <c r="W142" s="39">
        <f t="shared" si="53"/>
        <v>-33.129893591591099</v>
      </c>
      <c r="X142" s="50">
        <f t="shared" si="47"/>
        <v>151.9325545497444</v>
      </c>
      <c r="Y142" s="41">
        <f t="shared" si="54"/>
        <v>4.3200967621146669E-2</v>
      </c>
      <c r="Z142" s="52"/>
      <c r="AA142" s="50">
        <f t="shared" si="60"/>
        <v>2901.9325545497441</v>
      </c>
      <c r="AB142" s="39">
        <f t="shared" si="61"/>
        <v>2865.3132732527301</v>
      </c>
      <c r="AC142" s="39">
        <f t="shared" si="55"/>
        <v>-36.619281297013913</v>
      </c>
      <c r="AD142" s="41">
        <f t="shared" si="56"/>
        <v>-1.2618929147612645E-2</v>
      </c>
      <c r="AF142" s="46">
        <f t="shared" si="38"/>
        <v>0</v>
      </c>
      <c r="AG142" s="46">
        <f t="shared" si="57"/>
        <v>0</v>
      </c>
      <c r="AH142" s="54">
        <f t="shared" si="39"/>
        <v>777</v>
      </c>
      <c r="AI142" s="55">
        <f t="shared" si="48"/>
        <v>0.87639198218262804</v>
      </c>
      <c r="AJ142" s="55">
        <f t="shared" si="58"/>
        <v>0</v>
      </c>
      <c r="AK142" s="55">
        <f t="shared" si="59"/>
        <v>0</v>
      </c>
    </row>
    <row r="143" spans="2:37" s="53" customFormat="1" ht="17.25" customHeight="1" x14ac:dyDescent="0.25">
      <c r="B143" s="91" t="str">
        <f t="shared" si="40"/>
        <v/>
      </c>
      <c r="C143" s="81">
        <f>IF(Sheet3!A114="","",Sheet3!A114)</f>
        <v>38411</v>
      </c>
      <c r="D143" s="82">
        <f>IF(C143="","",Sheet3!E114)</f>
        <v>24.49</v>
      </c>
      <c r="E143" s="56">
        <f>_xlfn.XLOOKUP(WEEKNUM(C143)&amp;YEAR(C143),Sheet4!C:C,Sheet4!B:B,0)</f>
        <v>0</v>
      </c>
      <c r="F143" s="46">
        <f>IF(int=Weekly,-$D$5,IF(int=Bi_Weekly,-$D$5,IF(int=Monthly,-$D$5,IF(int=Quarterly,0,IF(int=Yearly,0,IF(int=None,0,0))))))</f>
        <v>-100</v>
      </c>
      <c r="G143" s="46"/>
      <c r="H143" s="46">
        <f t="shared" si="49"/>
        <v>-2850</v>
      </c>
      <c r="I143" s="47"/>
      <c r="J143" s="38">
        <f t="shared" si="36"/>
        <v>4.0832993058391187</v>
      </c>
      <c r="K143" s="48"/>
      <c r="L143" s="48">
        <f t="shared" si="41"/>
        <v>116.30429140122949</v>
      </c>
      <c r="M143" s="48"/>
      <c r="N143" s="38">
        <f t="shared" si="42"/>
        <v>0</v>
      </c>
      <c r="O143" s="36">
        <f t="shared" si="43"/>
        <v>0</v>
      </c>
      <c r="P143" s="84">
        <f t="shared" si="44"/>
        <v>-3001.4638045334682</v>
      </c>
      <c r="Q143" s="38">
        <f t="shared" si="45"/>
        <v>0</v>
      </c>
      <c r="R143" s="48">
        <f t="shared" si="46"/>
        <v>6.1314817420819052</v>
      </c>
      <c r="S143" s="38">
        <f t="shared" si="37"/>
        <v>122.43577314331139</v>
      </c>
      <c r="T143" s="50">
        <f t="shared" si="50"/>
        <v>2850</v>
      </c>
      <c r="U143" s="40">
        <f t="shared" si="51"/>
        <v>2848.2920964161099</v>
      </c>
      <c r="V143" s="41">
        <f t="shared" si="52"/>
        <v>-5.9926441540003594E-4</v>
      </c>
      <c r="W143" s="39">
        <f t="shared" si="53"/>
        <v>-1.7079035838901291</v>
      </c>
      <c r="X143" s="50">
        <f t="shared" si="47"/>
        <v>151.9325545497444</v>
      </c>
      <c r="Y143" s="41">
        <f t="shared" si="54"/>
        <v>5.271040384766823E-2</v>
      </c>
      <c r="Z143" s="52"/>
      <c r="AA143" s="50">
        <f t="shared" si="60"/>
        <v>3001.9325545497441</v>
      </c>
      <c r="AB143" s="39">
        <f t="shared" si="61"/>
        <v>2998.4520842796956</v>
      </c>
      <c r="AC143" s="39">
        <f t="shared" si="55"/>
        <v>-3.4804702700484995</v>
      </c>
      <c r="AD143" s="41">
        <f t="shared" si="56"/>
        <v>-1.1594098824017074E-3</v>
      </c>
      <c r="AF143" s="46">
        <f t="shared" si="38"/>
        <v>-100</v>
      </c>
      <c r="AG143" s="46">
        <f t="shared" si="57"/>
        <v>-100</v>
      </c>
      <c r="AH143" s="54">
        <f t="shared" si="39"/>
        <v>784</v>
      </c>
      <c r="AI143" s="55">
        <f t="shared" si="48"/>
        <v>0.87527839643652561</v>
      </c>
      <c r="AJ143" s="55">
        <f t="shared" si="58"/>
        <v>-87.527839643652555</v>
      </c>
      <c r="AK143" s="55">
        <f t="shared" si="59"/>
        <v>-87.527839643652555</v>
      </c>
    </row>
    <row r="144" spans="2:37" s="53" customFormat="1" ht="17.25" customHeight="1" x14ac:dyDescent="0.25">
      <c r="B144" s="91" t="str">
        <f t="shared" si="40"/>
        <v/>
      </c>
      <c r="C144" s="81">
        <f>IF(Sheet3!A115="","",Sheet3!A115)</f>
        <v>38418</v>
      </c>
      <c r="D144" s="82">
        <f>IF(C144="","",Sheet3!E115)</f>
        <v>24</v>
      </c>
      <c r="E144" s="56">
        <f>_xlfn.XLOOKUP(WEEKNUM(C144)&amp;YEAR(C144),Sheet4!C:C,Sheet4!B:B,0)</f>
        <v>0</v>
      </c>
      <c r="F144" s="46">
        <f>IF(int=Weekly,-$D$5,IF(int=Bi_Weekly,0,IF(int=Monthly,0,IF(int=Quarterly,0,IF(int=Yearly,0,IF(int=None,0,0))))))</f>
        <v>0</v>
      </c>
      <c r="G144" s="46"/>
      <c r="H144" s="46">
        <f t="shared" si="49"/>
        <v>-2850</v>
      </c>
      <c r="I144" s="47"/>
      <c r="J144" s="38">
        <f t="shared" si="36"/>
        <v>0</v>
      </c>
      <c r="K144" s="48"/>
      <c r="L144" s="48">
        <f t="shared" si="41"/>
        <v>116.30429140122949</v>
      </c>
      <c r="M144" s="48"/>
      <c r="N144" s="38">
        <f t="shared" si="42"/>
        <v>0</v>
      </c>
      <c r="O144" s="36">
        <f t="shared" si="43"/>
        <v>0</v>
      </c>
      <c r="P144" s="84">
        <f t="shared" si="44"/>
        <v>-3001.4638045334682</v>
      </c>
      <c r="Q144" s="38">
        <f t="shared" si="45"/>
        <v>0</v>
      </c>
      <c r="R144" s="48">
        <f t="shared" si="46"/>
        <v>6.1314817420819052</v>
      </c>
      <c r="S144" s="38">
        <f t="shared" si="37"/>
        <v>122.43577314331139</v>
      </c>
      <c r="T144" s="50">
        <f t="shared" si="50"/>
        <v>2850</v>
      </c>
      <c r="U144" s="40">
        <f t="shared" si="51"/>
        <v>2791.3029936295079</v>
      </c>
      <c r="V144" s="41">
        <f t="shared" si="52"/>
        <v>-2.0595440831751577E-2</v>
      </c>
      <c r="W144" s="39">
        <f t="shared" si="53"/>
        <v>-58.69700637049209</v>
      </c>
      <c r="X144" s="50">
        <f t="shared" si="47"/>
        <v>151.9325545497444</v>
      </c>
      <c r="Y144" s="41">
        <f t="shared" si="54"/>
        <v>3.2714227431316578E-2</v>
      </c>
      <c r="Z144" s="52"/>
      <c r="AA144" s="50">
        <f t="shared" si="60"/>
        <v>3001.9325545497441</v>
      </c>
      <c r="AB144" s="39">
        <f t="shared" si="61"/>
        <v>2938.4585554394735</v>
      </c>
      <c r="AC144" s="39">
        <f t="shared" si="55"/>
        <v>-63.473999110270597</v>
      </c>
      <c r="AD144" s="41">
        <f t="shared" si="56"/>
        <v>-2.1144378814930143E-2</v>
      </c>
      <c r="AF144" s="46">
        <f t="shared" si="38"/>
        <v>0</v>
      </c>
      <c r="AG144" s="46">
        <f t="shared" si="57"/>
        <v>0</v>
      </c>
      <c r="AH144" s="54">
        <f t="shared" si="39"/>
        <v>791</v>
      </c>
      <c r="AI144" s="55">
        <f t="shared" si="48"/>
        <v>0.87416481069042318</v>
      </c>
      <c r="AJ144" s="55">
        <f t="shared" si="58"/>
        <v>0</v>
      </c>
      <c r="AK144" s="55">
        <f t="shared" si="59"/>
        <v>0</v>
      </c>
    </row>
    <row r="145" spans="2:37" s="53" customFormat="1" ht="17.25" customHeight="1" x14ac:dyDescent="0.25">
      <c r="B145" s="91" t="str">
        <f t="shared" si="40"/>
        <v/>
      </c>
      <c r="C145" s="81">
        <f>IF(Sheet3!A116="","",Sheet3!A116)</f>
        <v>38425</v>
      </c>
      <c r="D145" s="82">
        <f>IF(C145="","",Sheet3!E116)</f>
        <v>23.35</v>
      </c>
      <c r="E145" s="56">
        <f>_xlfn.XLOOKUP(WEEKNUM(C145)&amp;YEAR(C145),Sheet4!C:C,Sheet4!B:B,0)</f>
        <v>0</v>
      </c>
      <c r="F145" s="46">
        <f>IF(int=Weekly,-$D$5,IF(int=Bi_Weekly,-$D$5,IF(int=Monthly,0,IF(int=Quarterly,0,IF(int=Yearly,0,IF(int=None,0,0))))))</f>
        <v>0</v>
      </c>
      <c r="G145" s="46"/>
      <c r="H145" s="46">
        <f t="shared" si="49"/>
        <v>-2850</v>
      </c>
      <c r="I145" s="47"/>
      <c r="J145" s="38">
        <f t="shared" si="36"/>
        <v>0</v>
      </c>
      <c r="K145" s="48"/>
      <c r="L145" s="48">
        <f t="shared" si="41"/>
        <v>116.30429140122949</v>
      </c>
      <c r="M145" s="48"/>
      <c r="N145" s="38">
        <f t="shared" si="42"/>
        <v>0</v>
      </c>
      <c r="O145" s="36">
        <f t="shared" si="43"/>
        <v>0</v>
      </c>
      <c r="P145" s="84">
        <f t="shared" si="44"/>
        <v>-3001.4638045334682</v>
      </c>
      <c r="Q145" s="38">
        <f t="shared" si="45"/>
        <v>0</v>
      </c>
      <c r="R145" s="48">
        <f t="shared" si="46"/>
        <v>6.1314817420819052</v>
      </c>
      <c r="S145" s="38">
        <f t="shared" si="37"/>
        <v>122.43577314331139</v>
      </c>
      <c r="T145" s="50">
        <f t="shared" si="50"/>
        <v>2850</v>
      </c>
      <c r="U145" s="40">
        <f t="shared" si="51"/>
        <v>2715.7052042187088</v>
      </c>
      <c r="V145" s="41">
        <f t="shared" si="52"/>
        <v>-4.712098097589168E-2</v>
      </c>
      <c r="W145" s="39">
        <f t="shared" si="53"/>
        <v>-134.29479578129121</v>
      </c>
      <c r="X145" s="50">
        <f t="shared" si="47"/>
        <v>151.9325545497444</v>
      </c>
      <c r="Y145" s="41">
        <f t="shared" si="54"/>
        <v>6.1886872871765863E-3</v>
      </c>
      <c r="Z145" s="52"/>
      <c r="AA145" s="50">
        <f t="shared" si="60"/>
        <v>3001.9325545497441</v>
      </c>
      <c r="AB145" s="39">
        <f t="shared" si="61"/>
        <v>2858.875302896321</v>
      </c>
      <c r="AC145" s="39">
        <f t="shared" si="55"/>
        <v>-143.05725165342301</v>
      </c>
      <c r="AD145" s="41">
        <f t="shared" si="56"/>
        <v>-4.7655051888692457E-2</v>
      </c>
      <c r="AF145" s="46">
        <f t="shared" si="38"/>
        <v>0</v>
      </c>
      <c r="AG145" s="46">
        <f t="shared" si="57"/>
        <v>0</v>
      </c>
      <c r="AH145" s="54">
        <f t="shared" si="39"/>
        <v>798</v>
      </c>
      <c r="AI145" s="55">
        <f t="shared" si="48"/>
        <v>0.87305122494432075</v>
      </c>
      <c r="AJ145" s="55">
        <f t="shared" si="58"/>
        <v>0</v>
      </c>
      <c r="AK145" s="55">
        <f t="shared" si="59"/>
        <v>0</v>
      </c>
    </row>
    <row r="146" spans="2:37" s="53" customFormat="1" ht="17.25" customHeight="1" x14ac:dyDescent="0.25">
      <c r="B146" s="91" t="str">
        <f t="shared" si="40"/>
        <v/>
      </c>
      <c r="C146" s="81">
        <f>IF(Sheet3!A117="","",Sheet3!A117)</f>
        <v>38432</v>
      </c>
      <c r="D146" s="82">
        <f>IF(C146="","",Sheet3!E117)</f>
        <v>23.299999</v>
      </c>
      <c r="E146" s="56">
        <f>_xlfn.XLOOKUP(WEEKNUM(C146)&amp;YEAR(C146),Sheet4!C:C,Sheet4!B:B,0)</f>
        <v>0</v>
      </c>
      <c r="F146" s="46">
        <f>IF(int=Weekly,-$D$5,IF(int=Bi_Weekly,0,IF(int=Monthly,0,IF(int=Quarterly,0,IF(int=Yearly,0,IF(int=None,0,0))))))</f>
        <v>0</v>
      </c>
      <c r="G146" s="46"/>
      <c r="H146" s="46">
        <f t="shared" si="49"/>
        <v>-2850</v>
      </c>
      <c r="I146" s="47"/>
      <c r="J146" s="38">
        <f t="shared" si="36"/>
        <v>0</v>
      </c>
      <c r="K146" s="48"/>
      <c r="L146" s="48">
        <f t="shared" si="41"/>
        <v>116.30429140122949</v>
      </c>
      <c r="M146" s="48"/>
      <c r="N146" s="38">
        <f t="shared" si="42"/>
        <v>0</v>
      </c>
      <c r="O146" s="36">
        <f t="shared" si="43"/>
        <v>0</v>
      </c>
      <c r="P146" s="84">
        <f t="shared" si="44"/>
        <v>-3001.4638045334682</v>
      </c>
      <c r="Q146" s="38">
        <f t="shared" si="45"/>
        <v>0</v>
      </c>
      <c r="R146" s="48">
        <f t="shared" si="46"/>
        <v>6.1314817420819052</v>
      </c>
      <c r="S146" s="38">
        <f t="shared" si="37"/>
        <v>122.43577314331139</v>
      </c>
      <c r="T146" s="50">
        <f t="shared" si="50"/>
        <v>2850</v>
      </c>
      <c r="U146" s="40">
        <f t="shared" si="51"/>
        <v>2709.8898733443557</v>
      </c>
      <c r="V146" s="41">
        <f t="shared" si="52"/>
        <v>-4.9161447949348847E-2</v>
      </c>
      <c r="W146" s="39">
        <f t="shared" si="53"/>
        <v>-140.11012665564431</v>
      </c>
      <c r="X146" s="50">
        <f t="shared" si="47"/>
        <v>151.9325545497444</v>
      </c>
      <c r="Y146" s="41">
        <f t="shared" si="54"/>
        <v>4.1482203137193085E-3</v>
      </c>
      <c r="Z146" s="52"/>
      <c r="AA146" s="50">
        <f t="shared" si="60"/>
        <v>3001.9325545497441</v>
      </c>
      <c r="AB146" s="39">
        <f t="shared" si="61"/>
        <v>2852.7533918033823</v>
      </c>
      <c r="AC146" s="39">
        <f t="shared" si="55"/>
        <v>-149.17916274636173</v>
      </c>
      <c r="AD146" s="41">
        <f t="shared" si="56"/>
        <v>-4.9694375218478859E-2</v>
      </c>
      <c r="AF146" s="46">
        <f t="shared" si="38"/>
        <v>0</v>
      </c>
      <c r="AG146" s="46">
        <f t="shared" si="57"/>
        <v>0</v>
      </c>
      <c r="AH146" s="54">
        <f t="shared" si="39"/>
        <v>805</v>
      </c>
      <c r="AI146" s="55">
        <f t="shared" si="48"/>
        <v>0.87193763919821832</v>
      </c>
      <c r="AJ146" s="55">
        <f t="shared" si="58"/>
        <v>0</v>
      </c>
      <c r="AK146" s="55">
        <f t="shared" si="59"/>
        <v>0</v>
      </c>
    </row>
    <row r="147" spans="2:37" s="53" customFormat="1" ht="17.25" customHeight="1" x14ac:dyDescent="0.25">
      <c r="B147" s="91" t="str">
        <f t="shared" si="40"/>
        <v/>
      </c>
      <c r="C147" s="81">
        <f>IF(Sheet3!A118="","",Sheet3!A118)</f>
        <v>38439</v>
      </c>
      <c r="D147" s="82">
        <f>IF(C147="","",Sheet3!E118)</f>
        <v>23.66</v>
      </c>
      <c r="E147" s="56">
        <f>_xlfn.XLOOKUP(WEEKNUM(C147)&amp;YEAR(C147),Sheet4!C:C,Sheet4!B:B,0)</f>
        <v>0</v>
      </c>
      <c r="F147" s="46">
        <f>IF(int=Weekly,-$D$5,IF(int=Bi_Weekly,-$D$5,IF(int=Monthly,-$D$5,IF(int=Quarterly,0,IF(int=Yearly,0,IF(int=None,0,0))))))</f>
        <v>-100</v>
      </c>
      <c r="G147" s="46"/>
      <c r="H147" s="46">
        <f t="shared" si="49"/>
        <v>-2950</v>
      </c>
      <c r="I147" s="47"/>
      <c r="J147" s="38">
        <f t="shared" si="36"/>
        <v>4.2265426880811496</v>
      </c>
      <c r="K147" s="48"/>
      <c r="L147" s="48">
        <f t="shared" si="41"/>
        <v>120.53083408931064</v>
      </c>
      <c r="M147" s="48"/>
      <c r="N147" s="38">
        <f t="shared" si="42"/>
        <v>0</v>
      </c>
      <c r="O147" s="36">
        <f t="shared" si="43"/>
        <v>0</v>
      </c>
      <c r="P147" s="84">
        <f t="shared" si="44"/>
        <v>-3101.4638045334682</v>
      </c>
      <c r="Q147" s="38">
        <f t="shared" si="45"/>
        <v>0</v>
      </c>
      <c r="R147" s="48">
        <f t="shared" si="46"/>
        <v>6.1314817420819052</v>
      </c>
      <c r="S147" s="38">
        <f t="shared" si="37"/>
        <v>126.66231583139255</v>
      </c>
      <c r="T147" s="50">
        <f t="shared" si="50"/>
        <v>2950</v>
      </c>
      <c r="U147" s="40">
        <f t="shared" si="51"/>
        <v>2851.7595345530899</v>
      </c>
      <c r="V147" s="41">
        <f t="shared" si="52"/>
        <v>-3.3301852693867873E-2</v>
      </c>
      <c r="W147" s="39">
        <f t="shared" si="53"/>
        <v>-98.240465446910093</v>
      </c>
      <c r="X147" s="50">
        <f t="shared" si="47"/>
        <v>151.9325545497444</v>
      </c>
      <c r="Y147" s="41">
        <f t="shared" si="54"/>
        <v>1.8200708170452273E-2</v>
      </c>
      <c r="Z147" s="52"/>
      <c r="AA147" s="50">
        <f t="shared" si="60"/>
        <v>3101.9325545497441</v>
      </c>
      <c r="AB147" s="39">
        <f t="shared" si="61"/>
        <v>2996.8303925707478</v>
      </c>
      <c r="AC147" s="39">
        <f t="shared" si="55"/>
        <v>-105.10216197899626</v>
      </c>
      <c r="AD147" s="41">
        <f t="shared" si="56"/>
        <v>-3.3882800522157752E-2</v>
      </c>
      <c r="AF147" s="46">
        <f t="shared" si="38"/>
        <v>-100</v>
      </c>
      <c r="AG147" s="46">
        <f t="shared" si="57"/>
        <v>-100</v>
      </c>
      <c r="AH147" s="54">
        <f t="shared" si="39"/>
        <v>812</v>
      </c>
      <c r="AI147" s="55">
        <f t="shared" si="48"/>
        <v>0.87082405345211578</v>
      </c>
      <c r="AJ147" s="55">
        <f t="shared" si="58"/>
        <v>-87.082405345211583</v>
      </c>
      <c r="AK147" s="55">
        <f t="shared" si="59"/>
        <v>-87.082405345211583</v>
      </c>
    </row>
    <row r="148" spans="2:37" s="53" customFormat="1" ht="17.25" customHeight="1" x14ac:dyDescent="0.25">
      <c r="B148" s="91" t="str">
        <f t="shared" si="40"/>
        <v/>
      </c>
      <c r="C148" s="81">
        <f>IF(Sheet3!A119="","",Sheet3!A119)</f>
        <v>38446</v>
      </c>
      <c r="D148" s="82">
        <f>IF(C148="","",Sheet3!E119)</f>
        <v>23.75</v>
      </c>
      <c r="E148" s="56">
        <f>_xlfn.XLOOKUP(WEEKNUM(C148)&amp;YEAR(C148),Sheet4!C:C,Sheet4!B:B,0)</f>
        <v>0.32250000000000001</v>
      </c>
      <c r="F148" s="46">
        <f>IF(int=Weekly,-$D$5,IF(int=Bi_Weekly,0,IF(int=Monthly,0,IF(int=Quarterly,-$D$5,IF(int=Yearly,0,IF(int=None,0,0))))))</f>
        <v>0</v>
      </c>
      <c r="G148" s="46"/>
      <c r="H148" s="46">
        <f t="shared" si="49"/>
        <v>-2950</v>
      </c>
      <c r="I148" s="47"/>
      <c r="J148" s="38">
        <f t="shared" si="36"/>
        <v>0</v>
      </c>
      <c r="K148" s="48"/>
      <c r="L148" s="48">
        <f t="shared" si="41"/>
        <v>120.53083408931064</v>
      </c>
      <c r="M148" s="48"/>
      <c r="N148" s="38">
        <f t="shared" si="42"/>
        <v>38.871193993802684</v>
      </c>
      <c r="O148" s="36">
        <f t="shared" si="43"/>
        <v>-38.871193993802684</v>
      </c>
      <c r="P148" s="84">
        <f t="shared" si="44"/>
        <v>-3140.3349985272707</v>
      </c>
      <c r="Q148" s="38">
        <f t="shared" si="45"/>
        <v>1.6366818523706395</v>
      </c>
      <c r="R148" s="48">
        <f t="shared" si="46"/>
        <v>7.7681635944525445</v>
      </c>
      <c r="S148" s="38">
        <f t="shared" si="37"/>
        <v>128.29899768376319</v>
      </c>
      <c r="T148" s="50">
        <f t="shared" si="50"/>
        <v>2950</v>
      </c>
      <c r="U148" s="40">
        <f t="shared" si="51"/>
        <v>2862.607309621128</v>
      </c>
      <c r="V148" s="41">
        <f t="shared" si="52"/>
        <v>-2.9624640806397262E-2</v>
      </c>
      <c r="W148" s="39">
        <f t="shared" si="53"/>
        <v>-87.392690378871976</v>
      </c>
      <c r="X148" s="50">
        <f t="shared" si="47"/>
        <v>190.80374854354707</v>
      </c>
      <c r="Y148" s="41">
        <f t="shared" si="54"/>
        <v>3.5054595988025516E-2</v>
      </c>
      <c r="Z148" s="52"/>
      <c r="AA148" s="50">
        <f t="shared" si="60"/>
        <v>3140.8037485435466</v>
      </c>
      <c r="AB148" s="39">
        <f t="shared" si="61"/>
        <v>3047.1011949893759</v>
      </c>
      <c r="AC148" s="39">
        <f t="shared" si="55"/>
        <v>-93.702553554170663</v>
      </c>
      <c r="AD148" s="41">
        <f t="shared" si="56"/>
        <v>-2.9833940945091619E-2</v>
      </c>
      <c r="AF148" s="46">
        <f t="shared" si="38"/>
        <v>38.871193993802684</v>
      </c>
      <c r="AG148" s="46">
        <f t="shared" si="57"/>
        <v>0</v>
      </c>
      <c r="AH148" s="54">
        <f t="shared" si="39"/>
        <v>819</v>
      </c>
      <c r="AI148" s="55">
        <f t="shared" si="48"/>
        <v>0.86971046770601335</v>
      </c>
      <c r="AJ148" s="55">
        <f t="shared" si="58"/>
        <v>33.806684308641309</v>
      </c>
      <c r="AK148" s="55">
        <f t="shared" si="59"/>
        <v>0</v>
      </c>
    </row>
    <row r="149" spans="2:37" s="53" customFormat="1" ht="17.25" customHeight="1" x14ac:dyDescent="0.25">
      <c r="B149" s="91" t="str">
        <f t="shared" si="40"/>
        <v/>
      </c>
      <c r="C149" s="81">
        <f>IF(Sheet3!A120="","",Sheet3!A120)</f>
        <v>38453</v>
      </c>
      <c r="D149" s="82">
        <f>IF(C149="","",Sheet3!E120)</f>
        <v>23</v>
      </c>
      <c r="E149" s="56">
        <f>_xlfn.XLOOKUP(WEEKNUM(C149)&amp;YEAR(C149),Sheet4!C:C,Sheet4!B:B,0)</f>
        <v>0</v>
      </c>
      <c r="F149" s="46">
        <f>IF(int=Weekly,-$D$5,IF(int=Bi_Weekly,-$D$5,IF(int=Monthly,0,IF(int=Quarterly,0,IF(int=Yearly,0,IF(int=None,0,0))))))</f>
        <v>0</v>
      </c>
      <c r="G149" s="46"/>
      <c r="H149" s="46">
        <f t="shared" si="49"/>
        <v>-2950</v>
      </c>
      <c r="I149" s="47"/>
      <c r="J149" s="38">
        <f t="shared" si="36"/>
        <v>0</v>
      </c>
      <c r="K149" s="48"/>
      <c r="L149" s="48">
        <f t="shared" si="41"/>
        <v>120.53083408931064</v>
      </c>
      <c r="M149" s="48"/>
      <c r="N149" s="38">
        <f t="shared" si="42"/>
        <v>0</v>
      </c>
      <c r="O149" s="36">
        <f t="shared" si="43"/>
        <v>0</v>
      </c>
      <c r="P149" s="84">
        <f t="shared" si="44"/>
        <v>-3140.3349985272707</v>
      </c>
      <c r="Q149" s="38">
        <f t="shared" si="45"/>
        <v>0</v>
      </c>
      <c r="R149" s="48">
        <f t="shared" si="46"/>
        <v>7.7681635944525445</v>
      </c>
      <c r="S149" s="38">
        <f t="shared" si="37"/>
        <v>128.29899768376319</v>
      </c>
      <c r="T149" s="50">
        <f t="shared" si="50"/>
        <v>2950</v>
      </c>
      <c r="U149" s="40">
        <f t="shared" si="51"/>
        <v>2772.2091840541448</v>
      </c>
      <c r="V149" s="41">
        <f t="shared" si="52"/>
        <v>-6.0268073201984795E-2</v>
      </c>
      <c r="W149" s="39">
        <f t="shared" si="53"/>
        <v>-177.79081594585523</v>
      </c>
      <c r="X149" s="50">
        <f t="shared" si="47"/>
        <v>190.80374854354707</v>
      </c>
      <c r="Y149" s="41">
        <f t="shared" si="54"/>
        <v>4.4111635924379833E-3</v>
      </c>
      <c r="Z149" s="52"/>
      <c r="AA149" s="50">
        <f t="shared" si="60"/>
        <v>3140.8037485435466</v>
      </c>
      <c r="AB149" s="39">
        <f t="shared" si="61"/>
        <v>2950.8769467265533</v>
      </c>
      <c r="AC149" s="39">
        <f t="shared" si="55"/>
        <v>-189.92680181699325</v>
      </c>
      <c r="AD149" s="41">
        <f t="shared" si="56"/>
        <v>-6.0470763862615184E-2</v>
      </c>
      <c r="AF149" s="46">
        <f t="shared" si="38"/>
        <v>0</v>
      </c>
      <c r="AG149" s="46">
        <f t="shared" si="57"/>
        <v>0</v>
      </c>
      <c r="AH149" s="54">
        <f t="shared" si="39"/>
        <v>826</v>
      </c>
      <c r="AI149" s="55">
        <f t="shared" si="48"/>
        <v>0.86859688195991092</v>
      </c>
      <c r="AJ149" s="55">
        <f t="shared" si="58"/>
        <v>0</v>
      </c>
      <c r="AK149" s="55">
        <f t="shared" si="59"/>
        <v>0</v>
      </c>
    </row>
    <row r="150" spans="2:37" s="53" customFormat="1" ht="17.25" customHeight="1" x14ac:dyDescent="0.25">
      <c r="B150" s="91" t="str">
        <f t="shared" si="40"/>
        <v/>
      </c>
      <c r="C150" s="81">
        <f>IF(Sheet3!A121="","",Sheet3!A121)</f>
        <v>38460</v>
      </c>
      <c r="D150" s="82">
        <f>IF(C150="","",Sheet3!E121)</f>
        <v>23.200001</v>
      </c>
      <c r="E150" s="56">
        <f>_xlfn.XLOOKUP(WEEKNUM(C150)&amp;YEAR(C150),Sheet4!C:C,Sheet4!B:B,0)</f>
        <v>0</v>
      </c>
      <c r="F150" s="46">
        <f>IF(int=Weekly,-$D$5,IF(int=Bi_Weekly,0,IF(int=Monthly,0,IF(int=Quarterly,0,IF(int=Yearly,0,IF(int=None,0,0))))))</f>
        <v>0</v>
      </c>
      <c r="G150" s="46"/>
      <c r="H150" s="46">
        <f t="shared" si="49"/>
        <v>-2950</v>
      </c>
      <c r="I150" s="47"/>
      <c r="J150" s="38">
        <f t="shared" si="36"/>
        <v>0</v>
      </c>
      <c r="K150" s="48"/>
      <c r="L150" s="48">
        <f t="shared" si="41"/>
        <v>120.53083408931064</v>
      </c>
      <c r="M150" s="48"/>
      <c r="N150" s="38">
        <f t="shared" si="42"/>
        <v>0</v>
      </c>
      <c r="O150" s="36">
        <f t="shared" si="43"/>
        <v>0</v>
      </c>
      <c r="P150" s="84">
        <f t="shared" si="44"/>
        <v>-3140.3349985272707</v>
      </c>
      <c r="Q150" s="38">
        <f t="shared" si="45"/>
        <v>0</v>
      </c>
      <c r="R150" s="48">
        <f t="shared" si="46"/>
        <v>7.7681635944525445</v>
      </c>
      <c r="S150" s="38">
        <f t="shared" si="37"/>
        <v>128.29899768376319</v>
      </c>
      <c r="T150" s="50">
        <f t="shared" si="50"/>
        <v>2950</v>
      </c>
      <c r="U150" s="40">
        <f t="shared" si="51"/>
        <v>2796.315471402841</v>
      </c>
      <c r="V150" s="41">
        <f t="shared" si="52"/>
        <v>-5.2096450371918346E-2</v>
      </c>
      <c r="W150" s="39">
        <f t="shared" si="53"/>
        <v>-153.68452859715899</v>
      </c>
      <c r="X150" s="50">
        <f t="shared" si="47"/>
        <v>190.80374854354707</v>
      </c>
      <c r="Y150" s="41">
        <f t="shared" si="54"/>
        <v>1.2582786422504322E-2</v>
      </c>
      <c r="Z150" s="52"/>
      <c r="AA150" s="50">
        <f t="shared" si="60"/>
        <v>3140.8037485435466</v>
      </c>
      <c r="AB150" s="39">
        <f t="shared" si="61"/>
        <v>2976.5368745623036</v>
      </c>
      <c r="AC150" s="39">
        <f t="shared" si="55"/>
        <v>-164.26687398124295</v>
      </c>
      <c r="AD150" s="41">
        <f t="shared" si="56"/>
        <v>-5.2300903568844981E-2</v>
      </c>
      <c r="AF150" s="46">
        <f t="shared" si="38"/>
        <v>0</v>
      </c>
      <c r="AG150" s="46">
        <f t="shared" si="57"/>
        <v>0</v>
      </c>
      <c r="AH150" s="54">
        <f t="shared" si="39"/>
        <v>833</v>
      </c>
      <c r="AI150" s="55">
        <f t="shared" si="48"/>
        <v>0.86748329621380849</v>
      </c>
      <c r="AJ150" s="55">
        <f t="shared" si="58"/>
        <v>0</v>
      </c>
      <c r="AK150" s="55">
        <f t="shared" si="59"/>
        <v>0</v>
      </c>
    </row>
    <row r="151" spans="2:37" s="53" customFormat="1" ht="17.25" customHeight="1" x14ac:dyDescent="0.25">
      <c r="B151" s="91" t="str">
        <f t="shared" si="40"/>
        <v/>
      </c>
      <c r="C151" s="81">
        <f>IF(Sheet3!A122="","",Sheet3!A122)</f>
        <v>38467</v>
      </c>
      <c r="D151" s="82">
        <f>IF(C151="","",Sheet3!E122)</f>
        <v>23.799999</v>
      </c>
      <c r="E151" s="56">
        <f>_xlfn.XLOOKUP(WEEKNUM(C151)&amp;YEAR(C151),Sheet4!C:C,Sheet4!B:B,0)</f>
        <v>0</v>
      </c>
      <c r="F151" s="46">
        <f>IF(int=Weekly,-$D$5,IF(int=Bi_Weekly,-$D$5,IF(int=Monthly,-$D$5,IF(int=Quarterly,0,IF(int=Yearly,0,IF(int=None,0,0))))))</f>
        <v>-100</v>
      </c>
      <c r="G151" s="46"/>
      <c r="H151" s="46">
        <f t="shared" si="49"/>
        <v>-3050</v>
      </c>
      <c r="I151" s="47"/>
      <c r="J151" s="38">
        <f t="shared" si="36"/>
        <v>4.2016808488101196</v>
      </c>
      <c r="K151" s="48"/>
      <c r="L151" s="48">
        <f t="shared" si="41"/>
        <v>124.73251493812076</v>
      </c>
      <c r="M151" s="48"/>
      <c r="N151" s="38">
        <f t="shared" si="42"/>
        <v>0</v>
      </c>
      <c r="O151" s="36">
        <f t="shared" si="43"/>
        <v>0</v>
      </c>
      <c r="P151" s="84">
        <f t="shared" si="44"/>
        <v>-3240.3349985272707</v>
      </c>
      <c r="Q151" s="38">
        <f t="shared" si="45"/>
        <v>0</v>
      </c>
      <c r="R151" s="48">
        <f t="shared" si="46"/>
        <v>7.7681635944525445</v>
      </c>
      <c r="S151" s="38">
        <f t="shared" si="37"/>
        <v>132.50067853257329</v>
      </c>
      <c r="T151" s="50">
        <f t="shared" si="50"/>
        <v>3050</v>
      </c>
      <c r="U151" s="40">
        <f t="shared" si="51"/>
        <v>2968.6337307947592</v>
      </c>
      <c r="V151" s="41">
        <f t="shared" si="52"/>
        <v>-2.6677465313193705E-2</v>
      </c>
      <c r="W151" s="39">
        <f t="shared" si="53"/>
        <v>-81.366269205240769</v>
      </c>
      <c r="X151" s="50">
        <f t="shared" si="47"/>
        <v>190.80374854354707</v>
      </c>
      <c r="Y151" s="41">
        <f t="shared" si="54"/>
        <v>3.5881140766657715E-2</v>
      </c>
      <c r="Z151" s="52"/>
      <c r="AA151" s="50">
        <f t="shared" si="60"/>
        <v>3240.8037485435466</v>
      </c>
      <c r="AB151" s="39">
        <f t="shared" si="61"/>
        <v>3153.516016574566</v>
      </c>
      <c r="AC151" s="39">
        <f t="shared" si="55"/>
        <v>-87.287731968980552</v>
      </c>
      <c r="AD151" s="41">
        <f t="shared" si="56"/>
        <v>-2.6933976489075806E-2</v>
      </c>
      <c r="AF151" s="46">
        <f t="shared" si="38"/>
        <v>-100</v>
      </c>
      <c r="AG151" s="46">
        <f t="shared" si="57"/>
        <v>-100</v>
      </c>
      <c r="AH151" s="54">
        <f t="shared" si="39"/>
        <v>840</v>
      </c>
      <c r="AI151" s="55">
        <f t="shared" si="48"/>
        <v>0.86636971046770606</v>
      </c>
      <c r="AJ151" s="55">
        <f t="shared" si="58"/>
        <v>-86.636971046770611</v>
      </c>
      <c r="AK151" s="55">
        <f t="shared" si="59"/>
        <v>-86.636971046770611</v>
      </c>
    </row>
    <row r="152" spans="2:37" s="53" customFormat="1" ht="17.25" customHeight="1" x14ac:dyDescent="0.25">
      <c r="B152" s="91" t="str">
        <f t="shared" si="40"/>
        <v/>
      </c>
      <c r="C152" s="81">
        <f>IF(Sheet3!A123="","",Sheet3!A123)</f>
        <v>38474</v>
      </c>
      <c r="D152" s="82">
        <f>IF(C152="","",Sheet3!E123)</f>
        <v>23.620000999999998</v>
      </c>
      <c r="E152" s="56">
        <f>_xlfn.XLOOKUP(WEEKNUM(C152)&amp;YEAR(C152),Sheet4!C:C,Sheet4!B:B,0)</f>
        <v>0</v>
      </c>
      <c r="F152" s="46">
        <f>IF(int=Weekly,-$D$5,IF(int=Bi_Weekly,0,IF(int=Monthly,0,IF(int=Quarterly,0,IF(int=Yearly,0,IF(int=None,0,0))))))</f>
        <v>0</v>
      </c>
      <c r="G152" s="46"/>
      <c r="H152" s="46">
        <f t="shared" si="49"/>
        <v>-3050</v>
      </c>
      <c r="I152" s="47"/>
      <c r="J152" s="38">
        <f t="shared" si="36"/>
        <v>0</v>
      </c>
      <c r="K152" s="48"/>
      <c r="L152" s="48">
        <f t="shared" si="41"/>
        <v>124.73251493812076</v>
      </c>
      <c r="M152" s="48"/>
      <c r="N152" s="38">
        <f t="shared" si="42"/>
        <v>0</v>
      </c>
      <c r="O152" s="36">
        <f t="shared" si="43"/>
        <v>0</v>
      </c>
      <c r="P152" s="84">
        <f t="shared" si="44"/>
        <v>-3240.3349985272707</v>
      </c>
      <c r="Q152" s="38">
        <f t="shared" si="45"/>
        <v>0</v>
      </c>
      <c r="R152" s="48">
        <f t="shared" si="46"/>
        <v>7.7681635944525445</v>
      </c>
      <c r="S152" s="38">
        <f t="shared" si="37"/>
        <v>132.50067853257329</v>
      </c>
      <c r="T152" s="50">
        <f t="shared" si="50"/>
        <v>3050</v>
      </c>
      <c r="U152" s="40">
        <f t="shared" si="51"/>
        <v>2946.1821275709272</v>
      </c>
      <c r="V152" s="41">
        <f t="shared" si="52"/>
        <v>-3.4038646698056674E-2</v>
      </c>
      <c r="W152" s="39">
        <f t="shared" si="53"/>
        <v>-103.81787242907285</v>
      </c>
      <c r="X152" s="50">
        <f t="shared" si="47"/>
        <v>190.80374854354707</v>
      </c>
      <c r="Y152" s="41">
        <f t="shared" si="54"/>
        <v>2.8519959381794857E-2</v>
      </c>
      <c r="Z152" s="52"/>
      <c r="AA152" s="50">
        <f t="shared" si="60"/>
        <v>3240.8037485435466</v>
      </c>
      <c r="AB152" s="39">
        <f t="shared" si="61"/>
        <v>3129.6661594400598</v>
      </c>
      <c r="AC152" s="39">
        <f t="shared" si="55"/>
        <v>-111.13758910348679</v>
      </c>
      <c r="AD152" s="41">
        <f t="shared" si="56"/>
        <v>-3.4293217894922901E-2</v>
      </c>
      <c r="AF152" s="46">
        <f t="shared" si="38"/>
        <v>0</v>
      </c>
      <c r="AG152" s="46">
        <f t="shared" si="57"/>
        <v>0</v>
      </c>
      <c r="AH152" s="54">
        <f t="shared" si="39"/>
        <v>847</v>
      </c>
      <c r="AI152" s="55">
        <f t="shared" si="48"/>
        <v>0.86525612472160351</v>
      </c>
      <c r="AJ152" s="55">
        <f t="shared" si="58"/>
        <v>0</v>
      </c>
      <c r="AK152" s="55">
        <f t="shared" si="59"/>
        <v>0</v>
      </c>
    </row>
    <row r="153" spans="2:37" s="53" customFormat="1" ht="17.25" customHeight="1" x14ac:dyDescent="0.25">
      <c r="B153" s="91" t="str">
        <f t="shared" si="40"/>
        <v/>
      </c>
      <c r="C153" s="81">
        <f>IF(Sheet3!A124="","",Sheet3!A124)</f>
        <v>38481</v>
      </c>
      <c r="D153" s="82">
        <f>IF(C153="","",Sheet3!E124)</f>
        <v>23.08</v>
      </c>
      <c r="E153" s="56">
        <f>_xlfn.XLOOKUP(WEEKNUM(C153)&amp;YEAR(C153),Sheet4!C:C,Sheet4!B:B,0)</f>
        <v>0</v>
      </c>
      <c r="F153" s="46">
        <f>IF(int=Weekly,-$D$5,IF(int=Bi_Weekly,-$D$5,IF(int=Monthly,0,IF(int=Quarterly,0,IF(int=Yearly,0,IF(int=None,0,0))))))</f>
        <v>0</v>
      </c>
      <c r="G153" s="46"/>
      <c r="H153" s="46">
        <f t="shared" si="49"/>
        <v>-3050</v>
      </c>
      <c r="I153" s="47"/>
      <c r="J153" s="38">
        <f t="shared" si="36"/>
        <v>0</v>
      </c>
      <c r="K153" s="48"/>
      <c r="L153" s="48">
        <f t="shared" si="41"/>
        <v>124.73251493812076</v>
      </c>
      <c r="M153" s="48"/>
      <c r="N153" s="38">
        <f t="shared" si="42"/>
        <v>0</v>
      </c>
      <c r="O153" s="36">
        <f t="shared" si="43"/>
        <v>0</v>
      </c>
      <c r="P153" s="84">
        <f t="shared" si="44"/>
        <v>-3240.3349985272707</v>
      </c>
      <c r="Q153" s="38">
        <f t="shared" si="45"/>
        <v>0</v>
      </c>
      <c r="R153" s="48">
        <f t="shared" si="46"/>
        <v>7.7681635944525445</v>
      </c>
      <c r="S153" s="38">
        <f t="shared" si="37"/>
        <v>132.50067853257329</v>
      </c>
      <c r="T153" s="50">
        <f t="shared" si="50"/>
        <v>3050</v>
      </c>
      <c r="U153" s="40">
        <f t="shared" si="51"/>
        <v>2878.826444771827</v>
      </c>
      <c r="V153" s="41">
        <f t="shared" si="52"/>
        <v>-5.6122477123991099E-2</v>
      </c>
      <c r="W153" s="39">
        <f t="shared" si="53"/>
        <v>-171.17355522817297</v>
      </c>
      <c r="X153" s="50">
        <f t="shared" si="47"/>
        <v>190.80374854354707</v>
      </c>
      <c r="Y153" s="41">
        <f t="shared" si="54"/>
        <v>6.4361289558603207E-3</v>
      </c>
      <c r="Z153" s="52"/>
      <c r="AA153" s="50">
        <f t="shared" si="60"/>
        <v>3240.8037485435466</v>
      </c>
      <c r="AB153" s="39">
        <f t="shared" si="61"/>
        <v>3058.1156605317919</v>
      </c>
      <c r="AC153" s="39">
        <f t="shared" si="55"/>
        <v>-182.68808801175464</v>
      </c>
      <c r="AD153" s="41">
        <f t="shared" si="56"/>
        <v>-5.6371228308365384E-2</v>
      </c>
      <c r="AF153" s="46">
        <f t="shared" si="38"/>
        <v>0</v>
      </c>
      <c r="AG153" s="46">
        <f t="shared" si="57"/>
        <v>0</v>
      </c>
      <c r="AH153" s="54">
        <f t="shared" si="39"/>
        <v>854</v>
      </c>
      <c r="AI153" s="55">
        <f t="shared" si="48"/>
        <v>0.86414253897550108</v>
      </c>
      <c r="AJ153" s="55">
        <f t="shared" si="58"/>
        <v>0</v>
      </c>
      <c r="AK153" s="55">
        <f t="shared" si="59"/>
        <v>0</v>
      </c>
    </row>
    <row r="154" spans="2:37" s="53" customFormat="1" ht="17.25" customHeight="1" x14ac:dyDescent="0.25">
      <c r="B154" s="91" t="str">
        <f t="shared" si="40"/>
        <v/>
      </c>
      <c r="C154" s="81">
        <f>IF(Sheet3!A125="","",Sheet3!A125)</f>
        <v>38488</v>
      </c>
      <c r="D154" s="82">
        <f>IF(C154="","",Sheet3!E125)</f>
        <v>23.629999000000002</v>
      </c>
      <c r="E154" s="56">
        <f>_xlfn.XLOOKUP(WEEKNUM(C154)&amp;YEAR(C154),Sheet4!C:C,Sheet4!B:B,0)</f>
        <v>0</v>
      </c>
      <c r="F154" s="46">
        <f>IF(int=Weekly,-$D$5,IF(int=Bi_Weekly,0,IF(int=Monthly,0,IF(int=Quarterly,0,IF(int=Yearly,0,IF(int=None,0,0))))))</f>
        <v>0</v>
      </c>
      <c r="G154" s="46"/>
      <c r="H154" s="46">
        <f t="shared" si="49"/>
        <v>-3050</v>
      </c>
      <c r="I154" s="47"/>
      <c r="J154" s="38">
        <f t="shared" si="36"/>
        <v>0</v>
      </c>
      <c r="K154" s="48"/>
      <c r="L154" s="48">
        <f t="shared" si="41"/>
        <v>124.73251493812076</v>
      </c>
      <c r="M154" s="48"/>
      <c r="N154" s="38">
        <f t="shared" si="42"/>
        <v>0</v>
      </c>
      <c r="O154" s="36">
        <f t="shared" si="43"/>
        <v>0</v>
      </c>
      <c r="P154" s="84">
        <f t="shared" si="44"/>
        <v>-3240.3349985272707</v>
      </c>
      <c r="Q154" s="38">
        <f t="shared" si="45"/>
        <v>0</v>
      </c>
      <c r="R154" s="48">
        <f t="shared" si="46"/>
        <v>7.7681635944525445</v>
      </c>
      <c r="S154" s="38">
        <f t="shared" si="37"/>
        <v>132.50067853257329</v>
      </c>
      <c r="T154" s="50">
        <f t="shared" si="50"/>
        <v>3050</v>
      </c>
      <c r="U154" s="40">
        <f t="shared" si="51"/>
        <v>2947.4292032552789</v>
      </c>
      <c r="V154" s="41">
        <f t="shared" si="52"/>
        <v>-3.362976942449869E-2</v>
      </c>
      <c r="W154" s="39">
        <f t="shared" si="53"/>
        <v>-102.57079674472106</v>
      </c>
      <c r="X154" s="50">
        <f t="shared" si="47"/>
        <v>190.80374854354707</v>
      </c>
      <c r="Y154" s="41">
        <f t="shared" si="54"/>
        <v>2.8928836655352841E-2</v>
      </c>
      <c r="Z154" s="52"/>
      <c r="AA154" s="50">
        <f t="shared" si="60"/>
        <v>3240.8037485435466</v>
      </c>
      <c r="AB154" s="39">
        <f t="shared" si="61"/>
        <v>3130.9909012240291</v>
      </c>
      <c r="AC154" s="39">
        <f t="shared" si="55"/>
        <v>-109.81284731951746</v>
      </c>
      <c r="AD154" s="41">
        <f t="shared" si="56"/>
        <v>-3.3884448377618837E-2</v>
      </c>
      <c r="AF154" s="46">
        <f t="shared" si="38"/>
        <v>0</v>
      </c>
      <c r="AG154" s="46">
        <f t="shared" si="57"/>
        <v>0</v>
      </c>
      <c r="AH154" s="54">
        <f t="shared" si="39"/>
        <v>861</v>
      </c>
      <c r="AI154" s="55">
        <f t="shared" si="48"/>
        <v>0.86302895322939865</v>
      </c>
      <c r="AJ154" s="55">
        <f t="shared" si="58"/>
        <v>0</v>
      </c>
      <c r="AK154" s="55">
        <f t="shared" si="59"/>
        <v>0</v>
      </c>
    </row>
    <row r="155" spans="2:37" s="53" customFormat="1" ht="17.25" customHeight="1" x14ac:dyDescent="0.25">
      <c r="B155" s="91" t="str">
        <f t="shared" si="40"/>
        <v/>
      </c>
      <c r="C155" s="81">
        <f>IF(Sheet3!A126="","",Sheet3!A126)</f>
        <v>38495</v>
      </c>
      <c r="D155" s="82">
        <f>IF(C155="","",Sheet3!E126)</f>
        <v>23.67</v>
      </c>
      <c r="E155" s="56">
        <f>_xlfn.XLOOKUP(WEEKNUM(C155)&amp;YEAR(C155),Sheet4!C:C,Sheet4!B:B,0)</f>
        <v>0</v>
      </c>
      <c r="F155" s="46">
        <f>IF(int=Weekly,-$D$5,IF(int=Bi_Weekly,-$D$5,IF(int=Monthly,-$D$5,IF(int=Quarterly,0,IF(int=Yearly,0,IF(int=None,0,0))))))</f>
        <v>-100</v>
      </c>
      <c r="G155" s="46"/>
      <c r="H155" s="46">
        <f t="shared" si="49"/>
        <v>-3150</v>
      </c>
      <c r="I155" s="47"/>
      <c r="J155" s="38">
        <f t="shared" si="36"/>
        <v>4.2247570764681024</v>
      </c>
      <c r="K155" s="48"/>
      <c r="L155" s="48">
        <f t="shared" si="41"/>
        <v>128.95727201458885</v>
      </c>
      <c r="M155" s="48"/>
      <c r="N155" s="38">
        <f t="shared" si="42"/>
        <v>0</v>
      </c>
      <c r="O155" s="36">
        <f t="shared" si="43"/>
        <v>0</v>
      </c>
      <c r="P155" s="84">
        <f t="shared" si="44"/>
        <v>-3340.3349985272707</v>
      </c>
      <c r="Q155" s="38">
        <f t="shared" si="45"/>
        <v>0</v>
      </c>
      <c r="R155" s="48">
        <f t="shared" si="46"/>
        <v>7.7681635944525445</v>
      </c>
      <c r="S155" s="38">
        <f t="shared" si="37"/>
        <v>136.7254356090414</v>
      </c>
      <c r="T155" s="50">
        <f t="shared" si="50"/>
        <v>3150</v>
      </c>
      <c r="U155" s="40">
        <f t="shared" si="51"/>
        <v>3052.4186285853184</v>
      </c>
      <c r="V155" s="41">
        <f t="shared" si="52"/>
        <v>-3.0978213147517919E-2</v>
      </c>
      <c r="W155" s="39">
        <f t="shared" si="53"/>
        <v>-97.581371414681598</v>
      </c>
      <c r="X155" s="50">
        <f t="shared" si="47"/>
        <v>190.80374854354707</v>
      </c>
      <c r="Y155" s="41">
        <f t="shared" si="54"/>
        <v>2.9594405437735061E-2</v>
      </c>
      <c r="Z155" s="52"/>
      <c r="AA155" s="50">
        <f t="shared" si="60"/>
        <v>3340.8037485435466</v>
      </c>
      <c r="AB155" s="39">
        <f t="shared" si="61"/>
        <v>3236.29106086601</v>
      </c>
      <c r="AC155" s="39">
        <f t="shared" si="55"/>
        <v>-104.51268767753663</v>
      </c>
      <c r="AD155" s="41">
        <f t="shared" si="56"/>
        <v>-3.1283695644528597E-2</v>
      </c>
      <c r="AF155" s="46">
        <f t="shared" si="38"/>
        <v>-100</v>
      </c>
      <c r="AG155" s="46">
        <f t="shared" si="57"/>
        <v>-100</v>
      </c>
      <c r="AH155" s="54">
        <f t="shared" si="39"/>
        <v>868</v>
      </c>
      <c r="AI155" s="55">
        <f t="shared" si="48"/>
        <v>0.86191536748329622</v>
      </c>
      <c r="AJ155" s="55">
        <f t="shared" si="58"/>
        <v>-86.191536748329625</v>
      </c>
      <c r="AK155" s="55">
        <f t="shared" si="59"/>
        <v>-86.191536748329625</v>
      </c>
    </row>
    <row r="156" spans="2:37" s="53" customFormat="1" ht="17.25" customHeight="1" x14ac:dyDescent="0.25">
      <c r="B156" s="91" t="str">
        <f t="shared" si="40"/>
        <v/>
      </c>
      <c r="C156" s="81">
        <f>IF(Sheet3!A127="","",Sheet3!A127)</f>
        <v>38502</v>
      </c>
      <c r="D156" s="82">
        <f>IF(C156="","",Sheet3!E127)</f>
        <v>23.34</v>
      </c>
      <c r="E156" s="56">
        <f>_xlfn.XLOOKUP(WEEKNUM(C156)&amp;YEAR(C156),Sheet4!C:C,Sheet4!B:B,0)</f>
        <v>0</v>
      </c>
      <c r="F156" s="46">
        <f>IF(int=Weekly,-$D$5,IF(int=Bi_Weekly,0,IF(int=Monthly,0,IF(int=Quarterly,0,IF(int=Yearly,0,IF(int=None,0,0))))))</f>
        <v>0</v>
      </c>
      <c r="G156" s="46"/>
      <c r="H156" s="46">
        <f t="shared" si="49"/>
        <v>-3150</v>
      </c>
      <c r="I156" s="47"/>
      <c r="J156" s="38">
        <f t="shared" si="36"/>
        <v>0</v>
      </c>
      <c r="K156" s="48"/>
      <c r="L156" s="48">
        <f t="shared" si="41"/>
        <v>128.95727201458885</v>
      </c>
      <c r="M156" s="48"/>
      <c r="N156" s="38">
        <f t="shared" si="42"/>
        <v>0</v>
      </c>
      <c r="O156" s="36">
        <f t="shared" si="43"/>
        <v>0</v>
      </c>
      <c r="P156" s="84">
        <f t="shared" si="44"/>
        <v>-3340.3349985272707</v>
      </c>
      <c r="Q156" s="38">
        <f t="shared" si="45"/>
        <v>0</v>
      </c>
      <c r="R156" s="48">
        <f t="shared" si="46"/>
        <v>7.7681635944525445</v>
      </c>
      <c r="S156" s="38">
        <f t="shared" si="37"/>
        <v>136.7254356090414</v>
      </c>
      <c r="T156" s="50">
        <f t="shared" si="50"/>
        <v>3150</v>
      </c>
      <c r="U156" s="40">
        <f t="shared" si="51"/>
        <v>3009.8627288205039</v>
      </c>
      <c r="V156" s="41">
        <f t="shared" si="52"/>
        <v>-4.44880225966654E-2</v>
      </c>
      <c r="W156" s="39">
        <f t="shared" si="53"/>
        <v>-140.13727117949611</v>
      </c>
      <c r="X156" s="50">
        <f t="shared" si="47"/>
        <v>190.80374854354707</v>
      </c>
      <c r="Y156" s="41">
        <f t="shared" si="54"/>
        <v>1.608459598858758E-2</v>
      </c>
      <c r="Z156" s="52"/>
      <c r="AA156" s="50">
        <f t="shared" si="60"/>
        <v>3340.8037485435466</v>
      </c>
      <c r="AB156" s="39">
        <f t="shared" si="61"/>
        <v>3191.1716671150261</v>
      </c>
      <c r="AC156" s="39">
        <f t="shared" si="55"/>
        <v>-149.63208142852045</v>
      </c>
      <c r="AD156" s="41">
        <f t="shared" si="56"/>
        <v>-4.4789246148850825E-2</v>
      </c>
      <c r="AF156" s="46">
        <f t="shared" si="38"/>
        <v>0</v>
      </c>
      <c r="AG156" s="46">
        <f t="shared" si="57"/>
        <v>0</v>
      </c>
      <c r="AH156" s="54">
        <f t="shared" si="39"/>
        <v>875</v>
      </c>
      <c r="AI156" s="55">
        <f t="shared" si="48"/>
        <v>0.86080178173719379</v>
      </c>
      <c r="AJ156" s="55">
        <f t="shared" si="58"/>
        <v>0</v>
      </c>
      <c r="AK156" s="55">
        <f t="shared" si="59"/>
        <v>0</v>
      </c>
    </row>
    <row r="157" spans="2:37" s="53" customFormat="1" ht="17.25" customHeight="1" x14ac:dyDescent="0.25">
      <c r="B157" s="91" t="str">
        <f t="shared" si="40"/>
        <v/>
      </c>
      <c r="C157" s="81">
        <f>IF(Sheet3!A128="","",Sheet3!A128)</f>
        <v>38509</v>
      </c>
      <c r="D157" s="82">
        <f>IF(C157="","",Sheet3!E128)</f>
        <v>23.629999000000002</v>
      </c>
      <c r="E157" s="56">
        <f>_xlfn.XLOOKUP(WEEKNUM(C157)&amp;YEAR(C157),Sheet4!C:C,Sheet4!B:B,0)</f>
        <v>0</v>
      </c>
      <c r="F157" s="46">
        <f>IF(int=Weekly,-$D$5,IF(int=Bi_Weekly,-$D$5,IF(int=Monthly,0,IF(int=Quarterly,0,IF(int=Yearly,0,IF(int=None,0,0))))))</f>
        <v>0</v>
      </c>
      <c r="G157" s="46"/>
      <c r="H157" s="46">
        <f t="shared" si="49"/>
        <v>-3150</v>
      </c>
      <c r="I157" s="47"/>
      <c r="J157" s="38">
        <f t="shared" si="36"/>
        <v>0</v>
      </c>
      <c r="K157" s="48"/>
      <c r="L157" s="48">
        <f t="shared" si="41"/>
        <v>128.95727201458885</v>
      </c>
      <c r="M157" s="48"/>
      <c r="N157" s="38">
        <f t="shared" si="42"/>
        <v>0</v>
      </c>
      <c r="O157" s="36">
        <f t="shared" si="43"/>
        <v>0</v>
      </c>
      <c r="P157" s="84">
        <f t="shared" si="44"/>
        <v>-3340.3349985272707</v>
      </c>
      <c r="Q157" s="38">
        <f t="shared" si="45"/>
        <v>0</v>
      </c>
      <c r="R157" s="48">
        <f t="shared" si="46"/>
        <v>7.7681635944525445</v>
      </c>
      <c r="S157" s="38">
        <f t="shared" si="37"/>
        <v>136.7254356090414</v>
      </c>
      <c r="T157" s="50">
        <f t="shared" si="50"/>
        <v>3150</v>
      </c>
      <c r="U157" s="40">
        <f t="shared" si="51"/>
        <v>3047.2602087474629</v>
      </c>
      <c r="V157" s="41">
        <f t="shared" si="52"/>
        <v>-3.2615806746837173E-2</v>
      </c>
      <c r="W157" s="39">
        <f t="shared" si="53"/>
        <v>-102.73979125253709</v>
      </c>
      <c r="X157" s="50">
        <f t="shared" si="47"/>
        <v>190.80374854354707</v>
      </c>
      <c r="Y157" s="41">
        <f t="shared" si="54"/>
        <v>2.7956811838415918E-2</v>
      </c>
      <c r="Z157" s="52"/>
      <c r="AA157" s="50">
        <f t="shared" si="60"/>
        <v>3340.8037485435466</v>
      </c>
      <c r="AB157" s="39">
        <f t="shared" si="61"/>
        <v>3230.8219067162131</v>
      </c>
      <c r="AC157" s="39">
        <f t="shared" si="55"/>
        <v>-109.98184182733348</v>
      </c>
      <c r="AD157" s="41">
        <f t="shared" si="56"/>
        <v>-3.2920772995205461E-2</v>
      </c>
      <c r="AF157" s="46">
        <f t="shared" si="38"/>
        <v>0</v>
      </c>
      <c r="AG157" s="46">
        <f t="shared" si="57"/>
        <v>0</v>
      </c>
      <c r="AH157" s="54">
        <f t="shared" si="39"/>
        <v>882</v>
      </c>
      <c r="AI157" s="55">
        <f t="shared" si="48"/>
        <v>0.85968819599109136</v>
      </c>
      <c r="AJ157" s="55">
        <f t="shared" si="58"/>
        <v>0</v>
      </c>
      <c r="AK157" s="55">
        <f t="shared" si="59"/>
        <v>0</v>
      </c>
    </row>
    <row r="158" spans="2:37" s="53" customFormat="1" ht="17.25" customHeight="1" x14ac:dyDescent="0.25">
      <c r="B158" s="91" t="str">
        <f t="shared" si="40"/>
        <v/>
      </c>
      <c r="C158" s="81">
        <f>IF(Sheet3!A129="","",Sheet3!A129)</f>
        <v>38516</v>
      </c>
      <c r="D158" s="82">
        <f>IF(C158="","",Sheet3!E129)</f>
        <v>24.02</v>
      </c>
      <c r="E158" s="56">
        <f>_xlfn.XLOOKUP(WEEKNUM(C158)&amp;YEAR(C158),Sheet4!C:C,Sheet4!B:B,0)</f>
        <v>0</v>
      </c>
      <c r="F158" s="46">
        <f>IF(int=Weekly,-$D$5,IF(int=Bi_Weekly,0,IF(int=Monthly,0,IF(int=Quarterly,0,IF(int=Yearly,0,IF(int=None,0,0))))))</f>
        <v>0</v>
      </c>
      <c r="G158" s="46"/>
      <c r="H158" s="46">
        <f t="shared" si="49"/>
        <v>-3150</v>
      </c>
      <c r="I158" s="47"/>
      <c r="J158" s="38">
        <f t="shared" si="36"/>
        <v>0</v>
      </c>
      <c r="K158" s="48"/>
      <c r="L158" s="48">
        <f t="shared" si="41"/>
        <v>128.95727201458885</v>
      </c>
      <c r="M158" s="48"/>
      <c r="N158" s="38">
        <f t="shared" si="42"/>
        <v>0</v>
      </c>
      <c r="O158" s="36">
        <f t="shared" si="43"/>
        <v>0</v>
      </c>
      <c r="P158" s="84">
        <f t="shared" si="44"/>
        <v>-3340.3349985272707</v>
      </c>
      <c r="Q158" s="38">
        <f t="shared" si="45"/>
        <v>0</v>
      </c>
      <c r="R158" s="48">
        <f t="shared" si="46"/>
        <v>7.7681635944525445</v>
      </c>
      <c r="S158" s="38">
        <f t="shared" si="37"/>
        <v>136.7254356090414</v>
      </c>
      <c r="T158" s="50">
        <f t="shared" si="50"/>
        <v>3150</v>
      </c>
      <c r="U158" s="40">
        <f t="shared" si="51"/>
        <v>3097.553673790424</v>
      </c>
      <c r="V158" s="41">
        <f t="shared" si="52"/>
        <v>-1.6649627368119368E-2</v>
      </c>
      <c r="W158" s="39">
        <f t="shared" si="53"/>
        <v>-52.446326209576</v>
      </c>
      <c r="X158" s="50">
        <f t="shared" si="47"/>
        <v>190.80374854354707</v>
      </c>
      <c r="Y158" s="41">
        <f t="shared" si="54"/>
        <v>4.3922991217133722E-2</v>
      </c>
      <c r="Z158" s="52"/>
      <c r="AA158" s="50">
        <f t="shared" si="60"/>
        <v>3340.8037485435466</v>
      </c>
      <c r="AB158" s="39">
        <f t="shared" si="61"/>
        <v>3284.1449633291741</v>
      </c>
      <c r="AC158" s="39">
        <f t="shared" si="55"/>
        <v>-56.658785214372529</v>
      </c>
      <c r="AD158" s="41">
        <f t="shared" si="56"/>
        <v>-1.6959626927823379E-2</v>
      </c>
      <c r="AF158" s="46">
        <f t="shared" si="38"/>
        <v>0</v>
      </c>
      <c r="AG158" s="46">
        <f t="shared" si="57"/>
        <v>0</v>
      </c>
      <c r="AH158" s="54">
        <f t="shared" si="39"/>
        <v>889</v>
      </c>
      <c r="AI158" s="55">
        <f t="shared" si="48"/>
        <v>0.85857461024498882</v>
      </c>
      <c r="AJ158" s="55">
        <f t="shared" si="58"/>
        <v>0</v>
      </c>
      <c r="AK158" s="55">
        <f t="shared" si="59"/>
        <v>0</v>
      </c>
    </row>
    <row r="159" spans="2:37" s="53" customFormat="1" ht="17.25" customHeight="1" x14ac:dyDescent="0.25">
      <c r="B159" s="91" t="str">
        <f t="shared" si="40"/>
        <v/>
      </c>
      <c r="C159" s="81">
        <f>IF(Sheet3!A130="","",Sheet3!A130)</f>
        <v>38523</v>
      </c>
      <c r="D159" s="82">
        <f>IF(C159="","",Sheet3!E130)</f>
        <v>23.5</v>
      </c>
      <c r="E159" s="56">
        <f>_xlfn.XLOOKUP(WEEKNUM(C159)&amp;YEAR(C159),Sheet4!C:C,Sheet4!B:B,0)</f>
        <v>0</v>
      </c>
      <c r="F159" s="46">
        <f>IF(int=Weekly,-$D$5,IF(int=Bi_Weekly,-$D$5,IF(int=Monthly,-$D$5,IF(int=Quarterly,0,IF(int=Yearly,0,IF(int=None,0,0))))))</f>
        <v>-100</v>
      </c>
      <c r="G159" s="46"/>
      <c r="H159" s="46">
        <f t="shared" si="49"/>
        <v>-3250</v>
      </c>
      <c r="I159" s="47"/>
      <c r="J159" s="38">
        <f t="shared" ref="J159:J222" si="62">IF(D$24=0,"",ABS($F159*D$24)/D159)</f>
        <v>4.2553191489361701</v>
      </c>
      <c r="K159" s="48"/>
      <c r="L159" s="48">
        <f t="shared" si="41"/>
        <v>133.21259116352502</v>
      </c>
      <c r="M159" s="48"/>
      <c r="N159" s="38">
        <f t="shared" si="42"/>
        <v>0</v>
      </c>
      <c r="O159" s="36">
        <f t="shared" si="43"/>
        <v>0</v>
      </c>
      <c r="P159" s="84">
        <f t="shared" si="44"/>
        <v>-3440.3349985272707</v>
      </c>
      <c r="Q159" s="38">
        <f t="shared" si="45"/>
        <v>0</v>
      </c>
      <c r="R159" s="48">
        <f t="shared" si="46"/>
        <v>7.7681635944525445</v>
      </c>
      <c r="S159" s="38">
        <f t="shared" ref="S159:S222" si="63">IF(D159=0,"",L159+R159)</f>
        <v>140.98075475797756</v>
      </c>
      <c r="T159" s="50">
        <f t="shared" si="50"/>
        <v>3250</v>
      </c>
      <c r="U159" s="40">
        <f t="shared" si="51"/>
        <v>3130.495892342838</v>
      </c>
      <c r="V159" s="41">
        <f t="shared" si="52"/>
        <v>-3.6770494663742159E-2</v>
      </c>
      <c r="W159" s="39">
        <f t="shared" si="53"/>
        <v>-119.50410765716197</v>
      </c>
      <c r="X159" s="50">
        <f t="shared" si="47"/>
        <v>190.80374854354707</v>
      </c>
      <c r="Y159" s="41">
        <f t="shared" si="54"/>
        <v>2.1938351041964621E-2</v>
      </c>
      <c r="Z159" s="52"/>
      <c r="AA159" s="50">
        <f t="shared" si="60"/>
        <v>3440.8037485435466</v>
      </c>
      <c r="AB159" s="39">
        <f t="shared" si="61"/>
        <v>3313.047736812473</v>
      </c>
      <c r="AC159" s="39">
        <f t="shared" si="55"/>
        <v>-127.75601173107361</v>
      </c>
      <c r="AD159" s="41">
        <f t="shared" si="56"/>
        <v>-3.7129700229241891E-2</v>
      </c>
      <c r="AF159" s="46">
        <f t="shared" ref="AF159:AF222" si="64">F159+ABS(O159)</f>
        <v>-100</v>
      </c>
      <c r="AG159" s="46">
        <f t="shared" si="57"/>
        <v>-100</v>
      </c>
      <c r="AH159" s="54">
        <f t="shared" ref="AH159:AH222" si="65">DATEDIF($C$31,C159,"d")</f>
        <v>896</v>
      </c>
      <c r="AI159" s="55">
        <f t="shared" si="48"/>
        <v>0.85746102449888639</v>
      </c>
      <c r="AJ159" s="55">
        <f t="shared" si="58"/>
        <v>-85.746102449888639</v>
      </c>
      <c r="AK159" s="55">
        <f t="shared" si="59"/>
        <v>-85.746102449888639</v>
      </c>
    </row>
    <row r="160" spans="2:37" s="53" customFormat="1" ht="17.25" customHeight="1" x14ac:dyDescent="0.25">
      <c r="B160" s="91" t="str">
        <f t="shared" ref="B160:B223" si="66">IF(C159="","",IF(C$30&lt;C160,"",B159+1))</f>
        <v/>
      </c>
      <c r="C160" s="81">
        <f>IF(Sheet3!A131="","",Sheet3!A131)</f>
        <v>38530</v>
      </c>
      <c r="D160" s="82">
        <f>IF(C160="","",Sheet3!E131)</f>
        <v>23.93</v>
      </c>
      <c r="E160" s="56">
        <f>_xlfn.XLOOKUP(WEEKNUM(C160)&amp;YEAR(C160),Sheet4!C:C,Sheet4!B:B,0)</f>
        <v>0</v>
      </c>
      <c r="F160" s="46">
        <f>IF(int=Weekly,-$D$5,IF(int=Bi_Weekly,0,IF(int=Monthly,0,IF(int=Quarterly,0,IF(int=Yearly,0,IF(int=None,0,0))))))</f>
        <v>0</v>
      </c>
      <c r="G160" s="46"/>
      <c r="H160" s="46">
        <f t="shared" si="49"/>
        <v>-3250</v>
      </c>
      <c r="I160" s="47"/>
      <c r="J160" s="38">
        <f t="shared" si="62"/>
        <v>0</v>
      </c>
      <c r="K160" s="48"/>
      <c r="L160" s="48">
        <f t="shared" ref="L160:L223" si="67">IF(D160=0,"",L159+J160)</f>
        <v>133.21259116352502</v>
      </c>
      <c r="M160" s="48"/>
      <c r="N160" s="38">
        <f t="shared" ref="N160:N223" si="68">IF(D160=0,"",L160*E160)</f>
        <v>0</v>
      </c>
      <c r="O160" s="36">
        <f t="shared" ref="O160:O223" si="69">-(IF(D160=0,"",N160))</f>
        <v>0</v>
      </c>
      <c r="P160" s="84">
        <f t="shared" ref="P160:P223" si="70">P159+F160+O160</f>
        <v>-3440.3349985272707</v>
      </c>
      <c r="Q160" s="38">
        <f t="shared" ref="Q160:Q223" si="71">IF(D160=0,"",ABS($O160)/D160)</f>
        <v>0</v>
      </c>
      <c r="R160" s="48">
        <f t="shared" ref="R160:R223" si="72">IF(D160=0,"",Q160+R159)</f>
        <v>7.7681635944525445</v>
      </c>
      <c r="S160" s="38">
        <f t="shared" si="63"/>
        <v>140.98075475797756</v>
      </c>
      <c r="T160" s="50">
        <f t="shared" si="50"/>
        <v>3250</v>
      </c>
      <c r="U160" s="40">
        <f t="shared" si="51"/>
        <v>3187.7773065431538</v>
      </c>
      <c r="V160" s="41">
        <f t="shared" si="52"/>
        <v>-1.9145444140568069E-2</v>
      </c>
      <c r="W160" s="39">
        <f t="shared" si="53"/>
        <v>-62.222693456846173</v>
      </c>
      <c r="X160" s="50">
        <f t="shared" ref="X160:X223" si="73">ABS(O160)+X159</f>
        <v>190.80374854354707</v>
      </c>
      <c r="Y160" s="41">
        <f t="shared" si="54"/>
        <v>3.9563401565138712E-2</v>
      </c>
      <c r="Z160" s="52"/>
      <c r="AA160" s="50">
        <f t="shared" si="60"/>
        <v>3440.8037485435466</v>
      </c>
      <c r="AB160" s="39">
        <f t="shared" si="61"/>
        <v>3373.6694613584032</v>
      </c>
      <c r="AC160" s="39">
        <f t="shared" si="55"/>
        <v>-67.134287185143421</v>
      </c>
      <c r="AD160" s="41">
        <f t="shared" si="56"/>
        <v>-1.9511222403649331E-2</v>
      </c>
      <c r="AF160" s="46">
        <f t="shared" si="64"/>
        <v>0</v>
      </c>
      <c r="AG160" s="46">
        <f t="shared" si="57"/>
        <v>0</v>
      </c>
      <c r="AH160" s="54">
        <f t="shared" si="65"/>
        <v>903</v>
      </c>
      <c r="AI160" s="55">
        <f t="shared" ref="AI160:AI223" si="74">(AH$30-AH160)/AH$30</f>
        <v>0.85634743875278396</v>
      </c>
      <c r="AJ160" s="55">
        <f t="shared" si="58"/>
        <v>0</v>
      </c>
      <c r="AK160" s="55">
        <f t="shared" si="59"/>
        <v>0</v>
      </c>
    </row>
    <row r="161" spans="2:37" s="53" customFormat="1" ht="17.25" customHeight="1" x14ac:dyDescent="0.25">
      <c r="B161" s="91" t="str">
        <f t="shared" si="66"/>
        <v/>
      </c>
      <c r="C161" s="81">
        <f>IF(Sheet3!A132="","",Sheet3!A132)</f>
        <v>38537</v>
      </c>
      <c r="D161" s="82">
        <f>IF(C161="","",Sheet3!E132)</f>
        <v>23.57</v>
      </c>
      <c r="E161" s="56">
        <f>_xlfn.XLOOKUP(WEEKNUM(C161)&amp;YEAR(C161),Sheet4!C:C,Sheet4!B:B,0)</f>
        <v>0.32250000000000001</v>
      </c>
      <c r="F161" s="46">
        <f>IF(int=Weekly,-$D$5,IF(int=Bi_Weekly,-$D$5,IF(int=Monthly,0,IF(int=Quarterly,-$D$5,IF(int=Yearly,0,IF(int=None,0,0))))))</f>
        <v>0</v>
      </c>
      <c r="G161" s="46"/>
      <c r="H161" s="46">
        <f t="shared" ref="H161:H224" si="75">H160+F161</f>
        <v>-3250</v>
      </c>
      <c r="I161" s="47"/>
      <c r="J161" s="38">
        <f t="shared" si="62"/>
        <v>0</v>
      </c>
      <c r="K161" s="48"/>
      <c r="L161" s="48">
        <f t="shared" si="67"/>
        <v>133.21259116352502</v>
      </c>
      <c r="M161" s="48"/>
      <c r="N161" s="38">
        <f t="shared" si="68"/>
        <v>42.961060650236817</v>
      </c>
      <c r="O161" s="36">
        <f t="shared" si="69"/>
        <v>-42.961060650236817</v>
      </c>
      <c r="P161" s="84">
        <f t="shared" si="70"/>
        <v>-3483.2960591775077</v>
      </c>
      <c r="Q161" s="38">
        <f t="shared" si="71"/>
        <v>1.8227009185505649</v>
      </c>
      <c r="R161" s="48">
        <f t="shared" si="72"/>
        <v>9.59086451300311</v>
      </c>
      <c r="S161" s="38">
        <f t="shared" si="63"/>
        <v>142.80345567652813</v>
      </c>
      <c r="T161" s="50">
        <f t="shared" ref="T161:T224" si="76">IF(D161=0,"",D161*J161)+T160</f>
        <v>3250</v>
      </c>
      <c r="U161" s="40">
        <f t="shared" ref="U161:U224" si="77">IF(D161=0,"",L161*D161)</f>
        <v>3139.8207737242847</v>
      </c>
      <c r="V161" s="41">
        <f t="shared" ref="V161:V224" si="78">(U161/T161)-1</f>
        <v>-3.3901300392527811E-2</v>
      </c>
      <c r="W161" s="39">
        <f t="shared" ref="W161:W224" si="79">U161-T161</f>
        <v>-110.17922627571534</v>
      </c>
      <c r="X161" s="50">
        <f t="shared" si="73"/>
        <v>233.76480919378389</v>
      </c>
      <c r="Y161" s="41">
        <f t="shared" ref="Y161:Y224" si="80">((U161+X161)/T161)-1</f>
        <v>3.8026333205559482E-2</v>
      </c>
      <c r="Z161" s="52"/>
      <c r="AA161" s="50">
        <f t="shared" si="60"/>
        <v>3483.7648091937835</v>
      </c>
      <c r="AB161" s="39">
        <f t="shared" si="61"/>
        <v>3365.8774502957681</v>
      </c>
      <c r="AC161" s="39">
        <f t="shared" ref="AC161:AC224" si="81">AB161-AA161</f>
        <v>-117.88735889801546</v>
      </c>
      <c r="AD161" s="41">
        <f t="shared" ref="AD161:AD224" si="82">(AB161/AA161)-1</f>
        <v>-3.3839069327213589E-2</v>
      </c>
      <c r="AF161" s="46">
        <f t="shared" si="64"/>
        <v>42.961060650236817</v>
      </c>
      <c r="AG161" s="46">
        <f t="shared" ref="AG161:AG224" si="83">F161</f>
        <v>0</v>
      </c>
      <c r="AH161" s="54">
        <f t="shared" si="65"/>
        <v>910</v>
      </c>
      <c r="AI161" s="55">
        <f t="shared" si="74"/>
        <v>0.85523385300668153</v>
      </c>
      <c r="AJ161" s="55">
        <f t="shared" ref="AJ161:AJ224" si="84">AI161*AF161</f>
        <v>36.741753429155764</v>
      </c>
      <c r="AK161" s="55">
        <f t="shared" ref="AK161:AK224" si="85">$AI161*AG161</f>
        <v>0</v>
      </c>
    </row>
    <row r="162" spans="2:37" s="53" customFormat="1" ht="17.25" customHeight="1" x14ac:dyDescent="0.25">
      <c r="B162" s="91" t="str">
        <f t="shared" si="66"/>
        <v/>
      </c>
      <c r="C162" s="81">
        <f>IF(Sheet3!A133="","",Sheet3!A133)</f>
        <v>38544</v>
      </c>
      <c r="D162" s="82">
        <f>IF(C162="","",Sheet3!E133)</f>
        <v>24.120000999999998</v>
      </c>
      <c r="E162" s="56">
        <f>_xlfn.XLOOKUP(WEEKNUM(C162)&amp;YEAR(C162),Sheet4!C:C,Sheet4!B:B,0)</f>
        <v>0</v>
      </c>
      <c r="F162" s="46">
        <f>IF(int=Weekly,-$D$5,IF(int=Bi_Weekly,0,IF(int=Monthly,0,IF(int=Quarterly,0,IF(int=Yearly,0,IF(int=None,0,0))))))</f>
        <v>0</v>
      </c>
      <c r="G162" s="46"/>
      <c r="H162" s="46">
        <f t="shared" si="75"/>
        <v>-3250</v>
      </c>
      <c r="I162" s="47"/>
      <c r="J162" s="38">
        <f t="shared" si="62"/>
        <v>0</v>
      </c>
      <c r="K162" s="48"/>
      <c r="L162" s="48">
        <f t="shared" si="67"/>
        <v>133.21259116352502</v>
      </c>
      <c r="M162" s="48"/>
      <c r="N162" s="38">
        <f t="shared" si="68"/>
        <v>0</v>
      </c>
      <c r="O162" s="36">
        <f t="shared" si="69"/>
        <v>0</v>
      </c>
      <c r="P162" s="84">
        <f t="shared" si="70"/>
        <v>-3483.2960591775077</v>
      </c>
      <c r="Q162" s="38">
        <f t="shared" si="71"/>
        <v>0</v>
      </c>
      <c r="R162" s="48">
        <f t="shared" si="72"/>
        <v>9.59086451300311</v>
      </c>
      <c r="S162" s="38">
        <f t="shared" si="63"/>
        <v>142.80345567652813</v>
      </c>
      <c r="T162" s="50">
        <f t="shared" si="76"/>
        <v>3250</v>
      </c>
      <c r="U162" s="40">
        <f t="shared" si="77"/>
        <v>3213.0878320768143</v>
      </c>
      <c r="V162" s="41">
        <f t="shared" si="78"/>
        <v>-1.1357590130210982E-2</v>
      </c>
      <c r="W162" s="39">
        <f t="shared" si="79"/>
        <v>-36.912167923185734</v>
      </c>
      <c r="X162" s="50">
        <f t="shared" si="73"/>
        <v>233.76480919378389</v>
      </c>
      <c r="Y162" s="41">
        <f t="shared" si="80"/>
        <v>6.0570043467876422E-2</v>
      </c>
      <c r="Z162" s="52"/>
      <c r="AA162" s="50">
        <f t="shared" si="60"/>
        <v>3483.7648091937835</v>
      </c>
      <c r="AB162" s="39">
        <f t="shared" si="61"/>
        <v>3444.4194937213138</v>
      </c>
      <c r="AC162" s="39">
        <f t="shared" si="81"/>
        <v>-39.345315472469792</v>
      </c>
      <c r="AD162" s="41">
        <f t="shared" si="82"/>
        <v>-1.1293906916057028E-2</v>
      </c>
      <c r="AF162" s="46">
        <f t="shared" si="64"/>
        <v>0</v>
      </c>
      <c r="AG162" s="46">
        <f t="shared" si="83"/>
        <v>0</v>
      </c>
      <c r="AH162" s="54">
        <f t="shared" si="65"/>
        <v>917</v>
      </c>
      <c r="AI162" s="55">
        <f t="shared" si="74"/>
        <v>0.8541202672605791</v>
      </c>
      <c r="AJ162" s="55">
        <f t="shared" si="84"/>
        <v>0</v>
      </c>
      <c r="AK162" s="55">
        <f t="shared" si="85"/>
        <v>0</v>
      </c>
    </row>
    <row r="163" spans="2:37" s="53" customFormat="1" ht="17.25" customHeight="1" x14ac:dyDescent="0.25">
      <c r="B163" s="91" t="str">
        <f t="shared" si="66"/>
        <v/>
      </c>
      <c r="C163" s="81">
        <f>IF(Sheet3!A134="","",Sheet3!A134)</f>
        <v>38551</v>
      </c>
      <c r="D163" s="82">
        <f>IF(C163="","",Sheet3!E134)</f>
        <v>23.719999000000001</v>
      </c>
      <c r="E163" s="56">
        <f>_xlfn.XLOOKUP(WEEKNUM(C163)&amp;YEAR(C163),Sheet4!C:C,Sheet4!B:B,0)</f>
        <v>0</v>
      </c>
      <c r="F163" s="46">
        <f>IF(int=Weekly,-$D$5,IF(int=Bi_Weekly,-$D$5,IF(int=Monthly,-$D$5,IF(int=Quarterly,0,IF(int=Yearly,0,IF(int=None,0,0))))))</f>
        <v>-100</v>
      </c>
      <c r="G163" s="46"/>
      <c r="H163" s="46">
        <f t="shared" si="75"/>
        <v>-3350</v>
      </c>
      <c r="I163" s="47"/>
      <c r="J163" s="38">
        <f t="shared" si="62"/>
        <v>4.2158517797576636</v>
      </c>
      <c r="K163" s="48"/>
      <c r="L163" s="48">
        <f t="shared" si="67"/>
        <v>137.42844294328268</v>
      </c>
      <c r="M163" s="48"/>
      <c r="N163" s="38">
        <f t="shared" si="68"/>
        <v>0</v>
      </c>
      <c r="O163" s="36">
        <f t="shared" si="69"/>
        <v>0</v>
      </c>
      <c r="P163" s="84">
        <f t="shared" si="70"/>
        <v>-3583.2960591775077</v>
      </c>
      <c r="Q163" s="38">
        <f t="shared" si="71"/>
        <v>0</v>
      </c>
      <c r="R163" s="48">
        <f t="shared" si="72"/>
        <v>9.59086451300311</v>
      </c>
      <c r="S163" s="38">
        <f t="shared" si="63"/>
        <v>147.01930745628579</v>
      </c>
      <c r="T163" s="50">
        <f t="shared" si="76"/>
        <v>3350</v>
      </c>
      <c r="U163" s="40">
        <f t="shared" si="77"/>
        <v>3259.8025291862223</v>
      </c>
      <c r="V163" s="41">
        <f t="shared" si="78"/>
        <v>-2.6924618153366442E-2</v>
      </c>
      <c r="W163" s="39">
        <f t="shared" si="79"/>
        <v>-90.197470813777727</v>
      </c>
      <c r="X163" s="50">
        <f t="shared" si="73"/>
        <v>233.76480919378389</v>
      </c>
      <c r="Y163" s="41">
        <f t="shared" si="80"/>
        <v>4.285592190447951E-2</v>
      </c>
      <c r="Z163" s="52"/>
      <c r="AA163" s="50">
        <f t="shared" si="60"/>
        <v>3583.7648091937835</v>
      </c>
      <c r="AB163" s="39">
        <f t="shared" si="61"/>
        <v>3487.2978258437915</v>
      </c>
      <c r="AC163" s="39">
        <f t="shared" si="81"/>
        <v>-96.466983349992006</v>
      </c>
      <c r="AD163" s="41">
        <f t="shared" si="82"/>
        <v>-2.6917777389441344E-2</v>
      </c>
      <c r="AF163" s="46">
        <f t="shared" si="64"/>
        <v>-100</v>
      </c>
      <c r="AG163" s="46">
        <f t="shared" si="83"/>
        <v>-100</v>
      </c>
      <c r="AH163" s="54">
        <f t="shared" si="65"/>
        <v>924</v>
      </c>
      <c r="AI163" s="55">
        <f t="shared" si="74"/>
        <v>0.85300668151447656</v>
      </c>
      <c r="AJ163" s="55">
        <f t="shared" si="84"/>
        <v>-85.300668151447653</v>
      </c>
      <c r="AK163" s="55">
        <f t="shared" si="85"/>
        <v>-85.300668151447653</v>
      </c>
    </row>
    <row r="164" spans="2:37" s="53" customFormat="1" ht="17.25" customHeight="1" x14ac:dyDescent="0.25">
      <c r="B164" s="91" t="str">
        <f t="shared" si="66"/>
        <v/>
      </c>
      <c r="C164" s="81">
        <f>IF(Sheet3!A135="","",Sheet3!A135)</f>
        <v>38558</v>
      </c>
      <c r="D164" s="82">
        <f>IF(C164="","",Sheet3!E135)</f>
        <v>24.450001</v>
      </c>
      <c r="E164" s="56">
        <f>_xlfn.XLOOKUP(WEEKNUM(C164)&amp;YEAR(C164),Sheet4!C:C,Sheet4!B:B,0)</f>
        <v>0</v>
      </c>
      <c r="F164" s="46">
        <f>IF(int=Weekly,-$D$5,IF(int=Bi_Weekly,0,IF(int=Monthly,0,IF(int=Quarterly,0,IF(int=Yearly,0,IF(int=None,0,0))))))</f>
        <v>0</v>
      </c>
      <c r="G164" s="46"/>
      <c r="H164" s="46">
        <f t="shared" si="75"/>
        <v>-3350</v>
      </c>
      <c r="I164" s="47"/>
      <c r="J164" s="38">
        <f t="shared" si="62"/>
        <v>0</v>
      </c>
      <c r="K164" s="48"/>
      <c r="L164" s="48">
        <f t="shared" si="67"/>
        <v>137.42844294328268</v>
      </c>
      <c r="M164" s="48"/>
      <c r="N164" s="38">
        <f t="shared" si="68"/>
        <v>0</v>
      </c>
      <c r="O164" s="36">
        <f t="shared" si="69"/>
        <v>0</v>
      </c>
      <c r="P164" s="84">
        <f t="shared" si="70"/>
        <v>-3583.2960591775077</v>
      </c>
      <c r="Q164" s="38">
        <f t="shared" si="71"/>
        <v>0</v>
      </c>
      <c r="R164" s="48">
        <f t="shared" si="72"/>
        <v>9.59086451300311</v>
      </c>
      <c r="S164" s="38">
        <f t="shared" si="63"/>
        <v>147.01930745628579</v>
      </c>
      <c r="T164" s="50">
        <f t="shared" si="76"/>
        <v>3350</v>
      </c>
      <c r="U164" s="40">
        <f t="shared" si="77"/>
        <v>3360.1255673917044</v>
      </c>
      <c r="V164" s="41">
        <f t="shared" si="78"/>
        <v>3.0225574303595071E-3</v>
      </c>
      <c r="W164" s="39">
        <f t="shared" si="79"/>
        <v>10.125567391704408</v>
      </c>
      <c r="X164" s="50">
        <f t="shared" si="73"/>
        <v>233.76480919378389</v>
      </c>
      <c r="Y164" s="41">
        <f t="shared" si="80"/>
        <v>7.2803097488205459E-2</v>
      </c>
      <c r="Z164" s="52"/>
      <c r="AA164" s="50">
        <f t="shared" si="60"/>
        <v>3583.7648091937835</v>
      </c>
      <c r="AB164" s="39">
        <f t="shared" si="61"/>
        <v>3594.622214325495</v>
      </c>
      <c r="AC164" s="39">
        <f t="shared" si="81"/>
        <v>10.857405131711403</v>
      </c>
      <c r="AD164" s="41">
        <f t="shared" si="82"/>
        <v>3.0296087242829284E-3</v>
      </c>
      <c r="AF164" s="46">
        <f t="shared" si="64"/>
        <v>0</v>
      </c>
      <c r="AG164" s="46">
        <f t="shared" si="83"/>
        <v>0</v>
      </c>
      <c r="AH164" s="54">
        <f t="shared" si="65"/>
        <v>931</v>
      </c>
      <c r="AI164" s="55">
        <f t="shared" si="74"/>
        <v>0.85189309576837413</v>
      </c>
      <c r="AJ164" s="55">
        <f t="shared" si="84"/>
        <v>0</v>
      </c>
      <c r="AK164" s="55">
        <f t="shared" si="85"/>
        <v>0</v>
      </c>
    </row>
    <row r="165" spans="2:37" s="53" customFormat="1" ht="17.25" customHeight="1" x14ac:dyDescent="0.25">
      <c r="B165" s="91" t="str">
        <f t="shared" si="66"/>
        <v/>
      </c>
      <c r="C165" s="81">
        <f>IF(Sheet3!A136="","",Sheet3!A136)</f>
        <v>38565</v>
      </c>
      <c r="D165" s="82">
        <f>IF(C165="","",Sheet3!E136)</f>
        <v>24.610001</v>
      </c>
      <c r="E165" s="56">
        <f>_xlfn.XLOOKUP(WEEKNUM(C165)&amp;YEAR(C165),Sheet4!C:C,Sheet4!B:B,0)</f>
        <v>0</v>
      </c>
      <c r="F165" s="46">
        <f>IF(int=Weekly,-$D$5,IF(int=Bi_Weekly,-$D$5,IF(int=Monthly,0,IF(int=Quarterly,0,IF(int=Yearly,0,IF(int=None,0,0))))))</f>
        <v>0</v>
      </c>
      <c r="G165" s="46"/>
      <c r="H165" s="46">
        <f t="shared" si="75"/>
        <v>-3350</v>
      </c>
      <c r="I165" s="47"/>
      <c r="J165" s="38">
        <f t="shared" si="62"/>
        <v>0</v>
      </c>
      <c r="K165" s="48"/>
      <c r="L165" s="48">
        <f t="shared" si="67"/>
        <v>137.42844294328268</v>
      </c>
      <c r="M165" s="48"/>
      <c r="N165" s="38">
        <f t="shared" si="68"/>
        <v>0</v>
      </c>
      <c r="O165" s="36">
        <f t="shared" si="69"/>
        <v>0</v>
      </c>
      <c r="P165" s="84">
        <f t="shared" si="70"/>
        <v>-3583.2960591775077</v>
      </c>
      <c r="Q165" s="38">
        <f t="shared" si="71"/>
        <v>0</v>
      </c>
      <c r="R165" s="48">
        <f t="shared" si="72"/>
        <v>9.59086451300311</v>
      </c>
      <c r="S165" s="38">
        <f t="shared" si="63"/>
        <v>147.01930745628579</v>
      </c>
      <c r="T165" s="50">
        <f t="shared" si="76"/>
        <v>3350</v>
      </c>
      <c r="U165" s="40">
        <f t="shared" si="77"/>
        <v>3382.1141182626297</v>
      </c>
      <c r="V165" s="41">
        <f t="shared" si="78"/>
        <v>9.586303958993847E-3</v>
      </c>
      <c r="W165" s="39">
        <f t="shared" si="79"/>
        <v>32.114118262629745</v>
      </c>
      <c r="X165" s="50">
        <f t="shared" si="73"/>
        <v>233.76480919378389</v>
      </c>
      <c r="Y165" s="41">
        <f t="shared" si="80"/>
        <v>7.9366844016840021E-2</v>
      </c>
      <c r="Z165" s="52"/>
      <c r="AA165" s="50">
        <f t="shared" si="60"/>
        <v>3583.7648091937835</v>
      </c>
      <c r="AB165" s="39">
        <f t="shared" si="61"/>
        <v>3618.1453035185009</v>
      </c>
      <c r="AC165" s="39">
        <f t="shared" si="81"/>
        <v>34.380494324717347</v>
      </c>
      <c r="AD165" s="41">
        <f t="shared" si="82"/>
        <v>9.5934013963521192E-3</v>
      </c>
      <c r="AF165" s="46">
        <f t="shared" si="64"/>
        <v>0</v>
      </c>
      <c r="AG165" s="46">
        <f t="shared" si="83"/>
        <v>0</v>
      </c>
      <c r="AH165" s="54">
        <f t="shared" si="65"/>
        <v>938</v>
      </c>
      <c r="AI165" s="55">
        <f t="shared" si="74"/>
        <v>0.8507795100222717</v>
      </c>
      <c r="AJ165" s="55">
        <f t="shared" si="84"/>
        <v>0</v>
      </c>
      <c r="AK165" s="55">
        <f t="shared" si="85"/>
        <v>0</v>
      </c>
    </row>
    <row r="166" spans="2:37" s="53" customFormat="1" ht="17.25" customHeight="1" x14ac:dyDescent="0.25">
      <c r="B166" s="91" t="str">
        <f t="shared" si="66"/>
        <v/>
      </c>
      <c r="C166" s="81">
        <f>IF(Sheet3!A137="","",Sheet3!A137)</f>
        <v>38572</v>
      </c>
      <c r="D166" s="82">
        <f>IF(C166="","",Sheet3!E137)</f>
        <v>24.459999</v>
      </c>
      <c r="E166" s="56">
        <f>_xlfn.XLOOKUP(WEEKNUM(C166)&amp;YEAR(C166),Sheet4!C:C,Sheet4!B:B,0)</f>
        <v>0</v>
      </c>
      <c r="F166" s="46">
        <f>IF(int=Weekly,-$D$5,IF(int=Bi_Weekly,0,IF(int=Monthly,0,IF(int=Quarterly,0,IF(int=Yearly,0,IF(int=None,0,0))))))</f>
        <v>0</v>
      </c>
      <c r="G166" s="46"/>
      <c r="H166" s="46">
        <f t="shared" si="75"/>
        <v>-3350</v>
      </c>
      <c r="I166" s="47"/>
      <c r="J166" s="38">
        <f t="shared" si="62"/>
        <v>0</v>
      </c>
      <c r="K166" s="48"/>
      <c r="L166" s="48">
        <f t="shared" si="67"/>
        <v>137.42844294328268</v>
      </c>
      <c r="M166" s="48"/>
      <c r="N166" s="38">
        <f t="shared" si="68"/>
        <v>0</v>
      </c>
      <c r="O166" s="36">
        <f t="shared" si="69"/>
        <v>0</v>
      </c>
      <c r="P166" s="84">
        <f t="shared" si="70"/>
        <v>-3583.2960591775077</v>
      </c>
      <c r="Q166" s="38">
        <f t="shared" si="71"/>
        <v>0</v>
      </c>
      <c r="R166" s="48">
        <f t="shared" si="72"/>
        <v>9.59086451300311</v>
      </c>
      <c r="S166" s="38">
        <f t="shared" si="63"/>
        <v>147.01930745628579</v>
      </c>
      <c r="T166" s="50">
        <f t="shared" si="76"/>
        <v>3350</v>
      </c>
      <c r="U166" s="40">
        <f t="shared" si="77"/>
        <v>3361.4995769642514</v>
      </c>
      <c r="V166" s="41">
        <f t="shared" si="78"/>
        <v>3.4327095415676023E-3</v>
      </c>
      <c r="W166" s="39">
        <f t="shared" si="79"/>
        <v>11.499576964251446</v>
      </c>
      <c r="X166" s="50">
        <f t="shared" si="73"/>
        <v>233.76480919378389</v>
      </c>
      <c r="Y166" s="41">
        <f t="shared" si="80"/>
        <v>7.3213249599413555E-2</v>
      </c>
      <c r="Z166" s="52"/>
      <c r="AA166" s="50">
        <f t="shared" si="60"/>
        <v>3583.7648091937835</v>
      </c>
      <c r="AB166" s="39">
        <f t="shared" si="61"/>
        <v>3596.0921133614429</v>
      </c>
      <c r="AC166" s="39">
        <f t="shared" si="81"/>
        <v>12.327304167659349</v>
      </c>
      <c r="AD166" s="41">
        <f t="shared" si="82"/>
        <v>3.4397637188787744E-3</v>
      </c>
      <c r="AF166" s="46">
        <f t="shared" si="64"/>
        <v>0</v>
      </c>
      <c r="AG166" s="46">
        <f t="shared" si="83"/>
        <v>0</v>
      </c>
      <c r="AH166" s="54">
        <f t="shared" si="65"/>
        <v>945</v>
      </c>
      <c r="AI166" s="55">
        <f t="shared" si="74"/>
        <v>0.84966592427616927</v>
      </c>
      <c r="AJ166" s="55">
        <f t="shared" si="84"/>
        <v>0</v>
      </c>
      <c r="AK166" s="55">
        <f t="shared" si="85"/>
        <v>0</v>
      </c>
    </row>
    <row r="167" spans="2:37" s="53" customFormat="1" ht="17.25" customHeight="1" x14ac:dyDescent="0.25">
      <c r="B167" s="91" t="str">
        <f t="shared" si="66"/>
        <v/>
      </c>
      <c r="C167" s="81">
        <f>IF(Sheet3!A138="","",Sheet3!A138)</f>
        <v>38579</v>
      </c>
      <c r="D167" s="82">
        <f>IF(C167="","",Sheet3!E138)</f>
        <v>24.139999</v>
      </c>
      <c r="E167" s="56">
        <f>_xlfn.XLOOKUP(WEEKNUM(C167)&amp;YEAR(C167),Sheet4!C:C,Sheet4!B:B,0)</f>
        <v>0</v>
      </c>
      <c r="F167" s="46">
        <f>IF(int=Weekly,-$D$5,IF(int=Bi_Weekly,-$D$5,IF(int=Monthly,-$D$5,IF(int=Quarterly,0,IF(int=Yearly,0,IF(int=None,0,0))))))</f>
        <v>-100</v>
      </c>
      <c r="G167" s="46"/>
      <c r="H167" s="46">
        <f t="shared" si="75"/>
        <v>-3450</v>
      </c>
      <c r="I167" s="47"/>
      <c r="J167" s="38">
        <f t="shared" si="62"/>
        <v>4.1425022428542766</v>
      </c>
      <c r="K167" s="48"/>
      <c r="L167" s="48">
        <f t="shared" si="67"/>
        <v>141.57094518613695</v>
      </c>
      <c r="M167" s="48"/>
      <c r="N167" s="38">
        <f t="shared" si="68"/>
        <v>0</v>
      </c>
      <c r="O167" s="36">
        <f t="shared" si="69"/>
        <v>0</v>
      </c>
      <c r="P167" s="84">
        <f t="shared" si="70"/>
        <v>-3683.2960591775077</v>
      </c>
      <c r="Q167" s="38">
        <f t="shared" si="71"/>
        <v>0</v>
      </c>
      <c r="R167" s="48">
        <f t="shared" si="72"/>
        <v>9.59086451300311</v>
      </c>
      <c r="S167" s="38">
        <f t="shared" si="63"/>
        <v>151.16180969914006</v>
      </c>
      <c r="T167" s="50">
        <f t="shared" si="76"/>
        <v>3450</v>
      </c>
      <c r="U167" s="40">
        <f t="shared" si="77"/>
        <v>3417.5224752224008</v>
      </c>
      <c r="V167" s="41">
        <f t="shared" si="78"/>
        <v>-9.4137752978548095E-3</v>
      </c>
      <c r="W167" s="39">
        <f t="shared" si="79"/>
        <v>-32.477524777599228</v>
      </c>
      <c r="X167" s="50">
        <f t="shared" si="73"/>
        <v>233.76480919378389</v>
      </c>
      <c r="Y167" s="41">
        <f t="shared" si="80"/>
        <v>5.8344140410488299E-2</v>
      </c>
      <c r="Z167" s="52"/>
      <c r="AA167" s="50">
        <f t="shared" si="60"/>
        <v>3683.7648091937835</v>
      </c>
      <c r="AB167" s="39">
        <f t="shared" si="61"/>
        <v>3649.0459349754315</v>
      </c>
      <c r="AC167" s="39">
        <f t="shared" si="81"/>
        <v>-34.718874218352084</v>
      </c>
      <c r="AD167" s="41">
        <f t="shared" si="82"/>
        <v>-9.4248346506003999E-3</v>
      </c>
      <c r="AF167" s="46">
        <f t="shared" si="64"/>
        <v>-100</v>
      </c>
      <c r="AG167" s="46">
        <f t="shared" si="83"/>
        <v>-100</v>
      </c>
      <c r="AH167" s="54">
        <f t="shared" si="65"/>
        <v>952</v>
      </c>
      <c r="AI167" s="55">
        <f t="shared" si="74"/>
        <v>0.84855233853006684</v>
      </c>
      <c r="AJ167" s="55">
        <f t="shared" si="84"/>
        <v>-84.855233853006681</v>
      </c>
      <c r="AK167" s="55">
        <f t="shared" si="85"/>
        <v>-84.855233853006681</v>
      </c>
    </row>
    <row r="168" spans="2:37" s="53" customFormat="1" ht="17.25" customHeight="1" x14ac:dyDescent="0.25">
      <c r="B168" s="91" t="str">
        <f t="shared" si="66"/>
        <v/>
      </c>
      <c r="C168" s="81">
        <f>IF(Sheet3!A139="","",Sheet3!A139)</f>
        <v>38586</v>
      </c>
      <c r="D168" s="82">
        <f>IF(C168="","",Sheet3!E139)</f>
        <v>23.709999</v>
      </c>
      <c r="E168" s="56">
        <f>_xlfn.XLOOKUP(WEEKNUM(C168)&amp;YEAR(C168),Sheet4!C:C,Sheet4!B:B,0)</f>
        <v>0</v>
      </c>
      <c r="F168" s="46">
        <f>IF(int=Weekly,-$D$5,IF(int=Bi_Weekly,0,IF(int=Monthly,0,IF(int=Quarterly,0,IF(int=Yearly,0,IF(int=None,0,0))))))</f>
        <v>0</v>
      </c>
      <c r="G168" s="46"/>
      <c r="H168" s="46">
        <f t="shared" si="75"/>
        <v>-3450</v>
      </c>
      <c r="I168" s="47"/>
      <c r="J168" s="38">
        <f t="shared" si="62"/>
        <v>0</v>
      </c>
      <c r="K168" s="48"/>
      <c r="L168" s="48">
        <f t="shared" si="67"/>
        <v>141.57094518613695</v>
      </c>
      <c r="M168" s="48"/>
      <c r="N168" s="38">
        <f t="shared" si="68"/>
        <v>0</v>
      </c>
      <c r="O168" s="36">
        <f t="shared" si="69"/>
        <v>0</v>
      </c>
      <c r="P168" s="84">
        <f t="shared" si="70"/>
        <v>-3683.2960591775077</v>
      </c>
      <c r="Q168" s="38">
        <f t="shared" si="71"/>
        <v>0</v>
      </c>
      <c r="R168" s="48">
        <f t="shared" si="72"/>
        <v>9.59086451300311</v>
      </c>
      <c r="S168" s="38">
        <f t="shared" si="63"/>
        <v>151.16180969914006</v>
      </c>
      <c r="T168" s="50">
        <f t="shared" si="76"/>
        <v>3450</v>
      </c>
      <c r="U168" s="40">
        <f t="shared" si="77"/>
        <v>3356.6469687923618</v>
      </c>
      <c r="V168" s="41">
        <f t="shared" si="78"/>
        <v>-2.7058849625402392E-2</v>
      </c>
      <c r="W168" s="39">
        <f t="shared" si="79"/>
        <v>-93.353031207638196</v>
      </c>
      <c r="X168" s="50">
        <f t="shared" si="73"/>
        <v>233.76480919378389</v>
      </c>
      <c r="Y168" s="41">
        <f t="shared" si="80"/>
        <v>4.0699066082940716E-2</v>
      </c>
      <c r="Z168" s="52"/>
      <c r="AA168" s="50">
        <f t="shared" si="60"/>
        <v>3683.7648091937835</v>
      </c>
      <c r="AB168" s="39">
        <f t="shared" si="61"/>
        <v>3584.0463568048012</v>
      </c>
      <c r="AC168" s="39">
        <f t="shared" si="81"/>
        <v>-99.718452388982314</v>
      </c>
      <c r="AD168" s="41">
        <f t="shared" si="82"/>
        <v>-2.7069711980555633E-2</v>
      </c>
      <c r="AF168" s="46">
        <f t="shared" si="64"/>
        <v>0</v>
      </c>
      <c r="AG168" s="46">
        <f t="shared" si="83"/>
        <v>0</v>
      </c>
      <c r="AH168" s="54">
        <f t="shared" si="65"/>
        <v>959</v>
      </c>
      <c r="AI168" s="55">
        <f t="shared" si="74"/>
        <v>0.84743875278396441</v>
      </c>
      <c r="AJ168" s="55">
        <f t="shared" si="84"/>
        <v>0</v>
      </c>
      <c r="AK168" s="55">
        <f t="shared" si="85"/>
        <v>0</v>
      </c>
    </row>
    <row r="169" spans="2:37" s="53" customFormat="1" ht="17.25" customHeight="1" x14ac:dyDescent="0.25">
      <c r="B169" s="91" t="str">
        <f t="shared" si="66"/>
        <v/>
      </c>
      <c r="C169" s="81">
        <f>IF(Sheet3!A140="","",Sheet3!A140)</f>
        <v>38593</v>
      </c>
      <c r="D169" s="82">
        <f>IF(C169="","",Sheet3!E140)</f>
        <v>23.870000999999998</v>
      </c>
      <c r="E169" s="56">
        <f>_xlfn.XLOOKUP(WEEKNUM(C169)&amp;YEAR(C169),Sheet4!C:C,Sheet4!B:B,0)</f>
        <v>0</v>
      </c>
      <c r="F169" s="46">
        <f>IF(int=Weekly,-$D$5,IF(int=Bi_Weekly,-$D$5,IF(int=Monthly,0,IF(int=Quarterly,0,IF(int=Yearly,0,IF(int=None,0,0))))))</f>
        <v>0</v>
      </c>
      <c r="G169" s="46"/>
      <c r="H169" s="46">
        <f t="shared" si="75"/>
        <v>-3450</v>
      </c>
      <c r="I169" s="47"/>
      <c r="J169" s="38">
        <f t="shared" si="62"/>
        <v>0</v>
      </c>
      <c r="K169" s="48"/>
      <c r="L169" s="48">
        <f t="shared" si="67"/>
        <v>141.57094518613695</v>
      </c>
      <c r="M169" s="48"/>
      <c r="N169" s="38">
        <f t="shared" si="68"/>
        <v>0</v>
      </c>
      <c r="O169" s="36">
        <f t="shared" si="69"/>
        <v>0</v>
      </c>
      <c r="P169" s="84">
        <f t="shared" si="70"/>
        <v>-3683.2960591775077</v>
      </c>
      <c r="Q169" s="38">
        <f t="shared" si="71"/>
        <v>0</v>
      </c>
      <c r="R169" s="48">
        <f t="shared" si="72"/>
        <v>9.59086451300311</v>
      </c>
      <c r="S169" s="38">
        <f t="shared" si="63"/>
        <v>151.16180969914006</v>
      </c>
      <c r="T169" s="50">
        <f t="shared" si="76"/>
        <v>3450</v>
      </c>
      <c r="U169" s="40">
        <f t="shared" si="77"/>
        <v>3379.2986031640339</v>
      </c>
      <c r="V169" s="41">
        <f t="shared" si="78"/>
        <v>-2.0493158503178566E-2</v>
      </c>
      <c r="W169" s="39">
        <f t="shared" si="79"/>
        <v>-70.701396835966079</v>
      </c>
      <c r="X169" s="50">
        <f t="shared" si="73"/>
        <v>233.76480919378389</v>
      </c>
      <c r="Y169" s="41">
        <f t="shared" si="80"/>
        <v>4.7264757205164543E-2</v>
      </c>
      <c r="Z169" s="52"/>
      <c r="AA169" s="50">
        <f t="shared" si="60"/>
        <v>3683.7648091937835</v>
      </c>
      <c r="AB169" s="39">
        <f t="shared" si="61"/>
        <v>3608.2325486802829</v>
      </c>
      <c r="AC169" s="39">
        <f t="shared" si="81"/>
        <v>-75.53226051350066</v>
      </c>
      <c r="AD169" s="41">
        <f t="shared" si="82"/>
        <v>-2.0504094160677777E-2</v>
      </c>
      <c r="AF169" s="46">
        <f t="shared" si="64"/>
        <v>0</v>
      </c>
      <c r="AG169" s="46">
        <f t="shared" si="83"/>
        <v>0</v>
      </c>
      <c r="AH169" s="54">
        <f t="shared" si="65"/>
        <v>966</v>
      </c>
      <c r="AI169" s="55">
        <f t="shared" si="74"/>
        <v>0.84632516703786187</v>
      </c>
      <c r="AJ169" s="55">
        <f t="shared" si="84"/>
        <v>0</v>
      </c>
      <c r="AK169" s="55">
        <f t="shared" si="85"/>
        <v>0</v>
      </c>
    </row>
    <row r="170" spans="2:37" s="53" customFormat="1" ht="17.25" customHeight="1" x14ac:dyDescent="0.25">
      <c r="B170" s="91" t="str">
        <f t="shared" si="66"/>
        <v/>
      </c>
      <c r="C170" s="81">
        <f>IF(Sheet3!A141="","",Sheet3!A141)</f>
        <v>38600</v>
      </c>
      <c r="D170" s="82">
        <f>IF(C170="","",Sheet3!E141)</f>
        <v>24.049999</v>
      </c>
      <c r="E170" s="56">
        <f>_xlfn.XLOOKUP(WEEKNUM(C170)&amp;YEAR(C170),Sheet4!C:C,Sheet4!B:B,0)</f>
        <v>0</v>
      </c>
      <c r="F170" s="46">
        <f>IF(int=Weekly,-$D$5,IF(int=Bi_Weekly,0,IF(int=Monthly,0,IF(int=Quarterly,0,IF(int=Yearly,0,IF(int=None,0,0))))))</f>
        <v>0</v>
      </c>
      <c r="G170" s="46"/>
      <c r="H170" s="46">
        <f t="shared" si="75"/>
        <v>-3450</v>
      </c>
      <c r="I170" s="47"/>
      <c r="J170" s="38">
        <f t="shared" si="62"/>
        <v>0</v>
      </c>
      <c r="K170" s="48"/>
      <c r="L170" s="48">
        <f t="shared" si="67"/>
        <v>141.57094518613695</v>
      </c>
      <c r="M170" s="48"/>
      <c r="N170" s="38">
        <f t="shared" si="68"/>
        <v>0</v>
      </c>
      <c r="O170" s="36">
        <f t="shared" si="69"/>
        <v>0</v>
      </c>
      <c r="P170" s="84">
        <f t="shared" si="70"/>
        <v>-3683.2960591775077</v>
      </c>
      <c r="Q170" s="38">
        <f t="shared" si="71"/>
        <v>0</v>
      </c>
      <c r="R170" s="48">
        <f t="shared" si="72"/>
        <v>9.59086451300311</v>
      </c>
      <c r="S170" s="38">
        <f t="shared" si="63"/>
        <v>151.16180969914006</v>
      </c>
      <c r="T170" s="50">
        <f t="shared" si="76"/>
        <v>3450</v>
      </c>
      <c r="U170" s="40">
        <f t="shared" si="77"/>
        <v>3404.7810901556486</v>
      </c>
      <c r="V170" s="41">
        <f t="shared" si="78"/>
        <v>-1.3106930389667037E-2</v>
      </c>
      <c r="W170" s="39">
        <f t="shared" si="79"/>
        <v>-45.218909844351401</v>
      </c>
      <c r="X170" s="50">
        <f t="shared" si="73"/>
        <v>233.76480919378389</v>
      </c>
      <c r="Y170" s="41">
        <f t="shared" si="80"/>
        <v>5.4650985318676071E-2</v>
      </c>
      <c r="Z170" s="52"/>
      <c r="AA170" s="50">
        <f t="shared" si="60"/>
        <v>3683.7648091937835</v>
      </c>
      <c r="AB170" s="39">
        <f t="shared" si="61"/>
        <v>3635.4413721025089</v>
      </c>
      <c r="AC170" s="39">
        <f t="shared" si="81"/>
        <v>-48.323437091274627</v>
      </c>
      <c r="AD170" s="41">
        <f t="shared" si="82"/>
        <v>-1.3117948510358524E-2</v>
      </c>
      <c r="AF170" s="46">
        <f t="shared" si="64"/>
        <v>0</v>
      </c>
      <c r="AG170" s="46">
        <f t="shared" si="83"/>
        <v>0</v>
      </c>
      <c r="AH170" s="54">
        <f t="shared" si="65"/>
        <v>973</v>
      </c>
      <c r="AI170" s="55">
        <f t="shared" si="74"/>
        <v>0.84521158129175944</v>
      </c>
      <c r="AJ170" s="55">
        <f t="shared" si="84"/>
        <v>0</v>
      </c>
      <c r="AK170" s="55">
        <f t="shared" si="85"/>
        <v>0</v>
      </c>
    </row>
    <row r="171" spans="2:37" s="53" customFormat="1" ht="17.25" customHeight="1" x14ac:dyDescent="0.25">
      <c r="B171" s="91" t="str">
        <f t="shared" si="66"/>
        <v/>
      </c>
      <c r="C171" s="81">
        <f>IF(Sheet3!A142="","",Sheet3!A142)</f>
        <v>38607</v>
      </c>
      <c r="D171" s="82">
        <f>IF(C171="","",Sheet3!E142)</f>
        <v>24.23</v>
      </c>
      <c r="E171" s="56">
        <f>_xlfn.XLOOKUP(WEEKNUM(C171)&amp;YEAR(C171),Sheet4!C:C,Sheet4!B:B,0)</f>
        <v>0</v>
      </c>
      <c r="F171" s="46">
        <f>IF(int=Weekly,-$D$5,IF(int=Bi_Weekly,-$D$5,IF(int=Monthly,-$D$5,IF(int=Quarterly,0,IF(int=Yearly,0,IF(int=None,0,0))))))</f>
        <v>-100</v>
      </c>
      <c r="G171" s="46"/>
      <c r="H171" s="46">
        <f t="shared" si="75"/>
        <v>-3550</v>
      </c>
      <c r="I171" s="47"/>
      <c r="J171" s="38">
        <f t="shared" si="62"/>
        <v>4.1271151465125877</v>
      </c>
      <c r="K171" s="48"/>
      <c r="L171" s="48">
        <f t="shared" si="67"/>
        <v>145.69806033264953</v>
      </c>
      <c r="M171" s="48"/>
      <c r="N171" s="38">
        <f t="shared" si="68"/>
        <v>0</v>
      </c>
      <c r="O171" s="36">
        <f t="shared" si="69"/>
        <v>0</v>
      </c>
      <c r="P171" s="84">
        <f t="shared" si="70"/>
        <v>-3783.2960591775077</v>
      </c>
      <c r="Q171" s="38">
        <f t="shared" si="71"/>
        <v>0</v>
      </c>
      <c r="R171" s="48">
        <f t="shared" si="72"/>
        <v>9.59086451300311</v>
      </c>
      <c r="S171" s="38">
        <f t="shared" si="63"/>
        <v>155.28892484565264</v>
      </c>
      <c r="T171" s="50">
        <f t="shared" si="76"/>
        <v>3550</v>
      </c>
      <c r="U171" s="40">
        <f t="shared" si="77"/>
        <v>3530.2640018600982</v>
      </c>
      <c r="V171" s="41">
        <f t="shared" si="78"/>
        <v>-5.5594360957469391E-3</v>
      </c>
      <c r="W171" s="39">
        <f t="shared" si="79"/>
        <v>-19.735998139901767</v>
      </c>
      <c r="X171" s="50">
        <f t="shared" si="73"/>
        <v>233.76480919378389</v>
      </c>
      <c r="Y171" s="41">
        <f t="shared" si="80"/>
        <v>6.0289805930671125E-2</v>
      </c>
      <c r="Z171" s="52"/>
      <c r="AA171" s="50">
        <f t="shared" si="60"/>
        <v>3783.7648091937835</v>
      </c>
      <c r="AB171" s="39">
        <f t="shared" si="61"/>
        <v>3762.6506490101638</v>
      </c>
      <c r="AC171" s="39">
        <f t="shared" si="81"/>
        <v>-21.114160183619788</v>
      </c>
      <c r="AD171" s="41">
        <f t="shared" si="82"/>
        <v>-5.5801988887672627E-3</v>
      </c>
      <c r="AF171" s="46">
        <f t="shared" si="64"/>
        <v>-100</v>
      </c>
      <c r="AG171" s="46">
        <f t="shared" si="83"/>
        <v>-100</v>
      </c>
      <c r="AH171" s="54">
        <f t="shared" si="65"/>
        <v>980</v>
      </c>
      <c r="AI171" s="55">
        <f t="shared" si="74"/>
        <v>0.84409799554565701</v>
      </c>
      <c r="AJ171" s="55">
        <f t="shared" si="84"/>
        <v>-84.409799554565694</v>
      </c>
      <c r="AK171" s="55">
        <f t="shared" si="85"/>
        <v>-84.409799554565694</v>
      </c>
    </row>
    <row r="172" spans="2:37" s="53" customFormat="1" ht="17.25" customHeight="1" x14ac:dyDescent="0.25">
      <c r="B172" s="91" t="str">
        <f t="shared" si="66"/>
        <v/>
      </c>
      <c r="C172" s="81">
        <f>IF(Sheet3!A143="","",Sheet3!A143)</f>
        <v>38614</v>
      </c>
      <c r="D172" s="82">
        <f>IF(C172="","",Sheet3!E143)</f>
        <v>23.77</v>
      </c>
      <c r="E172" s="56">
        <f>_xlfn.XLOOKUP(WEEKNUM(C172)&amp;YEAR(C172),Sheet4!C:C,Sheet4!B:B,0)</f>
        <v>0</v>
      </c>
      <c r="F172" s="46">
        <f>IF(int=Weekly,-$D$5,IF(int=Bi_Weekly,0,IF(int=Monthly,0,IF(int=Quarterly,0,IF(int=Yearly,0,IF(int=None,0,0))))))</f>
        <v>0</v>
      </c>
      <c r="G172" s="46"/>
      <c r="H172" s="46">
        <f t="shared" si="75"/>
        <v>-3550</v>
      </c>
      <c r="I172" s="47"/>
      <c r="J172" s="38">
        <f t="shared" si="62"/>
        <v>0</v>
      </c>
      <c r="K172" s="48"/>
      <c r="L172" s="48">
        <f t="shared" si="67"/>
        <v>145.69806033264953</v>
      </c>
      <c r="M172" s="48"/>
      <c r="N172" s="38">
        <f t="shared" si="68"/>
        <v>0</v>
      </c>
      <c r="O172" s="36">
        <f t="shared" si="69"/>
        <v>0</v>
      </c>
      <c r="P172" s="84">
        <f t="shared" si="70"/>
        <v>-3783.2960591775077</v>
      </c>
      <c r="Q172" s="38">
        <f t="shared" si="71"/>
        <v>0</v>
      </c>
      <c r="R172" s="48">
        <f t="shared" si="72"/>
        <v>9.59086451300311</v>
      </c>
      <c r="S172" s="38">
        <f t="shared" si="63"/>
        <v>155.28892484565264</v>
      </c>
      <c r="T172" s="50">
        <f t="shared" si="76"/>
        <v>3550</v>
      </c>
      <c r="U172" s="40">
        <f t="shared" si="77"/>
        <v>3463.2428941070793</v>
      </c>
      <c r="V172" s="41">
        <f t="shared" si="78"/>
        <v>-2.4438621378287562E-2</v>
      </c>
      <c r="W172" s="39">
        <f t="shared" si="79"/>
        <v>-86.757105892920663</v>
      </c>
      <c r="X172" s="50">
        <f t="shared" si="73"/>
        <v>233.76480919378389</v>
      </c>
      <c r="Y172" s="41">
        <f t="shared" si="80"/>
        <v>4.1410620648130614E-2</v>
      </c>
      <c r="Z172" s="52"/>
      <c r="AA172" s="50">
        <f t="shared" si="60"/>
        <v>3783.7648091937835</v>
      </c>
      <c r="AB172" s="39">
        <f t="shared" si="61"/>
        <v>3691.2177435811632</v>
      </c>
      <c r="AC172" s="39">
        <f t="shared" si="81"/>
        <v>-92.547065612620372</v>
      </c>
      <c r="AD172" s="41">
        <f t="shared" si="82"/>
        <v>-2.4458989995295055E-2</v>
      </c>
      <c r="AF172" s="46">
        <f t="shared" si="64"/>
        <v>0</v>
      </c>
      <c r="AG172" s="46">
        <f t="shared" si="83"/>
        <v>0</v>
      </c>
      <c r="AH172" s="54">
        <f t="shared" si="65"/>
        <v>987</v>
      </c>
      <c r="AI172" s="55">
        <f t="shared" si="74"/>
        <v>0.84298440979955458</v>
      </c>
      <c r="AJ172" s="55">
        <f t="shared" si="84"/>
        <v>0</v>
      </c>
      <c r="AK172" s="55">
        <f t="shared" si="85"/>
        <v>0</v>
      </c>
    </row>
    <row r="173" spans="2:37" s="53" customFormat="1" ht="17.25" customHeight="1" x14ac:dyDescent="0.25">
      <c r="B173" s="91" t="str">
        <f t="shared" si="66"/>
        <v/>
      </c>
      <c r="C173" s="81">
        <f>IF(Sheet3!A144="","",Sheet3!A144)</f>
        <v>38621</v>
      </c>
      <c r="D173" s="82">
        <f>IF(C173="","",Sheet3!E144)</f>
        <v>23.969999000000001</v>
      </c>
      <c r="E173" s="56">
        <f>_xlfn.XLOOKUP(WEEKNUM(C173)&amp;YEAR(C173),Sheet4!C:C,Sheet4!B:B,0)</f>
        <v>0</v>
      </c>
      <c r="F173" s="46">
        <f>IF(int=Weekly,-$D$5,IF(int=Bi_Weekly,-$D$5,IF(int=Monthly,0,IF(int=Quarterly,0,IF(int=Yearly,0,IF(int=None,0,0))))))</f>
        <v>0</v>
      </c>
      <c r="G173" s="46"/>
      <c r="H173" s="46">
        <f t="shared" si="75"/>
        <v>-3550</v>
      </c>
      <c r="I173" s="47"/>
      <c r="J173" s="38">
        <f t="shared" si="62"/>
        <v>0</v>
      </c>
      <c r="K173" s="48"/>
      <c r="L173" s="48">
        <f t="shared" si="67"/>
        <v>145.69806033264953</v>
      </c>
      <c r="M173" s="48"/>
      <c r="N173" s="38">
        <f t="shared" si="68"/>
        <v>0</v>
      </c>
      <c r="O173" s="36">
        <f t="shared" si="69"/>
        <v>0</v>
      </c>
      <c r="P173" s="84">
        <f t="shared" si="70"/>
        <v>-3783.2960591775077</v>
      </c>
      <c r="Q173" s="38">
        <f t="shared" si="71"/>
        <v>0</v>
      </c>
      <c r="R173" s="48">
        <f t="shared" si="72"/>
        <v>9.59086451300311</v>
      </c>
      <c r="S173" s="38">
        <f t="shared" si="63"/>
        <v>155.28892484565264</v>
      </c>
      <c r="T173" s="50">
        <f t="shared" si="76"/>
        <v>3550</v>
      </c>
      <c r="U173" s="40">
        <f t="shared" si="77"/>
        <v>3492.3823604755494</v>
      </c>
      <c r="V173" s="41">
        <f t="shared" si="78"/>
        <v>-1.6230320992802971E-2</v>
      </c>
      <c r="W173" s="39">
        <f t="shared" si="79"/>
        <v>-57.617639524450624</v>
      </c>
      <c r="X173" s="50">
        <f t="shared" si="73"/>
        <v>233.76480919378389</v>
      </c>
      <c r="Y173" s="41">
        <f t="shared" si="80"/>
        <v>4.9618921033615093E-2</v>
      </c>
      <c r="Z173" s="52"/>
      <c r="AA173" s="50">
        <f t="shared" si="60"/>
        <v>3783.7648091937835</v>
      </c>
      <c r="AB173" s="39">
        <f t="shared" si="61"/>
        <v>3722.2753732613696</v>
      </c>
      <c r="AC173" s="39">
        <f t="shared" si="81"/>
        <v>-61.489435932413926</v>
      </c>
      <c r="AD173" s="41">
        <f t="shared" si="82"/>
        <v>-1.6250860989828753E-2</v>
      </c>
      <c r="AF173" s="46">
        <f t="shared" si="64"/>
        <v>0</v>
      </c>
      <c r="AG173" s="46">
        <f t="shared" si="83"/>
        <v>0</v>
      </c>
      <c r="AH173" s="54">
        <f t="shared" si="65"/>
        <v>994</v>
      </c>
      <c r="AI173" s="55">
        <f t="shared" si="74"/>
        <v>0.84187082405345215</v>
      </c>
      <c r="AJ173" s="55">
        <f t="shared" si="84"/>
        <v>0</v>
      </c>
      <c r="AK173" s="55">
        <f t="shared" si="85"/>
        <v>0</v>
      </c>
    </row>
    <row r="174" spans="2:37" s="53" customFormat="1" ht="17.25" customHeight="1" x14ac:dyDescent="0.25">
      <c r="B174" s="91" t="str">
        <f t="shared" si="66"/>
        <v/>
      </c>
      <c r="C174" s="81">
        <f>IF(Sheet3!A145="","",Sheet3!A145)</f>
        <v>38628</v>
      </c>
      <c r="D174" s="82">
        <f>IF(C174="","",Sheet3!E145)</f>
        <v>22.75</v>
      </c>
      <c r="E174" s="56">
        <f>_xlfn.XLOOKUP(WEEKNUM(C174)&amp;YEAR(C174),Sheet4!C:C,Sheet4!B:B,0)</f>
        <v>0.32250000000000001</v>
      </c>
      <c r="F174" s="46">
        <f>IF(int=Weekly,-$D$5,IF(int=Bi_Weekly,0,IF(int=Monthly,0,IF(int=Quarterly,-$D$5,IF(int=Yearly,0,IF(int=None,0,0))))))</f>
        <v>0</v>
      </c>
      <c r="G174" s="46"/>
      <c r="H174" s="46">
        <f t="shared" si="75"/>
        <v>-3550</v>
      </c>
      <c r="I174" s="47"/>
      <c r="J174" s="38">
        <f t="shared" si="62"/>
        <v>0</v>
      </c>
      <c r="K174" s="48"/>
      <c r="L174" s="48">
        <f t="shared" si="67"/>
        <v>145.69806033264953</v>
      </c>
      <c r="M174" s="48"/>
      <c r="N174" s="38">
        <f t="shared" si="68"/>
        <v>46.987624457279473</v>
      </c>
      <c r="O174" s="36">
        <f t="shared" si="69"/>
        <v>-46.987624457279473</v>
      </c>
      <c r="P174" s="84">
        <f t="shared" si="70"/>
        <v>-3830.2836836347869</v>
      </c>
      <c r="Q174" s="38">
        <f t="shared" si="71"/>
        <v>2.0653900860342627</v>
      </c>
      <c r="R174" s="48">
        <f t="shared" si="72"/>
        <v>11.656254599037373</v>
      </c>
      <c r="S174" s="38">
        <f t="shared" si="63"/>
        <v>157.3543149316869</v>
      </c>
      <c r="T174" s="50">
        <f t="shared" si="76"/>
        <v>3550</v>
      </c>
      <c r="U174" s="40">
        <f t="shared" si="77"/>
        <v>3314.6308725677768</v>
      </c>
      <c r="V174" s="41">
        <f t="shared" si="78"/>
        <v>-6.6301162656964285E-2</v>
      </c>
      <c r="W174" s="39">
        <f t="shared" si="79"/>
        <v>-235.36912743222319</v>
      </c>
      <c r="X174" s="50">
        <f t="shared" si="73"/>
        <v>280.75243365106337</v>
      </c>
      <c r="Y174" s="41">
        <f t="shared" si="80"/>
        <v>1.2784029920799966E-2</v>
      </c>
      <c r="Z174" s="52"/>
      <c r="AA174" s="50">
        <f t="shared" si="60"/>
        <v>3830.7524336510628</v>
      </c>
      <c r="AB174" s="39">
        <f t="shared" si="61"/>
        <v>3579.8106646958772</v>
      </c>
      <c r="AC174" s="39">
        <f t="shared" si="81"/>
        <v>-250.94176895518558</v>
      </c>
      <c r="AD174" s="41">
        <f t="shared" si="82"/>
        <v>-6.5507174713458238E-2</v>
      </c>
      <c r="AF174" s="46">
        <f t="shared" si="64"/>
        <v>46.987624457279473</v>
      </c>
      <c r="AG174" s="46">
        <f t="shared" si="83"/>
        <v>0</v>
      </c>
      <c r="AH174" s="54">
        <f t="shared" si="65"/>
        <v>1001</v>
      </c>
      <c r="AI174" s="55">
        <f t="shared" si="74"/>
        <v>0.84075723830734972</v>
      </c>
      <c r="AJ174" s="55">
        <f t="shared" si="84"/>
        <v>39.505185373325169</v>
      </c>
      <c r="AK174" s="55">
        <f t="shared" si="85"/>
        <v>0</v>
      </c>
    </row>
    <row r="175" spans="2:37" s="53" customFormat="1" ht="17.25" customHeight="1" x14ac:dyDescent="0.25">
      <c r="B175" s="91" t="str">
        <f t="shared" si="66"/>
        <v/>
      </c>
      <c r="C175" s="81">
        <f>IF(Sheet3!A146="","",Sheet3!A146)</f>
        <v>38635</v>
      </c>
      <c r="D175" s="82">
        <f>IF(C175="","",Sheet3!E146)</f>
        <v>22.200001</v>
      </c>
      <c r="E175" s="56">
        <f>_xlfn.XLOOKUP(WEEKNUM(C175)&amp;YEAR(C175),Sheet4!C:C,Sheet4!B:B,0)</f>
        <v>0</v>
      </c>
      <c r="F175" s="46">
        <f>IF(int=Weekly,-$D$5,IF(int=Bi_Weekly,-$D$5,IF(int=Monthly,-$D$5,IF(int=Quarterly,0,IF(int=Yearly,0,IF(int=None,0,0))))))</f>
        <v>-100</v>
      </c>
      <c r="G175" s="46"/>
      <c r="H175" s="46">
        <f t="shared" si="75"/>
        <v>-3650</v>
      </c>
      <c r="I175" s="47"/>
      <c r="J175" s="38">
        <f t="shared" si="62"/>
        <v>4.5045043015989057</v>
      </c>
      <c r="K175" s="48"/>
      <c r="L175" s="48">
        <f t="shared" si="67"/>
        <v>150.20256463424843</v>
      </c>
      <c r="M175" s="48"/>
      <c r="N175" s="38">
        <f t="shared" si="68"/>
        <v>0</v>
      </c>
      <c r="O175" s="36">
        <f t="shared" si="69"/>
        <v>0</v>
      </c>
      <c r="P175" s="84">
        <f t="shared" si="70"/>
        <v>-3930.2836836347869</v>
      </c>
      <c r="Q175" s="38">
        <f t="shared" si="71"/>
        <v>0</v>
      </c>
      <c r="R175" s="48">
        <f t="shared" si="72"/>
        <v>11.656254599037373</v>
      </c>
      <c r="S175" s="38">
        <f t="shared" si="63"/>
        <v>161.8588192332858</v>
      </c>
      <c r="T175" s="50">
        <f t="shared" si="76"/>
        <v>3650</v>
      </c>
      <c r="U175" s="40">
        <f t="shared" si="77"/>
        <v>3334.4970850828799</v>
      </c>
      <c r="V175" s="41">
        <f t="shared" si="78"/>
        <v>-8.6439154771813742E-2</v>
      </c>
      <c r="W175" s="39">
        <f t="shared" si="79"/>
        <v>-315.50291491712005</v>
      </c>
      <c r="X175" s="50">
        <f t="shared" si="73"/>
        <v>280.75243365106337</v>
      </c>
      <c r="Y175" s="41">
        <f t="shared" si="80"/>
        <v>-9.5206797989196845E-3</v>
      </c>
      <c r="Z175" s="52"/>
      <c r="AA175" s="50">
        <f t="shared" si="60"/>
        <v>3930.7524336510628</v>
      </c>
      <c r="AB175" s="39">
        <f t="shared" si="61"/>
        <v>3593.2659488377644</v>
      </c>
      <c r="AC175" s="39">
        <f t="shared" si="81"/>
        <v>-337.48648481329838</v>
      </c>
      <c r="AD175" s="41">
        <f t="shared" si="82"/>
        <v>-8.5857985337383758E-2</v>
      </c>
      <c r="AF175" s="46">
        <f t="shared" si="64"/>
        <v>-100</v>
      </c>
      <c r="AG175" s="46">
        <f t="shared" si="83"/>
        <v>-100</v>
      </c>
      <c r="AH175" s="54">
        <f t="shared" si="65"/>
        <v>1008</v>
      </c>
      <c r="AI175" s="55">
        <f t="shared" si="74"/>
        <v>0.83964365256124718</v>
      </c>
      <c r="AJ175" s="55">
        <f t="shared" si="84"/>
        <v>-83.964365256124722</v>
      </c>
      <c r="AK175" s="55">
        <f t="shared" si="85"/>
        <v>-83.964365256124722</v>
      </c>
    </row>
    <row r="176" spans="2:37" s="53" customFormat="1" ht="17.25" customHeight="1" x14ac:dyDescent="0.25">
      <c r="B176" s="91" t="str">
        <f t="shared" si="66"/>
        <v/>
      </c>
      <c r="C176" s="81">
        <f>IF(Sheet3!A147="","",Sheet3!A147)</f>
        <v>38642</v>
      </c>
      <c r="D176" s="82">
        <f>IF(C176="","",Sheet3!E147)</f>
        <v>23</v>
      </c>
      <c r="E176" s="56">
        <f>_xlfn.XLOOKUP(WEEKNUM(C176)&amp;YEAR(C176),Sheet4!C:C,Sheet4!B:B,0)</f>
        <v>0</v>
      </c>
      <c r="F176" s="46">
        <f>IF(int=Weekly,-$D$5,IF(int=Bi_Weekly,0,IF(int=Monthly,0,IF(int=Quarterly,0,IF(int=Yearly,0,IF(int=None,0,0))))))</f>
        <v>0</v>
      </c>
      <c r="G176" s="46"/>
      <c r="H176" s="46">
        <f t="shared" si="75"/>
        <v>-3650</v>
      </c>
      <c r="I176" s="47"/>
      <c r="J176" s="38">
        <f t="shared" si="62"/>
        <v>0</v>
      </c>
      <c r="K176" s="48"/>
      <c r="L176" s="48">
        <f t="shared" si="67"/>
        <v>150.20256463424843</v>
      </c>
      <c r="M176" s="48"/>
      <c r="N176" s="38">
        <f t="shared" si="68"/>
        <v>0</v>
      </c>
      <c r="O176" s="36">
        <f t="shared" si="69"/>
        <v>0</v>
      </c>
      <c r="P176" s="84">
        <f t="shared" si="70"/>
        <v>-3930.2836836347869</v>
      </c>
      <c r="Q176" s="38">
        <f t="shared" si="71"/>
        <v>0</v>
      </c>
      <c r="R176" s="48">
        <f t="shared" si="72"/>
        <v>11.656254599037373</v>
      </c>
      <c r="S176" s="38">
        <f t="shared" si="63"/>
        <v>161.8588192332858</v>
      </c>
      <c r="T176" s="50">
        <f t="shared" si="76"/>
        <v>3650</v>
      </c>
      <c r="U176" s="40">
        <f t="shared" si="77"/>
        <v>3454.658986587714</v>
      </c>
      <c r="V176" s="41">
        <f t="shared" si="78"/>
        <v>-5.3518085866379739E-2</v>
      </c>
      <c r="W176" s="39">
        <f t="shared" si="79"/>
        <v>-195.34101341228597</v>
      </c>
      <c r="X176" s="50">
        <f t="shared" si="73"/>
        <v>280.75243365106337</v>
      </c>
      <c r="Y176" s="41">
        <f t="shared" si="80"/>
        <v>2.340038910651443E-2</v>
      </c>
      <c r="Z176" s="52"/>
      <c r="AA176" s="50">
        <f t="shared" si="60"/>
        <v>3930.7524336510628</v>
      </c>
      <c r="AB176" s="39">
        <f t="shared" si="61"/>
        <v>3722.7528423655735</v>
      </c>
      <c r="AC176" s="39">
        <f t="shared" si="81"/>
        <v>-207.99959128548926</v>
      </c>
      <c r="AD176" s="41">
        <f t="shared" si="82"/>
        <v>-5.2915973416389872E-2</v>
      </c>
      <c r="AF176" s="46">
        <f t="shared" si="64"/>
        <v>0</v>
      </c>
      <c r="AG176" s="46">
        <f t="shared" si="83"/>
        <v>0</v>
      </c>
      <c r="AH176" s="54">
        <f t="shared" si="65"/>
        <v>1015</v>
      </c>
      <c r="AI176" s="55">
        <f t="shared" si="74"/>
        <v>0.83853006681514475</v>
      </c>
      <c r="AJ176" s="55">
        <f t="shared" si="84"/>
        <v>0</v>
      </c>
      <c r="AK176" s="55">
        <f t="shared" si="85"/>
        <v>0</v>
      </c>
    </row>
    <row r="177" spans="2:37" s="53" customFormat="1" ht="17.25" customHeight="1" x14ac:dyDescent="0.25">
      <c r="B177" s="91" t="str">
        <f t="shared" si="66"/>
        <v/>
      </c>
      <c r="C177" s="81">
        <f>IF(Sheet3!A148="","",Sheet3!A148)</f>
        <v>38649</v>
      </c>
      <c r="D177" s="82">
        <f>IF(C177="","",Sheet3!E148)</f>
        <v>23.889999</v>
      </c>
      <c r="E177" s="56">
        <f>_xlfn.XLOOKUP(WEEKNUM(C177)&amp;YEAR(C177),Sheet4!C:C,Sheet4!B:B,0)</f>
        <v>0</v>
      </c>
      <c r="F177" s="46">
        <f>IF(int=Weekly,-$D$5,IF(int=Bi_Weekly,-$D$5,IF(int=Monthly,0,IF(int=Quarterly,0,IF(int=Yearly,0,IF(int=None,0,0))))))</f>
        <v>0</v>
      </c>
      <c r="G177" s="46"/>
      <c r="H177" s="46">
        <f t="shared" si="75"/>
        <v>-3650</v>
      </c>
      <c r="I177" s="47"/>
      <c r="J177" s="38">
        <f t="shared" si="62"/>
        <v>0</v>
      </c>
      <c r="K177" s="48"/>
      <c r="L177" s="48">
        <f t="shared" si="67"/>
        <v>150.20256463424843</v>
      </c>
      <c r="M177" s="48"/>
      <c r="N177" s="38">
        <f t="shared" si="68"/>
        <v>0</v>
      </c>
      <c r="O177" s="36">
        <f t="shared" si="69"/>
        <v>0</v>
      </c>
      <c r="P177" s="84">
        <f t="shared" si="70"/>
        <v>-3930.2836836347869</v>
      </c>
      <c r="Q177" s="38">
        <f t="shared" si="71"/>
        <v>0</v>
      </c>
      <c r="R177" s="48">
        <f t="shared" si="72"/>
        <v>11.656254599037373</v>
      </c>
      <c r="S177" s="38">
        <f t="shared" si="63"/>
        <v>161.8588192332858</v>
      </c>
      <c r="T177" s="50">
        <f t="shared" si="76"/>
        <v>3650</v>
      </c>
      <c r="U177" s="40">
        <f t="shared" si="77"/>
        <v>3588.3391189096305</v>
      </c>
      <c r="V177" s="41">
        <f t="shared" si="78"/>
        <v>-1.6893392079553315E-2</v>
      </c>
      <c r="W177" s="39">
        <f t="shared" si="79"/>
        <v>-61.660881090369458</v>
      </c>
      <c r="X177" s="50">
        <f t="shared" si="73"/>
        <v>280.75243365106337</v>
      </c>
      <c r="Y177" s="41">
        <f t="shared" si="80"/>
        <v>6.0025082893340853E-2</v>
      </c>
      <c r="Z177" s="52"/>
      <c r="AA177" s="50">
        <f t="shared" ref="AA177:AA240" si="86">(D177*Q177)+(D177*J177)+AA176</f>
        <v>3930.7524336510628</v>
      </c>
      <c r="AB177" s="39">
        <f t="shared" ref="AB177:AB240" si="87">(L177*D177)+(D177*R177)</f>
        <v>3866.8070296243786</v>
      </c>
      <c r="AC177" s="39">
        <f t="shared" si="81"/>
        <v>-63.945404026684173</v>
      </c>
      <c r="AD177" s="41">
        <f t="shared" si="82"/>
        <v>-1.6267980521807779E-2</v>
      </c>
      <c r="AF177" s="46">
        <f t="shared" si="64"/>
        <v>0</v>
      </c>
      <c r="AG177" s="46">
        <f t="shared" si="83"/>
        <v>0</v>
      </c>
      <c r="AH177" s="54">
        <f t="shared" si="65"/>
        <v>1022</v>
      </c>
      <c r="AI177" s="55">
        <f t="shared" si="74"/>
        <v>0.83741648106904232</v>
      </c>
      <c r="AJ177" s="55">
        <f t="shared" si="84"/>
        <v>0</v>
      </c>
      <c r="AK177" s="55">
        <f t="shared" si="85"/>
        <v>0</v>
      </c>
    </row>
    <row r="178" spans="2:37" s="53" customFormat="1" ht="17.25" customHeight="1" x14ac:dyDescent="0.25">
      <c r="B178" s="91" t="str">
        <f t="shared" si="66"/>
        <v/>
      </c>
      <c r="C178" s="81">
        <f>IF(Sheet3!A149="","",Sheet3!A149)</f>
        <v>38656</v>
      </c>
      <c r="D178" s="82">
        <f>IF(C178="","",Sheet3!E149)</f>
        <v>23.66</v>
      </c>
      <c r="E178" s="56">
        <f>_xlfn.XLOOKUP(WEEKNUM(C178)&amp;YEAR(C178),Sheet4!C:C,Sheet4!B:B,0)</f>
        <v>0</v>
      </c>
      <c r="F178" s="46">
        <f>IF(int=Weekly,-$D$5,IF(int=Bi_Weekly,0,IF(int=Monthly,0,IF(int=Quarterly,0,IF(int=Yearly,0,IF(int=None,0,0))))))</f>
        <v>0</v>
      </c>
      <c r="G178" s="46"/>
      <c r="H178" s="46">
        <f t="shared" si="75"/>
        <v>-3650</v>
      </c>
      <c r="I178" s="47"/>
      <c r="J178" s="38">
        <f t="shared" si="62"/>
        <v>0</v>
      </c>
      <c r="K178" s="48"/>
      <c r="L178" s="48">
        <f t="shared" si="67"/>
        <v>150.20256463424843</v>
      </c>
      <c r="M178" s="48"/>
      <c r="N178" s="38">
        <f t="shared" si="68"/>
        <v>0</v>
      </c>
      <c r="O178" s="36">
        <f t="shared" si="69"/>
        <v>0</v>
      </c>
      <c r="P178" s="84">
        <f t="shared" si="70"/>
        <v>-3930.2836836347869</v>
      </c>
      <c r="Q178" s="38">
        <f t="shared" si="71"/>
        <v>0</v>
      </c>
      <c r="R178" s="48">
        <f t="shared" si="72"/>
        <v>11.656254599037373</v>
      </c>
      <c r="S178" s="38">
        <f t="shared" si="63"/>
        <v>161.8588192332858</v>
      </c>
      <c r="T178" s="50">
        <f t="shared" si="76"/>
        <v>3650</v>
      </c>
      <c r="U178" s="40">
        <f t="shared" si="77"/>
        <v>3553.7926792463181</v>
      </c>
      <c r="V178" s="41">
        <f t="shared" si="78"/>
        <v>-2.6358170069501918E-2</v>
      </c>
      <c r="W178" s="39">
        <f t="shared" si="79"/>
        <v>-96.20732075368187</v>
      </c>
      <c r="X178" s="50">
        <f t="shared" si="73"/>
        <v>280.75243365106337</v>
      </c>
      <c r="Y178" s="41">
        <f t="shared" si="80"/>
        <v>5.056030490339225E-2</v>
      </c>
      <c r="Z178" s="52"/>
      <c r="AA178" s="50">
        <f t="shared" si="86"/>
        <v>3930.7524336510628</v>
      </c>
      <c r="AB178" s="39">
        <f t="shared" si="87"/>
        <v>3829.5796630595423</v>
      </c>
      <c r="AC178" s="39">
        <f t="shared" si="81"/>
        <v>-101.17277059152048</v>
      </c>
      <c r="AD178" s="41">
        <f t="shared" si="82"/>
        <v>-2.5738779610077533E-2</v>
      </c>
      <c r="AF178" s="46">
        <f t="shared" si="64"/>
        <v>0</v>
      </c>
      <c r="AG178" s="46">
        <f t="shared" si="83"/>
        <v>0</v>
      </c>
      <c r="AH178" s="54">
        <f t="shared" si="65"/>
        <v>1029</v>
      </c>
      <c r="AI178" s="55">
        <f t="shared" si="74"/>
        <v>0.83630289532293989</v>
      </c>
      <c r="AJ178" s="55">
        <f t="shared" si="84"/>
        <v>0</v>
      </c>
      <c r="AK178" s="55">
        <f t="shared" si="85"/>
        <v>0</v>
      </c>
    </row>
    <row r="179" spans="2:37" s="53" customFormat="1" ht="17.25" customHeight="1" x14ac:dyDescent="0.25">
      <c r="B179" s="91" t="str">
        <f t="shared" si="66"/>
        <v/>
      </c>
      <c r="C179" s="81">
        <f>IF(Sheet3!A150="","",Sheet3!A150)</f>
        <v>38663</v>
      </c>
      <c r="D179" s="82">
        <f>IF(C179="","",Sheet3!E150)</f>
        <v>23.950001</v>
      </c>
      <c r="E179" s="56">
        <f>_xlfn.XLOOKUP(WEEKNUM(C179)&amp;YEAR(C179),Sheet4!C:C,Sheet4!B:B,0)</f>
        <v>0</v>
      </c>
      <c r="F179" s="46">
        <f>IF(int=Weekly,-$D$5,IF(int=Bi_Weekly,-$D$5,IF(int=Monthly,-$D$5,IF(int=Quarterly,0,IF(int=Yearly,0,IF(int=None,0,0))))))</f>
        <v>-100</v>
      </c>
      <c r="G179" s="46"/>
      <c r="H179" s="46">
        <f t="shared" si="75"/>
        <v>-3750</v>
      </c>
      <c r="I179" s="47"/>
      <c r="J179" s="38">
        <f t="shared" si="62"/>
        <v>4.1753651701308909</v>
      </c>
      <c r="K179" s="48"/>
      <c r="L179" s="48">
        <f t="shared" si="67"/>
        <v>154.37792980437933</v>
      </c>
      <c r="M179" s="48"/>
      <c r="N179" s="38">
        <f t="shared" si="68"/>
        <v>0</v>
      </c>
      <c r="O179" s="36">
        <f t="shared" si="69"/>
        <v>0</v>
      </c>
      <c r="P179" s="84">
        <f t="shared" si="70"/>
        <v>-4030.2836836347869</v>
      </c>
      <c r="Q179" s="38">
        <f t="shared" si="71"/>
        <v>0</v>
      </c>
      <c r="R179" s="48">
        <f t="shared" si="72"/>
        <v>11.656254599037373</v>
      </c>
      <c r="S179" s="38">
        <f t="shared" si="63"/>
        <v>166.0341844034167</v>
      </c>
      <c r="T179" s="50">
        <f t="shared" si="76"/>
        <v>3750</v>
      </c>
      <c r="U179" s="40">
        <f t="shared" si="77"/>
        <v>3697.3515731928151</v>
      </c>
      <c r="V179" s="41">
        <f t="shared" si="78"/>
        <v>-1.4039580481916003E-2</v>
      </c>
      <c r="W179" s="39">
        <f t="shared" si="79"/>
        <v>-52.648426807184933</v>
      </c>
      <c r="X179" s="50">
        <f t="shared" si="73"/>
        <v>280.75243365106337</v>
      </c>
      <c r="Y179" s="41">
        <f t="shared" si="80"/>
        <v>6.082773515836748E-2</v>
      </c>
      <c r="Z179" s="52"/>
      <c r="AA179" s="50">
        <f t="shared" si="86"/>
        <v>4030.7524336510628</v>
      </c>
      <c r="AB179" s="39">
        <f t="shared" si="87"/>
        <v>3976.5188824960146</v>
      </c>
      <c r="AC179" s="39">
        <f t="shared" si="81"/>
        <v>-54.23355115504819</v>
      </c>
      <c r="AD179" s="41">
        <f t="shared" si="82"/>
        <v>-1.3454944715104555E-2</v>
      </c>
      <c r="AF179" s="46">
        <f t="shared" si="64"/>
        <v>-100</v>
      </c>
      <c r="AG179" s="46">
        <f t="shared" si="83"/>
        <v>-100</v>
      </c>
      <c r="AH179" s="54">
        <f t="shared" si="65"/>
        <v>1036</v>
      </c>
      <c r="AI179" s="55">
        <f t="shared" si="74"/>
        <v>0.83518930957683746</v>
      </c>
      <c r="AJ179" s="55">
        <f t="shared" si="84"/>
        <v>-83.51893095768375</v>
      </c>
      <c r="AK179" s="55">
        <f t="shared" si="85"/>
        <v>-83.51893095768375</v>
      </c>
    </row>
    <row r="180" spans="2:37" s="53" customFormat="1" ht="17.25" customHeight="1" x14ac:dyDescent="0.25">
      <c r="B180" s="91" t="str">
        <f t="shared" si="66"/>
        <v/>
      </c>
      <c r="C180" s="81">
        <f>IF(Sheet3!A151="","",Sheet3!A151)</f>
        <v>38670</v>
      </c>
      <c r="D180" s="82">
        <f>IF(C180="","",Sheet3!E151)</f>
        <v>24.379999000000002</v>
      </c>
      <c r="E180" s="56">
        <f>_xlfn.XLOOKUP(WEEKNUM(C180)&amp;YEAR(C180),Sheet4!C:C,Sheet4!B:B,0)</f>
        <v>0</v>
      </c>
      <c r="F180" s="46">
        <f>IF(int=Weekly,-$D$5,IF(int=Bi_Weekly,0,IF(int=Monthly,0,IF(int=Quarterly,0,IF(int=Yearly,0,IF(int=None,0,0))))))</f>
        <v>0</v>
      </c>
      <c r="G180" s="46"/>
      <c r="H180" s="46">
        <f t="shared" si="75"/>
        <v>-3750</v>
      </c>
      <c r="I180" s="47"/>
      <c r="J180" s="38">
        <f t="shared" si="62"/>
        <v>0</v>
      </c>
      <c r="K180" s="48"/>
      <c r="L180" s="48">
        <f t="shared" si="67"/>
        <v>154.37792980437933</v>
      </c>
      <c r="M180" s="48"/>
      <c r="N180" s="38">
        <f t="shared" si="68"/>
        <v>0</v>
      </c>
      <c r="O180" s="36">
        <f t="shared" si="69"/>
        <v>0</v>
      </c>
      <c r="P180" s="84">
        <f t="shared" si="70"/>
        <v>-4030.2836836347869</v>
      </c>
      <c r="Q180" s="38">
        <f t="shared" si="71"/>
        <v>0</v>
      </c>
      <c r="R180" s="48">
        <f t="shared" si="72"/>
        <v>11.656254599037373</v>
      </c>
      <c r="S180" s="38">
        <f t="shared" si="63"/>
        <v>166.0341844034167</v>
      </c>
      <c r="T180" s="50">
        <f t="shared" si="76"/>
        <v>3750</v>
      </c>
      <c r="U180" s="40">
        <f t="shared" si="77"/>
        <v>3763.7337742528384</v>
      </c>
      <c r="V180" s="41">
        <f t="shared" si="78"/>
        <v>3.6623398007569197E-3</v>
      </c>
      <c r="W180" s="39">
        <f t="shared" si="79"/>
        <v>13.73377425283843</v>
      </c>
      <c r="X180" s="50">
        <f t="shared" si="73"/>
        <v>280.75243365106337</v>
      </c>
      <c r="Y180" s="41">
        <f t="shared" si="80"/>
        <v>7.8529655441040402E-2</v>
      </c>
      <c r="Z180" s="52"/>
      <c r="AA180" s="50">
        <f t="shared" si="86"/>
        <v>4030.7524336510628</v>
      </c>
      <c r="AB180" s="39">
        <f t="shared" si="87"/>
        <v>4047.9132497211149</v>
      </c>
      <c r="AC180" s="39">
        <f t="shared" si="81"/>
        <v>17.160816070052078</v>
      </c>
      <c r="AD180" s="41">
        <f t="shared" si="82"/>
        <v>4.2574721103643132E-3</v>
      </c>
      <c r="AF180" s="46">
        <f t="shared" si="64"/>
        <v>0</v>
      </c>
      <c r="AG180" s="46">
        <f t="shared" si="83"/>
        <v>0</v>
      </c>
      <c r="AH180" s="54">
        <f t="shared" si="65"/>
        <v>1043</v>
      </c>
      <c r="AI180" s="55">
        <f t="shared" si="74"/>
        <v>0.83407572383073492</v>
      </c>
      <c r="AJ180" s="55">
        <f t="shared" si="84"/>
        <v>0</v>
      </c>
      <c r="AK180" s="55">
        <f t="shared" si="85"/>
        <v>0</v>
      </c>
    </row>
    <row r="181" spans="2:37" s="53" customFormat="1" ht="17.25" customHeight="1" x14ac:dyDescent="0.25">
      <c r="B181" s="91" t="str">
        <f t="shared" si="66"/>
        <v/>
      </c>
      <c r="C181" s="81">
        <f>IF(Sheet3!A152="","",Sheet3!A152)</f>
        <v>38677</v>
      </c>
      <c r="D181" s="82">
        <f>IF(C181="","",Sheet3!E152)</f>
        <v>24.77</v>
      </c>
      <c r="E181" s="56">
        <f>_xlfn.XLOOKUP(WEEKNUM(C181)&amp;YEAR(C181),Sheet4!C:C,Sheet4!B:B,0)</f>
        <v>0</v>
      </c>
      <c r="F181" s="46">
        <f>IF(int=Weekly,-$D$5,IF(int=Bi_Weekly,-$D$5,IF(int=Monthly,0,IF(int=Quarterly,0,IF(int=Yearly,0,IF(int=None,0,0))))))</f>
        <v>0</v>
      </c>
      <c r="G181" s="46"/>
      <c r="H181" s="46">
        <f t="shared" si="75"/>
        <v>-3750</v>
      </c>
      <c r="I181" s="47"/>
      <c r="J181" s="38">
        <f t="shared" si="62"/>
        <v>0</v>
      </c>
      <c r="K181" s="48"/>
      <c r="L181" s="48">
        <f t="shared" si="67"/>
        <v>154.37792980437933</v>
      </c>
      <c r="M181" s="48"/>
      <c r="N181" s="38">
        <f t="shared" si="68"/>
        <v>0</v>
      </c>
      <c r="O181" s="36">
        <f t="shared" si="69"/>
        <v>0</v>
      </c>
      <c r="P181" s="84">
        <f t="shared" si="70"/>
        <v>-4030.2836836347869</v>
      </c>
      <c r="Q181" s="38">
        <f t="shared" si="71"/>
        <v>0</v>
      </c>
      <c r="R181" s="48">
        <f t="shared" si="72"/>
        <v>11.656254599037373</v>
      </c>
      <c r="S181" s="38">
        <f t="shared" si="63"/>
        <v>166.0341844034167</v>
      </c>
      <c r="T181" s="50">
        <f t="shared" si="76"/>
        <v>3750</v>
      </c>
      <c r="U181" s="40">
        <f t="shared" si="77"/>
        <v>3823.941321254476</v>
      </c>
      <c r="V181" s="41">
        <f t="shared" si="78"/>
        <v>1.9717685667860252E-2</v>
      </c>
      <c r="W181" s="39">
        <f t="shared" si="79"/>
        <v>73.941321254475952</v>
      </c>
      <c r="X181" s="50">
        <f t="shared" si="73"/>
        <v>280.75243365106337</v>
      </c>
      <c r="Y181" s="41">
        <f t="shared" si="80"/>
        <v>9.4585001308143735E-2</v>
      </c>
      <c r="Z181" s="52"/>
      <c r="AA181" s="50">
        <f t="shared" si="86"/>
        <v>4030.7524336510628</v>
      </c>
      <c r="AB181" s="39">
        <f t="shared" si="87"/>
        <v>4112.6667476726316</v>
      </c>
      <c r="AC181" s="39">
        <f t="shared" si="81"/>
        <v>81.914314021568771</v>
      </c>
      <c r="AD181" s="41">
        <f t="shared" si="82"/>
        <v>2.0322338166368192E-2</v>
      </c>
      <c r="AF181" s="46">
        <f t="shared" si="64"/>
        <v>0</v>
      </c>
      <c r="AG181" s="46">
        <f t="shared" si="83"/>
        <v>0</v>
      </c>
      <c r="AH181" s="54">
        <f t="shared" si="65"/>
        <v>1050</v>
      </c>
      <c r="AI181" s="55">
        <f t="shared" si="74"/>
        <v>0.83296213808463249</v>
      </c>
      <c r="AJ181" s="55">
        <f t="shared" si="84"/>
        <v>0</v>
      </c>
      <c r="AK181" s="55">
        <f t="shared" si="85"/>
        <v>0</v>
      </c>
    </row>
    <row r="182" spans="2:37" s="53" customFormat="1" ht="17.25" customHeight="1" x14ac:dyDescent="0.25">
      <c r="B182" s="91" t="str">
        <f t="shared" si="66"/>
        <v/>
      </c>
      <c r="C182" s="81">
        <f>IF(Sheet3!A153="","",Sheet3!A153)</f>
        <v>38684</v>
      </c>
      <c r="D182" s="82">
        <f>IF(C182="","",Sheet3!E153)</f>
        <v>25.07</v>
      </c>
      <c r="E182" s="56">
        <f>_xlfn.XLOOKUP(WEEKNUM(C182)&amp;YEAR(C182),Sheet4!C:C,Sheet4!B:B,0)</f>
        <v>0</v>
      </c>
      <c r="F182" s="46">
        <f>IF(int=Weekly,-$D$5,IF(int=Bi_Weekly,0,IF(int=Monthly,0,IF(int=Quarterly,0,IF(int=Yearly,0,IF(int=None,0,0))))))</f>
        <v>0</v>
      </c>
      <c r="G182" s="46"/>
      <c r="H182" s="46">
        <f t="shared" si="75"/>
        <v>-3750</v>
      </c>
      <c r="I182" s="47"/>
      <c r="J182" s="38">
        <f t="shared" si="62"/>
        <v>0</v>
      </c>
      <c r="K182" s="48"/>
      <c r="L182" s="48">
        <f t="shared" si="67"/>
        <v>154.37792980437933</v>
      </c>
      <c r="M182" s="48"/>
      <c r="N182" s="38">
        <f t="shared" si="68"/>
        <v>0</v>
      </c>
      <c r="O182" s="36">
        <f t="shared" si="69"/>
        <v>0</v>
      </c>
      <c r="P182" s="84">
        <f t="shared" si="70"/>
        <v>-4030.2836836347869</v>
      </c>
      <c r="Q182" s="38">
        <f t="shared" si="71"/>
        <v>0</v>
      </c>
      <c r="R182" s="48">
        <f t="shared" si="72"/>
        <v>11.656254599037373</v>
      </c>
      <c r="S182" s="38">
        <f t="shared" si="63"/>
        <v>166.0341844034167</v>
      </c>
      <c r="T182" s="50">
        <f t="shared" si="76"/>
        <v>3750</v>
      </c>
      <c r="U182" s="40">
        <f t="shared" si="77"/>
        <v>3870.2547001957901</v>
      </c>
      <c r="V182" s="41">
        <f t="shared" si="78"/>
        <v>3.2067920052210708E-2</v>
      </c>
      <c r="W182" s="39">
        <f t="shared" si="79"/>
        <v>120.25470019579006</v>
      </c>
      <c r="X182" s="50">
        <f t="shared" si="73"/>
        <v>280.75243365106337</v>
      </c>
      <c r="Y182" s="41">
        <f t="shared" si="80"/>
        <v>0.10693523569249419</v>
      </c>
      <c r="Z182" s="52"/>
      <c r="AA182" s="50">
        <f t="shared" si="86"/>
        <v>4030.7524336510628</v>
      </c>
      <c r="AB182" s="39">
        <f t="shared" si="87"/>
        <v>4162.4770029936572</v>
      </c>
      <c r="AC182" s="39">
        <f t="shared" si="81"/>
        <v>131.72456934259435</v>
      </c>
      <c r="AD182" s="41">
        <f t="shared" si="82"/>
        <v>3.2679895754172517E-2</v>
      </c>
      <c r="AF182" s="46">
        <f t="shared" si="64"/>
        <v>0</v>
      </c>
      <c r="AG182" s="46">
        <f t="shared" si="83"/>
        <v>0</v>
      </c>
      <c r="AH182" s="54">
        <f t="shared" si="65"/>
        <v>1057</v>
      </c>
      <c r="AI182" s="55">
        <f t="shared" si="74"/>
        <v>0.83184855233853006</v>
      </c>
      <c r="AJ182" s="55">
        <f t="shared" si="84"/>
        <v>0</v>
      </c>
      <c r="AK182" s="55">
        <f t="shared" si="85"/>
        <v>0</v>
      </c>
    </row>
    <row r="183" spans="2:37" s="53" customFormat="1" ht="17.25" customHeight="1" x14ac:dyDescent="0.25">
      <c r="B183" s="91" t="str">
        <f t="shared" si="66"/>
        <v/>
      </c>
      <c r="C183" s="81">
        <f>IF(Sheet3!A154="","",Sheet3!A154)</f>
        <v>38691</v>
      </c>
      <c r="D183" s="82">
        <f>IF(C183="","",Sheet3!E154)</f>
        <v>24.9</v>
      </c>
      <c r="E183" s="56">
        <f>_xlfn.XLOOKUP(WEEKNUM(C183)&amp;YEAR(C183),Sheet4!C:C,Sheet4!B:B,0)</f>
        <v>0</v>
      </c>
      <c r="F183" s="46">
        <f>IF(int=Weekly,-$D$5,IF(int=Bi_Weekly,-$D$5,IF(int=Monthly,-$D$5,IF(int=Quarterly,0,IF(int=Yearly,0,IF(int=None,0,0))))))</f>
        <v>-100</v>
      </c>
      <c r="G183" s="46"/>
      <c r="H183" s="46">
        <f t="shared" si="75"/>
        <v>-3850</v>
      </c>
      <c r="I183" s="47"/>
      <c r="J183" s="38">
        <f t="shared" si="62"/>
        <v>4.0160642570281126</v>
      </c>
      <c r="K183" s="48"/>
      <c r="L183" s="48">
        <f t="shared" si="67"/>
        <v>158.39399406140745</v>
      </c>
      <c r="M183" s="48"/>
      <c r="N183" s="38">
        <f t="shared" si="68"/>
        <v>0</v>
      </c>
      <c r="O183" s="36">
        <f t="shared" si="69"/>
        <v>0</v>
      </c>
      <c r="P183" s="84">
        <f t="shared" si="70"/>
        <v>-4130.2836836347869</v>
      </c>
      <c r="Q183" s="38">
        <f t="shared" si="71"/>
        <v>0</v>
      </c>
      <c r="R183" s="48">
        <f t="shared" si="72"/>
        <v>11.656254599037373</v>
      </c>
      <c r="S183" s="38">
        <f t="shared" si="63"/>
        <v>170.05024866044482</v>
      </c>
      <c r="T183" s="50">
        <f t="shared" si="76"/>
        <v>3850</v>
      </c>
      <c r="U183" s="40">
        <f t="shared" si="77"/>
        <v>3944.0104521290455</v>
      </c>
      <c r="V183" s="41">
        <f t="shared" si="78"/>
        <v>2.4418299254297615E-2</v>
      </c>
      <c r="W183" s="39">
        <f t="shared" si="79"/>
        <v>94.010452129045461</v>
      </c>
      <c r="X183" s="50">
        <f t="shared" si="73"/>
        <v>280.75243365106337</v>
      </c>
      <c r="Y183" s="41">
        <f t="shared" si="80"/>
        <v>9.7341009293534952E-2</v>
      </c>
      <c r="Z183" s="52"/>
      <c r="AA183" s="50">
        <f t="shared" si="86"/>
        <v>4130.7524336510633</v>
      </c>
      <c r="AB183" s="39">
        <f t="shared" si="87"/>
        <v>4234.2511916450758</v>
      </c>
      <c r="AC183" s="39">
        <f t="shared" si="81"/>
        <v>103.49875799401252</v>
      </c>
      <c r="AD183" s="41">
        <f t="shared" si="82"/>
        <v>2.5055667134845194E-2</v>
      </c>
      <c r="AF183" s="46">
        <f t="shared" si="64"/>
        <v>-100</v>
      </c>
      <c r="AG183" s="46">
        <f t="shared" si="83"/>
        <v>-100</v>
      </c>
      <c r="AH183" s="54">
        <f t="shared" si="65"/>
        <v>1064</v>
      </c>
      <c r="AI183" s="55">
        <f t="shared" si="74"/>
        <v>0.83073496659242763</v>
      </c>
      <c r="AJ183" s="55">
        <f t="shared" si="84"/>
        <v>-83.073496659242764</v>
      </c>
      <c r="AK183" s="55">
        <f t="shared" si="85"/>
        <v>-83.073496659242764</v>
      </c>
    </row>
    <row r="184" spans="2:37" s="53" customFormat="1" ht="17.25" customHeight="1" x14ac:dyDescent="0.25">
      <c r="B184" s="91" t="str">
        <f t="shared" si="66"/>
        <v/>
      </c>
      <c r="C184" s="81">
        <f>IF(Sheet3!A155="","",Sheet3!A155)</f>
        <v>38698</v>
      </c>
      <c r="D184" s="82">
        <f>IF(C184="","",Sheet3!E155)</f>
        <v>24.959999</v>
      </c>
      <c r="E184" s="56">
        <f>_xlfn.XLOOKUP(WEEKNUM(C184)&amp;YEAR(C184),Sheet4!C:C,Sheet4!B:B,0)</f>
        <v>0</v>
      </c>
      <c r="F184" s="46">
        <f>IF(int=Weekly,-$D$5,IF(int=Bi_Weekly,0,IF(int=Monthly,0,IF(int=Quarterly,0,IF(int=Yearly,0,IF(int=None,0,0))))))</f>
        <v>0</v>
      </c>
      <c r="G184" s="46"/>
      <c r="H184" s="46">
        <f t="shared" si="75"/>
        <v>-3850</v>
      </c>
      <c r="I184" s="47"/>
      <c r="J184" s="38">
        <f t="shared" si="62"/>
        <v>0</v>
      </c>
      <c r="K184" s="48"/>
      <c r="L184" s="48">
        <f t="shared" si="67"/>
        <v>158.39399406140745</v>
      </c>
      <c r="M184" s="48"/>
      <c r="N184" s="38">
        <f t="shared" si="68"/>
        <v>0</v>
      </c>
      <c r="O184" s="36">
        <f t="shared" si="69"/>
        <v>0</v>
      </c>
      <c r="P184" s="84">
        <f t="shared" si="70"/>
        <v>-4130.2836836347869</v>
      </c>
      <c r="Q184" s="38">
        <f t="shared" si="71"/>
        <v>0</v>
      </c>
      <c r="R184" s="48">
        <f t="shared" si="72"/>
        <v>11.656254599037373</v>
      </c>
      <c r="S184" s="38">
        <f t="shared" si="63"/>
        <v>170.05024866044482</v>
      </c>
      <c r="T184" s="50">
        <f t="shared" si="76"/>
        <v>3850</v>
      </c>
      <c r="U184" s="40">
        <f t="shared" si="77"/>
        <v>3953.5139333787361</v>
      </c>
      <c r="V184" s="41">
        <f t="shared" si="78"/>
        <v>2.6886735942528883E-2</v>
      </c>
      <c r="W184" s="39">
        <f t="shared" si="79"/>
        <v>103.51393337873606</v>
      </c>
      <c r="X184" s="50">
        <f t="shared" si="73"/>
        <v>280.75243365106337</v>
      </c>
      <c r="Y184" s="41">
        <f t="shared" si="80"/>
        <v>9.9809445981766221E-2</v>
      </c>
      <c r="Z184" s="52"/>
      <c r="AA184" s="50">
        <f t="shared" si="86"/>
        <v>4130.7524336510633</v>
      </c>
      <c r="AB184" s="39">
        <f t="shared" si="87"/>
        <v>4244.4540365144539</v>
      </c>
      <c r="AC184" s="39">
        <f t="shared" si="81"/>
        <v>113.70160286339069</v>
      </c>
      <c r="AD184" s="41">
        <f t="shared" si="82"/>
        <v>2.7525639623697584E-2</v>
      </c>
      <c r="AF184" s="46">
        <f t="shared" si="64"/>
        <v>0</v>
      </c>
      <c r="AG184" s="46">
        <f t="shared" si="83"/>
        <v>0</v>
      </c>
      <c r="AH184" s="54">
        <f t="shared" si="65"/>
        <v>1071</v>
      </c>
      <c r="AI184" s="55">
        <f t="shared" si="74"/>
        <v>0.8296213808463252</v>
      </c>
      <c r="AJ184" s="55">
        <f t="shared" si="84"/>
        <v>0</v>
      </c>
      <c r="AK184" s="55">
        <f t="shared" si="85"/>
        <v>0</v>
      </c>
    </row>
    <row r="185" spans="2:37" s="53" customFormat="1" ht="17.25" customHeight="1" x14ac:dyDescent="0.25">
      <c r="B185" s="91" t="str">
        <f t="shared" si="66"/>
        <v/>
      </c>
      <c r="C185" s="81">
        <f>IF(Sheet3!A156="","",Sheet3!A156)</f>
        <v>38705</v>
      </c>
      <c r="D185" s="82">
        <f>IF(C185="","",Sheet3!E156)</f>
        <v>24.629999000000002</v>
      </c>
      <c r="E185" s="56">
        <f>_xlfn.XLOOKUP(WEEKNUM(C185)&amp;YEAR(C185),Sheet4!C:C,Sheet4!B:B,0)</f>
        <v>0</v>
      </c>
      <c r="F185" s="46">
        <f>IF(int=Weekly,-$D$5,IF(int=Bi_Weekly,-$D$5,IF(int=Monthly,0,IF(int=Quarterly,0,IF(int=Yearly,0,IF(int=None,0,0))))))</f>
        <v>0</v>
      </c>
      <c r="G185" s="46"/>
      <c r="H185" s="46">
        <f t="shared" si="75"/>
        <v>-3850</v>
      </c>
      <c r="I185" s="47"/>
      <c r="J185" s="38">
        <f t="shared" si="62"/>
        <v>0</v>
      </c>
      <c r="K185" s="48"/>
      <c r="L185" s="48">
        <f t="shared" si="67"/>
        <v>158.39399406140745</v>
      </c>
      <c r="M185" s="48"/>
      <c r="N185" s="38">
        <f t="shared" si="68"/>
        <v>0</v>
      </c>
      <c r="O185" s="36">
        <f t="shared" si="69"/>
        <v>0</v>
      </c>
      <c r="P185" s="84">
        <f t="shared" si="70"/>
        <v>-4130.2836836347869</v>
      </c>
      <c r="Q185" s="38">
        <f t="shared" si="71"/>
        <v>0</v>
      </c>
      <c r="R185" s="48">
        <f t="shared" si="72"/>
        <v>11.656254599037373</v>
      </c>
      <c r="S185" s="38">
        <f t="shared" si="63"/>
        <v>170.05024866044482</v>
      </c>
      <c r="T185" s="50">
        <f t="shared" si="76"/>
        <v>3850</v>
      </c>
      <c r="U185" s="40">
        <f t="shared" si="77"/>
        <v>3901.2439153384717</v>
      </c>
      <c r="V185" s="41">
        <f t="shared" si="78"/>
        <v>1.3310107880122546E-2</v>
      </c>
      <c r="W185" s="39">
        <f t="shared" si="79"/>
        <v>51.243915338471652</v>
      </c>
      <c r="X185" s="50">
        <f t="shared" si="73"/>
        <v>280.75243365106337</v>
      </c>
      <c r="Y185" s="41">
        <f t="shared" si="80"/>
        <v>8.6232817919359883E-2</v>
      </c>
      <c r="Z185" s="52"/>
      <c r="AA185" s="50">
        <f t="shared" si="86"/>
        <v>4130.7524336510633</v>
      </c>
      <c r="AB185" s="39">
        <f t="shared" si="87"/>
        <v>4188.3374544565077</v>
      </c>
      <c r="AC185" s="39">
        <f t="shared" si="81"/>
        <v>57.585020805444401</v>
      </c>
      <c r="AD185" s="41">
        <f t="shared" si="82"/>
        <v>1.3940564517091358E-2</v>
      </c>
      <c r="AF185" s="46">
        <f t="shared" si="64"/>
        <v>0</v>
      </c>
      <c r="AG185" s="46">
        <f t="shared" si="83"/>
        <v>0</v>
      </c>
      <c r="AH185" s="54">
        <f t="shared" si="65"/>
        <v>1078</v>
      </c>
      <c r="AI185" s="55">
        <f t="shared" si="74"/>
        <v>0.82850779510022277</v>
      </c>
      <c r="AJ185" s="55">
        <f t="shared" si="84"/>
        <v>0</v>
      </c>
      <c r="AK185" s="55">
        <f t="shared" si="85"/>
        <v>0</v>
      </c>
    </row>
    <row r="186" spans="2:37" s="53" customFormat="1" ht="17.25" customHeight="1" x14ac:dyDescent="0.25">
      <c r="B186" s="91" t="str">
        <f t="shared" si="66"/>
        <v/>
      </c>
      <c r="C186" s="81">
        <f>IF(Sheet3!A157="","",Sheet3!A157)</f>
        <v>38712</v>
      </c>
      <c r="D186" s="82">
        <f>IF(C186="","",Sheet3!E157)</f>
        <v>24.49</v>
      </c>
      <c r="E186" s="56">
        <f>_xlfn.XLOOKUP(WEEKNUM(C186)&amp;YEAR(C186),Sheet4!C:C,Sheet4!B:B,0)</f>
        <v>0</v>
      </c>
      <c r="F186" s="46">
        <f>IF(int=Weekly,-$D$5,IF(int=Bi_Weekly,0,IF(int=Monthly,0,IF(int=Quarterly,0,IF(int=Yearly,0,IF(int=None,0,0))))))</f>
        <v>0</v>
      </c>
      <c r="G186" s="46"/>
      <c r="H186" s="46">
        <f t="shared" si="75"/>
        <v>-3850</v>
      </c>
      <c r="I186" s="47"/>
      <c r="J186" s="38">
        <f t="shared" si="62"/>
        <v>0</v>
      </c>
      <c r="K186" s="48"/>
      <c r="L186" s="48">
        <f t="shared" si="67"/>
        <v>158.39399406140745</v>
      </c>
      <c r="M186" s="48"/>
      <c r="N186" s="38">
        <f t="shared" si="68"/>
        <v>0</v>
      </c>
      <c r="O186" s="36">
        <f t="shared" si="69"/>
        <v>0</v>
      </c>
      <c r="P186" s="84">
        <f t="shared" si="70"/>
        <v>-4130.2836836347869</v>
      </c>
      <c r="Q186" s="38">
        <f t="shared" si="71"/>
        <v>0</v>
      </c>
      <c r="R186" s="48">
        <f t="shared" si="72"/>
        <v>11.656254599037373</v>
      </c>
      <c r="S186" s="38">
        <f t="shared" si="63"/>
        <v>170.05024866044482</v>
      </c>
      <c r="T186" s="50">
        <f t="shared" si="76"/>
        <v>3850</v>
      </c>
      <c r="U186" s="40">
        <f t="shared" si="77"/>
        <v>3879.0689145638685</v>
      </c>
      <c r="V186" s="41">
        <f t="shared" si="78"/>
        <v>7.5503674191865766E-3</v>
      </c>
      <c r="W186" s="39">
        <f t="shared" si="79"/>
        <v>29.068914563868475</v>
      </c>
      <c r="X186" s="50">
        <f t="shared" si="73"/>
        <v>280.75243365106337</v>
      </c>
      <c r="Y186" s="41">
        <f t="shared" si="80"/>
        <v>8.0473077458423914E-2</v>
      </c>
      <c r="Z186" s="52"/>
      <c r="AA186" s="50">
        <f t="shared" si="86"/>
        <v>4130.7524336510633</v>
      </c>
      <c r="AB186" s="39">
        <f t="shared" si="87"/>
        <v>4164.5305896942937</v>
      </c>
      <c r="AC186" s="39">
        <f t="shared" si="81"/>
        <v>33.77815604323041</v>
      </c>
      <c r="AD186" s="41">
        <f t="shared" si="82"/>
        <v>8.1772404872433313E-3</v>
      </c>
      <c r="AF186" s="46">
        <f t="shared" si="64"/>
        <v>0</v>
      </c>
      <c r="AG186" s="46">
        <f t="shared" si="83"/>
        <v>0</v>
      </c>
      <c r="AH186" s="54">
        <f t="shared" si="65"/>
        <v>1085</v>
      </c>
      <c r="AI186" s="55">
        <f t="shared" si="74"/>
        <v>0.82739420935412022</v>
      </c>
      <c r="AJ186" s="55">
        <f t="shared" si="84"/>
        <v>0</v>
      </c>
      <c r="AK186" s="55">
        <f t="shared" si="85"/>
        <v>0</v>
      </c>
    </row>
    <row r="187" spans="2:37" s="53" customFormat="1" ht="17.25" customHeight="1" x14ac:dyDescent="0.25">
      <c r="B187" s="91" t="str">
        <f t="shared" si="66"/>
        <v/>
      </c>
      <c r="C187" s="81">
        <f>IF(Sheet3!A158="","",Sheet3!A158)</f>
        <v>38719</v>
      </c>
      <c r="D187" s="82">
        <f>IF(C187="","",Sheet3!E158)</f>
        <v>24.93</v>
      </c>
      <c r="E187" s="56">
        <f>_xlfn.XLOOKUP(WEEKNUM(C187)&amp;YEAR(C187),Sheet4!C:C,Sheet4!B:B,0)</f>
        <v>0.33250000000000002</v>
      </c>
      <c r="F187" s="46">
        <f>IF(int=Weekly,-$D$5,IF(int=Bi_Weekly,-$D$5,IF(int=Monthly,-$D$5,IF(int=Quarterly,-$D$5,IF(int=Yearly,-$D$5,IF(int=None,0,0))))))</f>
        <v>-100</v>
      </c>
      <c r="G187" s="46"/>
      <c r="H187" s="46">
        <f t="shared" si="75"/>
        <v>-3950</v>
      </c>
      <c r="I187" s="47"/>
      <c r="J187" s="38">
        <f t="shared" si="62"/>
        <v>4.011231448054553</v>
      </c>
      <c r="K187" s="48"/>
      <c r="L187" s="48">
        <f t="shared" si="67"/>
        <v>162.40522550946201</v>
      </c>
      <c r="M187" s="48"/>
      <c r="N187" s="38">
        <f t="shared" si="68"/>
        <v>53.999737481896119</v>
      </c>
      <c r="O187" s="36">
        <f t="shared" si="69"/>
        <v>-53.999737481896119</v>
      </c>
      <c r="P187" s="84">
        <f t="shared" si="70"/>
        <v>-4284.2834211166828</v>
      </c>
      <c r="Q187" s="38">
        <f t="shared" si="71"/>
        <v>2.166054451740719</v>
      </c>
      <c r="R187" s="48">
        <f t="shared" si="72"/>
        <v>13.822309050778092</v>
      </c>
      <c r="S187" s="38">
        <f t="shared" si="63"/>
        <v>176.22753456024012</v>
      </c>
      <c r="T187" s="50">
        <f t="shared" si="76"/>
        <v>3950</v>
      </c>
      <c r="U187" s="40">
        <f t="shared" si="77"/>
        <v>4048.7622719508881</v>
      </c>
      <c r="V187" s="41">
        <f t="shared" si="78"/>
        <v>2.5003106823009658E-2</v>
      </c>
      <c r="W187" s="39">
        <f t="shared" si="79"/>
        <v>98.762271950888135</v>
      </c>
      <c r="X187" s="50">
        <f t="shared" si="73"/>
        <v>334.75217113295946</v>
      </c>
      <c r="Y187" s="41">
        <f t="shared" si="80"/>
        <v>0.10975049191996122</v>
      </c>
      <c r="Z187" s="52"/>
      <c r="AA187" s="50">
        <f t="shared" si="86"/>
        <v>4284.7521711329591</v>
      </c>
      <c r="AB187" s="39">
        <f t="shared" si="87"/>
        <v>4393.3524365867861</v>
      </c>
      <c r="AC187" s="39">
        <f t="shared" si="81"/>
        <v>108.60026545382698</v>
      </c>
      <c r="AD187" s="41">
        <f t="shared" si="82"/>
        <v>2.5345751893302904E-2</v>
      </c>
      <c r="AF187" s="46">
        <f t="shared" si="64"/>
        <v>-46.000262518103881</v>
      </c>
      <c r="AG187" s="46">
        <f t="shared" si="83"/>
        <v>-100</v>
      </c>
      <c r="AH187" s="54">
        <f t="shared" si="65"/>
        <v>1092</v>
      </c>
      <c r="AI187" s="55">
        <f t="shared" si="74"/>
        <v>0.82628062360801779</v>
      </c>
      <c r="AJ187" s="55">
        <f t="shared" si="84"/>
        <v>-38.0091255995914</v>
      </c>
      <c r="AK187" s="55">
        <f t="shared" si="85"/>
        <v>-82.628062360801778</v>
      </c>
    </row>
    <row r="188" spans="2:37" s="53" customFormat="1" ht="17.25" customHeight="1" x14ac:dyDescent="0.25">
      <c r="B188" s="91" t="str">
        <f t="shared" si="66"/>
        <v/>
      </c>
      <c r="C188" s="81">
        <f>IF(Sheet3!A159="","",Sheet3!A159)</f>
        <v>38726</v>
      </c>
      <c r="D188" s="82">
        <f>IF(C188="","",Sheet3!E159)</f>
        <v>24.99</v>
      </c>
      <c r="E188" s="56">
        <f>_xlfn.XLOOKUP(WEEKNUM(C188)&amp;YEAR(C188),Sheet4!C:C,Sheet4!B:B,0)</f>
        <v>0</v>
      </c>
      <c r="F188" s="46">
        <f>IF(int=Weekly,-$D$5,IF(int=Bi_Weekly,0,IF(int=Monthly,0,IF(int=Quarterly,0,IF(int=Yearly,0,IF(int=None,0,0))))))</f>
        <v>0</v>
      </c>
      <c r="G188" s="46"/>
      <c r="H188" s="46">
        <f t="shared" si="75"/>
        <v>-3950</v>
      </c>
      <c r="I188" s="47"/>
      <c r="J188" s="38">
        <f t="shared" si="62"/>
        <v>0</v>
      </c>
      <c r="K188" s="48"/>
      <c r="L188" s="48">
        <f t="shared" si="67"/>
        <v>162.40522550946201</v>
      </c>
      <c r="M188" s="48"/>
      <c r="N188" s="38">
        <f t="shared" si="68"/>
        <v>0</v>
      </c>
      <c r="O188" s="36">
        <f t="shared" si="69"/>
        <v>0</v>
      </c>
      <c r="P188" s="84">
        <f t="shared" si="70"/>
        <v>-4284.2834211166828</v>
      </c>
      <c r="Q188" s="38">
        <f t="shared" si="71"/>
        <v>0</v>
      </c>
      <c r="R188" s="48">
        <f t="shared" si="72"/>
        <v>13.822309050778092</v>
      </c>
      <c r="S188" s="38">
        <f t="shared" si="63"/>
        <v>176.22753456024012</v>
      </c>
      <c r="T188" s="50">
        <f t="shared" si="76"/>
        <v>3950</v>
      </c>
      <c r="U188" s="40">
        <f t="shared" si="77"/>
        <v>4058.5065854814557</v>
      </c>
      <c r="V188" s="41">
        <f t="shared" si="78"/>
        <v>2.7470021640874753E-2</v>
      </c>
      <c r="W188" s="39">
        <f t="shared" si="79"/>
        <v>108.50658548145566</v>
      </c>
      <c r="X188" s="50">
        <f t="shared" si="73"/>
        <v>334.75217113295946</v>
      </c>
      <c r="Y188" s="41">
        <f t="shared" si="80"/>
        <v>0.11221740673782654</v>
      </c>
      <c r="Z188" s="52"/>
      <c r="AA188" s="50">
        <f t="shared" si="86"/>
        <v>4284.7521711329591</v>
      </c>
      <c r="AB188" s="39">
        <f t="shared" si="87"/>
        <v>4403.9260886603997</v>
      </c>
      <c r="AC188" s="39">
        <f t="shared" si="81"/>
        <v>119.17391752744061</v>
      </c>
      <c r="AD188" s="41">
        <f t="shared" si="82"/>
        <v>2.7813491368376964E-2</v>
      </c>
      <c r="AF188" s="46">
        <f t="shared" si="64"/>
        <v>0</v>
      </c>
      <c r="AG188" s="46">
        <f t="shared" si="83"/>
        <v>0</v>
      </c>
      <c r="AH188" s="54">
        <f t="shared" si="65"/>
        <v>1099</v>
      </c>
      <c r="AI188" s="55">
        <f t="shared" si="74"/>
        <v>0.82516703786191536</v>
      </c>
      <c r="AJ188" s="55">
        <f t="shared" si="84"/>
        <v>0</v>
      </c>
      <c r="AK188" s="55">
        <f t="shared" si="85"/>
        <v>0</v>
      </c>
    </row>
    <row r="189" spans="2:37" s="53" customFormat="1" ht="17.25" customHeight="1" x14ac:dyDescent="0.25">
      <c r="B189" s="91" t="str">
        <f t="shared" si="66"/>
        <v/>
      </c>
      <c r="C189" s="81">
        <f>IF(Sheet3!A160="","",Sheet3!A160)</f>
        <v>38733</v>
      </c>
      <c r="D189" s="82">
        <f>IF(C189="","",Sheet3!E160)</f>
        <v>24.709999</v>
      </c>
      <c r="E189" s="56">
        <f>_xlfn.XLOOKUP(WEEKNUM(C189)&amp;YEAR(C189),Sheet4!C:C,Sheet4!B:B,0)</f>
        <v>0</v>
      </c>
      <c r="F189" s="46">
        <f>IF(int=Weekly,-$D$5,IF(int=Bi_Weekly,-$D$5,IF(int=Monthly,0,IF(int=Quarterly,0,IF(int=Yearly,0,IF(int=None,0,0))))))</f>
        <v>0</v>
      </c>
      <c r="G189" s="46"/>
      <c r="H189" s="46">
        <f t="shared" si="75"/>
        <v>-3950</v>
      </c>
      <c r="I189" s="47"/>
      <c r="J189" s="38">
        <f t="shared" si="62"/>
        <v>0</v>
      </c>
      <c r="K189" s="48"/>
      <c r="L189" s="48">
        <f t="shared" si="67"/>
        <v>162.40522550946201</v>
      </c>
      <c r="M189" s="48"/>
      <c r="N189" s="38">
        <f t="shared" si="68"/>
        <v>0</v>
      </c>
      <c r="O189" s="36">
        <f t="shared" si="69"/>
        <v>0</v>
      </c>
      <c r="P189" s="84">
        <f t="shared" si="70"/>
        <v>-4284.2834211166828</v>
      </c>
      <c r="Q189" s="38">
        <f t="shared" si="71"/>
        <v>0</v>
      </c>
      <c r="R189" s="48">
        <f t="shared" si="72"/>
        <v>13.822309050778092</v>
      </c>
      <c r="S189" s="38">
        <f t="shared" si="63"/>
        <v>176.22753456024012</v>
      </c>
      <c r="T189" s="50">
        <f t="shared" si="76"/>
        <v>3950</v>
      </c>
      <c r="U189" s="40">
        <f t="shared" si="77"/>
        <v>4013.032959933581</v>
      </c>
      <c r="V189" s="41">
        <f t="shared" si="78"/>
        <v>1.5957711375590211E-2</v>
      </c>
      <c r="W189" s="39">
        <f t="shared" si="79"/>
        <v>63.032959933580969</v>
      </c>
      <c r="X189" s="50">
        <f t="shared" si="73"/>
        <v>334.75217113295946</v>
      </c>
      <c r="Y189" s="41">
        <f t="shared" si="80"/>
        <v>0.10070509647254178</v>
      </c>
      <c r="Z189" s="52"/>
      <c r="AA189" s="50">
        <f t="shared" si="86"/>
        <v>4284.7521711329591</v>
      </c>
      <c r="AB189" s="39">
        <f t="shared" si="87"/>
        <v>4354.5822027559989</v>
      </c>
      <c r="AC189" s="39">
        <f t="shared" si="81"/>
        <v>69.830031623039758</v>
      </c>
      <c r="AD189" s="41">
        <f t="shared" si="82"/>
        <v>1.6297332689039878E-2</v>
      </c>
      <c r="AF189" s="46">
        <f t="shared" si="64"/>
        <v>0</v>
      </c>
      <c r="AG189" s="46">
        <f t="shared" si="83"/>
        <v>0</v>
      </c>
      <c r="AH189" s="54">
        <f t="shared" si="65"/>
        <v>1106</v>
      </c>
      <c r="AI189" s="55">
        <f t="shared" si="74"/>
        <v>0.82405345211581293</v>
      </c>
      <c r="AJ189" s="55">
        <f t="shared" si="84"/>
        <v>0</v>
      </c>
      <c r="AK189" s="55">
        <f t="shared" si="85"/>
        <v>0</v>
      </c>
    </row>
    <row r="190" spans="2:37" s="53" customFormat="1" ht="17.25" customHeight="1" x14ac:dyDescent="0.25">
      <c r="B190" s="91" t="str">
        <f t="shared" si="66"/>
        <v/>
      </c>
      <c r="C190" s="81">
        <f>IF(Sheet3!A161="","",Sheet3!A161)</f>
        <v>38740</v>
      </c>
      <c r="D190" s="82">
        <f>IF(C190="","",Sheet3!E161)</f>
        <v>25.889999</v>
      </c>
      <c r="E190" s="56">
        <f>_xlfn.XLOOKUP(WEEKNUM(C190)&amp;YEAR(C190),Sheet4!C:C,Sheet4!B:B,0)</f>
        <v>0</v>
      </c>
      <c r="F190" s="46">
        <f>IF(int=Weekly,-$D$5,IF(int=Bi_Weekly,0,IF(int=Monthly,0,IF(int=Quarterly,0,IF(int=Yearly,0,IF(int=None,0,0))))))</f>
        <v>0</v>
      </c>
      <c r="G190" s="46"/>
      <c r="H190" s="46">
        <f t="shared" si="75"/>
        <v>-3950</v>
      </c>
      <c r="I190" s="47"/>
      <c r="J190" s="38">
        <f t="shared" si="62"/>
        <v>0</v>
      </c>
      <c r="K190" s="48"/>
      <c r="L190" s="48">
        <f t="shared" si="67"/>
        <v>162.40522550946201</v>
      </c>
      <c r="M190" s="48"/>
      <c r="N190" s="38">
        <f t="shared" si="68"/>
        <v>0</v>
      </c>
      <c r="O190" s="36">
        <f t="shared" si="69"/>
        <v>0</v>
      </c>
      <c r="P190" s="84">
        <f t="shared" si="70"/>
        <v>-4284.2834211166828</v>
      </c>
      <c r="Q190" s="38">
        <f t="shared" si="71"/>
        <v>0</v>
      </c>
      <c r="R190" s="48">
        <f t="shared" si="72"/>
        <v>13.822309050778092</v>
      </c>
      <c r="S190" s="38">
        <f t="shared" si="63"/>
        <v>176.22753456024012</v>
      </c>
      <c r="T190" s="50">
        <f t="shared" si="76"/>
        <v>3950</v>
      </c>
      <c r="U190" s="40">
        <f t="shared" si="77"/>
        <v>4204.6711260347456</v>
      </c>
      <c r="V190" s="41">
        <f t="shared" si="78"/>
        <v>6.4473702793606424E-2</v>
      </c>
      <c r="W190" s="39">
        <f t="shared" si="79"/>
        <v>254.67112603474561</v>
      </c>
      <c r="X190" s="50">
        <f t="shared" si="73"/>
        <v>334.75217113295946</v>
      </c>
      <c r="Y190" s="41">
        <f t="shared" si="80"/>
        <v>0.14922108789055821</v>
      </c>
      <c r="Z190" s="52"/>
      <c r="AA190" s="50">
        <f t="shared" si="86"/>
        <v>4284.7521711329591</v>
      </c>
      <c r="AB190" s="39">
        <f t="shared" si="87"/>
        <v>4562.5306935370809</v>
      </c>
      <c r="AC190" s="39">
        <f t="shared" si="81"/>
        <v>277.77852240412176</v>
      </c>
      <c r="AD190" s="41">
        <f t="shared" si="82"/>
        <v>6.482954236549765E-2</v>
      </c>
      <c r="AF190" s="46">
        <f t="shared" si="64"/>
        <v>0</v>
      </c>
      <c r="AG190" s="46">
        <f t="shared" si="83"/>
        <v>0</v>
      </c>
      <c r="AH190" s="54">
        <f t="shared" si="65"/>
        <v>1113</v>
      </c>
      <c r="AI190" s="55">
        <f t="shared" si="74"/>
        <v>0.8229398663697105</v>
      </c>
      <c r="AJ190" s="55">
        <f t="shared" si="84"/>
        <v>0</v>
      </c>
      <c r="AK190" s="55">
        <f t="shared" si="85"/>
        <v>0</v>
      </c>
    </row>
    <row r="191" spans="2:37" s="53" customFormat="1" ht="17.25" customHeight="1" x14ac:dyDescent="0.25">
      <c r="B191" s="91" t="str">
        <f t="shared" si="66"/>
        <v/>
      </c>
      <c r="C191" s="81">
        <f>IF(Sheet3!A162="","",Sheet3!A162)</f>
        <v>38747</v>
      </c>
      <c r="D191" s="82">
        <f>IF(C191="","",Sheet3!E162)</f>
        <v>26.790001</v>
      </c>
      <c r="E191" s="56">
        <f>_xlfn.XLOOKUP(WEEKNUM(C191)&amp;YEAR(C191),Sheet4!C:C,Sheet4!B:B,0)</f>
        <v>0</v>
      </c>
      <c r="F191" s="46">
        <f>IF(int=Weekly,-$D$5,IF(int=Bi_Weekly,-$D$5,IF(int=Monthly,-$D$5,IF(int=Quarterly,0,IF(int=Yearly,0,IF(int=None,0,0))))))</f>
        <v>-100</v>
      </c>
      <c r="G191" s="46"/>
      <c r="H191" s="46">
        <f t="shared" si="75"/>
        <v>-4050</v>
      </c>
      <c r="I191" s="47"/>
      <c r="J191" s="38">
        <f t="shared" si="62"/>
        <v>3.7327359562248614</v>
      </c>
      <c r="K191" s="48"/>
      <c r="L191" s="48">
        <f t="shared" si="67"/>
        <v>166.13796146568689</v>
      </c>
      <c r="M191" s="48"/>
      <c r="N191" s="38">
        <f t="shared" si="68"/>
        <v>0</v>
      </c>
      <c r="O191" s="36">
        <f t="shared" si="69"/>
        <v>0</v>
      </c>
      <c r="P191" s="84">
        <f t="shared" si="70"/>
        <v>-4384.2834211166828</v>
      </c>
      <c r="Q191" s="38">
        <f t="shared" si="71"/>
        <v>0</v>
      </c>
      <c r="R191" s="48">
        <f t="shared" si="72"/>
        <v>13.822309050778092</v>
      </c>
      <c r="S191" s="38">
        <f t="shared" si="63"/>
        <v>179.96027051646499</v>
      </c>
      <c r="T191" s="50">
        <f t="shared" si="76"/>
        <v>4050</v>
      </c>
      <c r="U191" s="40">
        <f t="shared" si="77"/>
        <v>4450.8361538037134</v>
      </c>
      <c r="V191" s="41">
        <f t="shared" si="78"/>
        <v>9.8971889828077364E-2</v>
      </c>
      <c r="W191" s="39">
        <f t="shared" si="79"/>
        <v>400.83615380371339</v>
      </c>
      <c r="X191" s="50">
        <f t="shared" si="73"/>
        <v>334.75217113295946</v>
      </c>
      <c r="Y191" s="41">
        <f t="shared" si="80"/>
        <v>0.18162674689794378</v>
      </c>
      <c r="Z191" s="52"/>
      <c r="AA191" s="50">
        <f t="shared" si="86"/>
        <v>4384.7521711329591</v>
      </c>
      <c r="AB191" s="39">
        <f t="shared" si="87"/>
        <v>4821.1358270963674</v>
      </c>
      <c r="AC191" s="39">
        <f t="shared" si="81"/>
        <v>436.38365596340827</v>
      </c>
      <c r="AD191" s="41">
        <f t="shared" si="82"/>
        <v>9.9522992162782264E-2</v>
      </c>
      <c r="AF191" s="46">
        <f t="shared" si="64"/>
        <v>-100</v>
      </c>
      <c r="AG191" s="46">
        <f t="shared" si="83"/>
        <v>-100</v>
      </c>
      <c r="AH191" s="54">
        <f t="shared" si="65"/>
        <v>1120</v>
      </c>
      <c r="AI191" s="55">
        <f t="shared" si="74"/>
        <v>0.82182628062360796</v>
      </c>
      <c r="AJ191" s="55">
        <f t="shared" si="84"/>
        <v>-82.182628062360791</v>
      </c>
      <c r="AK191" s="55">
        <f t="shared" si="85"/>
        <v>-82.182628062360791</v>
      </c>
    </row>
    <row r="192" spans="2:37" s="53" customFormat="1" ht="17.25" customHeight="1" x14ac:dyDescent="0.25">
      <c r="B192" s="91" t="str">
        <f t="shared" si="66"/>
        <v/>
      </c>
      <c r="C192" s="81">
        <f>IF(Sheet3!A163="","",Sheet3!A163)</f>
        <v>38754</v>
      </c>
      <c r="D192" s="82">
        <f>IF(C192="","",Sheet3!E163)</f>
        <v>27.48</v>
      </c>
      <c r="E192" s="56">
        <f>_xlfn.XLOOKUP(WEEKNUM(C192)&amp;YEAR(C192),Sheet4!C:C,Sheet4!B:B,0)</f>
        <v>0</v>
      </c>
      <c r="F192" s="46">
        <f>IF(int=Weekly,-$D$5,IF(int=Bi_Weekly,0,IF(int=Monthly,0,IF(int=Quarterly,0,IF(int=Yearly,0,IF(int=None,0,0))))))</f>
        <v>0</v>
      </c>
      <c r="G192" s="46"/>
      <c r="H192" s="46">
        <f t="shared" si="75"/>
        <v>-4050</v>
      </c>
      <c r="I192" s="47"/>
      <c r="J192" s="38">
        <f t="shared" si="62"/>
        <v>0</v>
      </c>
      <c r="K192" s="48"/>
      <c r="L192" s="48">
        <f t="shared" si="67"/>
        <v>166.13796146568689</v>
      </c>
      <c r="M192" s="48"/>
      <c r="N192" s="38">
        <f t="shared" si="68"/>
        <v>0</v>
      </c>
      <c r="O192" s="36">
        <f t="shared" si="69"/>
        <v>0</v>
      </c>
      <c r="P192" s="84">
        <f t="shared" si="70"/>
        <v>-4384.2834211166828</v>
      </c>
      <c r="Q192" s="38">
        <f t="shared" si="71"/>
        <v>0</v>
      </c>
      <c r="R192" s="48">
        <f t="shared" si="72"/>
        <v>13.822309050778092</v>
      </c>
      <c r="S192" s="38">
        <f t="shared" si="63"/>
        <v>179.96027051646499</v>
      </c>
      <c r="T192" s="50">
        <f t="shared" si="76"/>
        <v>4050</v>
      </c>
      <c r="U192" s="40">
        <f t="shared" si="77"/>
        <v>4565.4711810770759</v>
      </c>
      <c r="V192" s="41">
        <f t="shared" si="78"/>
        <v>0.127276834833846</v>
      </c>
      <c r="W192" s="39">
        <f t="shared" si="79"/>
        <v>515.47118107707593</v>
      </c>
      <c r="X192" s="50">
        <f t="shared" si="73"/>
        <v>334.75217113295946</v>
      </c>
      <c r="Y192" s="41">
        <f t="shared" si="80"/>
        <v>0.20993169190371241</v>
      </c>
      <c r="Z192" s="52"/>
      <c r="AA192" s="50">
        <f t="shared" si="86"/>
        <v>4384.7521711329591</v>
      </c>
      <c r="AB192" s="39">
        <f t="shared" si="87"/>
        <v>4945.3082337924579</v>
      </c>
      <c r="AC192" s="39">
        <f t="shared" si="81"/>
        <v>560.55606265949882</v>
      </c>
      <c r="AD192" s="41">
        <f t="shared" si="82"/>
        <v>0.12784213127253174</v>
      </c>
      <c r="AF192" s="46">
        <f t="shared" si="64"/>
        <v>0</v>
      </c>
      <c r="AG192" s="46">
        <f t="shared" si="83"/>
        <v>0</v>
      </c>
      <c r="AH192" s="54">
        <f t="shared" si="65"/>
        <v>1127</v>
      </c>
      <c r="AI192" s="55">
        <f t="shared" si="74"/>
        <v>0.82071269487750553</v>
      </c>
      <c r="AJ192" s="55">
        <f t="shared" si="84"/>
        <v>0</v>
      </c>
      <c r="AK192" s="55">
        <f t="shared" si="85"/>
        <v>0</v>
      </c>
    </row>
    <row r="193" spans="2:37" s="53" customFormat="1" ht="17.25" customHeight="1" x14ac:dyDescent="0.25">
      <c r="B193" s="91" t="str">
        <f t="shared" si="66"/>
        <v/>
      </c>
      <c r="C193" s="81">
        <f>IF(Sheet3!A164="","",Sheet3!A164)</f>
        <v>38761</v>
      </c>
      <c r="D193" s="82">
        <f>IF(C193="","",Sheet3!E164)</f>
        <v>28.280000999999999</v>
      </c>
      <c r="E193" s="56">
        <f>_xlfn.XLOOKUP(WEEKNUM(C193)&amp;YEAR(C193),Sheet4!C:C,Sheet4!B:B,0)</f>
        <v>0</v>
      </c>
      <c r="F193" s="46">
        <f>IF(int=Weekly,-$D$5,IF(int=Bi_Weekly,-$D$5,IF(int=Monthly,0,IF(int=Quarterly,0,IF(int=Yearly,0,IF(int=None,0,0))))))</f>
        <v>0</v>
      </c>
      <c r="G193" s="46"/>
      <c r="H193" s="46">
        <f t="shared" si="75"/>
        <v>-4050</v>
      </c>
      <c r="I193" s="47"/>
      <c r="J193" s="38">
        <f t="shared" si="62"/>
        <v>0</v>
      </c>
      <c r="K193" s="48"/>
      <c r="L193" s="48">
        <f t="shared" si="67"/>
        <v>166.13796146568689</v>
      </c>
      <c r="M193" s="48"/>
      <c r="N193" s="38">
        <f t="shared" si="68"/>
        <v>0</v>
      </c>
      <c r="O193" s="36">
        <f t="shared" si="69"/>
        <v>0</v>
      </c>
      <c r="P193" s="84">
        <f t="shared" si="70"/>
        <v>-4384.2834211166828</v>
      </c>
      <c r="Q193" s="38">
        <f t="shared" si="71"/>
        <v>0</v>
      </c>
      <c r="R193" s="48">
        <f t="shared" si="72"/>
        <v>13.822309050778092</v>
      </c>
      <c r="S193" s="38">
        <f t="shared" si="63"/>
        <v>179.96027051646499</v>
      </c>
      <c r="T193" s="50">
        <f t="shared" si="76"/>
        <v>4050</v>
      </c>
      <c r="U193" s="40">
        <f t="shared" si="77"/>
        <v>4698.3817163875865</v>
      </c>
      <c r="V193" s="41">
        <f t="shared" si="78"/>
        <v>0.16009425095989793</v>
      </c>
      <c r="W193" s="39">
        <f t="shared" si="79"/>
        <v>648.38171638758649</v>
      </c>
      <c r="X193" s="50">
        <f t="shared" si="73"/>
        <v>334.75217113295946</v>
      </c>
      <c r="Y193" s="41">
        <f t="shared" si="80"/>
        <v>0.24274910802976435</v>
      </c>
      <c r="Z193" s="52"/>
      <c r="AA193" s="50">
        <f t="shared" si="86"/>
        <v>4384.7521711329591</v>
      </c>
      <c r="AB193" s="39">
        <f t="shared" si="87"/>
        <v>5089.2766301659003</v>
      </c>
      <c r="AC193" s="39">
        <f t="shared" si="81"/>
        <v>704.52445903294119</v>
      </c>
      <c r="AD193" s="41">
        <f t="shared" si="82"/>
        <v>0.16067600437515761</v>
      </c>
      <c r="AF193" s="46">
        <f t="shared" si="64"/>
        <v>0</v>
      </c>
      <c r="AG193" s="46">
        <f t="shared" si="83"/>
        <v>0</v>
      </c>
      <c r="AH193" s="54">
        <f t="shared" si="65"/>
        <v>1134</v>
      </c>
      <c r="AI193" s="55">
        <f t="shared" si="74"/>
        <v>0.8195991091314031</v>
      </c>
      <c r="AJ193" s="55">
        <f t="shared" si="84"/>
        <v>0</v>
      </c>
      <c r="AK193" s="55">
        <f t="shared" si="85"/>
        <v>0</v>
      </c>
    </row>
    <row r="194" spans="2:37" s="53" customFormat="1" ht="17.25" customHeight="1" x14ac:dyDescent="0.25">
      <c r="B194" s="91" t="str">
        <f t="shared" si="66"/>
        <v/>
      </c>
      <c r="C194" s="81">
        <f>IF(Sheet3!A165="","",Sheet3!A165)</f>
        <v>38768</v>
      </c>
      <c r="D194" s="82">
        <f>IF(C194="","",Sheet3!E165)</f>
        <v>27.57</v>
      </c>
      <c r="E194" s="56">
        <f>_xlfn.XLOOKUP(WEEKNUM(C194)&amp;YEAR(C194),Sheet4!C:C,Sheet4!B:B,0)</f>
        <v>0</v>
      </c>
      <c r="F194" s="46">
        <f>IF(int=Weekly,-$D$5,IF(int=Bi_Weekly,0,IF(int=Monthly,0,IF(int=Quarterly,0,IF(int=Yearly,0,IF(int=None,0,0))))))</f>
        <v>0</v>
      </c>
      <c r="G194" s="46"/>
      <c r="H194" s="46">
        <f t="shared" si="75"/>
        <v>-4050</v>
      </c>
      <c r="I194" s="47"/>
      <c r="J194" s="38">
        <f t="shared" si="62"/>
        <v>0</v>
      </c>
      <c r="K194" s="48"/>
      <c r="L194" s="48">
        <f t="shared" si="67"/>
        <v>166.13796146568689</v>
      </c>
      <c r="M194" s="48"/>
      <c r="N194" s="38">
        <f t="shared" si="68"/>
        <v>0</v>
      </c>
      <c r="O194" s="36">
        <f t="shared" si="69"/>
        <v>0</v>
      </c>
      <c r="P194" s="84">
        <f t="shared" si="70"/>
        <v>-4384.2834211166828</v>
      </c>
      <c r="Q194" s="38">
        <f t="shared" si="71"/>
        <v>0</v>
      </c>
      <c r="R194" s="48">
        <f t="shared" si="72"/>
        <v>13.822309050778092</v>
      </c>
      <c r="S194" s="38">
        <f t="shared" si="63"/>
        <v>179.96027051646499</v>
      </c>
      <c r="T194" s="50">
        <f t="shared" si="76"/>
        <v>4050</v>
      </c>
      <c r="U194" s="40">
        <f t="shared" si="77"/>
        <v>4580.4235976089876</v>
      </c>
      <c r="V194" s="41">
        <f t="shared" si="78"/>
        <v>0.13096878953308333</v>
      </c>
      <c r="W194" s="39">
        <f t="shared" si="79"/>
        <v>530.42359760898762</v>
      </c>
      <c r="X194" s="50">
        <f t="shared" si="73"/>
        <v>334.75217113295946</v>
      </c>
      <c r="Y194" s="41">
        <f t="shared" si="80"/>
        <v>0.21362364660294975</v>
      </c>
      <c r="Z194" s="52"/>
      <c r="AA194" s="50">
        <f t="shared" si="86"/>
        <v>4384.7521711329591</v>
      </c>
      <c r="AB194" s="39">
        <f t="shared" si="87"/>
        <v>4961.5046581389397</v>
      </c>
      <c r="AC194" s="39">
        <f t="shared" si="81"/>
        <v>576.75248700598058</v>
      </c>
      <c r="AD194" s="41">
        <f t="shared" si="82"/>
        <v>0.13153593737931968</v>
      </c>
      <c r="AF194" s="46">
        <f t="shared" si="64"/>
        <v>0</v>
      </c>
      <c r="AG194" s="46">
        <f t="shared" si="83"/>
        <v>0</v>
      </c>
      <c r="AH194" s="54">
        <f t="shared" si="65"/>
        <v>1141</v>
      </c>
      <c r="AI194" s="55">
        <f t="shared" si="74"/>
        <v>0.81848552338530067</v>
      </c>
      <c r="AJ194" s="55">
        <f t="shared" si="84"/>
        <v>0</v>
      </c>
      <c r="AK194" s="55">
        <f t="shared" si="85"/>
        <v>0</v>
      </c>
    </row>
    <row r="195" spans="2:37" s="53" customFormat="1" ht="17.25" customHeight="1" x14ac:dyDescent="0.25">
      <c r="B195" s="91" t="str">
        <f t="shared" si="66"/>
        <v/>
      </c>
      <c r="C195" s="81">
        <f>IF(Sheet3!A166="","",Sheet3!A166)</f>
        <v>38775</v>
      </c>
      <c r="D195" s="82">
        <f>IF(C195="","",Sheet3!E166)</f>
        <v>27.99</v>
      </c>
      <c r="E195" s="56">
        <f>_xlfn.XLOOKUP(WEEKNUM(C195)&amp;YEAR(C195),Sheet4!C:C,Sheet4!B:B,0)</f>
        <v>0</v>
      </c>
      <c r="F195" s="46">
        <f>IF(int=Weekly,-$D$5,IF(int=Bi_Weekly,-$D$5,IF(int=Monthly,-$D$5,IF(int=Quarterly,0,IF(int=Yearly,0,IF(int=None,0,0))))))</f>
        <v>-100</v>
      </c>
      <c r="G195" s="46"/>
      <c r="H195" s="46">
        <f t="shared" si="75"/>
        <v>-4150</v>
      </c>
      <c r="I195" s="47"/>
      <c r="J195" s="38">
        <f t="shared" si="62"/>
        <v>3.5727045373347628</v>
      </c>
      <c r="K195" s="48"/>
      <c r="L195" s="48">
        <f t="shared" si="67"/>
        <v>169.71066600302166</v>
      </c>
      <c r="M195" s="48"/>
      <c r="N195" s="38">
        <f t="shared" si="68"/>
        <v>0</v>
      </c>
      <c r="O195" s="36">
        <f t="shared" si="69"/>
        <v>0</v>
      </c>
      <c r="P195" s="84">
        <f t="shared" si="70"/>
        <v>-4484.2834211166828</v>
      </c>
      <c r="Q195" s="38">
        <f t="shared" si="71"/>
        <v>0</v>
      </c>
      <c r="R195" s="48">
        <f t="shared" si="72"/>
        <v>13.822309050778092</v>
      </c>
      <c r="S195" s="38">
        <f t="shared" si="63"/>
        <v>183.53297505379976</v>
      </c>
      <c r="T195" s="50">
        <f t="shared" si="76"/>
        <v>4150</v>
      </c>
      <c r="U195" s="40">
        <f t="shared" si="77"/>
        <v>4750.2015414245761</v>
      </c>
      <c r="V195" s="41">
        <f t="shared" si="78"/>
        <v>0.14462687745170499</v>
      </c>
      <c r="W195" s="39">
        <f t="shared" si="79"/>
        <v>600.20154142457613</v>
      </c>
      <c r="X195" s="50">
        <f t="shared" si="73"/>
        <v>334.75217113295946</v>
      </c>
      <c r="Y195" s="41">
        <f t="shared" si="80"/>
        <v>0.22529005121868328</v>
      </c>
      <c r="Z195" s="52"/>
      <c r="AA195" s="50">
        <f t="shared" si="86"/>
        <v>4484.7521711329591</v>
      </c>
      <c r="AB195" s="39">
        <f t="shared" si="87"/>
        <v>5137.0879717558546</v>
      </c>
      <c r="AC195" s="39">
        <f t="shared" si="81"/>
        <v>652.33580062289548</v>
      </c>
      <c r="AD195" s="41">
        <f t="shared" si="82"/>
        <v>0.14545637656898647</v>
      </c>
      <c r="AF195" s="46">
        <f t="shared" si="64"/>
        <v>-100</v>
      </c>
      <c r="AG195" s="46">
        <f t="shared" si="83"/>
        <v>-100</v>
      </c>
      <c r="AH195" s="54">
        <f t="shared" si="65"/>
        <v>1148</v>
      </c>
      <c r="AI195" s="55">
        <f t="shared" si="74"/>
        <v>0.81737193763919824</v>
      </c>
      <c r="AJ195" s="55">
        <f t="shared" si="84"/>
        <v>-81.737193763919819</v>
      </c>
      <c r="AK195" s="55">
        <f t="shared" si="85"/>
        <v>-81.737193763919819</v>
      </c>
    </row>
    <row r="196" spans="2:37" s="53" customFormat="1" ht="17.25" customHeight="1" x14ac:dyDescent="0.25">
      <c r="B196" s="91" t="str">
        <f t="shared" si="66"/>
        <v/>
      </c>
      <c r="C196" s="81">
        <f>IF(Sheet3!A167="","",Sheet3!A167)</f>
        <v>38782</v>
      </c>
      <c r="D196" s="82">
        <f>IF(C196="","",Sheet3!E167)</f>
        <v>27.23</v>
      </c>
      <c r="E196" s="56">
        <f>_xlfn.XLOOKUP(WEEKNUM(C196)&amp;YEAR(C196),Sheet4!C:C,Sheet4!B:B,0)</f>
        <v>0</v>
      </c>
      <c r="F196" s="46">
        <f>IF(int=Weekly,-$D$5,IF(int=Bi_Weekly,0,IF(int=Monthly,0,IF(int=Quarterly,0,IF(int=Yearly,0,IF(int=None,0,0))))))</f>
        <v>0</v>
      </c>
      <c r="G196" s="46"/>
      <c r="H196" s="46">
        <f t="shared" si="75"/>
        <v>-4150</v>
      </c>
      <c r="I196" s="47"/>
      <c r="J196" s="38">
        <f t="shared" si="62"/>
        <v>0</v>
      </c>
      <c r="K196" s="48"/>
      <c r="L196" s="48">
        <f t="shared" si="67"/>
        <v>169.71066600302166</v>
      </c>
      <c r="M196" s="48"/>
      <c r="N196" s="38">
        <f t="shared" si="68"/>
        <v>0</v>
      </c>
      <c r="O196" s="36">
        <f t="shared" si="69"/>
        <v>0</v>
      </c>
      <c r="P196" s="84">
        <f t="shared" si="70"/>
        <v>-4484.2834211166828</v>
      </c>
      <c r="Q196" s="38">
        <f t="shared" si="71"/>
        <v>0</v>
      </c>
      <c r="R196" s="48">
        <f t="shared" si="72"/>
        <v>13.822309050778092</v>
      </c>
      <c r="S196" s="38">
        <f t="shared" si="63"/>
        <v>183.53297505379976</v>
      </c>
      <c r="T196" s="50">
        <f t="shared" si="76"/>
        <v>4150</v>
      </c>
      <c r="U196" s="40">
        <f t="shared" si="77"/>
        <v>4621.2214352622796</v>
      </c>
      <c r="V196" s="41">
        <f t="shared" si="78"/>
        <v>0.11354733379813964</v>
      </c>
      <c r="W196" s="39">
        <f t="shared" si="79"/>
        <v>471.22143526227956</v>
      </c>
      <c r="X196" s="50">
        <f t="shared" si="73"/>
        <v>334.75217113295946</v>
      </c>
      <c r="Y196" s="41">
        <f t="shared" si="80"/>
        <v>0.19421050756511771</v>
      </c>
      <c r="Z196" s="52"/>
      <c r="AA196" s="50">
        <f t="shared" si="86"/>
        <v>4484.7521711329591</v>
      </c>
      <c r="AB196" s="39">
        <f t="shared" si="87"/>
        <v>4997.602910714967</v>
      </c>
      <c r="AC196" s="39">
        <f t="shared" si="81"/>
        <v>512.85073958200792</v>
      </c>
      <c r="AD196" s="41">
        <f t="shared" si="82"/>
        <v>0.11435430989544493</v>
      </c>
      <c r="AF196" s="46">
        <f t="shared" si="64"/>
        <v>0</v>
      </c>
      <c r="AG196" s="46">
        <f t="shared" si="83"/>
        <v>0</v>
      </c>
      <c r="AH196" s="54">
        <f t="shared" si="65"/>
        <v>1155</v>
      </c>
      <c r="AI196" s="55">
        <f t="shared" si="74"/>
        <v>0.81625835189309581</v>
      </c>
      <c r="AJ196" s="55">
        <f t="shared" si="84"/>
        <v>0</v>
      </c>
      <c r="AK196" s="55">
        <f t="shared" si="85"/>
        <v>0</v>
      </c>
    </row>
    <row r="197" spans="2:37" s="53" customFormat="1" ht="17.25" customHeight="1" x14ac:dyDescent="0.25">
      <c r="B197" s="91" t="str">
        <f t="shared" si="66"/>
        <v/>
      </c>
      <c r="C197" s="81">
        <f>IF(Sheet3!A168="","",Sheet3!A168)</f>
        <v>38789</v>
      </c>
      <c r="D197" s="82">
        <f>IF(C197="","",Sheet3!E168)</f>
        <v>27</v>
      </c>
      <c r="E197" s="56">
        <f>_xlfn.XLOOKUP(WEEKNUM(C197)&amp;YEAR(C197),Sheet4!C:C,Sheet4!B:B,0)</f>
        <v>0</v>
      </c>
      <c r="F197" s="46">
        <f>IF(int=Weekly,-$D$5,IF(int=Bi_Weekly,-$D$5,IF(int=Monthly,0,IF(int=Quarterly,0,IF(int=Yearly,0,IF(int=None,0,0))))))</f>
        <v>0</v>
      </c>
      <c r="G197" s="46"/>
      <c r="H197" s="46">
        <f t="shared" si="75"/>
        <v>-4150</v>
      </c>
      <c r="I197" s="47"/>
      <c r="J197" s="38">
        <f t="shared" si="62"/>
        <v>0</v>
      </c>
      <c r="K197" s="48"/>
      <c r="L197" s="48">
        <f t="shared" si="67"/>
        <v>169.71066600302166</v>
      </c>
      <c r="M197" s="48"/>
      <c r="N197" s="38">
        <f t="shared" si="68"/>
        <v>0</v>
      </c>
      <c r="O197" s="36">
        <f t="shared" si="69"/>
        <v>0</v>
      </c>
      <c r="P197" s="84">
        <f t="shared" si="70"/>
        <v>-4484.2834211166828</v>
      </c>
      <c r="Q197" s="38">
        <f t="shared" si="71"/>
        <v>0</v>
      </c>
      <c r="R197" s="48">
        <f t="shared" si="72"/>
        <v>13.822309050778092</v>
      </c>
      <c r="S197" s="38">
        <f t="shared" si="63"/>
        <v>183.53297505379976</v>
      </c>
      <c r="T197" s="50">
        <f t="shared" si="76"/>
        <v>4150</v>
      </c>
      <c r="U197" s="40">
        <f t="shared" si="77"/>
        <v>4582.1879820815848</v>
      </c>
      <c r="V197" s="41">
        <f t="shared" si="78"/>
        <v>0.10414168242929756</v>
      </c>
      <c r="W197" s="39">
        <f t="shared" si="79"/>
        <v>432.18798208158478</v>
      </c>
      <c r="X197" s="50">
        <f t="shared" si="73"/>
        <v>334.75217113295946</v>
      </c>
      <c r="Y197" s="41">
        <f t="shared" si="80"/>
        <v>0.18480485619627562</v>
      </c>
      <c r="Z197" s="52"/>
      <c r="AA197" s="50">
        <f t="shared" si="86"/>
        <v>4484.7521711329591</v>
      </c>
      <c r="AB197" s="39">
        <f t="shared" si="87"/>
        <v>4955.3903264525934</v>
      </c>
      <c r="AC197" s="39">
        <f t="shared" si="81"/>
        <v>470.63815531963428</v>
      </c>
      <c r="AD197" s="41">
        <f t="shared" si="82"/>
        <v>0.10494184234950477</v>
      </c>
      <c r="AF197" s="46">
        <f t="shared" si="64"/>
        <v>0</v>
      </c>
      <c r="AG197" s="46">
        <f t="shared" si="83"/>
        <v>0</v>
      </c>
      <c r="AH197" s="54">
        <f t="shared" si="65"/>
        <v>1162</v>
      </c>
      <c r="AI197" s="55">
        <f t="shared" si="74"/>
        <v>0.81514476614699327</v>
      </c>
      <c r="AJ197" s="55">
        <f t="shared" si="84"/>
        <v>0</v>
      </c>
      <c r="AK197" s="55">
        <f t="shared" si="85"/>
        <v>0</v>
      </c>
    </row>
    <row r="198" spans="2:37" s="53" customFormat="1" ht="17.25" customHeight="1" x14ac:dyDescent="0.25">
      <c r="B198" s="91" t="str">
        <f t="shared" si="66"/>
        <v/>
      </c>
      <c r="C198" s="81">
        <f>IF(Sheet3!A169="","",Sheet3!A169)</f>
        <v>38796</v>
      </c>
      <c r="D198" s="82">
        <f>IF(C198="","",Sheet3!E169)</f>
        <v>27.370000999999998</v>
      </c>
      <c r="E198" s="56">
        <f>_xlfn.XLOOKUP(WEEKNUM(C198)&amp;YEAR(C198),Sheet4!C:C,Sheet4!B:B,0)</f>
        <v>0</v>
      </c>
      <c r="F198" s="46">
        <f>IF(int=Weekly,-$D$5,IF(int=Bi_Weekly,0,IF(int=Monthly,0,IF(int=Quarterly,0,IF(int=Yearly,0,IF(int=None,0,0))))))</f>
        <v>0</v>
      </c>
      <c r="G198" s="46"/>
      <c r="H198" s="46">
        <f t="shared" si="75"/>
        <v>-4150</v>
      </c>
      <c r="I198" s="47"/>
      <c r="J198" s="38">
        <f t="shared" si="62"/>
        <v>0</v>
      </c>
      <c r="K198" s="48"/>
      <c r="L198" s="48">
        <f t="shared" si="67"/>
        <v>169.71066600302166</v>
      </c>
      <c r="M198" s="48"/>
      <c r="N198" s="38">
        <f t="shared" si="68"/>
        <v>0</v>
      </c>
      <c r="O198" s="36">
        <f t="shared" si="69"/>
        <v>0</v>
      </c>
      <c r="P198" s="84">
        <f t="shared" si="70"/>
        <v>-4484.2834211166828</v>
      </c>
      <c r="Q198" s="38">
        <f t="shared" si="71"/>
        <v>0</v>
      </c>
      <c r="R198" s="48">
        <f t="shared" si="72"/>
        <v>13.822309050778092</v>
      </c>
      <c r="S198" s="38">
        <f t="shared" si="63"/>
        <v>183.53297505379976</v>
      </c>
      <c r="T198" s="50">
        <f t="shared" si="76"/>
        <v>4150</v>
      </c>
      <c r="U198" s="40">
        <f t="shared" si="77"/>
        <v>4644.9810982133686</v>
      </c>
      <c r="V198" s="41">
        <f t="shared" si="78"/>
        <v>0.11927255378635393</v>
      </c>
      <c r="W198" s="39">
        <f t="shared" si="79"/>
        <v>494.98109821336857</v>
      </c>
      <c r="X198" s="50">
        <f t="shared" si="73"/>
        <v>334.75217113295946</v>
      </c>
      <c r="Y198" s="41">
        <f t="shared" si="80"/>
        <v>0.199935727553332</v>
      </c>
      <c r="Z198" s="52"/>
      <c r="AA198" s="50">
        <f t="shared" si="86"/>
        <v>4484.7521711329591</v>
      </c>
      <c r="AB198" s="39">
        <f t="shared" si="87"/>
        <v>5023.2977107554743</v>
      </c>
      <c r="AC198" s="39">
        <f t="shared" si="81"/>
        <v>538.54553962251521</v>
      </c>
      <c r="AD198" s="41">
        <f t="shared" si="82"/>
        <v>0.12008367889065874</v>
      </c>
      <c r="AF198" s="46">
        <f t="shared" si="64"/>
        <v>0</v>
      </c>
      <c r="AG198" s="46">
        <f t="shared" si="83"/>
        <v>0</v>
      </c>
      <c r="AH198" s="54">
        <f t="shared" si="65"/>
        <v>1169</v>
      </c>
      <c r="AI198" s="55">
        <f t="shared" si="74"/>
        <v>0.81403118040089084</v>
      </c>
      <c r="AJ198" s="55">
        <f t="shared" si="84"/>
        <v>0</v>
      </c>
      <c r="AK198" s="55">
        <f t="shared" si="85"/>
        <v>0</v>
      </c>
    </row>
    <row r="199" spans="2:37" s="53" customFormat="1" ht="17.25" customHeight="1" x14ac:dyDescent="0.25">
      <c r="B199" s="91" t="str">
        <f t="shared" si="66"/>
        <v/>
      </c>
      <c r="C199" s="81">
        <f>IF(Sheet3!A170="","",Sheet3!A170)</f>
        <v>38803</v>
      </c>
      <c r="D199" s="82">
        <f>IF(C199="","",Sheet3!E170)</f>
        <v>27.040001</v>
      </c>
      <c r="E199" s="56">
        <f>_xlfn.XLOOKUP(WEEKNUM(C199)&amp;YEAR(C199),Sheet4!C:C,Sheet4!B:B,0)</f>
        <v>0</v>
      </c>
      <c r="F199" s="46">
        <f>IF(int=Weekly,-$D$5,IF(int=Bi_Weekly,-$D$5,IF(int=Monthly,-$D$5,IF(int=Quarterly,0,IF(int=Yearly,0,IF(int=None,0,0))))))</f>
        <v>-100</v>
      </c>
      <c r="G199" s="46"/>
      <c r="H199" s="46">
        <f t="shared" si="75"/>
        <v>-4250</v>
      </c>
      <c r="I199" s="47"/>
      <c r="J199" s="38">
        <f t="shared" si="62"/>
        <v>3.6982247153023402</v>
      </c>
      <c r="K199" s="48"/>
      <c r="L199" s="48">
        <f t="shared" si="67"/>
        <v>173.40889071832399</v>
      </c>
      <c r="M199" s="48"/>
      <c r="N199" s="38">
        <f t="shared" si="68"/>
        <v>0</v>
      </c>
      <c r="O199" s="36">
        <f t="shared" si="69"/>
        <v>0</v>
      </c>
      <c r="P199" s="84">
        <f t="shared" si="70"/>
        <v>-4584.2834211166828</v>
      </c>
      <c r="Q199" s="38">
        <f t="shared" si="71"/>
        <v>0</v>
      </c>
      <c r="R199" s="48">
        <f t="shared" si="72"/>
        <v>13.822309050778092</v>
      </c>
      <c r="S199" s="38">
        <f t="shared" si="63"/>
        <v>187.23119976910209</v>
      </c>
      <c r="T199" s="50">
        <f t="shared" si="76"/>
        <v>4250</v>
      </c>
      <c r="U199" s="40">
        <f t="shared" si="77"/>
        <v>4688.9765784323718</v>
      </c>
      <c r="V199" s="41">
        <f t="shared" si="78"/>
        <v>0.10328860668996986</v>
      </c>
      <c r="W199" s="39">
        <f t="shared" si="79"/>
        <v>438.97657843237175</v>
      </c>
      <c r="X199" s="50">
        <f t="shared" si="73"/>
        <v>334.75217113295946</v>
      </c>
      <c r="Y199" s="41">
        <f t="shared" si="80"/>
        <v>0.18205382342713672</v>
      </c>
      <c r="Z199" s="52"/>
      <c r="AA199" s="50">
        <f t="shared" si="86"/>
        <v>4584.7521711329591</v>
      </c>
      <c r="AB199" s="39">
        <f t="shared" si="87"/>
        <v>5062.7318289877203</v>
      </c>
      <c r="AC199" s="39">
        <f t="shared" si="81"/>
        <v>477.97965785476117</v>
      </c>
      <c r="AD199" s="41">
        <f t="shared" si="82"/>
        <v>0.1042541973946316</v>
      </c>
      <c r="AF199" s="46">
        <f t="shared" si="64"/>
        <v>-100</v>
      </c>
      <c r="AG199" s="46">
        <f t="shared" si="83"/>
        <v>-100</v>
      </c>
      <c r="AH199" s="54">
        <f t="shared" si="65"/>
        <v>1176</v>
      </c>
      <c r="AI199" s="55">
        <f t="shared" si="74"/>
        <v>0.81291759465478841</v>
      </c>
      <c r="AJ199" s="55">
        <f t="shared" si="84"/>
        <v>-81.291759465478847</v>
      </c>
      <c r="AK199" s="55">
        <f t="shared" si="85"/>
        <v>-81.291759465478847</v>
      </c>
    </row>
    <row r="200" spans="2:37" s="53" customFormat="1" ht="17.25" customHeight="1" x14ac:dyDescent="0.25">
      <c r="B200" s="91" t="str">
        <f t="shared" si="66"/>
        <v/>
      </c>
      <c r="C200" s="81">
        <f>IF(Sheet3!A171="","",Sheet3!A171)</f>
        <v>38810</v>
      </c>
      <c r="D200" s="82">
        <f>IF(C200="","",Sheet3!E171)</f>
        <v>26.16</v>
      </c>
      <c r="E200" s="56">
        <f>_xlfn.XLOOKUP(WEEKNUM(C200)&amp;YEAR(C200),Sheet4!C:C,Sheet4!B:B,0)</f>
        <v>0.33250000000000002</v>
      </c>
      <c r="F200" s="46">
        <f>IF(int=Weekly,-$D$5,IF(int=Bi_Weekly,0,IF(int=Monthly,0,IF(int=Quarterly,-$D$5,IF(int=Yearly,0,IF(int=None,0,0))))))</f>
        <v>0</v>
      </c>
      <c r="G200" s="46"/>
      <c r="H200" s="46">
        <f t="shared" si="75"/>
        <v>-4250</v>
      </c>
      <c r="I200" s="47"/>
      <c r="J200" s="38">
        <f t="shared" si="62"/>
        <v>0</v>
      </c>
      <c r="K200" s="48"/>
      <c r="L200" s="48">
        <f t="shared" si="67"/>
        <v>173.40889071832399</v>
      </c>
      <c r="M200" s="48"/>
      <c r="N200" s="38">
        <f t="shared" si="68"/>
        <v>57.658456163842729</v>
      </c>
      <c r="O200" s="36">
        <f t="shared" si="69"/>
        <v>-57.658456163842729</v>
      </c>
      <c r="P200" s="84">
        <f t="shared" si="70"/>
        <v>-4641.9418772805257</v>
      </c>
      <c r="Q200" s="38">
        <f t="shared" si="71"/>
        <v>2.2040694252233459</v>
      </c>
      <c r="R200" s="48">
        <f t="shared" si="72"/>
        <v>16.026378476001437</v>
      </c>
      <c r="S200" s="38">
        <f t="shared" si="63"/>
        <v>189.43526919432543</v>
      </c>
      <c r="T200" s="50">
        <f t="shared" si="76"/>
        <v>4250</v>
      </c>
      <c r="U200" s="40">
        <f t="shared" si="77"/>
        <v>4536.3765811913554</v>
      </c>
      <c r="V200" s="41">
        <f t="shared" si="78"/>
        <v>6.7382724986201348E-2</v>
      </c>
      <c r="W200" s="39">
        <f t="shared" si="79"/>
        <v>286.3765811913554</v>
      </c>
      <c r="X200" s="50">
        <f t="shared" si="73"/>
        <v>392.4106272968022</v>
      </c>
      <c r="Y200" s="41">
        <f t="shared" si="80"/>
        <v>0.15971463729133117</v>
      </c>
      <c r="Z200" s="52"/>
      <c r="AA200" s="50">
        <f t="shared" si="86"/>
        <v>4642.410627296802</v>
      </c>
      <c r="AB200" s="39">
        <f t="shared" si="87"/>
        <v>4955.6266421235532</v>
      </c>
      <c r="AC200" s="39">
        <f t="shared" si="81"/>
        <v>313.21601482675123</v>
      </c>
      <c r="AD200" s="41">
        <f t="shared" si="82"/>
        <v>6.7468399495960174E-2</v>
      </c>
      <c r="AF200" s="46">
        <f t="shared" si="64"/>
        <v>57.658456163842729</v>
      </c>
      <c r="AG200" s="46">
        <f t="shared" si="83"/>
        <v>0</v>
      </c>
      <c r="AH200" s="54">
        <f t="shared" si="65"/>
        <v>1183</v>
      </c>
      <c r="AI200" s="55">
        <f t="shared" si="74"/>
        <v>0.81180400890868598</v>
      </c>
      <c r="AJ200" s="55">
        <f t="shared" si="84"/>
        <v>46.807365861293263</v>
      </c>
      <c r="AK200" s="55">
        <f t="shared" si="85"/>
        <v>0</v>
      </c>
    </row>
    <row r="201" spans="2:37" s="53" customFormat="1" ht="17.25" customHeight="1" x14ac:dyDescent="0.25">
      <c r="B201" s="91" t="str">
        <f t="shared" si="66"/>
        <v/>
      </c>
      <c r="C201" s="81">
        <f>IF(Sheet3!A172="","",Sheet3!A172)</f>
        <v>38817</v>
      </c>
      <c r="D201" s="82">
        <f>IF(C201="","",Sheet3!E172)</f>
        <v>25.58</v>
      </c>
      <c r="E201" s="56">
        <f>_xlfn.XLOOKUP(WEEKNUM(C201)&amp;YEAR(C201),Sheet4!C:C,Sheet4!B:B,0)</f>
        <v>0</v>
      </c>
      <c r="F201" s="46">
        <f>IF(int=Weekly,-$D$5,IF(int=Bi_Weekly,-$D$5,IF(int=Monthly,0,IF(int=Quarterly,0,IF(int=Yearly,0,IF(int=None,0,0))))))</f>
        <v>0</v>
      </c>
      <c r="G201" s="46"/>
      <c r="H201" s="46">
        <f t="shared" si="75"/>
        <v>-4250</v>
      </c>
      <c r="I201" s="47"/>
      <c r="J201" s="38">
        <f t="shared" si="62"/>
        <v>0</v>
      </c>
      <c r="K201" s="48"/>
      <c r="L201" s="48">
        <f t="shared" si="67"/>
        <v>173.40889071832399</v>
      </c>
      <c r="M201" s="48"/>
      <c r="N201" s="38">
        <f t="shared" si="68"/>
        <v>0</v>
      </c>
      <c r="O201" s="36">
        <f t="shared" si="69"/>
        <v>0</v>
      </c>
      <c r="P201" s="84">
        <f t="shared" si="70"/>
        <v>-4641.9418772805257</v>
      </c>
      <c r="Q201" s="38">
        <f t="shared" si="71"/>
        <v>0</v>
      </c>
      <c r="R201" s="48">
        <f t="shared" si="72"/>
        <v>16.026378476001437</v>
      </c>
      <c r="S201" s="38">
        <f t="shared" si="63"/>
        <v>189.43526919432543</v>
      </c>
      <c r="T201" s="50">
        <f t="shared" si="76"/>
        <v>4250</v>
      </c>
      <c r="U201" s="40">
        <f t="shared" si="77"/>
        <v>4435.7994245747277</v>
      </c>
      <c r="V201" s="41">
        <f t="shared" si="78"/>
        <v>4.3717511664641773E-2</v>
      </c>
      <c r="W201" s="39">
        <f t="shared" si="79"/>
        <v>185.79942457472771</v>
      </c>
      <c r="X201" s="50">
        <f t="shared" si="73"/>
        <v>392.4106272968022</v>
      </c>
      <c r="Y201" s="41">
        <f t="shared" si="80"/>
        <v>0.1360494239697716</v>
      </c>
      <c r="Z201" s="52"/>
      <c r="AA201" s="50">
        <f t="shared" si="86"/>
        <v>4642.410627296802</v>
      </c>
      <c r="AB201" s="39">
        <f t="shared" si="87"/>
        <v>4845.7541859908442</v>
      </c>
      <c r="AC201" s="39">
        <f t="shared" si="81"/>
        <v>203.34355869404226</v>
      </c>
      <c r="AD201" s="41">
        <f t="shared" si="82"/>
        <v>4.3801286663098571E-2</v>
      </c>
      <c r="AF201" s="46">
        <f t="shared" si="64"/>
        <v>0</v>
      </c>
      <c r="AG201" s="46">
        <f t="shared" si="83"/>
        <v>0</v>
      </c>
      <c r="AH201" s="54">
        <f t="shared" si="65"/>
        <v>1190</v>
      </c>
      <c r="AI201" s="55">
        <f t="shared" si="74"/>
        <v>0.81069042316258355</v>
      </c>
      <c r="AJ201" s="55">
        <f t="shared" si="84"/>
        <v>0</v>
      </c>
      <c r="AK201" s="55">
        <f t="shared" si="85"/>
        <v>0</v>
      </c>
    </row>
    <row r="202" spans="2:37" s="53" customFormat="1" ht="17.25" customHeight="1" x14ac:dyDescent="0.25">
      <c r="B202" s="91" t="str">
        <f t="shared" si="66"/>
        <v/>
      </c>
      <c r="C202" s="81">
        <f>IF(Sheet3!A173="","",Sheet3!A173)</f>
        <v>38824</v>
      </c>
      <c r="D202" s="82">
        <f>IF(C202="","",Sheet3!E173)</f>
        <v>25.35</v>
      </c>
      <c r="E202" s="56">
        <f>_xlfn.XLOOKUP(WEEKNUM(C202)&amp;YEAR(C202),Sheet4!C:C,Sheet4!B:B,0)</f>
        <v>0</v>
      </c>
      <c r="F202" s="46">
        <f>IF(int=Weekly,-$D$5,IF(int=Bi_Weekly,0,IF(int=Monthly,0,IF(int=Quarterly,0,IF(int=Yearly,0,IF(int=None,0,0))))))</f>
        <v>0</v>
      </c>
      <c r="G202" s="46"/>
      <c r="H202" s="46">
        <f t="shared" si="75"/>
        <v>-4250</v>
      </c>
      <c r="I202" s="47"/>
      <c r="J202" s="38">
        <f t="shared" si="62"/>
        <v>0</v>
      </c>
      <c r="K202" s="48"/>
      <c r="L202" s="48">
        <f t="shared" si="67"/>
        <v>173.40889071832399</v>
      </c>
      <c r="M202" s="48"/>
      <c r="N202" s="38">
        <f t="shared" si="68"/>
        <v>0</v>
      </c>
      <c r="O202" s="36">
        <f t="shared" si="69"/>
        <v>0</v>
      </c>
      <c r="P202" s="84">
        <f t="shared" si="70"/>
        <v>-4641.9418772805257</v>
      </c>
      <c r="Q202" s="38">
        <f t="shared" si="71"/>
        <v>0</v>
      </c>
      <c r="R202" s="48">
        <f t="shared" si="72"/>
        <v>16.026378476001437</v>
      </c>
      <c r="S202" s="38">
        <f t="shared" si="63"/>
        <v>189.43526919432543</v>
      </c>
      <c r="T202" s="50">
        <f t="shared" si="76"/>
        <v>4250</v>
      </c>
      <c r="U202" s="40">
        <f t="shared" si="77"/>
        <v>4395.9153797095132</v>
      </c>
      <c r="V202" s="41">
        <f t="shared" si="78"/>
        <v>3.4333030519885455E-2</v>
      </c>
      <c r="W202" s="39">
        <f t="shared" si="79"/>
        <v>145.91537970951322</v>
      </c>
      <c r="X202" s="50">
        <f t="shared" si="73"/>
        <v>392.4106272968022</v>
      </c>
      <c r="Y202" s="41">
        <f t="shared" si="80"/>
        <v>0.12666494282501528</v>
      </c>
      <c r="Z202" s="52"/>
      <c r="AA202" s="50">
        <f t="shared" si="86"/>
        <v>4642.410627296802</v>
      </c>
      <c r="AB202" s="39">
        <f t="shared" si="87"/>
        <v>4802.18407407615</v>
      </c>
      <c r="AC202" s="39">
        <f t="shared" si="81"/>
        <v>159.77344677934798</v>
      </c>
      <c r="AD202" s="41">
        <f t="shared" si="82"/>
        <v>3.4416052263860575E-2</v>
      </c>
      <c r="AF202" s="46">
        <f t="shared" si="64"/>
        <v>0</v>
      </c>
      <c r="AG202" s="46">
        <f t="shared" si="83"/>
        <v>0</v>
      </c>
      <c r="AH202" s="54">
        <f t="shared" si="65"/>
        <v>1197</v>
      </c>
      <c r="AI202" s="55">
        <f t="shared" si="74"/>
        <v>0.80957683741648112</v>
      </c>
      <c r="AJ202" s="55">
        <f t="shared" si="84"/>
        <v>0</v>
      </c>
      <c r="AK202" s="55">
        <f t="shared" si="85"/>
        <v>0</v>
      </c>
    </row>
    <row r="203" spans="2:37" s="53" customFormat="1" ht="17.25" customHeight="1" x14ac:dyDescent="0.25">
      <c r="B203" s="91" t="str">
        <f t="shared" si="66"/>
        <v/>
      </c>
      <c r="C203" s="81">
        <f>IF(Sheet3!A174="","",Sheet3!A174)</f>
        <v>38831</v>
      </c>
      <c r="D203" s="82">
        <f>IF(C203="","",Sheet3!E174)</f>
        <v>26.209999</v>
      </c>
      <c r="E203" s="56">
        <f>_xlfn.XLOOKUP(WEEKNUM(C203)&amp;YEAR(C203),Sheet4!C:C,Sheet4!B:B,0)</f>
        <v>0</v>
      </c>
      <c r="F203" s="46">
        <f>IF(int=Weekly,-$D$5,IF(int=Bi_Weekly,-$D$5,IF(int=Monthly,-$D$5,IF(int=Quarterly,0,IF(int=Yearly,0,IF(int=None,0,0))))))</f>
        <v>-100</v>
      </c>
      <c r="G203" s="46"/>
      <c r="H203" s="46">
        <f t="shared" si="75"/>
        <v>-4350</v>
      </c>
      <c r="I203" s="47"/>
      <c r="J203" s="38">
        <f t="shared" si="62"/>
        <v>3.8153378029506984</v>
      </c>
      <c r="K203" s="48"/>
      <c r="L203" s="48">
        <f t="shared" si="67"/>
        <v>177.22422852127468</v>
      </c>
      <c r="M203" s="48"/>
      <c r="N203" s="38">
        <f t="shared" si="68"/>
        <v>0</v>
      </c>
      <c r="O203" s="36">
        <f t="shared" si="69"/>
        <v>0</v>
      </c>
      <c r="P203" s="84">
        <f t="shared" si="70"/>
        <v>-4741.9418772805257</v>
      </c>
      <c r="Q203" s="38">
        <f t="shared" si="71"/>
        <v>0</v>
      </c>
      <c r="R203" s="48">
        <f t="shared" si="72"/>
        <v>16.026378476001437</v>
      </c>
      <c r="S203" s="38">
        <f t="shared" si="63"/>
        <v>193.25060699727612</v>
      </c>
      <c r="T203" s="50">
        <f t="shared" si="76"/>
        <v>4350</v>
      </c>
      <c r="U203" s="40">
        <f t="shared" si="77"/>
        <v>4645.0468523183808</v>
      </c>
      <c r="V203" s="41">
        <f t="shared" si="78"/>
        <v>6.7826862601926718E-2</v>
      </c>
      <c r="W203" s="39">
        <f t="shared" si="79"/>
        <v>295.04685231838084</v>
      </c>
      <c r="X203" s="50">
        <f t="shared" si="73"/>
        <v>392.4106272968022</v>
      </c>
      <c r="Y203" s="41">
        <f t="shared" si="80"/>
        <v>0.15803620221038694</v>
      </c>
      <c r="Z203" s="52"/>
      <c r="AA203" s="50">
        <f t="shared" si="86"/>
        <v>4742.410627296802</v>
      </c>
      <c r="AB203" s="39">
        <f t="shared" si="87"/>
        <v>5065.0982161479997</v>
      </c>
      <c r="AC203" s="39">
        <f t="shared" si="81"/>
        <v>322.68758885119769</v>
      </c>
      <c r="AD203" s="41">
        <f t="shared" si="82"/>
        <v>6.8042945710740987E-2</v>
      </c>
      <c r="AF203" s="46">
        <f t="shared" si="64"/>
        <v>-100</v>
      </c>
      <c r="AG203" s="46">
        <f t="shared" si="83"/>
        <v>-100</v>
      </c>
      <c r="AH203" s="54">
        <f t="shared" si="65"/>
        <v>1204</v>
      </c>
      <c r="AI203" s="55">
        <f t="shared" si="74"/>
        <v>0.80846325167037858</v>
      </c>
      <c r="AJ203" s="55">
        <f t="shared" si="84"/>
        <v>-80.846325167037861</v>
      </c>
      <c r="AK203" s="55">
        <f t="shared" si="85"/>
        <v>-80.846325167037861</v>
      </c>
    </row>
    <row r="204" spans="2:37" s="53" customFormat="1" ht="17.25" customHeight="1" x14ac:dyDescent="0.25">
      <c r="B204" s="91" t="str">
        <f t="shared" si="66"/>
        <v/>
      </c>
      <c r="C204" s="81">
        <f>IF(Sheet3!A175="","",Sheet3!A175)</f>
        <v>38838</v>
      </c>
      <c r="D204" s="82">
        <f>IF(C204="","",Sheet3!E175)</f>
        <v>25.969999000000001</v>
      </c>
      <c r="E204" s="56">
        <f>_xlfn.XLOOKUP(WEEKNUM(C204)&amp;YEAR(C204),Sheet4!C:C,Sheet4!B:B,0)</f>
        <v>0</v>
      </c>
      <c r="F204" s="46">
        <f>IF(int=Weekly,-$D$5,IF(int=Bi_Weekly,0,IF(int=Monthly,0,IF(int=Quarterly,0,IF(int=Yearly,0,IF(int=None,0,0))))))</f>
        <v>0</v>
      </c>
      <c r="G204" s="46"/>
      <c r="H204" s="46">
        <f t="shared" si="75"/>
        <v>-4350</v>
      </c>
      <c r="I204" s="47"/>
      <c r="J204" s="38">
        <f t="shared" si="62"/>
        <v>0</v>
      </c>
      <c r="K204" s="48"/>
      <c r="L204" s="48">
        <f t="shared" si="67"/>
        <v>177.22422852127468</v>
      </c>
      <c r="M204" s="48"/>
      <c r="N204" s="38">
        <f t="shared" si="68"/>
        <v>0</v>
      </c>
      <c r="O204" s="36">
        <f t="shared" si="69"/>
        <v>0</v>
      </c>
      <c r="P204" s="84">
        <f t="shared" si="70"/>
        <v>-4741.9418772805257</v>
      </c>
      <c r="Q204" s="38">
        <f t="shared" si="71"/>
        <v>0</v>
      </c>
      <c r="R204" s="48">
        <f t="shared" si="72"/>
        <v>16.026378476001437</v>
      </c>
      <c r="S204" s="38">
        <f t="shared" si="63"/>
        <v>193.25060699727612</v>
      </c>
      <c r="T204" s="50">
        <f t="shared" si="76"/>
        <v>4350</v>
      </c>
      <c r="U204" s="40">
        <f t="shared" si="77"/>
        <v>4602.5130374732753</v>
      </c>
      <c r="V204" s="41">
        <f t="shared" si="78"/>
        <v>5.8048974131787334E-2</v>
      </c>
      <c r="W204" s="39">
        <f t="shared" si="79"/>
        <v>252.51303747327529</v>
      </c>
      <c r="X204" s="50">
        <f t="shared" si="73"/>
        <v>392.4106272968022</v>
      </c>
      <c r="Y204" s="41">
        <f t="shared" si="80"/>
        <v>0.14825831374024756</v>
      </c>
      <c r="Z204" s="52"/>
      <c r="AA204" s="50">
        <f t="shared" si="86"/>
        <v>4742.410627296802</v>
      </c>
      <c r="AB204" s="39">
        <f t="shared" si="87"/>
        <v>5018.7180704686543</v>
      </c>
      <c r="AC204" s="39">
        <f t="shared" si="81"/>
        <v>276.30744317185236</v>
      </c>
      <c r="AD204" s="41">
        <f t="shared" si="82"/>
        <v>5.826307860847324E-2</v>
      </c>
      <c r="AF204" s="46">
        <f t="shared" si="64"/>
        <v>0</v>
      </c>
      <c r="AG204" s="46">
        <f t="shared" si="83"/>
        <v>0</v>
      </c>
      <c r="AH204" s="54">
        <f t="shared" si="65"/>
        <v>1211</v>
      </c>
      <c r="AI204" s="55">
        <f t="shared" si="74"/>
        <v>0.80734966592427615</v>
      </c>
      <c r="AJ204" s="55">
        <f t="shared" si="84"/>
        <v>0</v>
      </c>
      <c r="AK204" s="55">
        <f t="shared" si="85"/>
        <v>0</v>
      </c>
    </row>
    <row r="205" spans="2:37" s="53" customFormat="1" ht="17.25" customHeight="1" x14ac:dyDescent="0.25">
      <c r="B205" s="91" t="str">
        <f t="shared" si="66"/>
        <v/>
      </c>
      <c r="C205" s="81">
        <f>IF(Sheet3!A176="","",Sheet3!A176)</f>
        <v>38845</v>
      </c>
      <c r="D205" s="82">
        <f>IF(C205="","",Sheet3!E176)</f>
        <v>25.620000999999998</v>
      </c>
      <c r="E205" s="56">
        <f>_xlfn.XLOOKUP(WEEKNUM(C205)&amp;YEAR(C205),Sheet4!C:C,Sheet4!B:B,0)</f>
        <v>0</v>
      </c>
      <c r="F205" s="46">
        <f>IF(int=Weekly,-$D$5,IF(int=Bi_Weekly,-$D$5,IF(int=Monthly,0,IF(int=Quarterly,0,IF(int=Yearly,0,IF(int=None,0,0))))))</f>
        <v>0</v>
      </c>
      <c r="G205" s="46"/>
      <c r="H205" s="46">
        <f t="shared" si="75"/>
        <v>-4350</v>
      </c>
      <c r="I205" s="47"/>
      <c r="J205" s="38">
        <f t="shared" si="62"/>
        <v>0</v>
      </c>
      <c r="K205" s="48"/>
      <c r="L205" s="48">
        <f t="shared" si="67"/>
        <v>177.22422852127468</v>
      </c>
      <c r="M205" s="48"/>
      <c r="N205" s="38">
        <f t="shared" si="68"/>
        <v>0</v>
      </c>
      <c r="O205" s="36">
        <f t="shared" si="69"/>
        <v>0</v>
      </c>
      <c r="P205" s="84">
        <f t="shared" si="70"/>
        <v>-4741.9418772805257</v>
      </c>
      <c r="Q205" s="38">
        <f t="shared" si="71"/>
        <v>0</v>
      </c>
      <c r="R205" s="48">
        <f t="shared" si="72"/>
        <v>16.026378476001437</v>
      </c>
      <c r="S205" s="38">
        <f t="shared" si="63"/>
        <v>193.25060699727612</v>
      </c>
      <c r="T205" s="50">
        <f t="shared" si="76"/>
        <v>4350</v>
      </c>
      <c r="U205" s="40">
        <f t="shared" si="77"/>
        <v>4540.4849119392857</v>
      </c>
      <c r="V205" s="41">
        <f t="shared" si="78"/>
        <v>4.3789634928571353E-2</v>
      </c>
      <c r="W205" s="39">
        <f t="shared" si="79"/>
        <v>190.48491193928567</v>
      </c>
      <c r="X205" s="50">
        <f t="shared" si="73"/>
        <v>392.4106272968022</v>
      </c>
      <c r="Y205" s="41">
        <f t="shared" si="80"/>
        <v>0.13399897453703158</v>
      </c>
      <c r="Z205" s="52"/>
      <c r="AA205" s="50">
        <f t="shared" si="86"/>
        <v>4742.410627296802</v>
      </c>
      <c r="AB205" s="39">
        <f t="shared" si="87"/>
        <v>4951.0807445208211</v>
      </c>
      <c r="AC205" s="39">
        <f t="shared" si="81"/>
        <v>208.67011722401912</v>
      </c>
      <c r="AD205" s="41">
        <f t="shared" si="82"/>
        <v>4.4000853916558169E-2</v>
      </c>
      <c r="AF205" s="46">
        <f t="shared" si="64"/>
        <v>0</v>
      </c>
      <c r="AG205" s="46">
        <f t="shared" si="83"/>
        <v>0</v>
      </c>
      <c r="AH205" s="54">
        <f t="shared" si="65"/>
        <v>1218</v>
      </c>
      <c r="AI205" s="55">
        <f t="shared" si="74"/>
        <v>0.80623608017817372</v>
      </c>
      <c r="AJ205" s="55">
        <f t="shared" si="84"/>
        <v>0</v>
      </c>
      <c r="AK205" s="55">
        <f t="shared" si="85"/>
        <v>0</v>
      </c>
    </row>
    <row r="206" spans="2:37" s="53" customFormat="1" ht="17.25" customHeight="1" x14ac:dyDescent="0.25">
      <c r="B206" s="91" t="str">
        <f t="shared" si="66"/>
        <v/>
      </c>
      <c r="C206" s="81">
        <f>IF(Sheet3!A177="","",Sheet3!A177)</f>
        <v>38852</v>
      </c>
      <c r="D206" s="82">
        <f>IF(C206="","",Sheet3!E177)</f>
        <v>25.280000999999999</v>
      </c>
      <c r="E206" s="56">
        <f>_xlfn.XLOOKUP(WEEKNUM(C206)&amp;YEAR(C206),Sheet4!C:C,Sheet4!B:B,0)</f>
        <v>0</v>
      </c>
      <c r="F206" s="46">
        <f>IF(int=Weekly,-$D$5,IF(int=Bi_Weekly,0,IF(int=Monthly,0,IF(int=Quarterly,0,IF(int=Yearly,0,IF(int=None,0,0))))))</f>
        <v>0</v>
      </c>
      <c r="G206" s="46"/>
      <c r="H206" s="46">
        <f t="shared" si="75"/>
        <v>-4350</v>
      </c>
      <c r="I206" s="47"/>
      <c r="J206" s="38">
        <f t="shared" si="62"/>
        <v>0</v>
      </c>
      <c r="K206" s="48"/>
      <c r="L206" s="48">
        <f t="shared" si="67"/>
        <v>177.22422852127468</v>
      </c>
      <c r="M206" s="48"/>
      <c r="N206" s="38">
        <f t="shared" si="68"/>
        <v>0</v>
      </c>
      <c r="O206" s="36">
        <f t="shared" si="69"/>
        <v>0</v>
      </c>
      <c r="P206" s="84">
        <f t="shared" si="70"/>
        <v>-4741.9418772805257</v>
      </c>
      <c r="Q206" s="38">
        <f t="shared" si="71"/>
        <v>0</v>
      </c>
      <c r="R206" s="48">
        <f t="shared" si="72"/>
        <v>16.026378476001437</v>
      </c>
      <c r="S206" s="38">
        <f t="shared" si="63"/>
        <v>193.25060699727612</v>
      </c>
      <c r="T206" s="50">
        <f t="shared" si="76"/>
        <v>4350</v>
      </c>
      <c r="U206" s="40">
        <f t="shared" si="77"/>
        <v>4480.228674242052</v>
      </c>
      <c r="V206" s="41">
        <f t="shared" si="78"/>
        <v>2.9937626262540595E-2</v>
      </c>
      <c r="W206" s="39">
        <f t="shared" si="79"/>
        <v>130.22867424205197</v>
      </c>
      <c r="X206" s="50">
        <f t="shared" si="73"/>
        <v>392.4106272968022</v>
      </c>
      <c r="Y206" s="41">
        <f t="shared" si="80"/>
        <v>0.12014696587100082</v>
      </c>
      <c r="Z206" s="52"/>
      <c r="AA206" s="50">
        <f t="shared" si="86"/>
        <v>4742.410627296802</v>
      </c>
      <c r="AB206" s="39">
        <f t="shared" si="87"/>
        <v>4885.3755381417468</v>
      </c>
      <c r="AC206" s="39">
        <f t="shared" si="81"/>
        <v>142.96491084494482</v>
      </c>
      <c r="AD206" s="41">
        <f t="shared" si="82"/>
        <v>3.0146042188345046E-2</v>
      </c>
      <c r="AF206" s="46">
        <f t="shared" si="64"/>
        <v>0</v>
      </c>
      <c r="AG206" s="46">
        <f t="shared" si="83"/>
        <v>0</v>
      </c>
      <c r="AH206" s="54">
        <f t="shared" si="65"/>
        <v>1225</v>
      </c>
      <c r="AI206" s="55">
        <f t="shared" si="74"/>
        <v>0.80512249443207129</v>
      </c>
      <c r="AJ206" s="55">
        <f t="shared" si="84"/>
        <v>0</v>
      </c>
      <c r="AK206" s="55">
        <f t="shared" si="85"/>
        <v>0</v>
      </c>
    </row>
    <row r="207" spans="2:37" s="53" customFormat="1" ht="17.25" customHeight="1" x14ac:dyDescent="0.25">
      <c r="B207" s="91" t="str">
        <f t="shared" si="66"/>
        <v/>
      </c>
      <c r="C207" s="81">
        <f>IF(Sheet3!A178="","",Sheet3!A178)</f>
        <v>38859</v>
      </c>
      <c r="D207" s="82">
        <f>IF(C207="","",Sheet3!E178)</f>
        <v>26.23</v>
      </c>
      <c r="E207" s="56">
        <f>_xlfn.XLOOKUP(WEEKNUM(C207)&amp;YEAR(C207),Sheet4!C:C,Sheet4!B:B,0)</f>
        <v>0</v>
      </c>
      <c r="F207" s="46">
        <f>IF(int=Weekly,-$D$5,IF(int=Bi_Weekly,-$D$5,IF(int=Monthly,-$D$5,IF(int=Quarterly,0,IF(int=Yearly,0,IF(int=None,0,0))))))</f>
        <v>-100</v>
      </c>
      <c r="G207" s="46"/>
      <c r="H207" s="46">
        <f t="shared" si="75"/>
        <v>-4450</v>
      </c>
      <c r="I207" s="47"/>
      <c r="J207" s="38">
        <f t="shared" si="62"/>
        <v>3.8124285169653067</v>
      </c>
      <c r="K207" s="48"/>
      <c r="L207" s="48">
        <f t="shared" si="67"/>
        <v>181.03665703823998</v>
      </c>
      <c r="M207" s="48"/>
      <c r="N207" s="38">
        <f t="shared" si="68"/>
        <v>0</v>
      </c>
      <c r="O207" s="36">
        <f t="shared" si="69"/>
        <v>0</v>
      </c>
      <c r="P207" s="84">
        <f t="shared" si="70"/>
        <v>-4841.9418772805257</v>
      </c>
      <c r="Q207" s="38">
        <f t="shared" si="71"/>
        <v>0</v>
      </c>
      <c r="R207" s="48">
        <f t="shared" si="72"/>
        <v>16.026378476001437</v>
      </c>
      <c r="S207" s="38">
        <f t="shared" si="63"/>
        <v>197.06303551424142</v>
      </c>
      <c r="T207" s="50">
        <f t="shared" si="76"/>
        <v>4450</v>
      </c>
      <c r="U207" s="40">
        <f t="shared" si="77"/>
        <v>4748.5915141130345</v>
      </c>
      <c r="V207" s="41">
        <f t="shared" si="78"/>
        <v>6.7099216654614491E-2</v>
      </c>
      <c r="W207" s="39">
        <f t="shared" si="79"/>
        <v>298.59151411303446</v>
      </c>
      <c r="X207" s="50">
        <f t="shared" si="73"/>
        <v>392.4106272968022</v>
      </c>
      <c r="Y207" s="41">
        <f t="shared" si="80"/>
        <v>0.15528138009209802</v>
      </c>
      <c r="Z207" s="52"/>
      <c r="AA207" s="50">
        <f t="shared" si="86"/>
        <v>4842.410627296802</v>
      </c>
      <c r="AB207" s="39">
        <f t="shared" si="87"/>
        <v>5168.9634215385522</v>
      </c>
      <c r="AC207" s="39">
        <f t="shared" si="81"/>
        <v>326.55279424175023</v>
      </c>
      <c r="AD207" s="41">
        <f t="shared" si="82"/>
        <v>6.7435998178461576E-2</v>
      </c>
      <c r="AF207" s="46">
        <f t="shared" si="64"/>
        <v>-100</v>
      </c>
      <c r="AG207" s="46">
        <f t="shared" si="83"/>
        <v>-100</v>
      </c>
      <c r="AH207" s="54">
        <f t="shared" si="65"/>
        <v>1232</v>
      </c>
      <c r="AI207" s="55">
        <f t="shared" si="74"/>
        <v>0.80400890868596886</v>
      </c>
      <c r="AJ207" s="55">
        <f t="shared" si="84"/>
        <v>-80.400890868596889</v>
      </c>
      <c r="AK207" s="55">
        <f t="shared" si="85"/>
        <v>-80.400890868596889</v>
      </c>
    </row>
    <row r="208" spans="2:37" s="53" customFormat="1" ht="17.25" customHeight="1" x14ac:dyDescent="0.25">
      <c r="B208" s="91" t="str">
        <f t="shared" si="66"/>
        <v/>
      </c>
      <c r="C208" s="81">
        <f>IF(Sheet3!A179="","",Sheet3!A179)</f>
        <v>38866</v>
      </c>
      <c r="D208" s="82">
        <f>IF(C208="","",Sheet3!E179)</f>
        <v>26.73</v>
      </c>
      <c r="E208" s="56">
        <f>_xlfn.XLOOKUP(WEEKNUM(C208)&amp;YEAR(C208),Sheet4!C:C,Sheet4!B:B,0)</f>
        <v>0</v>
      </c>
      <c r="F208" s="46">
        <f>IF(int=Weekly,-$D$5,IF(int=Bi_Weekly,0,IF(int=Monthly,0,IF(int=Quarterly,0,IF(int=Yearly,0,IF(int=None,0,0))))))</f>
        <v>0</v>
      </c>
      <c r="G208" s="46"/>
      <c r="H208" s="46">
        <f t="shared" si="75"/>
        <v>-4450</v>
      </c>
      <c r="I208" s="47"/>
      <c r="J208" s="38">
        <f t="shared" si="62"/>
        <v>0</v>
      </c>
      <c r="K208" s="48"/>
      <c r="L208" s="48">
        <f t="shared" si="67"/>
        <v>181.03665703823998</v>
      </c>
      <c r="M208" s="48"/>
      <c r="N208" s="38">
        <f t="shared" si="68"/>
        <v>0</v>
      </c>
      <c r="O208" s="36">
        <f t="shared" si="69"/>
        <v>0</v>
      </c>
      <c r="P208" s="84">
        <f t="shared" si="70"/>
        <v>-4841.9418772805257</v>
      </c>
      <c r="Q208" s="38">
        <f t="shared" si="71"/>
        <v>0</v>
      </c>
      <c r="R208" s="48">
        <f t="shared" si="72"/>
        <v>16.026378476001437</v>
      </c>
      <c r="S208" s="38">
        <f t="shared" si="63"/>
        <v>197.06303551424142</v>
      </c>
      <c r="T208" s="50">
        <f t="shared" si="76"/>
        <v>4450</v>
      </c>
      <c r="U208" s="40">
        <f t="shared" si="77"/>
        <v>4839.1098426321551</v>
      </c>
      <c r="V208" s="41">
        <f t="shared" si="78"/>
        <v>8.7440414074641648E-2</v>
      </c>
      <c r="W208" s="39">
        <f t="shared" si="79"/>
        <v>389.10984263215505</v>
      </c>
      <c r="X208" s="50">
        <f t="shared" si="73"/>
        <v>392.4106272968022</v>
      </c>
      <c r="Y208" s="41">
        <f t="shared" si="80"/>
        <v>0.17562257751212518</v>
      </c>
      <c r="Z208" s="52"/>
      <c r="AA208" s="50">
        <f t="shared" si="86"/>
        <v>4842.410627296802</v>
      </c>
      <c r="AB208" s="39">
        <f t="shared" si="87"/>
        <v>5267.4949392956732</v>
      </c>
      <c r="AC208" s="39">
        <f t="shared" si="81"/>
        <v>425.08431199887127</v>
      </c>
      <c r="AD208" s="41">
        <f t="shared" si="82"/>
        <v>8.7783615375916169E-2</v>
      </c>
      <c r="AF208" s="46">
        <f t="shared" si="64"/>
        <v>0</v>
      </c>
      <c r="AG208" s="46">
        <f t="shared" si="83"/>
        <v>0</v>
      </c>
      <c r="AH208" s="54">
        <f t="shared" si="65"/>
        <v>1239</v>
      </c>
      <c r="AI208" s="55">
        <f t="shared" si="74"/>
        <v>0.80289532293986632</v>
      </c>
      <c r="AJ208" s="55">
        <f t="shared" si="84"/>
        <v>0</v>
      </c>
      <c r="AK208" s="55">
        <f t="shared" si="85"/>
        <v>0</v>
      </c>
    </row>
    <row r="209" spans="2:37" s="53" customFormat="1" ht="17.25" customHeight="1" x14ac:dyDescent="0.25">
      <c r="B209" s="91" t="str">
        <f t="shared" si="66"/>
        <v/>
      </c>
      <c r="C209" s="81">
        <f>IF(Sheet3!A180="","",Sheet3!A180)</f>
        <v>38873</v>
      </c>
      <c r="D209" s="82">
        <f>IF(C209="","",Sheet3!E180)</f>
        <v>26.620000999999998</v>
      </c>
      <c r="E209" s="56">
        <f>_xlfn.XLOOKUP(WEEKNUM(C209)&amp;YEAR(C209),Sheet4!C:C,Sheet4!B:B,0)</f>
        <v>0</v>
      </c>
      <c r="F209" s="46">
        <f>IF(int=Weekly,-$D$5,IF(int=Bi_Weekly,-$D$5,IF(int=Monthly,0,IF(int=Quarterly,0,IF(int=Yearly,0,IF(int=None,0,0))))))</f>
        <v>0</v>
      </c>
      <c r="G209" s="46"/>
      <c r="H209" s="46">
        <f t="shared" si="75"/>
        <v>-4450</v>
      </c>
      <c r="I209" s="47"/>
      <c r="J209" s="38">
        <f t="shared" si="62"/>
        <v>0</v>
      </c>
      <c r="K209" s="48"/>
      <c r="L209" s="48">
        <f t="shared" si="67"/>
        <v>181.03665703823998</v>
      </c>
      <c r="M209" s="48"/>
      <c r="N209" s="38">
        <f t="shared" si="68"/>
        <v>0</v>
      </c>
      <c r="O209" s="36">
        <f t="shared" si="69"/>
        <v>0</v>
      </c>
      <c r="P209" s="84">
        <f t="shared" si="70"/>
        <v>-4841.9418772805257</v>
      </c>
      <c r="Q209" s="38">
        <f t="shared" si="71"/>
        <v>0</v>
      </c>
      <c r="R209" s="48">
        <f t="shared" si="72"/>
        <v>16.026378476001437</v>
      </c>
      <c r="S209" s="38">
        <f t="shared" si="63"/>
        <v>197.06303551424142</v>
      </c>
      <c r="T209" s="50">
        <f t="shared" si="76"/>
        <v>4450</v>
      </c>
      <c r="U209" s="40">
        <f t="shared" si="77"/>
        <v>4819.1959913946048</v>
      </c>
      <c r="V209" s="41">
        <f t="shared" si="78"/>
        <v>8.2965391324630211E-2</v>
      </c>
      <c r="W209" s="39">
        <f t="shared" si="79"/>
        <v>369.19599139460479</v>
      </c>
      <c r="X209" s="50">
        <f t="shared" si="73"/>
        <v>392.4106272968022</v>
      </c>
      <c r="Y209" s="41">
        <f t="shared" si="80"/>
        <v>0.17114755476211396</v>
      </c>
      <c r="Z209" s="52"/>
      <c r="AA209" s="50">
        <f t="shared" si="86"/>
        <v>4842.410627296802</v>
      </c>
      <c r="AB209" s="39">
        <f t="shared" si="87"/>
        <v>5245.8182024521411</v>
      </c>
      <c r="AC209" s="39">
        <f t="shared" si="81"/>
        <v>403.40757515533915</v>
      </c>
      <c r="AD209" s="41">
        <f t="shared" si="82"/>
        <v>8.3307180287710336E-2</v>
      </c>
      <c r="AF209" s="46">
        <f t="shared" si="64"/>
        <v>0</v>
      </c>
      <c r="AG209" s="46">
        <f t="shared" si="83"/>
        <v>0</v>
      </c>
      <c r="AH209" s="54">
        <f t="shared" si="65"/>
        <v>1246</v>
      </c>
      <c r="AI209" s="55">
        <f t="shared" si="74"/>
        <v>0.80178173719376389</v>
      </c>
      <c r="AJ209" s="55">
        <f t="shared" si="84"/>
        <v>0</v>
      </c>
      <c r="AK209" s="55">
        <f t="shared" si="85"/>
        <v>0</v>
      </c>
    </row>
    <row r="210" spans="2:37" s="53" customFormat="1" ht="17.25" customHeight="1" x14ac:dyDescent="0.25">
      <c r="B210" s="91" t="str">
        <f t="shared" si="66"/>
        <v/>
      </c>
      <c r="C210" s="81">
        <f>IF(Sheet3!A181="","",Sheet3!A181)</f>
        <v>38880</v>
      </c>
      <c r="D210" s="82">
        <f>IF(C210="","",Sheet3!E181)</f>
        <v>27.790001</v>
      </c>
      <c r="E210" s="56">
        <f>_xlfn.XLOOKUP(WEEKNUM(C210)&amp;YEAR(C210),Sheet4!C:C,Sheet4!B:B,0)</f>
        <v>0</v>
      </c>
      <c r="F210" s="46">
        <f>IF(int=Weekly,-$D$5,IF(int=Bi_Weekly,0,IF(int=Monthly,0,IF(int=Quarterly,0,IF(int=Yearly,0,IF(int=None,0,0))))))</f>
        <v>0</v>
      </c>
      <c r="G210" s="46"/>
      <c r="H210" s="46">
        <f t="shared" si="75"/>
        <v>-4450</v>
      </c>
      <c r="I210" s="47"/>
      <c r="J210" s="38">
        <f t="shared" si="62"/>
        <v>0</v>
      </c>
      <c r="K210" s="48"/>
      <c r="L210" s="48">
        <f t="shared" si="67"/>
        <v>181.03665703823998</v>
      </c>
      <c r="M210" s="48"/>
      <c r="N210" s="38">
        <f t="shared" si="68"/>
        <v>0</v>
      </c>
      <c r="O210" s="36">
        <f t="shared" si="69"/>
        <v>0</v>
      </c>
      <c r="P210" s="84">
        <f t="shared" si="70"/>
        <v>-4841.9418772805257</v>
      </c>
      <c r="Q210" s="38">
        <f t="shared" si="71"/>
        <v>0</v>
      </c>
      <c r="R210" s="48">
        <f t="shared" si="72"/>
        <v>16.026378476001437</v>
      </c>
      <c r="S210" s="38">
        <f t="shared" si="63"/>
        <v>197.06303551424142</v>
      </c>
      <c r="T210" s="50">
        <f t="shared" si="76"/>
        <v>4450</v>
      </c>
      <c r="U210" s="40">
        <f t="shared" si="77"/>
        <v>5031.0088801293459</v>
      </c>
      <c r="V210" s="41">
        <f t="shared" si="78"/>
        <v>0.13056379328749346</v>
      </c>
      <c r="W210" s="39">
        <f t="shared" si="79"/>
        <v>581.00888012934593</v>
      </c>
      <c r="X210" s="50">
        <f t="shared" si="73"/>
        <v>392.4106272968022</v>
      </c>
      <c r="Y210" s="41">
        <f t="shared" si="80"/>
        <v>0.21874595672497699</v>
      </c>
      <c r="Z210" s="52"/>
      <c r="AA210" s="50">
        <f t="shared" si="86"/>
        <v>4842.410627296802</v>
      </c>
      <c r="AB210" s="39">
        <f t="shared" si="87"/>
        <v>5476.3819540038039</v>
      </c>
      <c r="AC210" s="39">
        <f t="shared" si="81"/>
        <v>633.97132670700194</v>
      </c>
      <c r="AD210" s="41">
        <f t="shared" si="82"/>
        <v>0.13092060452975396</v>
      </c>
      <c r="AF210" s="46">
        <f t="shared" si="64"/>
        <v>0</v>
      </c>
      <c r="AG210" s="46">
        <f t="shared" si="83"/>
        <v>0</v>
      </c>
      <c r="AH210" s="54">
        <f t="shared" si="65"/>
        <v>1253</v>
      </c>
      <c r="AI210" s="55">
        <f t="shared" si="74"/>
        <v>0.80066815144766146</v>
      </c>
      <c r="AJ210" s="55">
        <f t="shared" si="84"/>
        <v>0</v>
      </c>
      <c r="AK210" s="55">
        <f t="shared" si="85"/>
        <v>0</v>
      </c>
    </row>
    <row r="211" spans="2:37" s="53" customFormat="1" ht="17.25" customHeight="1" x14ac:dyDescent="0.25">
      <c r="B211" s="91" t="str">
        <f t="shared" si="66"/>
        <v/>
      </c>
      <c r="C211" s="81">
        <f>IF(Sheet3!A182="","",Sheet3!A182)</f>
        <v>38887</v>
      </c>
      <c r="D211" s="82">
        <f>IF(C211="","",Sheet3!E182)</f>
        <v>27.370000999999998</v>
      </c>
      <c r="E211" s="56">
        <f>_xlfn.XLOOKUP(WEEKNUM(C211)&amp;YEAR(C211),Sheet4!C:C,Sheet4!B:B,0)</f>
        <v>0</v>
      </c>
      <c r="F211" s="46">
        <f>IF(int=Weekly,-$D$5,IF(int=Bi_Weekly,-$D$5,IF(int=Monthly,-$D$5,IF(int=Quarterly,0,IF(int=Yearly,0,IF(int=None,0,0))))))</f>
        <v>-100</v>
      </c>
      <c r="G211" s="46"/>
      <c r="H211" s="46">
        <f t="shared" si="75"/>
        <v>-4550</v>
      </c>
      <c r="I211" s="47"/>
      <c r="J211" s="38">
        <f t="shared" si="62"/>
        <v>3.6536352336998457</v>
      </c>
      <c r="K211" s="48"/>
      <c r="L211" s="48">
        <f t="shared" si="67"/>
        <v>184.69029227193982</v>
      </c>
      <c r="M211" s="48"/>
      <c r="N211" s="38">
        <f t="shared" si="68"/>
        <v>0</v>
      </c>
      <c r="O211" s="36">
        <f t="shared" si="69"/>
        <v>0</v>
      </c>
      <c r="P211" s="84">
        <f t="shared" si="70"/>
        <v>-4941.9418772805257</v>
      </c>
      <c r="Q211" s="38">
        <f t="shared" si="71"/>
        <v>0</v>
      </c>
      <c r="R211" s="48">
        <f t="shared" si="72"/>
        <v>16.026378476001437</v>
      </c>
      <c r="S211" s="38">
        <f t="shared" si="63"/>
        <v>200.71667074794127</v>
      </c>
      <c r="T211" s="50">
        <f t="shared" si="76"/>
        <v>4550</v>
      </c>
      <c r="U211" s="40">
        <f t="shared" si="77"/>
        <v>5054.9734841732852</v>
      </c>
      <c r="V211" s="41">
        <f t="shared" si="78"/>
        <v>0.11098318333478785</v>
      </c>
      <c r="W211" s="39">
        <f t="shared" si="79"/>
        <v>504.97348417328521</v>
      </c>
      <c r="X211" s="50">
        <f t="shared" si="73"/>
        <v>392.4106272968022</v>
      </c>
      <c r="Y211" s="41">
        <f t="shared" si="80"/>
        <v>0.19722727724617295</v>
      </c>
      <c r="Z211" s="52"/>
      <c r="AA211" s="50">
        <f t="shared" si="86"/>
        <v>4942.410627296802</v>
      </c>
      <c r="AB211" s="39">
        <f t="shared" si="87"/>
        <v>5493.6154790878227</v>
      </c>
      <c r="AC211" s="39">
        <f t="shared" si="81"/>
        <v>551.2048517910207</v>
      </c>
      <c r="AD211" s="41">
        <f t="shared" si="82"/>
        <v>0.11152550715772813</v>
      </c>
      <c r="AF211" s="46">
        <f t="shared" si="64"/>
        <v>-100</v>
      </c>
      <c r="AG211" s="46">
        <f t="shared" si="83"/>
        <v>-100</v>
      </c>
      <c r="AH211" s="54">
        <f t="shared" si="65"/>
        <v>1260</v>
      </c>
      <c r="AI211" s="55">
        <f t="shared" si="74"/>
        <v>0.79955456570155903</v>
      </c>
      <c r="AJ211" s="55">
        <f t="shared" si="84"/>
        <v>-79.955456570155903</v>
      </c>
      <c r="AK211" s="55">
        <f t="shared" si="85"/>
        <v>-79.955456570155903</v>
      </c>
    </row>
    <row r="212" spans="2:37" s="53" customFormat="1" ht="17.25" customHeight="1" x14ac:dyDescent="0.25">
      <c r="B212" s="91" t="str">
        <f t="shared" si="66"/>
        <v/>
      </c>
      <c r="C212" s="81">
        <f>IF(Sheet3!A183="","",Sheet3!A183)</f>
        <v>38894</v>
      </c>
      <c r="D212" s="82">
        <f>IF(C212="","",Sheet3!E183)</f>
        <v>27.889999</v>
      </c>
      <c r="E212" s="56">
        <f>_xlfn.XLOOKUP(WEEKNUM(C212)&amp;YEAR(C212),Sheet4!C:C,Sheet4!B:B,0)</f>
        <v>0</v>
      </c>
      <c r="F212" s="46">
        <f>IF(int=Weekly,-$D$5,IF(int=Bi_Weekly,0,IF(int=Monthly,0,IF(int=Quarterly,0,IF(int=Yearly,0,IF(int=None,0,0))))))</f>
        <v>0</v>
      </c>
      <c r="G212" s="46"/>
      <c r="H212" s="46">
        <f t="shared" si="75"/>
        <v>-4550</v>
      </c>
      <c r="I212" s="47"/>
      <c r="J212" s="38">
        <f t="shared" si="62"/>
        <v>0</v>
      </c>
      <c r="K212" s="48"/>
      <c r="L212" s="48">
        <f t="shared" si="67"/>
        <v>184.69029227193982</v>
      </c>
      <c r="M212" s="48"/>
      <c r="N212" s="38">
        <f t="shared" si="68"/>
        <v>0</v>
      </c>
      <c r="O212" s="36">
        <f t="shared" si="69"/>
        <v>0</v>
      </c>
      <c r="P212" s="84">
        <f t="shared" si="70"/>
        <v>-4941.9418772805257</v>
      </c>
      <c r="Q212" s="38">
        <f t="shared" si="71"/>
        <v>0</v>
      </c>
      <c r="R212" s="48">
        <f t="shared" si="72"/>
        <v>16.026378476001437</v>
      </c>
      <c r="S212" s="38">
        <f t="shared" si="63"/>
        <v>200.71667074794127</v>
      </c>
      <c r="T212" s="50">
        <f t="shared" si="76"/>
        <v>4550</v>
      </c>
      <c r="U212" s="40">
        <f t="shared" si="77"/>
        <v>5151.0120667741094</v>
      </c>
      <c r="V212" s="41">
        <f t="shared" si="78"/>
        <v>0.13209056412617781</v>
      </c>
      <c r="W212" s="39">
        <f t="shared" si="79"/>
        <v>601.01206677410937</v>
      </c>
      <c r="X212" s="50">
        <f t="shared" si="73"/>
        <v>392.4106272968022</v>
      </c>
      <c r="Y212" s="41">
        <f t="shared" si="80"/>
        <v>0.21833465803756291</v>
      </c>
      <c r="Z212" s="52"/>
      <c r="AA212" s="50">
        <f t="shared" si="86"/>
        <v>4942.410627296802</v>
      </c>
      <c r="AB212" s="39">
        <f t="shared" si="87"/>
        <v>5597.9877464434112</v>
      </c>
      <c r="AC212" s="39">
        <f t="shared" si="81"/>
        <v>655.57711914660922</v>
      </c>
      <c r="AD212" s="41">
        <f t="shared" si="82"/>
        <v>0.13264319146731229</v>
      </c>
      <c r="AF212" s="46">
        <f t="shared" si="64"/>
        <v>0</v>
      </c>
      <c r="AG212" s="46">
        <f t="shared" si="83"/>
        <v>0</v>
      </c>
      <c r="AH212" s="54">
        <f t="shared" si="65"/>
        <v>1267</v>
      </c>
      <c r="AI212" s="55">
        <f t="shared" si="74"/>
        <v>0.7984409799554566</v>
      </c>
      <c r="AJ212" s="55">
        <f t="shared" si="84"/>
        <v>0</v>
      </c>
      <c r="AK212" s="55">
        <f t="shared" si="85"/>
        <v>0</v>
      </c>
    </row>
    <row r="213" spans="2:37" s="53" customFormat="1" ht="17.25" customHeight="1" x14ac:dyDescent="0.25">
      <c r="B213" s="91" t="str">
        <f t="shared" si="66"/>
        <v/>
      </c>
      <c r="C213" s="81">
        <f>IF(Sheet3!A184="","",Sheet3!A184)</f>
        <v>38901</v>
      </c>
      <c r="D213" s="82">
        <f>IF(C213="","",Sheet3!E184)</f>
        <v>27.74</v>
      </c>
      <c r="E213" s="56">
        <f>_xlfn.XLOOKUP(WEEKNUM(C213)&amp;YEAR(C213),Sheet4!C:C,Sheet4!B:B,0)</f>
        <v>0.33250000000000002</v>
      </c>
      <c r="F213" s="46">
        <f>IF(int=Weekly,-$D$5,IF(int=Bi_Weekly,-$D$5,IF(int=Monthly,0,IF(int=Quarterly,-$D$5,IF(int=Yearly,0,IF(int=None,0,0))))))</f>
        <v>0</v>
      </c>
      <c r="G213" s="46"/>
      <c r="H213" s="46">
        <f t="shared" si="75"/>
        <v>-4550</v>
      </c>
      <c r="I213" s="47"/>
      <c r="J213" s="38">
        <f t="shared" si="62"/>
        <v>0</v>
      </c>
      <c r="K213" s="48"/>
      <c r="L213" s="48">
        <f t="shared" si="67"/>
        <v>184.69029227193982</v>
      </c>
      <c r="M213" s="48"/>
      <c r="N213" s="38">
        <f t="shared" si="68"/>
        <v>61.409522180419998</v>
      </c>
      <c r="O213" s="36">
        <f t="shared" si="69"/>
        <v>-61.409522180419998</v>
      </c>
      <c r="P213" s="84">
        <f t="shared" si="70"/>
        <v>-5003.3513994609457</v>
      </c>
      <c r="Q213" s="38">
        <f t="shared" si="71"/>
        <v>2.2137535032595532</v>
      </c>
      <c r="R213" s="48">
        <f t="shared" si="72"/>
        <v>18.24013197926099</v>
      </c>
      <c r="S213" s="38">
        <f t="shared" si="63"/>
        <v>202.9304242512008</v>
      </c>
      <c r="T213" s="50">
        <f t="shared" si="76"/>
        <v>4550</v>
      </c>
      <c r="U213" s="40">
        <f t="shared" si="77"/>
        <v>5123.3087076236106</v>
      </c>
      <c r="V213" s="41">
        <f t="shared" si="78"/>
        <v>0.12600191376343095</v>
      </c>
      <c r="W213" s="39">
        <f t="shared" si="79"/>
        <v>573.30870762361064</v>
      </c>
      <c r="X213" s="50">
        <f t="shared" si="73"/>
        <v>453.82014947722223</v>
      </c>
      <c r="Y213" s="41">
        <f t="shared" si="80"/>
        <v>0.22574260595622686</v>
      </c>
      <c r="Z213" s="52"/>
      <c r="AA213" s="50">
        <f t="shared" si="86"/>
        <v>5003.820149477222</v>
      </c>
      <c r="AB213" s="39">
        <f t="shared" si="87"/>
        <v>5629.2899687283107</v>
      </c>
      <c r="AC213" s="39">
        <f t="shared" si="81"/>
        <v>625.46981925108867</v>
      </c>
      <c r="AD213" s="41">
        <f t="shared" si="82"/>
        <v>0.12499846128890835</v>
      </c>
      <c r="AF213" s="46">
        <f t="shared" si="64"/>
        <v>61.409522180419998</v>
      </c>
      <c r="AG213" s="46">
        <f t="shared" si="83"/>
        <v>0</v>
      </c>
      <c r="AH213" s="54">
        <f t="shared" si="65"/>
        <v>1274</v>
      </c>
      <c r="AI213" s="55">
        <f t="shared" si="74"/>
        <v>0.79732739420935417</v>
      </c>
      <c r="AJ213" s="55">
        <f t="shared" si="84"/>
        <v>48.963494299755816</v>
      </c>
      <c r="AK213" s="55">
        <f t="shared" si="85"/>
        <v>0</v>
      </c>
    </row>
    <row r="214" spans="2:37" s="53" customFormat="1" ht="17.25" customHeight="1" x14ac:dyDescent="0.25">
      <c r="B214" s="91" t="str">
        <f t="shared" si="66"/>
        <v/>
      </c>
      <c r="C214" s="81">
        <f>IF(Sheet3!A185="","",Sheet3!A185)</f>
        <v>38908</v>
      </c>
      <c r="D214" s="82">
        <f>IF(C214="","",Sheet3!E185)</f>
        <v>26.58</v>
      </c>
      <c r="E214" s="56">
        <f>_xlfn.XLOOKUP(WEEKNUM(C214)&amp;YEAR(C214),Sheet4!C:C,Sheet4!B:B,0)</f>
        <v>0</v>
      </c>
      <c r="F214" s="46">
        <f>IF(int=Weekly,-$D$5,IF(int=Bi_Weekly,0,IF(int=Monthly,0,IF(int=Quarterly,0,IF(int=Yearly,0,IF(int=None,0,0))))))</f>
        <v>0</v>
      </c>
      <c r="G214" s="46"/>
      <c r="H214" s="46">
        <f t="shared" si="75"/>
        <v>-4550</v>
      </c>
      <c r="I214" s="47"/>
      <c r="J214" s="38">
        <f t="shared" si="62"/>
        <v>0</v>
      </c>
      <c r="K214" s="48"/>
      <c r="L214" s="48">
        <f t="shared" si="67"/>
        <v>184.69029227193982</v>
      </c>
      <c r="M214" s="48"/>
      <c r="N214" s="38">
        <f t="shared" si="68"/>
        <v>0</v>
      </c>
      <c r="O214" s="36">
        <f t="shared" si="69"/>
        <v>0</v>
      </c>
      <c r="P214" s="84">
        <f t="shared" si="70"/>
        <v>-5003.3513994609457</v>
      </c>
      <c r="Q214" s="38">
        <f t="shared" si="71"/>
        <v>0</v>
      </c>
      <c r="R214" s="48">
        <f t="shared" si="72"/>
        <v>18.24013197926099</v>
      </c>
      <c r="S214" s="38">
        <f t="shared" si="63"/>
        <v>202.9304242512008</v>
      </c>
      <c r="T214" s="50">
        <f t="shared" si="76"/>
        <v>4550</v>
      </c>
      <c r="U214" s="40">
        <f t="shared" si="77"/>
        <v>4909.0679685881605</v>
      </c>
      <c r="V214" s="41">
        <f t="shared" si="78"/>
        <v>7.8916037052342958E-2</v>
      </c>
      <c r="W214" s="39">
        <f t="shared" si="79"/>
        <v>359.06796858816051</v>
      </c>
      <c r="X214" s="50">
        <f t="shared" si="73"/>
        <v>453.82014947722223</v>
      </c>
      <c r="Y214" s="41">
        <f t="shared" si="80"/>
        <v>0.17865672924513909</v>
      </c>
      <c r="Z214" s="52"/>
      <c r="AA214" s="50">
        <f t="shared" si="86"/>
        <v>5003.820149477222</v>
      </c>
      <c r="AB214" s="39">
        <f t="shared" si="87"/>
        <v>5393.8906765969177</v>
      </c>
      <c r="AC214" s="39">
        <f t="shared" si="81"/>
        <v>390.07052711969573</v>
      </c>
      <c r="AD214" s="41">
        <f t="shared" si="82"/>
        <v>7.7954545820446475E-2</v>
      </c>
      <c r="AF214" s="46">
        <f t="shared" si="64"/>
        <v>0</v>
      </c>
      <c r="AG214" s="46">
        <f t="shared" si="83"/>
        <v>0</v>
      </c>
      <c r="AH214" s="54">
        <f t="shared" si="65"/>
        <v>1281</v>
      </c>
      <c r="AI214" s="55">
        <f t="shared" si="74"/>
        <v>0.79621380846325163</v>
      </c>
      <c r="AJ214" s="55">
        <f t="shared" si="84"/>
        <v>0</v>
      </c>
      <c r="AK214" s="55">
        <f t="shared" si="85"/>
        <v>0</v>
      </c>
    </row>
    <row r="215" spans="2:37" s="53" customFormat="1" ht="17.25" customHeight="1" x14ac:dyDescent="0.25">
      <c r="B215" s="91" t="str">
        <f t="shared" si="66"/>
        <v/>
      </c>
      <c r="C215" s="81">
        <f>IF(Sheet3!A186="","",Sheet3!A186)</f>
        <v>38915</v>
      </c>
      <c r="D215" s="82">
        <f>IF(C215="","",Sheet3!E186)</f>
        <v>27.34</v>
      </c>
      <c r="E215" s="56">
        <f>_xlfn.XLOOKUP(WEEKNUM(C215)&amp;YEAR(C215),Sheet4!C:C,Sheet4!B:B,0)</f>
        <v>0</v>
      </c>
      <c r="F215" s="46">
        <f>IF(int=Weekly,-$D$5,IF(int=Bi_Weekly,-$D$5,IF(int=Monthly,-$D$5,IF(int=Quarterly,0,IF(int=Yearly,0,IF(int=None,0,0))))))</f>
        <v>-100</v>
      </c>
      <c r="G215" s="46"/>
      <c r="H215" s="46">
        <f t="shared" si="75"/>
        <v>-4650</v>
      </c>
      <c r="I215" s="47"/>
      <c r="J215" s="38">
        <f t="shared" si="62"/>
        <v>3.6576444769568397</v>
      </c>
      <c r="K215" s="48"/>
      <c r="L215" s="48">
        <f t="shared" si="67"/>
        <v>188.34793674889667</v>
      </c>
      <c r="M215" s="48"/>
      <c r="N215" s="38">
        <f t="shared" si="68"/>
        <v>0</v>
      </c>
      <c r="O215" s="36">
        <f t="shared" si="69"/>
        <v>0</v>
      </c>
      <c r="P215" s="84">
        <f t="shared" si="70"/>
        <v>-5103.3513994609457</v>
      </c>
      <c r="Q215" s="38">
        <f t="shared" si="71"/>
        <v>0</v>
      </c>
      <c r="R215" s="48">
        <f t="shared" si="72"/>
        <v>18.24013197926099</v>
      </c>
      <c r="S215" s="38">
        <f t="shared" si="63"/>
        <v>206.58806872815765</v>
      </c>
      <c r="T215" s="50">
        <f t="shared" si="76"/>
        <v>4650</v>
      </c>
      <c r="U215" s="40">
        <f t="shared" si="77"/>
        <v>5149.432590714835</v>
      </c>
      <c r="V215" s="41">
        <f t="shared" si="78"/>
        <v>0.10740485821824408</v>
      </c>
      <c r="W215" s="39">
        <f t="shared" si="79"/>
        <v>499.43259071483499</v>
      </c>
      <c r="X215" s="50">
        <f t="shared" si="73"/>
        <v>453.82014947722223</v>
      </c>
      <c r="Y215" s="41">
        <f t="shared" si="80"/>
        <v>0.20500058928861442</v>
      </c>
      <c r="Z215" s="52"/>
      <c r="AA215" s="50">
        <f t="shared" si="86"/>
        <v>5103.820149477222</v>
      </c>
      <c r="AB215" s="39">
        <f t="shared" si="87"/>
        <v>5648.1177990278302</v>
      </c>
      <c r="AC215" s="39">
        <f t="shared" si="81"/>
        <v>544.29764955060818</v>
      </c>
      <c r="AD215" s="41">
        <f t="shared" si="82"/>
        <v>0.106645146891855</v>
      </c>
      <c r="AF215" s="46">
        <f t="shared" si="64"/>
        <v>-100</v>
      </c>
      <c r="AG215" s="46">
        <f t="shared" si="83"/>
        <v>-100</v>
      </c>
      <c r="AH215" s="54">
        <f t="shared" si="65"/>
        <v>1288</v>
      </c>
      <c r="AI215" s="55">
        <f t="shared" si="74"/>
        <v>0.7951002227171492</v>
      </c>
      <c r="AJ215" s="55">
        <f t="shared" si="84"/>
        <v>-79.510022271714917</v>
      </c>
      <c r="AK215" s="55">
        <f t="shared" si="85"/>
        <v>-79.510022271714917</v>
      </c>
    </row>
    <row r="216" spans="2:37" s="53" customFormat="1" ht="17.25" customHeight="1" x14ac:dyDescent="0.25">
      <c r="B216" s="91" t="str">
        <f t="shared" si="66"/>
        <v/>
      </c>
      <c r="C216" s="81">
        <f>IF(Sheet3!A187="","",Sheet3!A187)</f>
        <v>38922</v>
      </c>
      <c r="D216" s="82">
        <f>IF(C216="","",Sheet3!E187)</f>
        <v>30.059999000000001</v>
      </c>
      <c r="E216" s="56">
        <f>_xlfn.XLOOKUP(WEEKNUM(C216)&amp;YEAR(C216),Sheet4!C:C,Sheet4!B:B,0)</f>
        <v>0</v>
      </c>
      <c r="F216" s="46">
        <f>IF(int=Weekly,-$D$5,IF(int=Bi_Weekly,0,IF(int=Monthly,0,IF(int=Quarterly,0,IF(int=Yearly,0,IF(int=None,0,0))))))</f>
        <v>0</v>
      </c>
      <c r="G216" s="46"/>
      <c r="H216" s="46">
        <f t="shared" si="75"/>
        <v>-4650</v>
      </c>
      <c r="I216" s="47"/>
      <c r="J216" s="38">
        <f t="shared" si="62"/>
        <v>0</v>
      </c>
      <c r="K216" s="48"/>
      <c r="L216" s="48">
        <f t="shared" si="67"/>
        <v>188.34793674889667</v>
      </c>
      <c r="M216" s="48"/>
      <c r="N216" s="38">
        <f t="shared" si="68"/>
        <v>0</v>
      </c>
      <c r="O216" s="36">
        <f t="shared" si="69"/>
        <v>0</v>
      </c>
      <c r="P216" s="84">
        <f t="shared" si="70"/>
        <v>-5103.3513994609457</v>
      </c>
      <c r="Q216" s="38">
        <f t="shared" si="71"/>
        <v>0</v>
      </c>
      <c r="R216" s="48">
        <f t="shared" si="72"/>
        <v>18.24013197926099</v>
      </c>
      <c r="S216" s="38">
        <f t="shared" si="63"/>
        <v>206.58806872815765</v>
      </c>
      <c r="T216" s="50">
        <f t="shared" si="76"/>
        <v>4650</v>
      </c>
      <c r="U216" s="40">
        <f t="shared" si="77"/>
        <v>5661.7387903238978</v>
      </c>
      <c r="V216" s="41">
        <f t="shared" si="78"/>
        <v>0.21757823447825753</v>
      </c>
      <c r="W216" s="39">
        <f t="shared" si="79"/>
        <v>1011.7387903238978</v>
      </c>
      <c r="X216" s="50">
        <f t="shared" si="73"/>
        <v>453.82014947722223</v>
      </c>
      <c r="Y216" s="41">
        <f t="shared" si="80"/>
        <v>0.31517396554862787</v>
      </c>
      <c r="Z216" s="52"/>
      <c r="AA216" s="50">
        <f t="shared" si="86"/>
        <v>5103.820149477222</v>
      </c>
      <c r="AB216" s="39">
        <f t="shared" si="87"/>
        <v>6210.0371393803507</v>
      </c>
      <c r="AC216" s="39">
        <f t="shared" si="81"/>
        <v>1106.2169899031287</v>
      </c>
      <c r="AD216" s="41">
        <f t="shared" si="82"/>
        <v>0.21674294107256831</v>
      </c>
      <c r="AF216" s="46">
        <f t="shared" si="64"/>
        <v>0</v>
      </c>
      <c r="AG216" s="46">
        <f t="shared" si="83"/>
        <v>0</v>
      </c>
      <c r="AH216" s="54">
        <f t="shared" si="65"/>
        <v>1295</v>
      </c>
      <c r="AI216" s="55">
        <f t="shared" si="74"/>
        <v>0.79398663697104677</v>
      </c>
      <c r="AJ216" s="55">
        <f t="shared" si="84"/>
        <v>0</v>
      </c>
      <c r="AK216" s="55">
        <f t="shared" si="85"/>
        <v>0</v>
      </c>
    </row>
    <row r="217" spans="2:37" s="53" customFormat="1" ht="17.25" customHeight="1" x14ac:dyDescent="0.25">
      <c r="B217" s="91" t="str">
        <f t="shared" si="66"/>
        <v/>
      </c>
      <c r="C217" s="81">
        <f>IF(Sheet3!A188="","",Sheet3!A188)</f>
        <v>38929</v>
      </c>
      <c r="D217" s="82">
        <f>IF(C217="","",Sheet3!E188)</f>
        <v>30.969999000000001</v>
      </c>
      <c r="E217" s="56">
        <f>_xlfn.XLOOKUP(WEEKNUM(C217)&amp;YEAR(C217),Sheet4!C:C,Sheet4!B:B,0)</f>
        <v>0</v>
      </c>
      <c r="F217" s="46">
        <f>IF(int=Weekly,-$D$5,IF(int=Bi_Weekly,-$D$5,IF(int=Monthly,0,IF(int=Quarterly,0,IF(int=Yearly,0,IF(int=None,0,0))))))</f>
        <v>0</v>
      </c>
      <c r="G217" s="46"/>
      <c r="H217" s="46">
        <f t="shared" si="75"/>
        <v>-4650</v>
      </c>
      <c r="I217" s="47"/>
      <c r="J217" s="38">
        <f t="shared" si="62"/>
        <v>0</v>
      </c>
      <c r="K217" s="48"/>
      <c r="L217" s="48">
        <f t="shared" si="67"/>
        <v>188.34793674889667</v>
      </c>
      <c r="M217" s="48"/>
      <c r="N217" s="38">
        <f t="shared" si="68"/>
        <v>0</v>
      </c>
      <c r="O217" s="36">
        <f t="shared" si="69"/>
        <v>0</v>
      </c>
      <c r="P217" s="84">
        <f t="shared" si="70"/>
        <v>-5103.3513994609457</v>
      </c>
      <c r="Q217" s="38">
        <f t="shared" si="71"/>
        <v>0</v>
      </c>
      <c r="R217" s="48">
        <f t="shared" si="72"/>
        <v>18.24013197926099</v>
      </c>
      <c r="S217" s="38">
        <f t="shared" si="63"/>
        <v>206.58806872815765</v>
      </c>
      <c r="T217" s="50">
        <f t="shared" si="76"/>
        <v>4650</v>
      </c>
      <c r="U217" s="40">
        <f t="shared" si="77"/>
        <v>5833.1354127653931</v>
      </c>
      <c r="V217" s="41">
        <f t="shared" si="78"/>
        <v>0.2544377231753534</v>
      </c>
      <c r="W217" s="39">
        <f t="shared" si="79"/>
        <v>1183.1354127653931</v>
      </c>
      <c r="X217" s="50">
        <f t="shared" si="73"/>
        <v>453.82014947722223</v>
      </c>
      <c r="Y217" s="41">
        <f t="shared" si="80"/>
        <v>0.35203345424572374</v>
      </c>
      <c r="Z217" s="52"/>
      <c r="AA217" s="50">
        <f t="shared" si="86"/>
        <v>5103.820149477222</v>
      </c>
      <c r="AB217" s="39">
        <f t="shared" si="87"/>
        <v>6398.0322819229741</v>
      </c>
      <c r="AC217" s="39">
        <f t="shared" si="81"/>
        <v>1294.2121324457521</v>
      </c>
      <c r="AD217" s="41">
        <f t="shared" si="82"/>
        <v>0.25357714310883717</v>
      </c>
      <c r="AF217" s="46">
        <f t="shared" si="64"/>
        <v>0</v>
      </c>
      <c r="AG217" s="46">
        <f t="shared" si="83"/>
        <v>0</v>
      </c>
      <c r="AH217" s="54">
        <f t="shared" si="65"/>
        <v>1302</v>
      </c>
      <c r="AI217" s="55">
        <f t="shared" si="74"/>
        <v>0.79287305122494434</v>
      </c>
      <c r="AJ217" s="55">
        <f t="shared" si="84"/>
        <v>0</v>
      </c>
      <c r="AK217" s="55">
        <f t="shared" si="85"/>
        <v>0</v>
      </c>
    </row>
    <row r="218" spans="2:37" s="53" customFormat="1" ht="17.25" customHeight="1" x14ac:dyDescent="0.25">
      <c r="B218" s="91" t="str">
        <f t="shared" si="66"/>
        <v/>
      </c>
      <c r="C218" s="81">
        <f>IF(Sheet3!A189="","",Sheet3!A189)</f>
        <v>38936</v>
      </c>
      <c r="D218" s="82">
        <f>IF(C218="","",Sheet3!E189)</f>
        <v>30.219999000000001</v>
      </c>
      <c r="E218" s="56">
        <f>_xlfn.XLOOKUP(WEEKNUM(C218)&amp;YEAR(C218),Sheet4!C:C,Sheet4!B:B,0)</f>
        <v>0</v>
      </c>
      <c r="F218" s="46">
        <f>IF(int=Weekly,-$D$5,IF(int=Bi_Weekly,0,IF(int=Monthly,0,IF(int=Quarterly,0,IF(int=Yearly,0,IF(int=None,0,0))))))</f>
        <v>0</v>
      </c>
      <c r="G218" s="46"/>
      <c r="H218" s="46">
        <f t="shared" si="75"/>
        <v>-4650</v>
      </c>
      <c r="I218" s="47"/>
      <c r="J218" s="38">
        <f t="shared" si="62"/>
        <v>0</v>
      </c>
      <c r="K218" s="48"/>
      <c r="L218" s="48">
        <f t="shared" si="67"/>
        <v>188.34793674889667</v>
      </c>
      <c r="M218" s="48"/>
      <c r="N218" s="38">
        <f t="shared" si="68"/>
        <v>0</v>
      </c>
      <c r="O218" s="36">
        <f t="shared" si="69"/>
        <v>0</v>
      </c>
      <c r="P218" s="84">
        <f t="shared" si="70"/>
        <v>-5103.3513994609457</v>
      </c>
      <c r="Q218" s="38">
        <f t="shared" si="71"/>
        <v>0</v>
      </c>
      <c r="R218" s="48">
        <f t="shared" si="72"/>
        <v>18.24013197926099</v>
      </c>
      <c r="S218" s="38">
        <f t="shared" si="63"/>
        <v>206.58806872815765</v>
      </c>
      <c r="T218" s="50">
        <f t="shared" si="76"/>
        <v>4650</v>
      </c>
      <c r="U218" s="40">
        <f t="shared" si="77"/>
        <v>5691.8744602037214</v>
      </c>
      <c r="V218" s="41">
        <f t="shared" si="78"/>
        <v>0.22405902369972508</v>
      </c>
      <c r="W218" s="39">
        <f t="shared" si="79"/>
        <v>1041.8744602037214</v>
      </c>
      <c r="X218" s="50">
        <f t="shared" si="73"/>
        <v>453.82014947722223</v>
      </c>
      <c r="Y218" s="41">
        <f t="shared" si="80"/>
        <v>0.32165475477009542</v>
      </c>
      <c r="Z218" s="52"/>
      <c r="AA218" s="50">
        <f t="shared" si="86"/>
        <v>5103.820149477222</v>
      </c>
      <c r="AB218" s="39">
        <f t="shared" si="87"/>
        <v>6243.0912303768564</v>
      </c>
      <c r="AC218" s="39">
        <f t="shared" si="81"/>
        <v>1139.2710808996344</v>
      </c>
      <c r="AD218" s="41">
        <f t="shared" si="82"/>
        <v>0.22321928428773652</v>
      </c>
      <c r="AF218" s="46">
        <f t="shared" si="64"/>
        <v>0</v>
      </c>
      <c r="AG218" s="46">
        <f t="shared" si="83"/>
        <v>0</v>
      </c>
      <c r="AH218" s="54">
        <f t="shared" si="65"/>
        <v>1309</v>
      </c>
      <c r="AI218" s="55">
        <f t="shared" si="74"/>
        <v>0.79175946547884191</v>
      </c>
      <c r="AJ218" s="55">
        <f t="shared" si="84"/>
        <v>0</v>
      </c>
      <c r="AK218" s="55">
        <f t="shared" si="85"/>
        <v>0</v>
      </c>
    </row>
    <row r="219" spans="2:37" s="53" customFormat="1" ht="17.25" customHeight="1" x14ac:dyDescent="0.25">
      <c r="B219" s="91" t="str">
        <f t="shared" si="66"/>
        <v/>
      </c>
      <c r="C219" s="81">
        <f>IF(Sheet3!A190="","",Sheet3!A190)</f>
        <v>38943</v>
      </c>
      <c r="D219" s="82">
        <f>IF(C219="","",Sheet3!E190)</f>
        <v>30.51</v>
      </c>
      <c r="E219" s="56">
        <f>_xlfn.XLOOKUP(WEEKNUM(C219)&amp;YEAR(C219),Sheet4!C:C,Sheet4!B:B,0)</f>
        <v>0</v>
      </c>
      <c r="F219" s="46">
        <f>IF(int=Weekly,-$D$5,IF(int=Bi_Weekly,-$D$5,IF(int=Monthly,-$D$5,IF(int=Quarterly,0,IF(int=Yearly,0,IF(int=None,0,0))))))</f>
        <v>-100</v>
      </c>
      <c r="G219" s="46"/>
      <c r="H219" s="46">
        <f t="shared" si="75"/>
        <v>-4750</v>
      </c>
      <c r="I219" s="47"/>
      <c r="J219" s="38">
        <f t="shared" si="62"/>
        <v>3.2776138970829236</v>
      </c>
      <c r="K219" s="48"/>
      <c r="L219" s="48">
        <f t="shared" si="67"/>
        <v>191.62555064597959</v>
      </c>
      <c r="M219" s="48"/>
      <c r="N219" s="38">
        <f t="shared" si="68"/>
        <v>0</v>
      </c>
      <c r="O219" s="36">
        <f t="shared" si="69"/>
        <v>0</v>
      </c>
      <c r="P219" s="84">
        <f t="shared" si="70"/>
        <v>-5203.3513994609457</v>
      </c>
      <c r="Q219" s="38">
        <f t="shared" si="71"/>
        <v>0</v>
      </c>
      <c r="R219" s="48">
        <f t="shared" si="72"/>
        <v>18.24013197926099</v>
      </c>
      <c r="S219" s="38">
        <f t="shared" si="63"/>
        <v>209.86568262524057</v>
      </c>
      <c r="T219" s="50">
        <f t="shared" si="76"/>
        <v>4750</v>
      </c>
      <c r="U219" s="40">
        <f t="shared" si="77"/>
        <v>5846.4955502088378</v>
      </c>
      <c r="V219" s="41">
        <f t="shared" si="78"/>
        <v>0.23084116846501845</v>
      </c>
      <c r="W219" s="39">
        <f t="shared" si="79"/>
        <v>1096.4955502088378</v>
      </c>
      <c r="X219" s="50">
        <f t="shared" si="73"/>
        <v>453.82014947722223</v>
      </c>
      <c r="Y219" s="41">
        <f t="shared" si="80"/>
        <v>0.32638225256548625</v>
      </c>
      <c r="Z219" s="52"/>
      <c r="AA219" s="50">
        <f t="shared" si="86"/>
        <v>5203.820149477222</v>
      </c>
      <c r="AB219" s="39">
        <f t="shared" si="87"/>
        <v>6403.001976896091</v>
      </c>
      <c r="AC219" s="39">
        <f t="shared" si="81"/>
        <v>1199.181827418869</v>
      </c>
      <c r="AD219" s="41">
        <f t="shared" si="82"/>
        <v>0.23044259658730515</v>
      </c>
      <c r="AF219" s="46">
        <f t="shared" si="64"/>
        <v>-100</v>
      </c>
      <c r="AG219" s="46">
        <f t="shared" si="83"/>
        <v>-100</v>
      </c>
      <c r="AH219" s="54">
        <f t="shared" si="65"/>
        <v>1316</v>
      </c>
      <c r="AI219" s="55">
        <f t="shared" si="74"/>
        <v>0.79064587973273948</v>
      </c>
      <c r="AJ219" s="55">
        <f t="shared" si="84"/>
        <v>-79.064587973273944</v>
      </c>
      <c r="AK219" s="55">
        <f t="shared" si="85"/>
        <v>-79.064587973273944</v>
      </c>
    </row>
    <row r="220" spans="2:37" s="53" customFormat="1" ht="17.25" customHeight="1" x14ac:dyDescent="0.25">
      <c r="B220" s="91" t="str">
        <f t="shared" si="66"/>
        <v/>
      </c>
      <c r="C220" s="81">
        <f>IF(Sheet3!A191="","",Sheet3!A191)</f>
        <v>38950</v>
      </c>
      <c r="D220" s="82">
        <f>IF(C220="","",Sheet3!E191)</f>
        <v>30.629999000000002</v>
      </c>
      <c r="E220" s="56">
        <f>_xlfn.XLOOKUP(WEEKNUM(C220)&amp;YEAR(C220),Sheet4!C:C,Sheet4!B:B,0)</f>
        <v>0</v>
      </c>
      <c r="F220" s="46">
        <f>IF(int=Weekly,-$D$5,IF(int=Bi_Weekly,0,IF(int=Monthly,0,IF(int=Quarterly,0,IF(int=Yearly,0,IF(int=None,0,0))))))</f>
        <v>0</v>
      </c>
      <c r="G220" s="46"/>
      <c r="H220" s="46">
        <f t="shared" si="75"/>
        <v>-4750</v>
      </c>
      <c r="I220" s="47"/>
      <c r="J220" s="38">
        <f t="shared" si="62"/>
        <v>0</v>
      </c>
      <c r="K220" s="48"/>
      <c r="L220" s="48">
        <f t="shared" si="67"/>
        <v>191.62555064597959</v>
      </c>
      <c r="M220" s="48"/>
      <c r="N220" s="38">
        <f t="shared" si="68"/>
        <v>0</v>
      </c>
      <c r="O220" s="36">
        <f t="shared" si="69"/>
        <v>0</v>
      </c>
      <c r="P220" s="84">
        <f t="shared" si="70"/>
        <v>-5203.3513994609457</v>
      </c>
      <c r="Q220" s="38">
        <f t="shared" si="71"/>
        <v>0</v>
      </c>
      <c r="R220" s="48">
        <f t="shared" si="72"/>
        <v>18.24013197926099</v>
      </c>
      <c r="S220" s="38">
        <f t="shared" si="63"/>
        <v>209.86568262524057</v>
      </c>
      <c r="T220" s="50">
        <f t="shared" si="76"/>
        <v>4750</v>
      </c>
      <c r="U220" s="40">
        <f t="shared" si="77"/>
        <v>5869.4904246608048</v>
      </c>
      <c r="V220" s="41">
        <f t="shared" si="78"/>
        <v>0.23568219466543261</v>
      </c>
      <c r="W220" s="39">
        <f t="shared" si="79"/>
        <v>1119.4904246608048</v>
      </c>
      <c r="X220" s="50">
        <f t="shared" si="73"/>
        <v>453.82014947722223</v>
      </c>
      <c r="Y220" s="41">
        <f t="shared" si="80"/>
        <v>0.33122327876590041</v>
      </c>
      <c r="Z220" s="52"/>
      <c r="AA220" s="50">
        <f t="shared" si="86"/>
        <v>5203.820149477222</v>
      </c>
      <c r="AB220" s="39">
        <f t="shared" si="87"/>
        <v>6428.1856489454367</v>
      </c>
      <c r="AC220" s="39">
        <f t="shared" si="81"/>
        <v>1224.3654994682147</v>
      </c>
      <c r="AD220" s="41">
        <f t="shared" si="82"/>
        <v>0.23528205516311229</v>
      </c>
      <c r="AF220" s="46">
        <f t="shared" si="64"/>
        <v>0</v>
      </c>
      <c r="AG220" s="46">
        <f t="shared" si="83"/>
        <v>0</v>
      </c>
      <c r="AH220" s="54">
        <f t="shared" si="65"/>
        <v>1323</v>
      </c>
      <c r="AI220" s="55">
        <f t="shared" si="74"/>
        <v>0.78953229398663693</v>
      </c>
      <c r="AJ220" s="55">
        <f t="shared" si="84"/>
        <v>0</v>
      </c>
      <c r="AK220" s="55">
        <f t="shared" si="85"/>
        <v>0</v>
      </c>
    </row>
    <row r="221" spans="2:37" s="53" customFormat="1" ht="17.25" customHeight="1" x14ac:dyDescent="0.25">
      <c r="B221" s="91" t="str">
        <f t="shared" si="66"/>
        <v/>
      </c>
      <c r="C221" s="81">
        <f>IF(Sheet3!A192="","",Sheet3!A192)</f>
        <v>38957</v>
      </c>
      <c r="D221" s="82">
        <f>IF(C221="","",Sheet3!E192)</f>
        <v>31.610001</v>
      </c>
      <c r="E221" s="56">
        <f>_xlfn.XLOOKUP(WEEKNUM(C221)&amp;YEAR(C221),Sheet4!C:C,Sheet4!B:B,0)</f>
        <v>0</v>
      </c>
      <c r="F221" s="46">
        <f>IF(int=Weekly,-$D$5,IF(int=Bi_Weekly,-$D$5,IF(int=Monthly,0,IF(int=Quarterly,0,IF(int=Yearly,0,IF(int=None,0,0))))))</f>
        <v>0</v>
      </c>
      <c r="G221" s="46"/>
      <c r="H221" s="46">
        <f t="shared" si="75"/>
        <v>-4750</v>
      </c>
      <c r="I221" s="47"/>
      <c r="J221" s="38">
        <f t="shared" si="62"/>
        <v>0</v>
      </c>
      <c r="K221" s="48"/>
      <c r="L221" s="48">
        <f t="shared" si="67"/>
        <v>191.62555064597959</v>
      </c>
      <c r="M221" s="48"/>
      <c r="N221" s="38">
        <f t="shared" si="68"/>
        <v>0</v>
      </c>
      <c r="O221" s="36">
        <f t="shared" si="69"/>
        <v>0</v>
      </c>
      <c r="P221" s="84">
        <f t="shared" si="70"/>
        <v>-5203.3513994609457</v>
      </c>
      <c r="Q221" s="38">
        <f t="shared" si="71"/>
        <v>0</v>
      </c>
      <c r="R221" s="48">
        <f t="shared" si="72"/>
        <v>18.24013197926099</v>
      </c>
      <c r="S221" s="38">
        <f t="shared" si="63"/>
        <v>209.86568262524057</v>
      </c>
      <c r="T221" s="50">
        <f t="shared" si="76"/>
        <v>4750</v>
      </c>
      <c r="U221" s="40">
        <f t="shared" si="77"/>
        <v>6057.2838475449653</v>
      </c>
      <c r="V221" s="41">
        <f t="shared" si="78"/>
        <v>0.27521765211472959</v>
      </c>
      <c r="W221" s="39">
        <f t="shared" si="79"/>
        <v>1307.2838475449653</v>
      </c>
      <c r="X221" s="50">
        <f t="shared" si="73"/>
        <v>453.82014947722223</v>
      </c>
      <c r="Y221" s="41">
        <f t="shared" si="80"/>
        <v>0.37075873621519739</v>
      </c>
      <c r="Z221" s="52"/>
      <c r="AA221" s="50">
        <f t="shared" si="86"/>
        <v>5203.820149477222</v>
      </c>
      <c r="AB221" s="39">
        <f t="shared" si="87"/>
        <v>6633.8544376495374</v>
      </c>
      <c r="AC221" s="39">
        <f t="shared" si="81"/>
        <v>1430.0342881723154</v>
      </c>
      <c r="AD221" s="41">
        <f t="shared" si="82"/>
        <v>0.27480471021197328</v>
      </c>
      <c r="AF221" s="46">
        <f t="shared" si="64"/>
        <v>0</v>
      </c>
      <c r="AG221" s="46">
        <f t="shared" si="83"/>
        <v>0</v>
      </c>
      <c r="AH221" s="54">
        <f t="shared" si="65"/>
        <v>1330</v>
      </c>
      <c r="AI221" s="55">
        <f t="shared" si="74"/>
        <v>0.7884187082405345</v>
      </c>
      <c r="AJ221" s="55">
        <f t="shared" si="84"/>
        <v>0</v>
      </c>
      <c r="AK221" s="55">
        <f t="shared" si="85"/>
        <v>0</v>
      </c>
    </row>
    <row r="222" spans="2:37" s="53" customFormat="1" ht="17.25" customHeight="1" x14ac:dyDescent="0.25">
      <c r="B222" s="91" t="str">
        <f t="shared" si="66"/>
        <v/>
      </c>
      <c r="C222" s="81">
        <f>IF(Sheet3!A193="","",Sheet3!A193)</f>
        <v>38964</v>
      </c>
      <c r="D222" s="82">
        <f>IF(C222="","",Sheet3!E193)</f>
        <v>31.35</v>
      </c>
      <c r="E222" s="56">
        <f>_xlfn.XLOOKUP(WEEKNUM(C222)&amp;YEAR(C222),Sheet4!C:C,Sheet4!B:B,0)</f>
        <v>0</v>
      </c>
      <c r="F222" s="46">
        <f>IF(int=Weekly,-$D$5,IF(int=Bi_Weekly,0,IF(int=Monthly,0,IF(int=Quarterly,0,IF(int=Yearly,0,IF(int=None,0,0))))))</f>
        <v>0</v>
      </c>
      <c r="G222" s="46"/>
      <c r="H222" s="46">
        <f t="shared" si="75"/>
        <v>-4750</v>
      </c>
      <c r="I222" s="47"/>
      <c r="J222" s="38">
        <f t="shared" si="62"/>
        <v>0</v>
      </c>
      <c r="K222" s="48"/>
      <c r="L222" s="48">
        <f t="shared" si="67"/>
        <v>191.62555064597959</v>
      </c>
      <c r="M222" s="48"/>
      <c r="N222" s="38">
        <f t="shared" si="68"/>
        <v>0</v>
      </c>
      <c r="O222" s="36">
        <f t="shared" si="69"/>
        <v>0</v>
      </c>
      <c r="P222" s="84">
        <f t="shared" si="70"/>
        <v>-5203.3513994609457</v>
      </c>
      <c r="Q222" s="38">
        <f t="shared" si="71"/>
        <v>0</v>
      </c>
      <c r="R222" s="48">
        <f t="shared" si="72"/>
        <v>18.24013197926099</v>
      </c>
      <c r="S222" s="38">
        <f t="shared" si="63"/>
        <v>209.86568262524057</v>
      </c>
      <c r="T222" s="50">
        <f t="shared" si="76"/>
        <v>4750</v>
      </c>
      <c r="U222" s="40">
        <f t="shared" si="77"/>
        <v>6007.4610127514607</v>
      </c>
      <c r="V222" s="41">
        <f t="shared" si="78"/>
        <v>0.26472863426346538</v>
      </c>
      <c r="W222" s="39">
        <f t="shared" si="79"/>
        <v>1257.4610127514607</v>
      </c>
      <c r="X222" s="50">
        <f t="shared" si="73"/>
        <v>453.82014947722223</v>
      </c>
      <c r="Y222" s="41">
        <f t="shared" si="80"/>
        <v>0.36026971836393318</v>
      </c>
      <c r="Z222" s="52"/>
      <c r="AA222" s="50">
        <f t="shared" si="86"/>
        <v>5203.820149477222</v>
      </c>
      <c r="AB222" s="39">
        <f t="shared" si="87"/>
        <v>6579.2891503012925</v>
      </c>
      <c r="AC222" s="39">
        <f t="shared" si="81"/>
        <v>1375.4690008240705</v>
      </c>
      <c r="AD222" s="41">
        <f t="shared" si="82"/>
        <v>0.26431908892205858</v>
      </c>
      <c r="AF222" s="46">
        <f t="shared" si="64"/>
        <v>0</v>
      </c>
      <c r="AG222" s="46">
        <f t="shared" si="83"/>
        <v>0</v>
      </c>
      <c r="AH222" s="54">
        <f t="shared" si="65"/>
        <v>1337</v>
      </c>
      <c r="AI222" s="55">
        <f t="shared" si="74"/>
        <v>0.78730512249443207</v>
      </c>
      <c r="AJ222" s="55">
        <f t="shared" si="84"/>
        <v>0</v>
      </c>
      <c r="AK222" s="55">
        <f t="shared" si="85"/>
        <v>0</v>
      </c>
    </row>
    <row r="223" spans="2:37" s="53" customFormat="1" ht="17.25" customHeight="1" x14ac:dyDescent="0.25">
      <c r="B223" s="91" t="str">
        <f t="shared" si="66"/>
        <v/>
      </c>
      <c r="C223" s="81">
        <f>IF(Sheet3!A194="","",Sheet3!A194)</f>
        <v>38971</v>
      </c>
      <c r="D223" s="82">
        <f>IF(C223="","",Sheet3!E194)</f>
        <v>31.860001</v>
      </c>
      <c r="E223" s="56">
        <f>_xlfn.XLOOKUP(WEEKNUM(C223)&amp;YEAR(C223),Sheet4!C:C,Sheet4!B:B,0)</f>
        <v>0</v>
      </c>
      <c r="F223" s="46">
        <f>IF(int=Weekly,-$D$5,IF(int=Bi_Weekly,-$D$5,IF(int=Monthly,-$D$5,IF(int=Quarterly,0,IF(int=Yearly,0,IF(int=None,0,0))))))</f>
        <v>-100</v>
      </c>
      <c r="G223" s="46"/>
      <c r="H223" s="46">
        <f t="shared" si="75"/>
        <v>-4850</v>
      </c>
      <c r="I223" s="47"/>
      <c r="J223" s="38">
        <f t="shared" ref="J223:J286" si="88">IF(D$24=0,"",ABS($F223*D$24)/D223)</f>
        <v>3.1387318537748947</v>
      </c>
      <c r="K223" s="48"/>
      <c r="L223" s="48">
        <f t="shared" si="67"/>
        <v>194.76428249975447</v>
      </c>
      <c r="M223" s="48"/>
      <c r="N223" s="38">
        <f t="shared" si="68"/>
        <v>0</v>
      </c>
      <c r="O223" s="36">
        <f t="shared" si="69"/>
        <v>0</v>
      </c>
      <c r="P223" s="84">
        <f t="shared" si="70"/>
        <v>-5303.3513994609457</v>
      </c>
      <c r="Q223" s="38">
        <f t="shared" si="71"/>
        <v>0</v>
      </c>
      <c r="R223" s="48">
        <f t="shared" si="72"/>
        <v>18.24013197926099</v>
      </c>
      <c r="S223" s="38">
        <f t="shared" ref="S223:S286" si="89">IF(D223=0,"",L223+R223)</f>
        <v>213.00441447901545</v>
      </c>
      <c r="T223" s="50">
        <f t="shared" si="76"/>
        <v>4850</v>
      </c>
      <c r="U223" s="40">
        <f t="shared" si="77"/>
        <v>6205.1902352064599</v>
      </c>
      <c r="V223" s="41">
        <f t="shared" si="78"/>
        <v>0.27942066705287827</v>
      </c>
      <c r="W223" s="39">
        <f t="shared" si="79"/>
        <v>1355.1902352064599</v>
      </c>
      <c r="X223" s="50">
        <f t="shared" si="73"/>
        <v>453.82014947722223</v>
      </c>
      <c r="Y223" s="41">
        <f t="shared" si="80"/>
        <v>0.37299183189354257</v>
      </c>
      <c r="Z223" s="52"/>
      <c r="AA223" s="50">
        <f t="shared" si="86"/>
        <v>5303.820149477222</v>
      </c>
      <c r="AB223" s="39">
        <f t="shared" si="87"/>
        <v>6786.3208583058467</v>
      </c>
      <c r="AC223" s="39">
        <f t="shared" si="81"/>
        <v>1482.5007088286247</v>
      </c>
      <c r="AD223" s="41">
        <f t="shared" si="82"/>
        <v>0.27951564477063751</v>
      </c>
      <c r="AF223" s="46">
        <f t="shared" ref="AF223:AF286" si="90">F223+ABS(O223)</f>
        <v>-100</v>
      </c>
      <c r="AG223" s="46">
        <f t="shared" si="83"/>
        <v>-100</v>
      </c>
      <c r="AH223" s="54">
        <f t="shared" ref="AH223:AH286" si="91">DATEDIF($C$31,C223,"d")</f>
        <v>1344</v>
      </c>
      <c r="AI223" s="55">
        <f t="shared" si="74"/>
        <v>0.78619153674832964</v>
      </c>
      <c r="AJ223" s="55">
        <f t="shared" si="84"/>
        <v>-78.619153674832958</v>
      </c>
      <c r="AK223" s="55">
        <f t="shared" si="85"/>
        <v>-78.619153674832958</v>
      </c>
    </row>
    <row r="224" spans="2:37" s="53" customFormat="1" ht="17.25" customHeight="1" x14ac:dyDescent="0.25">
      <c r="B224" s="91" t="str">
        <f t="shared" ref="B224:B287" si="92">IF(C223="","",IF(C$30&lt;C224,"",B223+1))</f>
        <v/>
      </c>
      <c r="C224" s="81">
        <f>IF(Sheet3!A195="","",Sheet3!A195)</f>
        <v>38978</v>
      </c>
      <c r="D224" s="82">
        <f>IF(C224="","",Sheet3!E195)</f>
        <v>32.900002000000001</v>
      </c>
      <c r="E224" s="56">
        <f>_xlfn.XLOOKUP(WEEKNUM(C224)&amp;YEAR(C224),Sheet4!C:C,Sheet4!B:B,0)</f>
        <v>0</v>
      </c>
      <c r="F224" s="46">
        <f>IF(int=Weekly,-$D$5,IF(int=Bi_Weekly,0,IF(int=Monthly,0,IF(int=Quarterly,0,IF(int=Yearly,0,IF(int=None,0,0))))))</f>
        <v>0</v>
      </c>
      <c r="G224" s="46"/>
      <c r="H224" s="46">
        <f t="shared" si="75"/>
        <v>-4850</v>
      </c>
      <c r="I224" s="47"/>
      <c r="J224" s="38">
        <f t="shared" si="88"/>
        <v>0</v>
      </c>
      <c r="K224" s="48"/>
      <c r="L224" s="48">
        <f t="shared" ref="L224:L287" si="93">IF(D224=0,"",L223+J224)</f>
        <v>194.76428249975447</v>
      </c>
      <c r="M224" s="48"/>
      <c r="N224" s="38">
        <f t="shared" ref="N224:N287" si="94">IF(D224=0,"",L224*E224)</f>
        <v>0</v>
      </c>
      <c r="O224" s="36">
        <f t="shared" ref="O224:O287" si="95">-(IF(D224=0,"",N224))</f>
        <v>0</v>
      </c>
      <c r="P224" s="84">
        <f t="shared" ref="P224:P287" si="96">P223+F224+O224</f>
        <v>-5303.3513994609457</v>
      </c>
      <c r="Q224" s="38">
        <f t="shared" ref="Q224:Q287" si="97">IF(D224=0,"",ABS($O224)/D224)</f>
        <v>0</v>
      </c>
      <c r="R224" s="48">
        <f t="shared" ref="R224:R287" si="98">IF(D224=0,"",Q224+R223)</f>
        <v>18.24013197926099</v>
      </c>
      <c r="S224" s="38">
        <f t="shared" si="89"/>
        <v>213.00441447901545</v>
      </c>
      <c r="T224" s="50">
        <f t="shared" si="76"/>
        <v>4850</v>
      </c>
      <c r="U224" s="40">
        <f t="shared" si="77"/>
        <v>6407.7452837704868</v>
      </c>
      <c r="V224" s="41">
        <f t="shared" si="78"/>
        <v>0.321184594591853</v>
      </c>
      <c r="W224" s="39">
        <f t="shared" si="79"/>
        <v>1557.7452837704868</v>
      </c>
      <c r="X224" s="50">
        <f t="shared" ref="X224:X287" si="99">ABS(O224)+X223</f>
        <v>453.82014947722223</v>
      </c>
      <c r="Y224" s="41">
        <f t="shared" si="80"/>
        <v>0.4147557594325173</v>
      </c>
      <c r="Z224" s="52"/>
      <c r="AA224" s="50">
        <f t="shared" si="86"/>
        <v>5303.820149477222</v>
      </c>
      <c r="AB224" s="39">
        <f t="shared" si="87"/>
        <v>7007.8456623684378</v>
      </c>
      <c r="AC224" s="39">
        <f t="shared" si="81"/>
        <v>1704.0255128912158</v>
      </c>
      <c r="AD224" s="41">
        <f t="shared" si="82"/>
        <v>0.32128267265230992</v>
      </c>
      <c r="AF224" s="46">
        <f t="shared" si="90"/>
        <v>0</v>
      </c>
      <c r="AG224" s="46">
        <f t="shared" si="83"/>
        <v>0</v>
      </c>
      <c r="AH224" s="54">
        <f t="shared" si="91"/>
        <v>1351</v>
      </c>
      <c r="AI224" s="55">
        <f t="shared" ref="AI224:AI287" si="100">(AH$30-AH224)/AH$30</f>
        <v>0.78507795100222721</v>
      </c>
      <c r="AJ224" s="55">
        <f t="shared" si="84"/>
        <v>0</v>
      </c>
      <c r="AK224" s="55">
        <f t="shared" si="85"/>
        <v>0</v>
      </c>
    </row>
    <row r="225" spans="2:37" s="53" customFormat="1" ht="17.25" customHeight="1" x14ac:dyDescent="0.25">
      <c r="B225" s="91" t="str">
        <f t="shared" si="92"/>
        <v/>
      </c>
      <c r="C225" s="81">
        <f>IF(Sheet3!A196="","",Sheet3!A196)</f>
        <v>38985</v>
      </c>
      <c r="D225" s="82">
        <f>IF(C225="","",Sheet3!E196)</f>
        <v>32.560001</v>
      </c>
      <c r="E225" s="56">
        <f>_xlfn.XLOOKUP(WEEKNUM(C225)&amp;YEAR(C225),Sheet4!C:C,Sheet4!B:B,0)</f>
        <v>0</v>
      </c>
      <c r="F225" s="46">
        <f>IF(int=Weekly,-$D$5,IF(int=Bi_Weekly,-$D$5,IF(int=Monthly,0,IF(int=Quarterly,0,IF(int=Yearly,0,IF(int=None,0,0))))))</f>
        <v>0</v>
      </c>
      <c r="G225" s="46"/>
      <c r="H225" s="46">
        <f t="shared" ref="H225:H288" si="101">H224+F225</f>
        <v>-4850</v>
      </c>
      <c r="I225" s="47"/>
      <c r="J225" s="38">
        <f t="shared" si="88"/>
        <v>0</v>
      </c>
      <c r="K225" s="48"/>
      <c r="L225" s="48">
        <f t="shared" si="93"/>
        <v>194.76428249975447</v>
      </c>
      <c r="M225" s="48"/>
      <c r="N225" s="38">
        <f t="shared" si="94"/>
        <v>0</v>
      </c>
      <c r="O225" s="36">
        <f t="shared" si="95"/>
        <v>0</v>
      </c>
      <c r="P225" s="84">
        <f t="shared" si="96"/>
        <v>-5303.3513994609457</v>
      </c>
      <c r="Q225" s="38">
        <f t="shared" si="97"/>
        <v>0</v>
      </c>
      <c r="R225" s="48">
        <f t="shared" si="98"/>
        <v>18.24013197926099</v>
      </c>
      <c r="S225" s="38">
        <f t="shared" si="89"/>
        <v>213.00441447901545</v>
      </c>
      <c r="T225" s="50">
        <f t="shared" ref="T225:T288" si="102">IF(D225=0,"",D225*J225)+T224</f>
        <v>4850</v>
      </c>
      <c r="U225" s="40">
        <f t="shared" ref="U225:U288" si="103">IF(D225=0,"",L225*D225)</f>
        <v>6341.5252329562882</v>
      </c>
      <c r="V225" s="41">
        <f t="shared" ref="V225:V288" si="104">(U225/T225)-1</f>
        <v>0.30753097586727596</v>
      </c>
      <c r="W225" s="39">
        <f t="shared" ref="W225:W288" si="105">U225-T225</f>
        <v>1491.5252329562882</v>
      </c>
      <c r="X225" s="50">
        <f t="shared" si="99"/>
        <v>453.82014947722223</v>
      </c>
      <c r="Y225" s="41">
        <f t="shared" ref="Y225:Y288" si="106">((U225+X225)/T225)-1</f>
        <v>0.40110214070794026</v>
      </c>
      <c r="Z225" s="52"/>
      <c r="AA225" s="50">
        <f t="shared" si="86"/>
        <v>5303.820149477222</v>
      </c>
      <c r="AB225" s="39">
        <f t="shared" si="87"/>
        <v>6935.4239484411582</v>
      </c>
      <c r="AC225" s="39">
        <f t="shared" ref="AC225:AC288" si="107">AB225-AA225</f>
        <v>1631.6037989639362</v>
      </c>
      <c r="AD225" s="41">
        <f t="shared" ref="AD225:AD288" si="108">(AB225/AA225)-1</f>
        <v>0.30762804035215208</v>
      </c>
      <c r="AF225" s="46">
        <f t="shared" si="90"/>
        <v>0</v>
      </c>
      <c r="AG225" s="46">
        <f t="shared" ref="AG225:AG288" si="109">F225</f>
        <v>0</v>
      </c>
      <c r="AH225" s="54">
        <f t="shared" si="91"/>
        <v>1358</v>
      </c>
      <c r="AI225" s="55">
        <f t="shared" si="100"/>
        <v>0.78396436525612467</v>
      </c>
      <c r="AJ225" s="55">
        <f t="shared" ref="AJ225:AJ288" si="110">AI225*AF225</f>
        <v>0</v>
      </c>
      <c r="AK225" s="55">
        <f t="shared" ref="AK225:AK288" si="111">$AI225*AG225</f>
        <v>0</v>
      </c>
    </row>
    <row r="226" spans="2:37" s="53" customFormat="1" ht="17.25" customHeight="1" x14ac:dyDescent="0.25">
      <c r="B226" s="91" t="str">
        <f t="shared" si="92"/>
        <v/>
      </c>
      <c r="C226" s="81">
        <f>IF(Sheet3!A197="","",Sheet3!A197)</f>
        <v>38992</v>
      </c>
      <c r="D226" s="82">
        <f>IF(C226="","",Sheet3!E197)</f>
        <v>31.780000999999999</v>
      </c>
      <c r="E226" s="56">
        <f>_xlfn.XLOOKUP(WEEKNUM(C226)&amp;YEAR(C226),Sheet4!C:C,Sheet4!B:B,0)</f>
        <v>0.33250000000000002</v>
      </c>
      <c r="F226" s="46">
        <f>IF(int=Weekly,-$D$5,IF(int=Bi_Weekly,0,IF(int=Monthly,0,IF(int=Quarterly,-$D$5,IF(int=Yearly,0,IF(int=None,0,0))))))</f>
        <v>0</v>
      </c>
      <c r="G226" s="46"/>
      <c r="H226" s="46">
        <f t="shared" si="101"/>
        <v>-4850</v>
      </c>
      <c r="I226" s="47"/>
      <c r="J226" s="38">
        <f t="shared" si="88"/>
        <v>0</v>
      </c>
      <c r="K226" s="48"/>
      <c r="L226" s="48">
        <f t="shared" si="93"/>
        <v>194.76428249975447</v>
      </c>
      <c r="M226" s="48"/>
      <c r="N226" s="38">
        <f t="shared" si="94"/>
        <v>64.759123931168361</v>
      </c>
      <c r="O226" s="36">
        <f t="shared" si="95"/>
        <v>-64.759123931168361</v>
      </c>
      <c r="P226" s="84">
        <f t="shared" si="96"/>
        <v>-5368.1105233921144</v>
      </c>
      <c r="Q226" s="38">
        <f t="shared" si="97"/>
        <v>2.0377319664391567</v>
      </c>
      <c r="R226" s="48">
        <f t="shared" si="98"/>
        <v>20.277863945700147</v>
      </c>
      <c r="S226" s="38">
        <f t="shared" si="89"/>
        <v>215.04214644545462</v>
      </c>
      <c r="T226" s="50">
        <f t="shared" si="102"/>
        <v>4850</v>
      </c>
      <c r="U226" s="40">
        <f t="shared" si="103"/>
        <v>6189.609092606479</v>
      </c>
      <c r="V226" s="41">
        <f t="shared" si="104"/>
        <v>0.27620806033123269</v>
      </c>
      <c r="W226" s="39">
        <f t="shared" si="105"/>
        <v>1339.609092606479</v>
      </c>
      <c r="X226" s="50">
        <f t="shared" si="99"/>
        <v>518.57927340839058</v>
      </c>
      <c r="Y226" s="41">
        <f t="shared" si="106"/>
        <v>0.38313162185873595</v>
      </c>
      <c r="Z226" s="52"/>
      <c r="AA226" s="50">
        <f t="shared" si="86"/>
        <v>5368.5792734083907</v>
      </c>
      <c r="AB226" s="39">
        <f t="shared" si="87"/>
        <v>6834.0396290786939</v>
      </c>
      <c r="AC226" s="39">
        <f t="shared" si="107"/>
        <v>1465.4603556703032</v>
      </c>
      <c r="AD226" s="41">
        <f t="shared" si="108"/>
        <v>0.27296986428588488</v>
      </c>
      <c r="AF226" s="46">
        <f t="shared" si="90"/>
        <v>64.759123931168361</v>
      </c>
      <c r="AG226" s="46">
        <f t="shared" si="109"/>
        <v>0</v>
      </c>
      <c r="AH226" s="54">
        <f t="shared" si="91"/>
        <v>1365</v>
      </c>
      <c r="AI226" s="55">
        <f t="shared" si="100"/>
        <v>0.78285077951002224</v>
      </c>
      <c r="AJ226" s="55">
        <f t="shared" si="110"/>
        <v>50.696730649901291</v>
      </c>
      <c r="AK226" s="55">
        <f t="shared" si="111"/>
        <v>0</v>
      </c>
    </row>
    <row r="227" spans="2:37" s="53" customFormat="1" ht="17.25" customHeight="1" x14ac:dyDescent="0.25">
      <c r="B227" s="91" t="str">
        <f t="shared" si="92"/>
        <v/>
      </c>
      <c r="C227" s="81">
        <f>IF(Sheet3!A198="","",Sheet3!A198)</f>
        <v>38999</v>
      </c>
      <c r="D227" s="82">
        <f>IF(C227="","",Sheet3!E198)</f>
        <v>33.599997999999999</v>
      </c>
      <c r="E227" s="56">
        <f>_xlfn.XLOOKUP(WEEKNUM(C227)&amp;YEAR(C227),Sheet4!C:C,Sheet4!B:B,0)</f>
        <v>0</v>
      </c>
      <c r="F227" s="46">
        <f>IF(int=Weekly,-$D$5,IF(int=Bi_Weekly,-$D$5,IF(int=Monthly,-$D$5,IF(int=Quarterly,0,IF(int=Yearly,0,IF(int=None,0,0))))))</f>
        <v>-100</v>
      </c>
      <c r="G227" s="46"/>
      <c r="H227" s="46">
        <f t="shared" si="101"/>
        <v>-4950</v>
      </c>
      <c r="I227" s="47"/>
      <c r="J227" s="38">
        <f t="shared" si="88"/>
        <v>2.9761906533446818</v>
      </c>
      <c r="K227" s="48"/>
      <c r="L227" s="48">
        <f t="shared" si="93"/>
        <v>197.74047315309915</v>
      </c>
      <c r="M227" s="48"/>
      <c r="N227" s="38">
        <f t="shared" si="94"/>
        <v>0</v>
      </c>
      <c r="O227" s="36">
        <f t="shared" si="95"/>
        <v>0</v>
      </c>
      <c r="P227" s="84">
        <f t="shared" si="96"/>
        <v>-5468.1105233921144</v>
      </c>
      <c r="Q227" s="38">
        <f t="shared" si="97"/>
        <v>0</v>
      </c>
      <c r="R227" s="48">
        <f t="shared" si="98"/>
        <v>20.277863945700147</v>
      </c>
      <c r="S227" s="38">
        <f t="shared" si="89"/>
        <v>218.01833709879929</v>
      </c>
      <c r="T227" s="50">
        <f t="shared" si="102"/>
        <v>4950</v>
      </c>
      <c r="U227" s="40">
        <f t="shared" si="103"/>
        <v>6644.0795024631852</v>
      </c>
      <c r="V227" s="41">
        <f t="shared" si="104"/>
        <v>0.3422382833258959</v>
      </c>
      <c r="W227" s="39">
        <f t="shared" si="105"/>
        <v>1694.0795024631852</v>
      </c>
      <c r="X227" s="50">
        <f t="shared" si="99"/>
        <v>518.57927340839058</v>
      </c>
      <c r="Y227" s="41">
        <f t="shared" si="106"/>
        <v>0.44700177290334864</v>
      </c>
      <c r="Z227" s="52"/>
      <c r="AA227" s="50">
        <f t="shared" si="86"/>
        <v>5468.5792734083907</v>
      </c>
      <c r="AB227" s="39">
        <f t="shared" si="87"/>
        <v>7325.4156904829824</v>
      </c>
      <c r="AC227" s="39">
        <f t="shared" si="107"/>
        <v>1856.8364170745917</v>
      </c>
      <c r="AD227" s="41">
        <f t="shared" si="108"/>
        <v>0.33954640213476961</v>
      </c>
      <c r="AF227" s="46">
        <f t="shared" si="90"/>
        <v>-100</v>
      </c>
      <c r="AG227" s="46">
        <f t="shared" si="109"/>
        <v>-100</v>
      </c>
      <c r="AH227" s="54">
        <f t="shared" si="91"/>
        <v>1372</v>
      </c>
      <c r="AI227" s="55">
        <f t="shared" si="100"/>
        <v>0.78173719376391981</v>
      </c>
      <c r="AJ227" s="55">
        <f t="shared" si="110"/>
        <v>-78.173719376391986</v>
      </c>
      <c r="AK227" s="55">
        <f t="shared" si="111"/>
        <v>-78.173719376391986</v>
      </c>
    </row>
    <row r="228" spans="2:37" s="53" customFormat="1" ht="17.25" customHeight="1" x14ac:dyDescent="0.25">
      <c r="B228" s="91" t="str">
        <f t="shared" si="92"/>
        <v/>
      </c>
      <c r="C228" s="81">
        <f>IF(Sheet3!A199="","",Sheet3!A199)</f>
        <v>39006</v>
      </c>
      <c r="D228" s="82">
        <f>IF(C228="","",Sheet3!E199)</f>
        <v>34.439999</v>
      </c>
      <c r="E228" s="56">
        <f>_xlfn.XLOOKUP(WEEKNUM(C228)&amp;YEAR(C228),Sheet4!C:C,Sheet4!B:B,0)</f>
        <v>0</v>
      </c>
      <c r="F228" s="46">
        <f>IF(int=Weekly,-$D$5,IF(int=Bi_Weekly,0,IF(int=Monthly,0,IF(int=Quarterly,0,IF(int=Yearly,0,IF(int=None,0,0))))))</f>
        <v>0</v>
      </c>
      <c r="G228" s="46"/>
      <c r="H228" s="46">
        <f t="shared" si="101"/>
        <v>-4950</v>
      </c>
      <c r="I228" s="47"/>
      <c r="J228" s="38">
        <f t="shared" si="88"/>
        <v>0</v>
      </c>
      <c r="K228" s="48"/>
      <c r="L228" s="48">
        <f t="shared" si="93"/>
        <v>197.74047315309915</v>
      </c>
      <c r="M228" s="48"/>
      <c r="N228" s="38">
        <f t="shared" si="94"/>
        <v>0</v>
      </c>
      <c r="O228" s="36">
        <f t="shared" si="95"/>
        <v>0</v>
      </c>
      <c r="P228" s="84">
        <f t="shared" si="96"/>
        <v>-5468.1105233921144</v>
      </c>
      <c r="Q228" s="38">
        <f t="shared" si="97"/>
        <v>0</v>
      </c>
      <c r="R228" s="48">
        <f t="shared" si="98"/>
        <v>20.277863945700147</v>
      </c>
      <c r="S228" s="38">
        <f t="shared" si="89"/>
        <v>218.01833709879929</v>
      </c>
      <c r="T228" s="50">
        <f t="shared" si="102"/>
        <v>4950</v>
      </c>
      <c r="U228" s="40">
        <f t="shared" si="103"/>
        <v>6810.1816976522614</v>
      </c>
      <c r="V228" s="41">
        <f t="shared" si="104"/>
        <v>0.37579428235399215</v>
      </c>
      <c r="W228" s="39">
        <f t="shared" si="105"/>
        <v>1860.1816976522614</v>
      </c>
      <c r="X228" s="50">
        <f t="shared" si="99"/>
        <v>518.57927340839058</v>
      </c>
      <c r="Y228" s="41">
        <f t="shared" si="106"/>
        <v>0.48055777193144489</v>
      </c>
      <c r="Z228" s="52"/>
      <c r="AA228" s="50">
        <f t="shared" si="86"/>
        <v>5468.5792734083907</v>
      </c>
      <c r="AB228" s="39">
        <f t="shared" si="87"/>
        <v>7508.5513116643106</v>
      </c>
      <c r="AC228" s="39">
        <f t="shared" si="107"/>
        <v>2039.9720382559199</v>
      </c>
      <c r="AD228" s="41">
        <f t="shared" si="108"/>
        <v>0.37303510404896634</v>
      </c>
      <c r="AF228" s="46">
        <f t="shared" si="90"/>
        <v>0</v>
      </c>
      <c r="AG228" s="46">
        <f t="shared" si="109"/>
        <v>0</v>
      </c>
      <c r="AH228" s="54">
        <f t="shared" si="91"/>
        <v>1379</v>
      </c>
      <c r="AI228" s="55">
        <f t="shared" si="100"/>
        <v>0.78062360801781738</v>
      </c>
      <c r="AJ228" s="55">
        <f t="shared" si="110"/>
        <v>0</v>
      </c>
      <c r="AK228" s="55">
        <f t="shared" si="111"/>
        <v>0</v>
      </c>
    </row>
    <row r="229" spans="2:37" s="53" customFormat="1" ht="17.25" customHeight="1" x14ac:dyDescent="0.25">
      <c r="B229" s="91" t="str">
        <f t="shared" si="92"/>
        <v/>
      </c>
      <c r="C229" s="81">
        <f>IF(Sheet3!A200="","",Sheet3!A200)</f>
        <v>39013</v>
      </c>
      <c r="D229" s="82">
        <f>IF(C229="","",Sheet3!E200)</f>
        <v>34.220001000000003</v>
      </c>
      <c r="E229" s="56">
        <f>_xlfn.XLOOKUP(WEEKNUM(C229)&amp;YEAR(C229),Sheet4!C:C,Sheet4!B:B,0)</f>
        <v>0</v>
      </c>
      <c r="F229" s="46">
        <f>IF(int=Weekly,-$D$5,IF(int=Bi_Weekly,-$D$5,IF(int=Monthly,0,IF(int=Quarterly,0,IF(int=Yearly,0,IF(int=None,0,0))))))</f>
        <v>0</v>
      </c>
      <c r="G229" s="46"/>
      <c r="H229" s="46">
        <f t="shared" si="101"/>
        <v>-4950</v>
      </c>
      <c r="I229" s="47"/>
      <c r="J229" s="38">
        <f t="shared" si="88"/>
        <v>0</v>
      </c>
      <c r="K229" s="48"/>
      <c r="L229" s="48">
        <f t="shared" si="93"/>
        <v>197.74047315309915</v>
      </c>
      <c r="M229" s="48"/>
      <c r="N229" s="38">
        <f t="shared" si="94"/>
        <v>0</v>
      </c>
      <c r="O229" s="36">
        <f t="shared" si="95"/>
        <v>0</v>
      </c>
      <c r="P229" s="84">
        <f t="shared" si="96"/>
        <v>-5468.1105233921144</v>
      </c>
      <c r="Q229" s="38">
        <f t="shared" si="97"/>
        <v>0</v>
      </c>
      <c r="R229" s="48">
        <f t="shared" si="98"/>
        <v>20.277863945700147</v>
      </c>
      <c r="S229" s="38">
        <f t="shared" si="89"/>
        <v>218.01833709879929</v>
      </c>
      <c r="T229" s="50">
        <f t="shared" si="102"/>
        <v>4950</v>
      </c>
      <c r="U229" s="40">
        <f t="shared" si="103"/>
        <v>6766.679189039527</v>
      </c>
      <c r="V229" s="41">
        <f t="shared" si="104"/>
        <v>0.36700589677566198</v>
      </c>
      <c r="W229" s="39">
        <f t="shared" si="105"/>
        <v>1816.679189039527</v>
      </c>
      <c r="X229" s="50">
        <f t="shared" si="99"/>
        <v>518.57927340839058</v>
      </c>
      <c r="Y229" s="41">
        <f t="shared" si="106"/>
        <v>0.47176938635311472</v>
      </c>
      <c r="Z229" s="52"/>
      <c r="AA229" s="50">
        <f t="shared" si="86"/>
        <v>5468.5792734083907</v>
      </c>
      <c r="AB229" s="39">
        <f t="shared" si="87"/>
        <v>7460.5877135392502</v>
      </c>
      <c r="AC229" s="39">
        <f t="shared" si="107"/>
        <v>1992.0084401308595</v>
      </c>
      <c r="AD229" s="41">
        <f t="shared" si="108"/>
        <v>0.36426434372401517</v>
      </c>
      <c r="AF229" s="46">
        <f t="shared" si="90"/>
        <v>0</v>
      </c>
      <c r="AG229" s="46">
        <f t="shared" si="109"/>
        <v>0</v>
      </c>
      <c r="AH229" s="54">
        <f t="shared" si="91"/>
        <v>1386</v>
      </c>
      <c r="AI229" s="55">
        <f t="shared" si="100"/>
        <v>0.77951002227171495</v>
      </c>
      <c r="AJ229" s="55">
        <f t="shared" si="110"/>
        <v>0</v>
      </c>
      <c r="AK229" s="55">
        <f t="shared" si="111"/>
        <v>0</v>
      </c>
    </row>
    <row r="230" spans="2:37" s="53" customFormat="1" ht="17.25" customHeight="1" x14ac:dyDescent="0.25">
      <c r="B230" s="91" t="str">
        <f t="shared" si="92"/>
        <v/>
      </c>
      <c r="C230" s="81">
        <f>IF(Sheet3!A201="","",Sheet3!A201)</f>
        <v>39020</v>
      </c>
      <c r="D230" s="82">
        <f>IF(C230="","",Sheet3!E201)</f>
        <v>33.720001000000003</v>
      </c>
      <c r="E230" s="56">
        <f>_xlfn.XLOOKUP(WEEKNUM(C230)&amp;YEAR(C230),Sheet4!C:C,Sheet4!B:B,0)</f>
        <v>0</v>
      </c>
      <c r="F230" s="46">
        <f>IF(int=Weekly,-$D$5,IF(int=Bi_Weekly,0,IF(int=Monthly,0,IF(int=Quarterly,0,IF(int=Yearly,0,IF(int=None,0,0))))))</f>
        <v>0</v>
      </c>
      <c r="G230" s="46"/>
      <c r="H230" s="46">
        <f t="shared" si="101"/>
        <v>-4950</v>
      </c>
      <c r="I230" s="47"/>
      <c r="J230" s="38">
        <f t="shared" si="88"/>
        <v>0</v>
      </c>
      <c r="K230" s="48"/>
      <c r="L230" s="48">
        <f t="shared" si="93"/>
        <v>197.74047315309915</v>
      </c>
      <c r="M230" s="48"/>
      <c r="N230" s="38">
        <f t="shared" si="94"/>
        <v>0</v>
      </c>
      <c r="O230" s="36">
        <f t="shared" si="95"/>
        <v>0</v>
      </c>
      <c r="P230" s="84">
        <f t="shared" si="96"/>
        <v>-5468.1105233921144</v>
      </c>
      <c r="Q230" s="38">
        <f t="shared" si="97"/>
        <v>0</v>
      </c>
      <c r="R230" s="48">
        <f t="shared" si="98"/>
        <v>20.277863945700147</v>
      </c>
      <c r="S230" s="38">
        <f t="shared" si="89"/>
        <v>218.01833709879929</v>
      </c>
      <c r="T230" s="50">
        <f t="shared" si="102"/>
        <v>4950</v>
      </c>
      <c r="U230" s="40">
        <f t="shared" si="103"/>
        <v>6667.8089524629768</v>
      </c>
      <c r="V230" s="41">
        <f t="shared" si="104"/>
        <v>0.34703211160868208</v>
      </c>
      <c r="W230" s="39">
        <f t="shared" si="105"/>
        <v>1717.8089524629768</v>
      </c>
      <c r="X230" s="50">
        <f t="shared" si="99"/>
        <v>518.57927340839058</v>
      </c>
      <c r="Y230" s="41">
        <f t="shared" si="106"/>
        <v>0.45179560118613482</v>
      </c>
      <c r="Z230" s="52"/>
      <c r="AA230" s="50">
        <f t="shared" si="86"/>
        <v>5468.5792734083907</v>
      </c>
      <c r="AB230" s="39">
        <f t="shared" si="87"/>
        <v>7351.5785449898494</v>
      </c>
      <c r="AC230" s="39">
        <f t="shared" si="107"/>
        <v>1882.9992715814587</v>
      </c>
      <c r="AD230" s="41">
        <f t="shared" si="108"/>
        <v>0.34433061631523998</v>
      </c>
      <c r="AF230" s="46">
        <f t="shared" si="90"/>
        <v>0</v>
      </c>
      <c r="AG230" s="46">
        <f t="shared" si="109"/>
        <v>0</v>
      </c>
      <c r="AH230" s="54">
        <f t="shared" si="91"/>
        <v>1393</v>
      </c>
      <c r="AI230" s="55">
        <f t="shared" si="100"/>
        <v>0.77839643652561252</v>
      </c>
      <c r="AJ230" s="55">
        <f t="shared" si="110"/>
        <v>0</v>
      </c>
      <c r="AK230" s="55">
        <f t="shared" si="111"/>
        <v>0</v>
      </c>
    </row>
    <row r="231" spans="2:37" s="53" customFormat="1" ht="17.25" customHeight="1" x14ac:dyDescent="0.25">
      <c r="B231" s="91" t="str">
        <f t="shared" si="92"/>
        <v/>
      </c>
      <c r="C231" s="81">
        <f>IF(Sheet3!A202="","",Sheet3!A202)</f>
        <v>39027</v>
      </c>
      <c r="D231" s="82">
        <f>IF(C231="","",Sheet3!E202)</f>
        <v>33.049999</v>
      </c>
      <c r="E231" s="56">
        <f>_xlfn.XLOOKUP(WEEKNUM(C231)&amp;YEAR(C231),Sheet4!C:C,Sheet4!B:B,0)</f>
        <v>0</v>
      </c>
      <c r="F231" s="46">
        <f>IF(int=Weekly,-$D$5,IF(int=Bi_Weekly,-$D$5,IF(int=Monthly,-$D$5,IF(int=Quarterly,0,IF(int=Yearly,0,IF(int=None,0,0))))))</f>
        <v>-100</v>
      </c>
      <c r="G231" s="46"/>
      <c r="H231" s="46">
        <f t="shared" si="101"/>
        <v>-5050</v>
      </c>
      <c r="I231" s="47"/>
      <c r="J231" s="38">
        <f t="shared" si="88"/>
        <v>3.0257186997191741</v>
      </c>
      <c r="K231" s="48"/>
      <c r="L231" s="48">
        <f t="shared" si="93"/>
        <v>200.76619185281831</v>
      </c>
      <c r="M231" s="48"/>
      <c r="N231" s="38">
        <f t="shared" si="94"/>
        <v>0</v>
      </c>
      <c r="O231" s="36">
        <f t="shared" si="95"/>
        <v>0</v>
      </c>
      <c r="P231" s="84">
        <f t="shared" si="96"/>
        <v>-5568.1105233921144</v>
      </c>
      <c r="Q231" s="38">
        <f t="shared" si="97"/>
        <v>0</v>
      </c>
      <c r="R231" s="48">
        <f t="shared" si="98"/>
        <v>20.277863945700147</v>
      </c>
      <c r="S231" s="38">
        <f t="shared" si="89"/>
        <v>221.04405579851846</v>
      </c>
      <c r="T231" s="50">
        <f t="shared" si="102"/>
        <v>5050</v>
      </c>
      <c r="U231" s="40">
        <f t="shared" si="103"/>
        <v>6635.3224399694536</v>
      </c>
      <c r="V231" s="41">
        <f t="shared" si="104"/>
        <v>0.31392523563751551</v>
      </c>
      <c r="W231" s="39">
        <f t="shared" si="105"/>
        <v>1585.3224399694536</v>
      </c>
      <c r="X231" s="50">
        <f t="shared" si="99"/>
        <v>518.57927340839058</v>
      </c>
      <c r="Y231" s="41">
        <f t="shared" si="106"/>
        <v>0.41661420066888</v>
      </c>
      <c r="Z231" s="52"/>
      <c r="AA231" s="50">
        <f t="shared" si="86"/>
        <v>5568.5792734083907</v>
      </c>
      <c r="AB231" s="39">
        <f t="shared" si="87"/>
        <v>7305.5058230969798</v>
      </c>
      <c r="AC231" s="39">
        <f t="shared" si="107"/>
        <v>1736.9265496885891</v>
      </c>
      <c r="AD231" s="41">
        <f t="shared" si="108"/>
        <v>0.31191556488796457</v>
      </c>
      <c r="AF231" s="46">
        <f t="shared" si="90"/>
        <v>-100</v>
      </c>
      <c r="AG231" s="46">
        <f t="shared" si="109"/>
        <v>-100</v>
      </c>
      <c r="AH231" s="54">
        <f t="shared" si="91"/>
        <v>1400</v>
      </c>
      <c r="AI231" s="55">
        <f t="shared" si="100"/>
        <v>0.77728285077950998</v>
      </c>
      <c r="AJ231" s="55">
        <f t="shared" si="110"/>
        <v>-77.728285077951</v>
      </c>
      <c r="AK231" s="55">
        <f t="shared" si="111"/>
        <v>-77.728285077951</v>
      </c>
    </row>
    <row r="232" spans="2:37" s="53" customFormat="1" ht="17.25" customHeight="1" x14ac:dyDescent="0.25">
      <c r="B232" s="91" t="str">
        <f t="shared" si="92"/>
        <v/>
      </c>
      <c r="C232" s="81">
        <f>IF(Sheet3!A203="","",Sheet3!A203)</f>
        <v>39034</v>
      </c>
      <c r="D232" s="82">
        <f>IF(C232="","",Sheet3!E203)</f>
        <v>33.200001</v>
      </c>
      <c r="E232" s="56">
        <f>_xlfn.XLOOKUP(WEEKNUM(C232)&amp;YEAR(C232),Sheet4!C:C,Sheet4!B:B,0)</f>
        <v>0</v>
      </c>
      <c r="F232" s="46">
        <f>IF(int=Weekly,-$D$5,IF(int=Bi_Weekly,0,IF(int=Monthly,0,IF(int=Quarterly,0,IF(int=Yearly,0,IF(int=None,0,0))))))</f>
        <v>0</v>
      </c>
      <c r="G232" s="46"/>
      <c r="H232" s="46">
        <f t="shared" si="101"/>
        <v>-5050</v>
      </c>
      <c r="I232" s="47"/>
      <c r="J232" s="38">
        <f t="shared" si="88"/>
        <v>0</v>
      </c>
      <c r="K232" s="48"/>
      <c r="L232" s="48">
        <f t="shared" si="93"/>
        <v>200.76619185281831</v>
      </c>
      <c r="M232" s="48"/>
      <c r="N232" s="38">
        <f t="shared" si="94"/>
        <v>0</v>
      </c>
      <c r="O232" s="36">
        <f t="shared" si="95"/>
        <v>0</v>
      </c>
      <c r="P232" s="84">
        <f t="shared" si="96"/>
        <v>-5568.1105233921144</v>
      </c>
      <c r="Q232" s="38">
        <f t="shared" si="97"/>
        <v>0</v>
      </c>
      <c r="R232" s="48">
        <f t="shared" si="98"/>
        <v>20.277863945700147</v>
      </c>
      <c r="S232" s="38">
        <f t="shared" si="89"/>
        <v>221.04405579851846</v>
      </c>
      <c r="T232" s="50">
        <f t="shared" si="102"/>
        <v>5050</v>
      </c>
      <c r="U232" s="40">
        <f t="shared" si="103"/>
        <v>6665.4377702797601</v>
      </c>
      <c r="V232" s="41">
        <f t="shared" si="104"/>
        <v>0.31988866738213062</v>
      </c>
      <c r="W232" s="39">
        <f t="shared" si="105"/>
        <v>1615.4377702797601</v>
      </c>
      <c r="X232" s="50">
        <f t="shared" si="99"/>
        <v>518.57927340839058</v>
      </c>
      <c r="Y232" s="41">
        <f t="shared" si="106"/>
        <v>0.42257763241349511</v>
      </c>
      <c r="Z232" s="52"/>
      <c r="AA232" s="50">
        <f t="shared" si="86"/>
        <v>5568.5792734083907</v>
      </c>
      <c r="AB232" s="39">
        <f t="shared" si="87"/>
        <v>7338.6628735548693</v>
      </c>
      <c r="AC232" s="39">
        <f t="shared" si="107"/>
        <v>1770.0836001464786</v>
      </c>
      <c r="AD232" s="41">
        <f t="shared" si="108"/>
        <v>0.31786987546341483</v>
      </c>
      <c r="AF232" s="46">
        <f t="shared" si="90"/>
        <v>0</v>
      </c>
      <c r="AG232" s="46">
        <f t="shared" si="109"/>
        <v>0</v>
      </c>
      <c r="AH232" s="54">
        <f t="shared" si="91"/>
        <v>1407</v>
      </c>
      <c r="AI232" s="55">
        <f t="shared" si="100"/>
        <v>0.77616926503340755</v>
      </c>
      <c r="AJ232" s="55">
        <f t="shared" si="110"/>
        <v>0</v>
      </c>
      <c r="AK232" s="55">
        <f t="shared" si="111"/>
        <v>0</v>
      </c>
    </row>
    <row r="233" spans="2:37" s="53" customFormat="1" ht="17.25" customHeight="1" x14ac:dyDescent="0.25">
      <c r="B233" s="91" t="str">
        <f t="shared" si="92"/>
        <v/>
      </c>
      <c r="C233" s="81">
        <f>IF(Sheet3!A204="","",Sheet3!A204)</f>
        <v>39041</v>
      </c>
      <c r="D233" s="82">
        <f>IF(C233="","",Sheet3!E204)</f>
        <v>32.669998</v>
      </c>
      <c r="E233" s="56">
        <f>_xlfn.XLOOKUP(WEEKNUM(C233)&amp;YEAR(C233),Sheet4!C:C,Sheet4!B:B,0)</f>
        <v>0</v>
      </c>
      <c r="F233" s="46">
        <f>IF(int=Weekly,-$D$5,IF(int=Bi_Weekly,-$D$5,IF(int=Monthly,0,IF(int=Quarterly,0,IF(int=Yearly,0,IF(int=None,0,0))))))</f>
        <v>0</v>
      </c>
      <c r="G233" s="46"/>
      <c r="H233" s="46">
        <f t="shared" si="101"/>
        <v>-5050</v>
      </c>
      <c r="I233" s="47"/>
      <c r="J233" s="38">
        <f t="shared" si="88"/>
        <v>0</v>
      </c>
      <c r="K233" s="48"/>
      <c r="L233" s="48">
        <f t="shared" si="93"/>
        <v>200.76619185281831</v>
      </c>
      <c r="M233" s="48"/>
      <c r="N233" s="38">
        <f t="shared" si="94"/>
        <v>0</v>
      </c>
      <c r="O233" s="36">
        <f t="shared" si="95"/>
        <v>0</v>
      </c>
      <c r="P233" s="84">
        <f t="shared" si="96"/>
        <v>-5568.1105233921144</v>
      </c>
      <c r="Q233" s="38">
        <f t="shared" si="97"/>
        <v>0</v>
      </c>
      <c r="R233" s="48">
        <f t="shared" si="98"/>
        <v>20.277863945700147</v>
      </c>
      <c r="S233" s="38">
        <f t="shared" si="89"/>
        <v>221.04405579851846</v>
      </c>
      <c r="T233" s="50">
        <f t="shared" si="102"/>
        <v>5050</v>
      </c>
      <c r="U233" s="40">
        <f t="shared" si="103"/>
        <v>6559.0310862991901</v>
      </c>
      <c r="V233" s="41">
        <f t="shared" si="104"/>
        <v>0.29881803689092878</v>
      </c>
      <c r="W233" s="39">
        <f t="shared" si="105"/>
        <v>1509.0310862991901</v>
      </c>
      <c r="X233" s="50">
        <f t="shared" si="99"/>
        <v>518.57927340839058</v>
      </c>
      <c r="Y233" s="41">
        <f t="shared" si="106"/>
        <v>0.40150700192229327</v>
      </c>
      <c r="Z233" s="52"/>
      <c r="AA233" s="50">
        <f t="shared" si="86"/>
        <v>5568.5792734083907</v>
      </c>
      <c r="AB233" s="39">
        <f t="shared" si="87"/>
        <v>7221.5088608494862</v>
      </c>
      <c r="AC233" s="39">
        <f t="shared" si="107"/>
        <v>1652.9295874410955</v>
      </c>
      <c r="AD233" s="41">
        <f t="shared" si="108"/>
        <v>0.29683147285597999</v>
      </c>
      <c r="AF233" s="46">
        <f t="shared" si="90"/>
        <v>0</v>
      </c>
      <c r="AG233" s="46">
        <f t="shared" si="109"/>
        <v>0</v>
      </c>
      <c r="AH233" s="54">
        <f t="shared" si="91"/>
        <v>1414</v>
      </c>
      <c r="AI233" s="55">
        <f t="shared" si="100"/>
        <v>0.77505567928730512</v>
      </c>
      <c r="AJ233" s="55">
        <f t="shared" si="110"/>
        <v>0</v>
      </c>
      <c r="AK233" s="55">
        <f t="shared" si="111"/>
        <v>0</v>
      </c>
    </row>
    <row r="234" spans="2:37" s="53" customFormat="1" ht="17.25" customHeight="1" x14ac:dyDescent="0.25">
      <c r="B234" s="91" t="str">
        <f t="shared" si="92"/>
        <v/>
      </c>
      <c r="C234" s="81">
        <f>IF(Sheet3!A205="","",Sheet3!A205)</f>
        <v>39048</v>
      </c>
      <c r="D234" s="82">
        <f>IF(C234="","",Sheet3!E205)</f>
        <v>34</v>
      </c>
      <c r="E234" s="56">
        <f>_xlfn.XLOOKUP(WEEKNUM(C234)&amp;YEAR(C234),Sheet4!C:C,Sheet4!B:B,0)</f>
        <v>0</v>
      </c>
      <c r="F234" s="46">
        <f>IF(int=Weekly,-$D$5,IF(int=Bi_Weekly,0,IF(int=Monthly,0,IF(int=Quarterly,0,IF(int=Yearly,0,IF(int=None,0,0))))))</f>
        <v>0</v>
      </c>
      <c r="G234" s="46"/>
      <c r="H234" s="46">
        <f t="shared" si="101"/>
        <v>-5050</v>
      </c>
      <c r="I234" s="47"/>
      <c r="J234" s="38">
        <f t="shared" si="88"/>
        <v>0</v>
      </c>
      <c r="K234" s="48"/>
      <c r="L234" s="48">
        <f t="shared" si="93"/>
        <v>200.76619185281831</v>
      </c>
      <c r="M234" s="48"/>
      <c r="N234" s="38">
        <f t="shared" si="94"/>
        <v>0</v>
      </c>
      <c r="O234" s="36">
        <f t="shared" si="95"/>
        <v>0</v>
      </c>
      <c r="P234" s="84">
        <f t="shared" si="96"/>
        <v>-5568.1105233921144</v>
      </c>
      <c r="Q234" s="38">
        <f t="shared" si="97"/>
        <v>0</v>
      </c>
      <c r="R234" s="48">
        <f t="shared" si="98"/>
        <v>20.277863945700147</v>
      </c>
      <c r="S234" s="38">
        <f t="shared" si="89"/>
        <v>221.04405579851846</v>
      </c>
      <c r="T234" s="50">
        <f t="shared" si="102"/>
        <v>5050</v>
      </c>
      <c r="U234" s="40">
        <f t="shared" si="103"/>
        <v>6826.0505229958226</v>
      </c>
      <c r="V234" s="41">
        <f t="shared" si="104"/>
        <v>0.35169317287045998</v>
      </c>
      <c r="W234" s="39">
        <f t="shared" si="105"/>
        <v>1776.0505229958226</v>
      </c>
      <c r="X234" s="50">
        <f t="shared" si="99"/>
        <v>518.57927340839058</v>
      </c>
      <c r="Y234" s="41">
        <f t="shared" si="106"/>
        <v>0.45438213790182447</v>
      </c>
      <c r="Z234" s="52"/>
      <c r="AA234" s="50">
        <f t="shared" si="86"/>
        <v>5568.5792734083907</v>
      </c>
      <c r="AB234" s="39">
        <f t="shared" si="87"/>
        <v>7515.4978971496275</v>
      </c>
      <c r="AC234" s="39">
        <f t="shared" si="107"/>
        <v>1946.9186237412368</v>
      </c>
      <c r="AD234" s="41">
        <f t="shared" si="108"/>
        <v>0.34962573542561337</v>
      </c>
      <c r="AF234" s="46">
        <f t="shared" si="90"/>
        <v>0</v>
      </c>
      <c r="AG234" s="46">
        <f t="shared" si="109"/>
        <v>0</v>
      </c>
      <c r="AH234" s="54">
        <f t="shared" si="91"/>
        <v>1421</v>
      </c>
      <c r="AI234" s="55">
        <f t="shared" si="100"/>
        <v>0.77394209354120269</v>
      </c>
      <c r="AJ234" s="55">
        <f t="shared" si="110"/>
        <v>0</v>
      </c>
      <c r="AK234" s="55">
        <f t="shared" si="111"/>
        <v>0</v>
      </c>
    </row>
    <row r="235" spans="2:37" s="53" customFormat="1" ht="17.25" customHeight="1" x14ac:dyDescent="0.25">
      <c r="B235" s="91" t="str">
        <f t="shared" si="92"/>
        <v/>
      </c>
      <c r="C235" s="81">
        <f>IF(Sheet3!A206="","",Sheet3!A206)</f>
        <v>39055</v>
      </c>
      <c r="D235" s="82">
        <f>IF(C235="","",Sheet3!E206)</f>
        <v>34.970001000000003</v>
      </c>
      <c r="E235" s="56">
        <f>_xlfn.XLOOKUP(WEEKNUM(C235)&amp;YEAR(C235),Sheet4!C:C,Sheet4!B:B,0)</f>
        <v>0</v>
      </c>
      <c r="F235" s="46">
        <f>IF(int=Weekly,-$D$5,IF(int=Bi_Weekly,-$D$5,IF(int=Monthly,-$D$5,IF(int=Quarterly,0,IF(int=Yearly,0,IF(int=None,0,0))))))</f>
        <v>-100</v>
      </c>
      <c r="G235" s="46"/>
      <c r="H235" s="46">
        <f t="shared" si="101"/>
        <v>-5150</v>
      </c>
      <c r="I235" s="47"/>
      <c r="J235" s="38">
        <f t="shared" si="88"/>
        <v>2.8595938558880794</v>
      </c>
      <c r="K235" s="48"/>
      <c r="L235" s="48">
        <f t="shared" si="93"/>
        <v>203.62578570870639</v>
      </c>
      <c r="M235" s="48"/>
      <c r="N235" s="38">
        <f t="shared" si="94"/>
        <v>0</v>
      </c>
      <c r="O235" s="36">
        <f t="shared" si="95"/>
        <v>0</v>
      </c>
      <c r="P235" s="84">
        <f t="shared" si="96"/>
        <v>-5668.1105233921144</v>
      </c>
      <c r="Q235" s="38">
        <f t="shared" si="97"/>
        <v>0</v>
      </c>
      <c r="R235" s="48">
        <f t="shared" si="98"/>
        <v>20.277863945700147</v>
      </c>
      <c r="S235" s="38">
        <f t="shared" si="89"/>
        <v>223.90364965440654</v>
      </c>
      <c r="T235" s="50">
        <f t="shared" si="102"/>
        <v>5150</v>
      </c>
      <c r="U235" s="40">
        <f t="shared" si="103"/>
        <v>7120.7939298592491</v>
      </c>
      <c r="V235" s="41">
        <f t="shared" si="104"/>
        <v>0.38267843298237847</v>
      </c>
      <c r="W235" s="39">
        <f t="shared" si="105"/>
        <v>1970.7939298592491</v>
      </c>
      <c r="X235" s="50">
        <f t="shared" si="99"/>
        <v>518.57927340839058</v>
      </c>
      <c r="Y235" s="41">
        <f t="shared" si="106"/>
        <v>0.48337343752769701</v>
      </c>
      <c r="Z235" s="52"/>
      <c r="AA235" s="50">
        <f t="shared" si="86"/>
        <v>5668.5792734083907</v>
      </c>
      <c r="AB235" s="39">
        <f t="shared" si="87"/>
        <v>7829.9108523182476</v>
      </c>
      <c r="AC235" s="39">
        <f t="shared" si="107"/>
        <v>2161.3315789098569</v>
      </c>
      <c r="AD235" s="41">
        <f t="shared" si="108"/>
        <v>0.381282764986419</v>
      </c>
      <c r="AF235" s="46">
        <f t="shared" si="90"/>
        <v>-100</v>
      </c>
      <c r="AG235" s="46">
        <f t="shared" si="109"/>
        <v>-100</v>
      </c>
      <c r="AH235" s="54">
        <f t="shared" si="91"/>
        <v>1428</v>
      </c>
      <c r="AI235" s="55">
        <f t="shared" si="100"/>
        <v>0.77282850779510026</v>
      </c>
      <c r="AJ235" s="55">
        <f t="shared" si="110"/>
        <v>-77.282850779510028</v>
      </c>
      <c r="AK235" s="55">
        <f t="shared" si="111"/>
        <v>-77.282850779510028</v>
      </c>
    </row>
    <row r="236" spans="2:37" s="53" customFormat="1" ht="17.25" customHeight="1" x14ac:dyDescent="0.25">
      <c r="B236" s="91" t="str">
        <f t="shared" si="92"/>
        <v/>
      </c>
      <c r="C236" s="81">
        <f>IF(Sheet3!A207="","",Sheet3!A207)</f>
        <v>39062</v>
      </c>
      <c r="D236" s="82">
        <f>IF(C236="","",Sheet3!E207)</f>
        <v>35.659999999999997</v>
      </c>
      <c r="E236" s="56">
        <f>_xlfn.XLOOKUP(WEEKNUM(C236)&amp;YEAR(C236),Sheet4!C:C,Sheet4!B:B,0)</f>
        <v>0</v>
      </c>
      <c r="F236" s="46">
        <f>IF(int=Weekly,-$D$5,IF(int=Bi_Weekly,0,IF(int=Monthly,0,IF(int=Quarterly,0,IF(int=Yearly,0,IF(int=None,0,0))))))</f>
        <v>0</v>
      </c>
      <c r="G236" s="46"/>
      <c r="H236" s="46">
        <f t="shared" si="101"/>
        <v>-5150</v>
      </c>
      <c r="I236" s="47"/>
      <c r="J236" s="38">
        <f t="shared" si="88"/>
        <v>0</v>
      </c>
      <c r="K236" s="48"/>
      <c r="L236" s="48">
        <f t="shared" si="93"/>
        <v>203.62578570870639</v>
      </c>
      <c r="M236" s="48"/>
      <c r="N236" s="38">
        <f t="shared" si="94"/>
        <v>0</v>
      </c>
      <c r="O236" s="36">
        <f t="shared" si="95"/>
        <v>0</v>
      </c>
      <c r="P236" s="84">
        <f t="shared" si="96"/>
        <v>-5668.1105233921144</v>
      </c>
      <c r="Q236" s="38">
        <f t="shared" si="97"/>
        <v>0</v>
      </c>
      <c r="R236" s="48">
        <f t="shared" si="98"/>
        <v>20.277863945700147</v>
      </c>
      <c r="S236" s="38">
        <f t="shared" si="89"/>
        <v>223.90364965440654</v>
      </c>
      <c r="T236" s="50">
        <f t="shared" si="102"/>
        <v>5150</v>
      </c>
      <c r="U236" s="40">
        <f t="shared" si="103"/>
        <v>7261.2955183724689</v>
      </c>
      <c r="V236" s="41">
        <f t="shared" si="104"/>
        <v>0.40996029482960572</v>
      </c>
      <c r="W236" s="39">
        <f t="shared" si="105"/>
        <v>2111.2955183724689</v>
      </c>
      <c r="X236" s="50">
        <f t="shared" si="99"/>
        <v>518.57927340839058</v>
      </c>
      <c r="Y236" s="41">
        <f t="shared" si="106"/>
        <v>0.51065529937492427</v>
      </c>
      <c r="Z236" s="52"/>
      <c r="AA236" s="50">
        <f t="shared" si="86"/>
        <v>5668.5792734083907</v>
      </c>
      <c r="AB236" s="39">
        <f t="shared" si="87"/>
        <v>7984.4041466761364</v>
      </c>
      <c r="AC236" s="39">
        <f t="shared" si="107"/>
        <v>2315.8248732677457</v>
      </c>
      <c r="AD236" s="41">
        <f t="shared" si="108"/>
        <v>0.40853708867253635</v>
      </c>
      <c r="AF236" s="46">
        <f t="shared" si="90"/>
        <v>0</v>
      </c>
      <c r="AG236" s="46">
        <f t="shared" si="109"/>
        <v>0</v>
      </c>
      <c r="AH236" s="54">
        <f t="shared" si="91"/>
        <v>1435</v>
      </c>
      <c r="AI236" s="55">
        <f t="shared" si="100"/>
        <v>0.77171492204899772</v>
      </c>
      <c r="AJ236" s="55">
        <f t="shared" si="110"/>
        <v>0</v>
      </c>
      <c r="AK236" s="55">
        <f t="shared" si="111"/>
        <v>0</v>
      </c>
    </row>
    <row r="237" spans="2:37" s="53" customFormat="1" ht="17.25" customHeight="1" x14ac:dyDescent="0.25">
      <c r="B237" s="91" t="str">
        <f t="shared" si="92"/>
        <v/>
      </c>
      <c r="C237" s="81">
        <f>IF(Sheet3!A208="","",Sheet3!A208)</f>
        <v>39069</v>
      </c>
      <c r="D237" s="82">
        <f>IF(C237="","",Sheet3!E208)</f>
        <v>34.979999999999997</v>
      </c>
      <c r="E237" s="56">
        <f>_xlfn.XLOOKUP(WEEKNUM(C237)&amp;YEAR(C237),Sheet4!C:C,Sheet4!B:B,0)</f>
        <v>0</v>
      </c>
      <c r="F237" s="46">
        <f>IF(int=Weekly,-$D$5,IF(int=Bi_Weekly,-$D$5,IF(int=Monthly,0,IF(int=Quarterly,0,IF(int=Yearly,0,IF(int=None,0,0))))))</f>
        <v>0</v>
      </c>
      <c r="G237" s="46"/>
      <c r="H237" s="46">
        <f t="shared" si="101"/>
        <v>-5150</v>
      </c>
      <c r="I237" s="47"/>
      <c r="J237" s="38">
        <f t="shared" si="88"/>
        <v>0</v>
      </c>
      <c r="K237" s="48"/>
      <c r="L237" s="48">
        <f t="shared" si="93"/>
        <v>203.62578570870639</v>
      </c>
      <c r="M237" s="48"/>
      <c r="N237" s="38">
        <f t="shared" si="94"/>
        <v>0</v>
      </c>
      <c r="O237" s="36">
        <f t="shared" si="95"/>
        <v>0</v>
      </c>
      <c r="P237" s="84">
        <f t="shared" si="96"/>
        <v>-5668.1105233921144</v>
      </c>
      <c r="Q237" s="38">
        <f t="shared" si="97"/>
        <v>0</v>
      </c>
      <c r="R237" s="48">
        <f t="shared" si="98"/>
        <v>20.277863945700147</v>
      </c>
      <c r="S237" s="38">
        <f t="shared" si="89"/>
        <v>223.90364965440654</v>
      </c>
      <c r="T237" s="50">
        <f t="shared" si="102"/>
        <v>5150</v>
      </c>
      <c r="U237" s="40">
        <f t="shared" si="103"/>
        <v>7122.8299840905493</v>
      </c>
      <c r="V237" s="41">
        <f t="shared" si="104"/>
        <v>0.38307378331855335</v>
      </c>
      <c r="W237" s="39">
        <f t="shared" si="105"/>
        <v>1972.8299840905493</v>
      </c>
      <c r="X237" s="50">
        <f t="shared" si="99"/>
        <v>518.57927340839058</v>
      </c>
      <c r="Y237" s="41">
        <f t="shared" si="106"/>
        <v>0.4837687878638719</v>
      </c>
      <c r="Z237" s="52"/>
      <c r="AA237" s="50">
        <f t="shared" si="86"/>
        <v>5668.5792734083907</v>
      </c>
      <c r="AB237" s="39">
        <f t="shared" si="87"/>
        <v>7832.1496649111405</v>
      </c>
      <c r="AC237" s="39">
        <f t="shared" si="107"/>
        <v>2163.5703915027498</v>
      </c>
      <c r="AD237" s="41">
        <f t="shared" si="108"/>
        <v>0.38167771625814151</v>
      </c>
      <c r="AF237" s="46">
        <f t="shared" si="90"/>
        <v>0</v>
      </c>
      <c r="AG237" s="46">
        <f t="shared" si="109"/>
        <v>0</v>
      </c>
      <c r="AH237" s="54">
        <f t="shared" si="91"/>
        <v>1442</v>
      </c>
      <c r="AI237" s="55">
        <f t="shared" si="100"/>
        <v>0.77060133630289529</v>
      </c>
      <c r="AJ237" s="55">
        <f t="shared" si="110"/>
        <v>0</v>
      </c>
      <c r="AK237" s="55">
        <f t="shared" si="111"/>
        <v>0</v>
      </c>
    </row>
    <row r="238" spans="2:37" s="53" customFormat="1" ht="17.25" customHeight="1" x14ac:dyDescent="0.25">
      <c r="B238" s="91" t="str">
        <f t="shared" si="92"/>
        <v/>
      </c>
      <c r="C238" s="81">
        <f>IF(Sheet3!A209="","",Sheet3!A209)</f>
        <v>39076</v>
      </c>
      <c r="D238" s="82">
        <f>IF(C238="","",Sheet3!E209)</f>
        <v>35.75</v>
      </c>
      <c r="E238" s="56">
        <f>_xlfn.XLOOKUP(WEEKNUM(C238)&amp;YEAR(C238),Sheet4!C:C,Sheet4!B:B,0)</f>
        <v>0</v>
      </c>
      <c r="F238" s="46">
        <f>IF(int=Weekly,-$D$5,IF(int=Bi_Weekly,0,IF(int=Monthly,0,IF(int=Quarterly,0,IF(int=Yearly,0,IF(int=None,0,0))))))</f>
        <v>0</v>
      </c>
      <c r="G238" s="46"/>
      <c r="H238" s="46">
        <f t="shared" si="101"/>
        <v>-5150</v>
      </c>
      <c r="I238" s="47"/>
      <c r="J238" s="38">
        <f t="shared" si="88"/>
        <v>0</v>
      </c>
      <c r="K238" s="48"/>
      <c r="L238" s="48">
        <f t="shared" si="93"/>
        <v>203.62578570870639</v>
      </c>
      <c r="M238" s="48"/>
      <c r="N238" s="38">
        <f t="shared" si="94"/>
        <v>0</v>
      </c>
      <c r="O238" s="36">
        <f t="shared" si="95"/>
        <v>0</v>
      </c>
      <c r="P238" s="84">
        <f t="shared" si="96"/>
        <v>-5668.1105233921144</v>
      </c>
      <c r="Q238" s="38">
        <f t="shared" si="97"/>
        <v>0</v>
      </c>
      <c r="R238" s="48">
        <f t="shared" si="98"/>
        <v>20.277863945700147</v>
      </c>
      <c r="S238" s="38">
        <f t="shared" si="89"/>
        <v>223.90364965440654</v>
      </c>
      <c r="T238" s="50">
        <f t="shared" si="102"/>
        <v>5150</v>
      </c>
      <c r="U238" s="40">
        <f t="shared" si="103"/>
        <v>7279.6218390862532</v>
      </c>
      <c r="V238" s="41">
        <f t="shared" si="104"/>
        <v>0.41351880370606864</v>
      </c>
      <c r="W238" s="39">
        <f t="shared" si="105"/>
        <v>2129.6218390862532</v>
      </c>
      <c r="X238" s="50">
        <f t="shared" si="99"/>
        <v>518.57927340839058</v>
      </c>
      <c r="Y238" s="41">
        <f t="shared" si="106"/>
        <v>0.51421380825138718</v>
      </c>
      <c r="Z238" s="52"/>
      <c r="AA238" s="50">
        <f t="shared" si="86"/>
        <v>5668.5792734083907</v>
      </c>
      <c r="AB238" s="39">
        <f t="shared" si="87"/>
        <v>8004.5554751450336</v>
      </c>
      <c r="AC238" s="39">
        <f t="shared" si="107"/>
        <v>2335.9762017366429</v>
      </c>
      <c r="AD238" s="41">
        <f t="shared" si="108"/>
        <v>0.41209200560973591</v>
      </c>
      <c r="AF238" s="46">
        <f t="shared" si="90"/>
        <v>0</v>
      </c>
      <c r="AG238" s="46">
        <f t="shared" si="109"/>
        <v>0</v>
      </c>
      <c r="AH238" s="54">
        <f t="shared" si="91"/>
        <v>1449</v>
      </c>
      <c r="AI238" s="55">
        <f t="shared" si="100"/>
        <v>0.76948775055679286</v>
      </c>
      <c r="AJ238" s="55">
        <f t="shared" si="110"/>
        <v>0</v>
      </c>
      <c r="AK238" s="55">
        <f t="shared" si="111"/>
        <v>0</v>
      </c>
    </row>
    <row r="239" spans="2:37" s="53" customFormat="1" ht="17.25" customHeight="1" x14ac:dyDescent="0.25">
      <c r="B239" s="91" t="str">
        <f t="shared" si="92"/>
        <v/>
      </c>
      <c r="C239" s="81">
        <f>IF(Sheet3!A210="","",Sheet3!A210)</f>
        <v>39083</v>
      </c>
      <c r="D239" s="82">
        <f>IF(C239="","",Sheet3!E210)</f>
        <v>33.959999000000003</v>
      </c>
      <c r="E239" s="56">
        <f>_xlfn.XLOOKUP(WEEKNUM(C239)&amp;YEAR(C239),Sheet4!C:C,Sheet4!B:B,0)</f>
        <v>0</v>
      </c>
      <c r="F239" s="46">
        <f>IF(int=Weekly,-$D$5,IF(int=Bi_Weekly,-$D$5,IF(int=Monthly,-$D$5,IF(int=Quarterly,-$D$5,IF(int=Yearly,-$D$5,IF(int=None,0,0))))))</f>
        <v>-100</v>
      </c>
      <c r="G239" s="46"/>
      <c r="H239" s="46">
        <f t="shared" si="101"/>
        <v>-5250</v>
      </c>
      <c r="I239" s="47"/>
      <c r="J239" s="38">
        <f t="shared" si="88"/>
        <v>2.9446408405371267</v>
      </c>
      <c r="K239" s="48"/>
      <c r="L239" s="48">
        <f t="shared" si="93"/>
        <v>206.57042654924351</v>
      </c>
      <c r="M239" s="48"/>
      <c r="N239" s="38">
        <f t="shared" si="94"/>
        <v>0</v>
      </c>
      <c r="O239" s="36">
        <f t="shared" si="95"/>
        <v>0</v>
      </c>
      <c r="P239" s="84">
        <f t="shared" si="96"/>
        <v>-5768.1105233921144</v>
      </c>
      <c r="Q239" s="38">
        <f t="shared" si="97"/>
        <v>0</v>
      </c>
      <c r="R239" s="48">
        <f t="shared" si="98"/>
        <v>20.277863945700147</v>
      </c>
      <c r="S239" s="38">
        <f t="shared" si="89"/>
        <v>226.84829049494365</v>
      </c>
      <c r="T239" s="50">
        <f t="shared" si="102"/>
        <v>5250</v>
      </c>
      <c r="U239" s="40">
        <f t="shared" si="103"/>
        <v>7015.1314790418837</v>
      </c>
      <c r="V239" s="41">
        <f t="shared" si="104"/>
        <v>0.33621551981750164</v>
      </c>
      <c r="W239" s="39">
        <f t="shared" si="105"/>
        <v>1765.1314790418837</v>
      </c>
      <c r="X239" s="50">
        <f t="shared" si="99"/>
        <v>518.57927340839058</v>
      </c>
      <c r="Y239" s="41">
        <f t="shared" si="106"/>
        <v>0.43499252427624269</v>
      </c>
      <c r="Z239" s="52"/>
      <c r="AA239" s="50">
        <f t="shared" si="86"/>
        <v>5768.5792734083907</v>
      </c>
      <c r="AB239" s="39">
        <f t="shared" si="87"/>
        <v>7703.7677183599972</v>
      </c>
      <c r="AC239" s="39">
        <f t="shared" si="107"/>
        <v>1935.1884449516065</v>
      </c>
      <c r="AD239" s="41">
        <f t="shared" si="108"/>
        <v>0.33547054711934154</v>
      </c>
      <c r="AF239" s="46">
        <f t="shared" si="90"/>
        <v>-100</v>
      </c>
      <c r="AG239" s="46">
        <f t="shared" si="109"/>
        <v>-100</v>
      </c>
      <c r="AH239" s="54">
        <f t="shared" si="91"/>
        <v>1456</v>
      </c>
      <c r="AI239" s="55">
        <f t="shared" si="100"/>
        <v>0.76837416481069043</v>
      </c>
      <c r="AJ239" s="55">
        <f t="shared" si="110"/>
        <v>-76.837416481069042</v>
      </c>
      <c r="AK239" s="55">
        <f t="shared" si="111"/>
        <v>-76.837416481069042</v>
      </c>
    </row>
    <row r="240" spans="2:37" s="53" customFormat="1" ht="17.25" customHeight="1" x14ac:dyDescent="0.25">
      <c r="B240" s="91" t="str">
        <f t="shared" si="92"/>
        <v/>
      </c>
      <c r="C240" s="81">
        <f>IF(Sheet3!A211="","",Sheet3!A211)</f>
        <v>39090</v>
      </c>
      <c r="D240" s="82">
        <f>IF(C240="","",Sheet3!E211)</f>
        <v>34.729999999999997</v>
      </c>
      <c r="E240" s="56">
        <f>_xlfn.XLOOKUP(WEEKNUM(C240)&amp;YEAR(C240),Sheet4!C:C,Sheet4!B:B,0)</f>
        <v>0.35499999999999998</v>
      </c>
      <c r="F240" s="46">
        <f>IF(int=Weekly,-$D$5,IF(int=Bi_Weekly,0,IF(int=Monthly,0,IF(int=Quarterly,0,IF(int=Yearly,0,IF(int=None,0,0))))))</f>
        <v>0</v>
      </c>
      <c r="G240" s="46"/>
      <c r="H240" s="46">
        <f t="shared" si="101"/>
        <v>-5250</v>
      </c>
      <c r="I240" s="47"/>
      <c r="J240" s="38">
        <f t="shared" si="88"/>
        <v>0</v>
      </c>
      <c r="K240" s="48"/>
      <c r="L240" s="48">
        <f t="shared" si="93"/>
        <v>206.57042654924351</v>
      </c>
      <c r="M240" s="48"/>
      <c r="N240" s="38">
        <f t="shared" si="94"/>
        <v>73.332501424981444</v>
      </c>
      <c r="O240" s="36">
        <f t="shared" si="95"/>
        <v>-73.332501424981444</v>
      </c>
      <c r="P240" s="84">
        <f t="shared" si="96"/>
        <v>-5841.4430248170956</v>
      </c>
      <c r="Q240" s="38">
        <f t="shared" si="97"/>
        <v>2.1115030643530508</v>
      </c>
      <c r="R240" s="48">
        <f t="shared" si="98"/>
        <v>22.389367010053199</v>
      </c>
      <c r="S240" s="38">
        <f t="shared" si="89"/>
        <v>228.95979355929671</v>
      </c>
      <c r="T240" s="50">
        <f t="shared" si="102"/>
        <v>5250</v>
      </c>
      <c r="U240" s="40">
        <f t="shared" si="103"/>
        <v>7174.1909140552261</v>
      </c>
      <c r="V240" s="41">
        <f t="shared" si="104"/>
        <v>0.36651255505813829</v>
      </c>
      <c r="W240" s="39">
        <f t="shared" si="105"/>
        <v>1924.1909140552261</v>
      </c>
      <c r="X240" s="50">
        <f t="shared" si="99"/>
        <v>591.91177483337196</v>
      </c>
      <c r="Y240" s="41">
        <f t="shared" si="106"/>
        <v>0.47925765502639961</v>
      </c>
      <c r="Z240" s="52"/>
      <c r="AA240" s="50">
        <f t="shared" si="86"/>
        <v>5841.911774833372</v>
      </c>
      <c r="AB240" s="39">
        <f t="shared" si="87"/>
        <v>7951.7736303143738</v>
      </c>
      <c r="AC240" s="39">
        <f t="shared" si="107"/>
        <v>2109.8618554810018</v>
      </c>
      <c r="AD240" s="41">
        <f t="shared" si="108"/>
        <v>0.36115948627813377</v>
      </c>
      <c r="AF240" s="46">
        <f t="shared" si="90"/>
        <v>73.332501424981444</v>
      </c>
      <c r="AG240" s="46">
        <f t="shared" si="109"/>
        <v>0</v>
      </c>
      <c r="AH240" s="54">
        <f t="shared" si="91"/>
        <v>1463</v>
      </c>
      <c r="AI240" s="55">
        <f t="shared" si="100"/>
        <v>0.767260579064588</v>
      </c>
      <c r="AJ240" s="55">
        <f t="shared" si="110"/>
        <v>56.26513750758599</v>
      </c>
      <c r="AK240" s="55">
        <f t="shared" si="111"/>
        <v>0</v>
      </c>
    </row>
    <row r="241" spans="2:37" s="53" customFormat="1" ht="17.25" customHeight="1" x14ac:dyDescent="0.25">
      <c r="B241" s="91" t="str">
        <f t="shared" si="92"/>
        <v/>
      </c>
      <c r="C241" s="81">
        <f>IF(Sheet3!A212="","",Sheet3!A212)</f>
        <v>39097</v>
      </c>
      <c r="D241" s="82">
        <f>IF(C241="","",Sheet3!E212)</f>
        <v>35.07</v>
      </c>
      <c r="E241" s="56">
        <f>_xlfn.XLOOKUP(WEEKNUM(C241)&amp;YEAR(C241),Sheet4!C:C,Sheet4!B:B,0)</f>
        <v>0</v>
      </c>
      <c r="F241" s="46">
        <f>IF(int=Weekly,-$D$5,IF(int=Bi_Weekly,-$D$5,IF(int=Monthly,0,IF(int=Quarterly,0,IF(int=Yearly,0,IF(int=None,0,0))))))</f>
        <v>0</v>
      </c>
      <c r="G241" s="46"/>
      <c r="H241" s="46">
        <f t="shared" si="101"/>
        <v>-5250</v>
      </c>
      <c r="I241" s="47"/>
      <c r="J241" s="38">
        <f t="shared" si="88"/>
        <v>0</v>
      </c>
      <c r="K241" s="48"/>
      <c r="L241" s="48">
        <f t="shared" si="93"/>
        <v>206.57042654924351</v>
      </c>
      <c r="M241" s="48"/>
      <c r="N241" s="38">
        <f t="shared" si="94"/>
        <v>0</v>
      </c>
      <c r="O241" s="36">
        <f t="shared" si="95"/>
        <v>0</v>
      </c>
      <c r="P241" s="84">
        <f t="shared" si="96"/>
        <v>-5841.4430248170956</v>
      </c>
      <c r="Q241" s="38">
        <f t="shared" si="97"/>
        <v>0</v>
      </c>
      <c r="R241" s="48">
        <f t="shared" si="98"/>
        <v>22.389367010053199</v>
      </c>
      <c r="S241" s="38">
        <f t="shared" si="89"/>
        <v>228.95979355929671</v>
      </c>
      <c r="T241" s="50">
        <f t="shared" si="102"/>
        <v>5250</v>
      </c>
      <c r="U241" s="40">
        <f t="shared" si="103"/>
        <v>7244.4248590819698</v>
      </c>
      <c r="V241" s="41">
        <f t="shared" si="104"/>
        <v>0.37989044934894656</v>
      </c>
      <c r="W241" s="39">
        <f t="shared" si="105"/>
        <v>1994.4248590819698</v>
      </c>
      <c r="X241" s="50">
        <f t="shared" si="99"/>
        <v>591.91177483337196</v>
      </c>
      <c r="Y241" s="41">
        <f t="shared" si="106"/>
        <v>0.49263554931720788</v>
      </c>
      <c r="Z241" s="52"/>
      <c r="AA241" s="50">
        <f t="shared" ref="AA241:AA304" si="112">(D241*Q241)+(D241*J241)+AA240</f>
        <v>5841.911774833372</v>
      </c>
      <c r="AB241" s="39">
        <f t="shared" ref="AB241:AB304" si="113">(L241*D241)+(D241*R241)</f>
        <v>8029.6199601245353</v>
      </c>
      <c r="AC241" s="39">
        <f t="shared" si="107"/>
        <v>2187.7081852911633</v>
      </c>
      <c r="AD241" s="41">
        <f t="shared" si="108"/>
        <v>0.3744849750582826</v>
      </c>
      <c r="AF241" s="46">
        <f t="shared" si="90"/>
        <v>0</v>
      </c>
      <c r="AG241" s="46">
        <f t="shared" si="109"/>
        <v>0</v>
      </c>
      <c r="AH241" s="54">
        <f t="shared" si="91"/>
        <v>1470</v>
      </c>
      <c r="AI241" s="55">
        <f t="shared" si="100"/>
        <v>0.76614699331848557</v>
      </c>
      <c r="AJ241" s="55">
        <f t="shared" si="110"/>
        <v>0</v>
      </c>
      <c r="AK241" s="55">
        <f t="shared" si="111"/>
        <v>0</v>
      </c>
    </row>
    <row r="242" spans="2:37" s="53" customFormat="1" ht="17.25" customHeight="1" x14ac:dyDescent="0.25">
      <c r="B242" s="91" t="str">
        <f t="shared" si="92"/>
        <v/>
      </c>
      <c r="C242" s="81">
        <f>IF(Sheet3!A213="","",Sheet3!A213)</f>
        <v>39104</v>
      </c>
      <c r="D242" s="82">
        <f>IF(C242="","",Sheet3!E213)</f>
        <v>36.400002000000001</v>
      </c>
      <c r="E242" s="56">
        <f>_xlfn.XLOOKUP(WEEKNUM(C242)&amp;YEAR(C242),Sheet4!C:C,Sheet4!B:B,0)</f>
        <v>0</v>
      </c>
      <c r="F242" s="46">
        <f>IF(int=Weekly,-$D$5,IF(int=Bi_Weekly,0,IF(int=Monthly,0,IF(int=Quarterly,0,IF(int=Yearly,0,IF(int=None,0,0))))))</f>
        <v>0</v>
      </c>
      <c r="G242" s="46"/>
      <c r="H242" s="46">
        <f t="shared" si="101"/>
        <v>-5250</v>
      </c>
      <c r="I242" s="47"/>
      <c r="J242" s="38">
        <f t="shared" si="88"/>
        <v>0</v>
      </c>
      <c r="K242" s="48"/>
      <c r="L242" s="48">
        <f t="shared" si="93"/>
        <v>206.57042654924351</v>
      </c>
      <c r="M242" s="48"/>
      <c r="N242" s="38">
        <f t="shared" si="94"/>
        <v>0</v>
      </c>
      <c r="O242" s="36">
        <f t="shared" si="95"/>
        <v>0</v>
      </c>
      <c r="P242" s="84">
        <f t="shared" si="96"/>
        <v>-5841.4430248170956</v>
      </c>
      <c r="Q242" s="38">
        <f t="shared" si="97"/>
        <v>0</v>
      </c>
      <c r="R242" s="48">
        <f t="shared" si="98"/>
        <v>22.389367010053199</v>
      </c>
      <c r="S242" s="38">
        <f t="shared" si="89"/>
        <v>228.95979355929671</v>
      </c>
      <c r="T242" s="50">
        <f t="shared" si="102"/>
        <v>5250</v>
      </c>
      <c r="U242" s="40">
        <f t="shared" si="103"/>
        <v>7519.1639395333168</v>
      </c>
      <c r="V242" s="41">
        <f t="shared" si="104"/>
        <v>0.43222170276825089</v>
      </c>
      <c r="W242" s="39">
        <f t="shared" si="105"/>
        <v>2269.1639395333168</v>
      </c>
      <c r="X242" s="50">
        <f t="shared" si="99"/>
        <v>591.91177483337196</v>
      </c>
      <c r="Y242" s="41">
        <f t="shared" si="106"/>
        <v>0.54496680273651221</v>
      </c>
      <c r="Z242" s="52"/>
      <c r="AA242" s="50">
        <f t="shared" si="112"/>
        <v>5841.911774833372</v>
      </c>
      <c r="AB242" s="39">
        <f t="shared" si="113"/>
        <v>8334.1369434779881</v>
      </c>
      <c r="AC242" s="39">
        <f t="shared" si="107"/>
        <v>2492.2251686446161</v>
      </c>
      <c r="AD242" s="41">
        <f t="shared" si="108"/>
        <v>0.42661123014232816</v>
      </c>
      <c r="AF242" s="46">
        <f t="shared" si="90"/>
        <v>0</v>
      </c>
      <c r="AG242" s="46">
        <f t="shared" si="109"/>
        <v>0</v>
      </c>
      <c r="AH242" s="54">
        <f t="shared" si="91"/>
        <v>1477</v>
      </c>
      <c r="AI242" s="55">
        <f t="shared" si="100"/>
        <v>0.76503340757238303</v>
      </c>
      <c r="AJ242" s="55">
        <f t="shared" si="110"/>
        <v>0</v>
      </c>
      <c r="AK242" s="55">
        <f t="shared" si="111"/>
        <v>0</v>
      </c>
    </row>
    <row r="243" spans="2:37" s="53" customFormat="1" ht="17.25" customHeight="1" x14ac:dyDescent="0.25">
      <c r="B243" s="91" t="str">
        <f t="shared" si="92"/>
        <v/>
      </c>
      <c r="C243" s="81">
        <f>IF(Sheet3!A214="","",Sheet3!A214)</f>
        <v>39111</v>
      </c>
      <c r="D243" s="82">
        <f>IF(C243="","",Sheet3!E214)</f>
        <v>38.119999</v>
      </c>
      <c r="E243" s="56">
        <f>_xlfn.XLOOKUP(WEEKNUM(C243)&amp;YEAR(C243),Sheet4!C:C,Sheet4!B:B,0)</f>
        <v>0</v>
      </c>
      <c r="F243" s="46">
        <f>IF(int=Weekly,-$D$5,IF(int=Bi_Weekly,-$D$5,IF(int=Monthly,-$D$5,IF(int=Quarterly,0,IF(int=Yearly,0,IF(int=None,0,0))))))</f>
        <v>-100</v>
      </c>
      <c r="G243" s="46"/>
      <c r="H243" s="46">
        <f t="shared" si="101"/>
        <v>-5350</v>
      </c>
      <c r="I243" s="47"/>
      <c r="J243" s="38">
        <f t="shared" si="88"/>
        <v>2.6232949271588386</v>
      </c>
      <c r="K243" s="48"/>
      <c r="L243" s="48">
        <f t="shared" si="93"/>
        <v>209.19372147640235</v>
      </c>
      <c r="M243" s="48"/>
      <c r="N243" s="38">
        <f t="shared" si="94"/>
        <v>0</v>
      </c>
      <c r="O243" s="36">
        <f t="shared" si="95"/>
        <v>0</v>
      </c>
      <c r="P243" s="84">
        <f t="shared" si="96"/>
        <v>-5941.4430248170956</v>
      </c>
      <c r="Q243" s="38">
        <f t="shared" si="97"/>
        <v>0</v>
      </c>
      <c r="R243" s="48">
        <f t="shared" si="98"/>
        <v>22.389367010053199</v>
      </c>
      <c r="S243" s="38">
        <f t="shared" si="89"/>
        <v>231.58308848645555</v>
      </c>
      <c r="T243" s="50">
        <f t="shared" si="102"/>
        <v>5350</v>
      </c>
      <c r="U243" s="40">
        <f t="shared" si="103"/>
        <v>7974.4644534867357</v>
      </c>
      <c r="V243" s="41">
        <f t="shared" si="104"/>
        <v>0.49055410345546457</v>
      </c>
      <c r="W243" s="39">
        <f t="shared" si="105"/>
        <v>2624.4644534867357</v>
      </c>
      <c r="X243" s="50">
        <f t="shared" si="99"/>
        <v>591.91177483337196</v>
      </c>
      <c r="Y243" s="41">
        <f t="shared" si="106"/>
        <v>0.60119181837758995</v>
      </c>
      <c r="Z243" s="52"/>
      <c r="AA243" s="50">
        <f t="shared" si="112"/>
        <v>5941.911774833372</v>
      </c>
      <c r="AB243" s="39">
        <f t="shared" si="113"/>
        <v>8827.9471015205963</v>
      </c>
      <c r="AC243" s="39">
        <f t="shared" si="107"/>
        <v>2886.0353266872244</v>
      </c>
      <c r="AD243" s="41">
        <f t="shared" si="108"/>
        <v>0.48570820908362555</v>
      </c>
      <c r="AF243" s="46">
        <f t="shared" si="90"/>
        <v>-100</v>
      </c>
      <c r="AG243" s="46">
        <f t="shared" si="109"/>
        <v>-100</v>
      </c>
      <c r="AH243" s="54">
        <f t="shared" si="91"/>
        <v>1484</v>
      </c>
      <c r="AI243" s="55">
        <f t="shared" si="100"/>
        <v>0.7639198218262806</v>
      </c>
      <c r="AJ243" s="55">
        <f t="shared" si="110"/>
        <v>-76.391982182628055</v>
      </c>
      <c r="AK243" s="55">
        <f t="shared" si="111"/>
        <v>-76.391982182628055</v>
      </c>
    </row>
    <row r="244" spans="2:37" s="53" customFormat="1" ht="17.25" customHeight="1" x14ac:dyDescent="0.25">
      <c r="B244" s="91" t="str">
        <f t="shared" si="92"/>
        <v/>
      </c>
      <c r="C244" s="81">
        <f>IF(Sheet3!A215="","",Sheet3!A215)</f>
        <v>39118</v>
      </c>
      <c r="D244" s="82">
        <f>IF(C244="","",Sheet3!E215)</f>
        <v>36.900002000000001</v>
      </c>
      <c r="E244" s="56">
        <f>_xlfn.XLOOKUP(WEEKNUM(C244)&amp;YEAR(C244),Sheet4!C:C,Sheet4!B:B,0)</f>
        <v>0</v>
      </c>
      <c r="F244" s="46">
        <f>IF(int=Weekly,-$D$5,IF(int=Bi_Weekly,0,IF(int=Monthly,0,IF(int=Quarterly,0,IF(int=Yearly,0,IF(int=None,0,0))))))</f>
        <v>0</v>
      </c>
      <c r="G244" s="46"/>
      <c r="H244" s="46">
        <f t="shared" si="101"/>
        <v>-5350</v>
      </c>
      <c r="I244" s="47"/>
      <c r="J244" s="38">
        <f t="shared" si="88"/>
        <v>0</v>
      </c>
      <c r="K244" s="48"/>
      <c r="L244" s="48">
        <f t="shared" si="93"/>
        <v>209.19372147640235</v>
      </c>
      <c r="M244" s="48"/>
      <c r="N244" s="38">
        <f t="shared" si="94"/>
        <v>0</v>
      </c>
      <c r="O244" s="36">
        <f t="shared" si="95"/>
        <v>0</v>
      </c>
      <c r="P244" s="84">
        <f t="shared" si="96"/>
        <v>-5941.4430248170956</v>
      </c>
      <c r="Q244" s="38">
        <f t="shared" si="97"/>
        <v>0</v>
      </c>
      <c r="R244" s="48">
        <f t="shared" si="98"/>
        <v>22.389367010053199</v>
      </c>
      <c r="S244" s="38">
        <f t="shared" si="89"/>
        <v>231.58308848645555</v>
      </c>
      <c r="T244" s="50">
        <f t="shared" si="102"/>
        <v>5350</v>
      </c>
      <c r="U244" s="40">
        <f t="shared" si="103"/>
        <v>7719.2487408666893</v>
      </c>
      <c r="V244" s="41">
        <f t="shared" si="104"/>
        <v>0.44285023193769901</v>
      </c>
      <c r="W244" s="39">
        <f t="shared" si="105"/>
        <v>2369.2487408666893</v>
      </c>
      <c r="X244" s="50">
        <f t="shared" si="99"/>
        <v>591.91177483337196</v>
      </c>
      <c r="Y244" s="41">
        <f t="shared" si="106"/>
        <v>0.55348794685982461</v>
      </c>
      <c r="Z244" s="52"/>
      <c r="AA244" s="50">
        <f t="shared" si="112"/>
        <v>5941.911774833372</v>
      </c>
      <c r="AB244" s="39">
        <f t="shared" si="113"/>
        <v>8545.4164283163864</v>
      </c>
      <c r="AC244" s="39">
        <f t="shared" si="107"/>
        <v>2603.5046534830144</v>
      </c>
      <c r="AD244" s="41">
        <f t="shared" si="108"/>
        <v>0.43815942614799663</v>
      </c>
      <c r="AF244" s="46">
        <f t="shared" si="90"/>
        <v>0</v>
      </c>
      <c r="AG244" s="46">
        <f t="shared" si="109"/>
        <v>0</v>
      </c>
      <c r="AH244" s="54">
        <f t="shared" si="91"/>
        <v>1491</v>
      </c>
      <c r="AI244" s="55">
        <f t="shared" si="100"/>
        <v>0.76280623608017817</v>
      </c>
      <c r="AJ244" s="55">
        <f t="shared" si="110"/>
        <v>0</v>
      </c>
      <c r="AK244" s="55">
        <f t="shared" si="111"/>
        <v>0</v>
      </c>
    </row>
    <row r="245" spans="2:37" s="53" customFormat="1" ht="17.25" customHeight="1" x14ac:dyDescent="0.25">
      <c r="B245" s="91" t="str">
        <f t="shared" si="92"/>
        <v/>
      </c>
      <c r="C245" s="81">
        <f>IF(Sheet3!A216="","",Sheet3!A216)</f>
        <v>39125</v>
      </c>
      <c r="D245" s="82">
        <f>IF(C245="","",Sheet3!E216)</f>
        <v>37.479999999999997</v>
      </c>
      <c r="E245" s="56">
        <f>_xlfn.XLOOKUP(WEEKNUM(C245)&amp;YEAR(C245),Sheet4!C:C,Sheet4!B:B,0)</f>
        <v>0</v>
      </c>
      <c r="F245" s="46">
        <f>IF(int=Weekly,-$D$5,IF(int=Bi_Weekly,-$D$5,IF(int=Monthly,0,IF(int=Quarterly,0,IF(int=Yearly,0,IF(int=None,0,0))))))</f>
        <v>0</v>
      </c>
      <c r="G245" s="46"/>
      <c r="H245" s="46">
        <f t="shared" si="101"/>
        <v>-5350</v>
      </c>
      <c r="I245" s="47"/>
      <c r="J245" s="38">
        <f t="shared" si="88"/>
        <v>0</v>
      </c>
      <c r="K245" s="48"/>
      <c r="L245" s="48">
        <f t="shared" si="93"/>
        <v>209.19372147640235</v>
      </c>
      <c r="M245" s="48"/>
      <c r="N245" s="38">
        <f t="shared" si="94"/>
        <v>0</v>
      </c>
      <c r="O245" s="36">
        <f t="shared" si="95"/>
        <v>0</v>
      </c>
      <c r="P245" s="84">
        <f t="shared" si="96"/>
        <v>-5941.4430248170956</v>
      </c>
      <c r="Q245" s="38">
        <f t="shared" si="97"/>
        <v>0</v>
      </c>
      <c r="R245" s="48">
        <f t="shared" si="98"/>
        <v>22.389367010053199</v>
      </c>
      <c r="S245" s="38">
        <f t="shared" si="89"/>
        <v>231.58308848645555</v>
      </c>
      <c r="T245" s="50">
        <f t="shared" si="102"/>
        <v>5350</v>
      </c>
      <c r="U245" s="40">
        <f t="shared" si="103"/>
        <v>7840.580680935559</v>
      </c>
      <c r="V245" s="41">
        <f t="shared" si="104"/>
        <v>0.4655290992402914</v>
      </c>
      <c r="W245" s="39">
        <f t="shared" si="105"/>
        <v>2490.580680935559</v>
      </c>
      <c r="X245" s="50">
        <f t="shared" si="99"/>
        <v>591.91177483337196</v>
      </c>
      <c r="Y245" s="41">
        <f t="shared" si="106"/>
        <v>0.57616681416241677</v>
      </c>
      <c r="Z245" s="52"/>
      <c r="AA245" s="50">
        <f t="shared" si="112"/>
        <v>5941.911774833372</v>
      </c>
      <c r="AB245" s="39">
        <f t="shared" si="113"/>
        <v>8679.7341564723538</v>
      </c>
      <c r="AC245" s="39">
        <f t="shared" si="107"/>
        <v>2737.8223816389818</v>
      </c>
      <c r="AD245" s="41">
        <f t="shared" si="108"/>
        <v>0.460764562886119</v>
      </c>
      <c r="AF245" s="46">
        <f t="shared" si="90"/>
        <v>0</v>
      </c>
      <c r="AG245" s="46">
        <f t="shared" si="109"/>
        <v>0</v>
      </c>
      <c r="AH245" s="54">
        <f t="shared" si="91"/>
        <v>1498</v>
      </c>
      <c r="AI245" s="55">
        <f t="shared" si="100"/>
        <v>0.76169265033407574</v>
      </c>
      <c r="AJ245" s="55">
        <f t="shared" si="110"/>
        <v>0</v>
      </c>
      <c r="AK245" s="55">
        <f t="shared" si="111"/>
        <v>0</v>
      </c>
    </row>
    <row r="246" spans="2:37" s="53" customFormat="1" ht="17.25" customHeight="1" x14ac:dyDescent="0.25">
      <c r="B246" s="91" t="str">
        <f t="shared" si="92"/>
        <v/>
      </c>
      <c r="C246" s="81">
        <f>IF(Sheet3!A217="","",Sheet3!A217)</f>
        <v>39132</v>
      </c>
      <c r="D246" s="82">
        <f>IF(C246="","",Sheet3!E217)</f>
        <v>37</v>
      </c>
      <c r="E246" s="56">
        <f>_xlfn.XLOOKUP(WEEKNUM(C246)&amp;YEAR(C246),Sheet4!C:C,Sheet4!B:B,0)</f>
        <v>0</v>
      </c>
      <c r="F246" s="46">
        <f>IF(int=Weekly,-$D$5,IF(int=Bi_Weekly,0,IF(int=Monthly,0,IF(int=Quarterly,0,IF(int=Yearly,0,IF(int=None,0,0))))))</f>
        <v>0</v>
      </c>
      <c r="G246" s="46"/>
      <c r="H246" s="46">
        <f t="shared" si="101"/>
        <v>-5350</v>
      </c>
      <c r="I246" s="47"/>
      <c r="J246" s="38">
        <f t="shared" si="88"/>
        <v>0</v>
      </c>
      <c r="K246" s="48"/>
      <c r="L246" s="48">
        <f t="shared" si="93"/>
        <v>209.19372147640235</v>
      </c>
      <c r="M246" s="48"/>
      <c r="N246" s="38">
        <f t="shared" si="94"/>
        <v>0</v>
      </c>
      <c r="O246" s="36">
        <f t="shared" si="95"/>
        <v>0</v>
      </c>
      <c r="P246" s="84">
        <f t="shared" si="96"/>
        <v>-5941.4430248170956</v>
      </c>
      <c r="Q246" s="38">
        <f t="shared" si="97"/>
        <v>0</v>
      </c>
      <c r="R246" s="48">
        <f t="shared" si="98"/>
        <v>22.389367010053199</v>
      </c>
      <c r="S246" s="38">
        <f t="shared" si="89"/>
        <v>231.58308848645555</v>
      </c>
      <c r="T246" s="50">
        <f t="shared" si="102"/>
        <v>5350</v>
      </c>
      <c r="U246" s="40">
        <f t="shared" si="103"/>
        <v>7740.1676946268872</v>
      </c>
      <c r="V246" s="41">
        <f t="shared" si="104"/>
        <v>0.44676031675268923</v>
      </c>
      <c r="W246" s="39">
        <f t="shared" si="105"/>
        <v>2390.1676946268872</v>
      </c>
      <c r="X246" s="50">
        <f t="shared" si="99"/>
        <v>591.91177483337196</v>
      </c>
      <c r="Y246" s="41">
        <f t="shared" si="106"/>
        <v>0.55739803167481483</v>
      </c>
      <c r="Z246" s="52"/>
      <c r="AA246" s="50">
        <f t="shared" si="112"/>
        <v>5941.911774833372</v>
      </c>
      <c r="AB246" s="39">
        <f t="shared" si="113"/>
        <v>8568.5742739988564</v>
      </c>
      <c r="AC246" s="39">
        <f t="shared" si="107"/>
        <v>2626.6624991654844</v>
      </c>
      <c r="AD246" s="41">
        <f t="shared" si="108"/>
        <v>0.44205679900710804</v>
      </c>
      <c r="AF246" s="46">
        <f t="shared" si="90"/>
        <v>0</v>
      </c>
      <c r="AG246" s="46">
        <f t="shared" si="109"/>
        <v>0</v>
      </c>
      <c r="AH246" s="54">
        <f t="shared" si="91"/>
        <v>1505</v>
      </c>
      <c r="AI246" s="55">
        <f t="shared" si="100"/>
        <v>0.76057906458797331</v>
      </c>
      <c r="AJ246" s="55">
        <f t="shared" si="110"/>
        <v>0</v>
      </c>
      <c r="AK246" s="55">
        <f t="shared" si="111"/>
        <v>0</v>
      </c>
    </row>
    <row r="247" spans="2:37" s="53" customFormat="1" ht="17.25" customHeight="1" x14ac:dyDescent="0.25">
      <c r="B247" s="91" t="str">
        <f t="shared" si="92"/>
        <v/>
      </c>
      <c r="C247" s="81">
        <f>IF(Sheet3!A218="","",Sheet3!A218)</f>
        <v>39139</v>
      </c>
      <c r="D247" s="82">
        <f>IF(C247="","",Sheet3!E218)</f>
        <v>36.439999</v>
      </c>
      <c r="E247" s="56">
        <f>_xlfn.XLOOKUP(WEEKNUM(C247)&amp;YEAR(C247),Sheet4!C:C,Sheet4!B:B,0)</f>
        <v>0</v>
      </c>
      <c r="F247" s="46">
        <f>IF(int=Weekly,-$D$5,IF(int=Bi_Weekly,-$D$5,IF(int=Monthly,-$D$5,IF(int=Quarterly,0,IF(int=Yearly,0,IF(int=None,0,0))))))</f>
        <v>-100</v>
      </c>
      <c r="G247" s="46"/>
      <c r="H247" s="46">
        <f t="shared" si="101"/>
        <v>-5450</v>
      </c>
      <c r="I247" s="47"/>
      <c r="J247" s="38">
        <f t="shared" si="88"/>
        <v>2.7442371773939951</v>
      </c>
      <c r="K247" s="48"/>
      <c r="L247" s="48">
        <f t="shared" si="93"/>
        <v>211.93795865379633</v>
      </c>
      <c r="M247" s="48"/>
      <c r="N247" s="38">
        <f t="shared" si="94"/>
        <v>0</v>
      </c>
      <c r="O247" s="36">
        <f t="shared" si="95"/>
        <v>0</v>
      </c>
      <c r="P247" s="84">
        <f t="shared" si="96"/>
        <v>-6041.4430248170956</v>
      </c>
      <c r="Q247" s="38">
        <f t="shared" si="97"/>
        <v>0</v>
      </c>
      <c r="R247" s="48">
        <f t="shared" si="98"/>
        <v>22.389367010053199</v>
      </c>
      <c r="S247" s="38">
        <f t="shared" si="89"/>
        <v>234.32732566384954</v>
      </c>
      <c r="T247" s="50">
        <f t="shared" si="102"/>
        <v>5450</v>
      </c>
      <c r="U247" s="40">
        <f t="shared" si="103"/>
        <v>7723.0190014063801</v>
      </c>
      <c r="V247" s="41">
        <f t="shared" si="104"/>
        <v>0.41706770668006965</v>
      </c>
      <c r="W247" s="39">
        <f t="shared" si="105"/>
        <v>2273.0190014063801</v>
      </c>
      <c r="X247" s="50">
        <f t="shared" si="99"/>
        <v>591.91177483337196</v>
      </c>
      <c r="Y247" s="41">
        <f t="shared" si="106"/>
        <v>0.52567537178711032</v>
      </c>
      <c r="Z247" s="52"/>
      <c r="AA247" s="50">
        <f t="shared" si="112"/>
        <v>6041.911774833372</v>
      </c>
      <c r="AB247" s="39">
        <f t="shared" si="113"/>
        <v>8538.8875128633517</v>
      </c>
      <c r="AC247" s="39">
        <f t="shared" si="107"/>
        <v>2496.9757380299798</v>
      </c>
      <c r="AD247" s="41">
        <f t="shared" si="108"/>
        <v>0.41327576950572786</v>
      </c>
      <c r="AF247" s="46">
        <f t="shared" si="90"/>
        <v>-100</v>
      </c>
      <c r="AG247" s="46">
        <f t="shared" si="109"/>
        <v>-100</v>
      </c>
      <c r="AH247" s="54">
        <f t="shared" si="91"/>
        <v>1512</v>
      </c>
      <c r="AI247" s="55">
        <f t="shared" si="100"/>
        <v>0.75946547884187088</v>
      </c>
      <c r="AJ247" s="55">
        <f t="shared" si="110"/>
        <v>-75.946547884187083</v>
      </c>
      <c r="AK247" s="55">
        <f t="shared" si="111"/>
        <v>-75.946547884187083</v>
      </c>
    </row>
    <row r="248" spans="2:37" s="53" customFormat="1" ht="17.25" customHeight="1" x14ac:dyDescent="0.25">
      <c r="B248" s="91" t="str">
        <f t="shared" si="92"/>
        <v/>
      </c>
      <c r="C248" s="81">
        <f>IF(Sheet3!A219="","",Sheet3!A219)</f>
        <v>39146</v>
      </c>
      <c r="D248" s="82">
        <f>IF(C248="","",Sheet3!E219)</f>
        <v>36.549999</v>
      </c>
      <c r="E248" s="56">
        <f>_xlfn.XLOOKUP(WEEKNUM(C248)&amp;YEAR(C248),Sheet4!C:C,Sheet4!B:B,0)</f>
        <v>0</v>
      </c>
      <c r="F248" s="46">
        <f>IF(int=Weekly,-$D$5,IF(int=Bi_Weekly,0,IF(int=Monthly,0,IF(int=Quarterly,0,IF(int=Yearly,0,IF(int=None,0,0))))))</f>
        <v>0</v>
      </c>
      <c r="G248" s="46"/>
      <c r="H248" s="46">
        <f t="shared" si="101"/>
        <v>-5450</v>
      </c>
      <c r="I248" s="47"/>
      <c r="J248" s="38">
        <f t="shared" si="88"/>
        <v>0</v>
      </c>
      <c r="K248" s="48"/>
      <c r="L248" s="48">
        <f t="shared" si="93"/>
        <v>211.93795865379633</v>
      </c>
      <c r="M248" s="48"/>
      <c r="N248" s="38">
        <f t="shared" si="94"/>
        <v>0</v>
      </c>
      <c r="O248" s="36">
        <f t="shared" si="95"/>
        <v>0</v>
      </c>
      <c r="P248" s="84">
        <f t="shared" si="96"/>
        <v>-6041.4430248170956</v>
      </c>
      <c r="Q248" s="38">
        <f t="shared" si="97"/>
        <v>0</v>
      </c>
      <c r="R248" s="48">
        <f t="shared" si="98"/>
        <v>22.389367010053199</v>
      </c>
      <c r="S248" s="38">
        <f t="shared" si="89"/>
        <v>234.32732566384954</v>
      </c>
      <c r="T248" s="50">
        <f t="shared" si="102"/>
        <v>5450</v>
      </c>
      <c r="U248" s="40">
        <f t="shared" si="103"/>
        <v>7746.3321768582973</v>
      </c>
      <c r="V248" s="41">
        <f t="shared" si="104"/>
        <v>0.42134535355198111</v>
      </c>
      <c r="W248" s="39">
        <f t="shared" si="105"/>
        <v>2296.3321768582973</v>
      </c>
      <c r="X248" s="50">
        <f t="shared" si="99"/>
        <v>591.91177483337196</v>
      </c>
      <c r="Y248" s="41">
        <f t="shared" si="106"/>
        <v>0.52995301865902178</v>
      </c>
      <c r="Z248" s="52"/>
      <c r="AA248" s="50">
        <f t="shared" si="112"/>
        <v>6041.911774833372</v>
      </c>
      <c r="AB248" s="39">
        <f t="shared" si="113"/>
        <v>8564.663518686375</v>
      </c>
      <c r="AC248" s="39">
        <f t="shared" si="107"/>
        <v>2522.7517438530031</v>
      </c>
      <c r="AD248" s="41">
        <f t="shared" si="108"/>
        <v>0.41754196980517433</v>
      </c>
      <c r="AF248" s="46">
        <f t="shared" si="90"/>
        <v>0</v>
      </c>
      <c r="AG248" s="46">
        <f t="shared" si="109"/>
        <v>0</v>
      </c>
      <c r="AH248" s="54">
        <f t="shared" si="91"/>
        <v>1519</v>
      </c>
      <c r="AI248" s="55">
        <f t="shared" si="100"/>
        <v>0.75835189309576834</v>
      </c>
      <c r="AJ248" s="55">
        <f t="shared" si="110"/>
        <v>0</v>
      </c>
      <c r="AK248" s="55">
        <f t="shared" si="111"/>
        <v>0</v>
      </c>
    </row>
    <row r="249" spans="2:37" s="53" customFormat="1" ht="17.25" customHeight="1" x14ac:dyDescent="0.25">
      <c r="B249" s="91" t="str">
        <f t="shared" si="92"/>
        <v/>
      </c>
      <c r="C249" s="81">
        <f>IF(Sheet3!A220="","",Sheet3!A220)</f>
        <v>39153</v>
      </c>
      <c r="D249" s="82">
        <f>IF(C249="","",Sheet3!E220)</f>
        <v>36.979999999999997</v>
      </c>
      <c r="E249" s="56">
        <f>_xlfn.XLOOKUP(WEEKNUM(C249)&amp;YEAR(C249),Sheet4!C:C,Sheet4!B:B,0)</f>
        <v>0</v>
      </c>
      <c r="F249" s="46">
        <f>IF(int=Weekly,-$D$5,IF(int=Bi_Weekly,-$D$5,IF(int=Monthly,0,IF(int=Quarterly,0,IF(int=Yearly,0,IF(int=None,0,0))))))</f>
        <v>0</v>
      </c>
      <c r="G249" s="46"/>
      <c r="H249" s="46">
        <f t="shared" si="101"/>
        <v>-5450</v>
      </c>
      <c r="I249" s="47"/>
      <c r="J249" s="38">
        <f t="shared" si="88"/>
        <v>0</v>
      </c>
      <c r="K249" s="48"/>
      <c r="L249" s="48">
        <f t="shared" si="93"/>
        <v>211.93795865379633</v>
      </c>
      <c r="M249" s="48"/>
      <c r="N249" s="38">
        <f t="shared" si="94"/>
        <v>0</v>
      </c>
      <c r="O249" s="36">
        <f t="shared" si="95"/>
        <v>0</v>
      </c>
      <c r="P249" s="84">
        <f t="shared" si="96"/>
        <v>-6041.4430248170956</v>
      </c>
      <c r="Q249" s="38">
        <f t="shared" si="97"/>
        <v>0</v>
      </c>
      <c r="R249" s="48">
        <f t="shared" si="98"/>
        <v>22.389367010053199</v>
      </c>
      <c r="S249" s="38">
        <f t="shared" si="89"/>
        <v>234.32732566384954</v>
      </c>
      <c r="T249" s="50">
        <f t="shared" si="102"/>
        <v>5450</v>
      </c>
      <c r="U249" s="40">
        <f t="shared" si="103"/>
        <v>7837.4657110173875</v>
      </c>
      <c r="V249" s="41">
        <f t="shared" si="104"/>
        <v>0.43806710293897022</v>
      </c>
      <c r="W249" s="39">
        <f t="shared" si="105"/>
        <v>2387.4657110173875</v>
      </c>
      <c r="X249" s="50">
        <f t="shared" si="99"/>
        <v>591.91177483337196</v>
      </c>
      <c r="Y249" s="41">
        <f t="shared" si="106"/>
        <v>0.54667476804601112</v>
      </c>
      <c r="Z249" s="52"/>
      <c r="AA249" s="50">
        <f t="shared" si="112"/>
        <v>6041.911774833372</v>
      </c>
      <c r="AB249" s="39">
        <f t="shared" si="113"/>
        <v>8665.4245030491547</v>
      </c>
      <c r="AC249" s="39">
        <f t="shared" si="107"/>
        <v>2623.5127282157828</v>
      </c>
      <c r="AD249" s="41">
        <f t="shared" si="108"/>
        <v>0.43421897339574045</v>
      </c>
      <c r="AF249" s="46">
        <f t="shared" si="90"/>
        <v>0</v>
      </c>
      <c r="AG249" s="46">
        <f t="shared" si="109"/>
        <v>0</v>
      </c>
      <c r="AH249" s="54">
        <f t="shared" si="91"/>
        <v>1526</v>
      </c>
      <c r="AI249" s="55">
        <f t="shared" si="100"/>
        <v>0.75723830734966591</v>
      </c>
      <c r="AJ249" s="55">
        <f t="shared" si="110"/>
        <v>0</v>
      </c>
      <c r="AK249" s="55">
        <f t="shared" si="111"/>
        <v>0</v>
      </c>
    </row>
    <row r="250" spans="2:37" s="53" customFormat="1" ht="17.25" customHeight="1" x14ac:dyDescent="0.25">
      <c r="B250" s="91" t="str">
        <f t="shared" si="92"/>
        <v/>
      </c>
      <c r="C250" s="81">
        <f>IF(Sheet3!A221="","",Sheet3!A221)</f>
        <v>39160</v>
      </c>
      <c r="D250" s="82">
        <f>IF(C250="","",Sheet3!E221)</f>
        <v>38.880001</v>
      </c>
      <c r="E250" s="56">
        <f>_xlfn.XLOOKUP(WEEKNUM(C250)&amp;YEAR(C250),Sheet4!C:C,Sheet4!B:B,0)</f>
        <v>0</v>
      </c>
      <c r="F250" s="46">
        <f>IF(int=Weekly,-$D$5,IF(int=Bi_Weekly,0,IF(int=Monthly,0,IF(int=Quarterly,0,IF(int=Yearly,0,IF(int=None,0,0))))))</f>
        <v>0</v>
      </c>
      <c r="G250" s="46"/>
      <c r="H250" s="46">
        <f t="shared" si="101"/>
        <v>-5450</v>
      </c>
      <c r="I250" s="47"/>
      <c r="J250" s="38">
        <f t="shared" si="88"/>
        <v>0</v>
      </c>
      <c r="K250" s="48"/>
      <c r="L250" s="48">
        <f t="shared" si="93"/>
        <v>211.93795865379633</v>
      </c>
      <c r="M250" s="48"/>
      <c r="N250" s="38">
        <f t="shared" si="94"/>
        <v>0</v>
      </c>
      <c r="O250" s="36">
        <f t="shared" si="95"/>
        <v>0</v>
      </c>
      <c r="P250" s="84">
        <f t="shared" si="96"/>
        <v>-6041.4430248170956</v>
      </c>
      <c r="Q250" s="38">
        <f t="shared" si="97"/>
        <v>0</v>
      </c>
      <c r="R250" s="48">
        <f t="shared" si="98"/>
        <v>22.389367010053199</v>
      </c>
      <c r="S250" s="38">
        <f t="shared" si="89"/>
        <v>234.32732566384954</v>
      </c>
      <c r="T250" s="50">
        <f t="shared" si="102"/>
        <v>5450</v>
      </c>
      <c r="U250" s="40">
        <f t="shared" si="103"/>
        <v>8240.1480443975597</v>
      </c>
      <c r="V250" s="41">
        <f t="shared" si="104"/>
        <v>0.51195376961423111</v>
      </c>
      <c r="W250" s="39">
        <f t="shared" si="105"/>
        <v>2790.1480443975597</v>
      </c>
      <c r="X250" s="50">
        <f t="shared" si="99"/>
        <v>591.91177483337196</v>
      </c>
      <c r="Y250" s="41">
        <f t="shared" si="106"/>
        <v>0.62056143472127179</v>
      </c>
      <c r="Z250" s="52"/>
      <c r="AA250" s="50">
        <f t="shared" si="112"/>
        <v>6041.911774833372</v>
      </c>
      <c r="AB250" s="39">
        <f t="shared" si="113"/>
        <v>9110.6466561377947</v>
      </c>
      <c r="AC250" s="39">
        <f t="shared" si="107"/>
        <v>3068.7348813044227</v>
      </c>
      <c r="AD250" s="41">
        <f t="shared" si="108"/>
        <v>0.50790792644254634</v>
      </c>
      <c r="AF250" s="46">
        <f t="shared" si="90"/>
        <v>0</v>
      </c>
      <c r="AG250" s="46">
        <f t="shared" si="109"/>
        <v>0</v>
      </c>
      <c r="AH250" s="54">
        <f t="shared" si="91"/>
        <v>1533</v>
      </c>
      <c r="AI250" s="55">
        <f t="shared" si="100"/>
        <v>0.75612472160356348</v>
      </c>
      <c r="AJ250" s="55">
        <f t="shared" si="110"/>
        <v>0</v>
      </c>
      <c r="AK250" s="55">
        <f t="shared" si="111"/>
        <v>0</v>
      </c>
    </row>
    <row r="251" spans="2:37" s="53" customFormat="1" ht="17.25" customHeight="1" x14ac:dyDescent="0.25">
      <c r="B251" s="91" t="str">
        <f t="shared" si="92"/>
        <v/>
      </c>
      <c r="C251" s="81">
        <f>IF(Sheet3!A222="","",Sheet3!A222)</f>
        <v>39167</v>
      </c>
      <c r="D251" s="82">
        <f>IF(C251="","",Sheet3!E222)</f>
        <v>39.43</v>
      </c>
      <c r="E251" s="56">
        <f>_xlfn.XLOOKUP(WEEKNUM(C251)&amp;YEAR(C251),Sheet4!C:C,Sheet4!B:B,0)</f>
        <v>0</v>
      </c>
      <c r="F251" s="46">
        <f>IF(int=Weekly,-$D$5,IF(int=Bi_Weekly,-$D$5,IF(int=Monthly,-$D$5,IF(int=Quarterly,0,IF(int=Yearly,0,IF(int=None,0,0))))))</f>
        <v>-100</v>
      </c>
      <c r="G251" s="46"/>
      <c r="H251" s="46">
        <f t="shared" si="101"/>
        <v>-5550</v>
      </c>
      <c r="I251" s="47"/>
      <c r="J251" s="38">
        <f t="shared" si="88"/>
        <v>2.5361399949277201</v>
      </c>
      <c r="K251" s="48"/>
      <c r="L251" s="48">
        <f t="shared" si="93"/>
        <v>214.47409864872404</v>
      </c>
      <c r="M251" s="48"/>
      <c r="N251" s="38">
        <f t="shared" si="94"/>
        <v>0</v>
      </c>
      <c r="O251" s="36">
        <f t="shared" si="95"/>
        <v>0</v>
      </c>
      <c r="P251" s="84">
        <f t="shared" si="96"/>
        <v>-6141.4430248170956</v>
      </c>
      <c r="Q251" s="38">
        <f t="shared" si="97"/>
        <v>0</v>
      </c>
      <c r="R251" s="48">
        <f t="shared" si="98"/>
        <v>22.389367010053199</v>
      </c>
      <c r="S251" s="38">
        <f t="shared" si="89"/>
        <v>236.86346565877724</v>
      </c>
      <c r="T251" s="50">
        <f t="shared" si="102"/>
        <v>5550</v>
      </c>
      <c r="U251" s="40">
        <f t="shared" si="103"/>
        <v>8456.713709719188</v>
      </c>
      <c r="V251" s="41">
        <f t="shared" si="104"/>
        <v>0.52373219994940334</v>
      </c>
      <c r="W251" s="39">
        <f t="shared" si="105"/>
        <v>2906.713709719188</v>
      </c>
      <c r="X251" s="50">
        <f t="shared" si="99"/>
        <v>591.91177483337196</v>
      </c>
      <c r="Y251" s="41">
        <f t="shared" si="106"/>
        <v>0.63038297018965039</v>
      </c>
      <c r="Z251" s="52"/>
      <c r="AA251" s="50">
        <f t="shared" si="112"/>
        <v>6141.911774833372</v>
      </c>
      <c r="AB251" s="39">
        <f t="shared" si="113"/>
        <v>9339.5264509255849</v>
      </c>
      <c r="AC251" s="39">
        <f t="shared" si="107"/>
        <v>3197.6146760922129</v>
      </c>
      <c r="AD251" s="41">
        <f t="shared" si="108"/>
        <v>0.52062204624861508</v>
      </c>
      <c r="AF251" s="46">
        <f t="shared" si="90"/>
        <v>-100</v>
      </c>
      <c r="AG251" s="46">
        <f t="shared" si="109"/>
        <v>-100</v>
      </c>
      <c r="AH251" s="54">
        <f t="shared" si="91"/>
        <v>1540</v>
      </c>
      <c r="AI251" s="55">
        <f t="shared" si="100"/>
        <v>0.75501113585746105</v>
      </c>
      <c r="AJ251" s="55">
        <f t="shared" si="110"/>
        <v>-75.501113585746111</v>
      </c>
      <c r="AK251" s="55">
        <f t="shared" si="111"/>
        <v>-75.501113585746111</v>
      </c>
    </row>
    <row r="252" spans="2:37" s="53" customFormat="1" ht="17.25" customHeight="1" x14ac:dyDescent="0.25">
      <c r="B252" s="91" t="str">
        <f t="shared" si="92"/>
        <v/>
      </c>
      <c r="C252" s="81">
        <f>IF(Sheet3!A223="","",Sheet3!A223)</f>
        <v>39174</v>
      </c>
      <c r="D252" s="82">
        <f>IF(C252="","",Sheet3!E223)</f>
        <v>39.270000000000003</v>
      </c>
      <c r="E252" s="56">
        <f>_xlfn.XLOOKUP(WEEKNUM(C252)&amp;YEAR(C252),Sheet4!C:C,Sheet4!B:B,0)</f>
        <v>0.35499999999999998</v>
      </c>
      <c r="F252" s="46">
        <f>IF(int=Weekly,-$D$5,IF(int=Bi_Weekly,0,IF(int=Monthly,0,IF(int=Quarterly,-$D$5,IF(int=Yearly,0,IF(int=None,0,0))))))</f>
        <v>0</v>
      </c>
      <c r="G252" s="46"/>
      <c r="H252" s="46">
        <f t="shared" si="101"/>
        <v>-5550</v>
      </c>
      <c r="I252" s="47"/>
      <c r="J252" s="38">
        <f t="shared" si="88"/>
        <v>0</v>
      </c>
      <c r="K252" s="48"/>
      <c r="L252" s="48">
        <f t="shared" si="93"/>
        <v>214.47409864872404</v>
      </c>
      <c r="M252" s="48"/>
      <c r="N252" s="38">
        <f t="shared" si="94"/>
        <v>76.138305020297025</v>
      </c>
      <c r="O252" s="36">
        <f t="shared" si="95"/>
        <v>-76.138305020297025</v>
      </c>
      <c r="P252" s="84">
        <f t="shared" si="96"/>
        <v>-6217.5813298373923</v>
      </c>
      <c r="Q252" s="38">
        <f t="shared" si="97"/>
        <v>1.9388414825642226</v>
      </c>
      <c r="R252" s="48">
        <f t="shared" si="98"/>
        <v>24.328208492617421</v>
      </c>
      <c r="S252" s="38">
        <f t="shared" si="89"/>
        <v>238.80230714134146</v>
      </c>
      <c r="T252" s="50">
        <f t="shared" si="102"/>
        <v>5550</v>
      </c>
      <c r="U252" s="40">
        <f t="shared" si="103"/>
        <v>8422.3978539353939</v>
      </c>
      <c r="V252" s="41">
        <f t="shared" si="104"/>
        <v>0.51754916287124209</v>
      </c>
      <c r="W252" s="39">
        <f t="shared" si="105"/>
        <v>2872.3978539353939</v>
      </c>
      <c r="X252" s="50">
        <f t="shared" si="99"/>
        <v>668.05007985366899</v>
      </c>
      <c r="Y252" s="41">
        <f t="shared" si="106"/>
        <v>0.63791854662865988</v>
      </c>
      <c r="Z252" s="52"/>
      <c r="AA252" s="50">
        <f t="shared" si="112"/>
        <v>6218.0500798536686</v>
      </c>
      <c r="AB252" s="39">
        <f t="shared" si="113"/>
        <v>9377.7666014404804</v>
      </c>
      <c r="AC252" s="39">
        <f t="shared" si="107"/>
        <v>3159.7165215868117</v>
      </c>
      <c r="AD252" s="41">
        <f t="shared" si="108"/>
        <v>0.5081523115782256</v>
      </c>
      <c r="AF252" s="46">
        <f t="shared" si="90"/>
        <v>76.138305020297025</v>
      </c>
      <c r="AG252" s="46">
        <f t="shared" si="109"/>
        <v>0</v>
      </c>
      <c r="AH252" s="54">
        <f t="shared" si="91"/>
        <v>1547</v>
      </c>
      <c r="AI252" s="55">
        <f t="shared" si="100"/>
        <v>0.75389755011135862</v>
      </c>
      <c r="AJ252" s="55">
        <f t="shared" si="110"/>
        <v>57.400481624433283</v>
      </c>
      <c r="AK252" s="55">
        <f t="shared" si="111"/>
        <v>0</v>
      </c>
    </row>
    <row r="253" spans="2:37" s="53" customFormat="1" ht="17.25" customHeight="1" x14ac:dyDescent="0.25">
      <c r="B253" s="91" t="str">
        <f t="shared" si="92"/>
        <v/>
      </c>
      <c r="C253" s="81">
        <f>IF(Sheet3!A224="","",Sheet3!A224)</f>
        <v>39181</v>
      </c>
      <c r="D253" s="82">
        <f>IF(C253="","",Sheet3!E224)</f>
        <v>38.840000000000003</v>
      </c>
      <c r="E253" s="56">
        <f>_xlfn.XLOOKUP(WEEKNUM(C253)&amp;YEAR(C253),Sheet4!C:C,Sheet4!B:B,0)</f>
        <v>0</v>
      </c>
      <c r="F253" s="46">
        <f>IF(int=Weekly,-$D$5,IF(int=Bi_Weekly,-$D$5,IF(int=Monthly,0,IF(int=Quarterly,0,IF(int=Yearly,0,IF(int=None,0,0))))))</f>
        <v>0</v>
      </c>
      <c r="G253" s="46"/>
      <c r="H253" s="46">
        <f t="shared" si="101"/>
        <v>-5550</v>
      </c>
      <c r="I253" s="47"/>
      <c r="J253" s="38">
        <f t="shared" si="88"/>
        <v>0</v>
      </c>
      <c r="K253" s="48"/>
      <c r="L253" s="48">
        <f t="shared" si="93"/>
        <v>214.47409864872404</v>
      </c>
      <c r="M253" s="48"/>
      <c r="N253" s="38">
        <f t="shared" si="94"/>
        <v>0</v>
      </c>
      <c r="O253" s="36">
        <f t="shared" si="95"/>
        <v>0</v>
      </c>
      <c r="P253" s="84">
        <f t="shared" si="96"/>
        <v>-6217.5813298373923</v>
      </c>
      <c r="Q253" s="38">
        <f t="shared" si="97"/>
        <v>0</v>
      </c>
      <c r="R253" s="48">
        <f t="shared" si="98"/>
        <v>24.328208492617421</v>
      </c>
      <c r="S253" s="38">
        <f t="shared" si="89"/>
        <v>238.80230714134146</v>
      </c>
      <c r="T253" s="50">
        <f t="shared" si="102"/>
        <v>5550</v>
      </c>
      <c r="U253" s="40">
        <f t="shared" si="103"/>
        <v>8330.1739915164417</v>
      </c>
      <c r="V253" s="41">
        <f t="shared" si="104"/>
        <v>0.50093225072368308</v>
      </c>
      <c r="W253" s="39">
        <f t="shared" si="105"/>
        <v>2780.1739915164417</v>
      </c>
      <c r="X253" s="50">
        <f t="shared" si="99"/>
        <v>668.05007985366899</v>
      </c>
      <c r="Y253" s="41">
        <f t="shared" si="106"/>
        <v>0.62130163448110087</v>
      </c>
      <c r="Z253" s="52"/>
      <c r="AA253" s="50">
        <f t="shared" si="112"/>
        <v>6218.0500798536686</v>
      </c>
      <c r="AB253" s="39">
        <f t="shared" si="113"/>
        <v>9275.0816093697031</v>
      </c>
      <c r="AC253" s="39">
        <f t="shared" si="107"/>
        <v>3057.0315295160344</v>
      </c>
      <c r="AD253" s="41">
        <f t="shared" si="108"/>
        <v>0.4916382933969512</v>
      </c>
      <c r="AF253" s="46">
        <f t="shared" si="90"/>
        <v>0</v>
      </c>
      <c r="AG253" s="46">
        <f t="shared" si="109"/>
        <v>0</v>
      </c>
      <c r="AH253" s="54">
        <f t="shared" si="91"/>
        <v>1554</v>
      </c>
      <c r="AI253" s="55">
        <f t="shared" si="100"/>
        <v>0.75278396436525608</v>
      </c>
      <c r="AJ253" s="55">
        <f t="shared" si="110"/>
        <v>0</v>
      </c>
      <c r="AK253" s="55">
        <f t="shared" si="111"/>
        <v>0</v>
      </c>
    </row>
    <row r="254" spans="2:37" s="53" customFormat="1" ht="17.25" customHeight="1" x14ac:dyDescent="0.25">
      <c r="B254" s="91" t="str">
        <f t="shared" si="92"/>
        <v/>
      </c>
      <c r="C254" s="81">
        <f>IF(Sheet3!A225="","",Sheet3!A225)</f>
        <v>39188</v>
      </c>
      <c r="D254" s="82">
        <f>IF(C254="","",Sheet3!E225)</f>
        <v>39.869999</v>
      </c>
      <c r="E254" s="56">
        <f>_xlfn.XLOOKUP(WEEKNUM(C254)&amp;YEAR(C254),Sheet4!C:C,Sheet4!B:B,0)</f>
        <v>0</v>
      </c>
      <c r="F254" s="46">
        <f>IF(int=Weekly,-$D$5,IF(int=Bi_Weekly,0,IF(int=Monthly,0,IF(int=Quarterly,0,IF(int=Yearly,0,IF(int=None,0,0))))))</f>
        <v>0</v>
      </c>
      <c r="G254" s="46"/>
      <c r="H254" s="46">
        <f t="shared" si="101"/>
        <v>-5550</v>
      </c>
      <c r="I254" s="47"/>
      <c r="J254" s="38">
        <f t="shared" si="88"/>
        <v>0</v>
      </c>
      <c r="K254" s="48"/>
      <c r="L254" s="48">
        <f t="shared" si="93"/>
        <v>214.47409864872404</v>
      </c>
      <c r="M254" s="48"/>
      <c r="N254" s="38">
        <f t="shared" si="94"/>
        <v>0</v>
      </c>
      <c r="O254" s="36">
        <f t="shared" si="95"/>
        <v>0</v>
      </c>
      <c r="P254" s="84">
        <f t="shared" si="96"/>
        <v>-6217.5813298373923</v>
      </c>
      <c r="Q254" s="38">
        <f t="shared" si="97"/>
        <v>0</v>
      </c>
      <c r="R254" s="48">
        <f t="shared" si="98"/>
        <v>24.328208492617421</v>
      </c>
      <c r="S254" s="38">
        <f t="shared" si="89"/>
        <v>238.80230714134146</v>
      </c>
      <c r="T254" s="50">
        <f t="shared" si="102"/>
        <v>5550</v>
      </c>
      <c r="U254" s="40">
        <f t="shared" si="103"/>
        <v>8551.0820986505296</v>
      </c>
      <c r="V254" s="41">
        <f t="shared" si="104"/>
        <v>0.54073551327036573</v>
      </c>
      <c r="W254" s="39">
        <f t="shared" si="105"/>
        <v>3001.0820986505296</v>
      </c>
      <c r="X254" s="50">
        <f t="shared" si="99"/>
        <v>668.05007985366899</v>
      </c>
      <c r="Y254" s="41">
        <f t="shared" si="106"/>
        <v>0.66110489702778352</v>
      </c>
      <c r="Z254" s="52"/>
      <c r="AA254" s="50">
        <f t="shared" si="112"/>
        <v>6218.0500798536686</v>
      </c>
      <c r="AB254" s="39">
        <f t="shared" si="113"/>
        <v>9521.0477469229772</v>
      </c>
      <c r="AC254" s="39">
        <f t="shared" si="107"/>
        <v>3302.9976670693086</v>
      </c>
      <c r="AD254" s="41">
        <f t="shared" si="108"/>
        <v>0.53119508924042624</v>
      </c>
      <c r="AF254" s="46">
        <f t="shared" si="90"/>
        <v>0</v>
      </c>
      <c r="AG254" s="46">
        <f t="shared" si="109"/>
        <v>0</v>
      </c>
      <c r="AH254" s="54">
        <f t="shared" si="91"/>
        <v>1561</v>
      </c>
      <c r="AI254" s="55">
        <f t="shared" si="100"/>
        <v>0.75167037861915365</v>
      </c>
      <c r="AJ254" s="55">
        <f t="shared" si="110"/>
        <v>0</v>
      </c>
      <c r="AK254" s="55">
        <f t="shared" si="111"/>
        <v>0</v>
      </c>
    </row>
    <row r="255" spans="2:37" s="53" customFormat="1" ht="17.25" customHeight="1" x14ac:dyDescent="0.25">
      <c r="B255" s="91" t="str">
        <f t="shared" si="92"/>
        <v/>
      </c>
      <c r="C255" s="81">
        <f>IF(Sheet3!A226="","",Sheet3!A226)</f>
        <v>39195</v>
      </c>
      <c r="D255" s="82">
        <f>IF(C255="","",Sheet3!E226)</f>
        <v>38.639999000000003</v>
      </c>
      <c r="E255" s="56">
        <f>_xlfn.XLOOKUP(WEEKNUM(C255)&amp;YEAR(C255),Sheet4!C:C,Sheet4!B:B,0)</f>
        <v>0</v>
      </c>
      <c r="F255" s="46">
        <f>IF(int=Weekly,-$D$5,IF(int=Bi_Weekly,-$D$5,IF(int=Monthly,-$D$5,IF(int=Quarterly,0,IF(int=Yearly,0,IF(int=None,0,0))))))</f>
        <v>-100</v>
      </c>
      <c r="G255" s="46"/>
      <c r="H255" s="46">
        <f t="shared" si="101"/>
        <v>-5650</v>
      </c>
      <c r="I255" s="47"/>
      <c r="J255" s="38">
        <f t="shared" si="88"/>
        <v>2.5879917854035139</v>
      </c>
      <c r="K255" s="48"/>
      <c r="L255" s="48">
        <f t="shared" si="93"/>
        <v>217.06209043412755</v>
      </c>
      <c r="M255" s="48"/>
      <c r="N255" s="38">
        <f t="shared" si="94"/>
        <v>0</v>
      </c>
      <c r="O255" s="36">
        <f t="shared" si="95"/>
        <v>0</v>
      </c>
      <c r="P255" s="84">
        <f t="shared" si="96"/>
        <v>-6317.5813298373923</v>
      </c>
      <c r="Q255" s="38">
        <f t="shared" si="97"/>
        <v>0</v>
      </c>
      <c r="R255" s="48">
        <f t="shared" si="98"/>
        <v>24.328208492617421</v>
      </c>
      <c r="S255" s="38">
        <f t="shared" si="89"/>
        <v>241.39029892674498</v>
      </c>
      <c r="T255" s="50">
        <f t="shared" si="102"/>
        <v>5650</v>
      </c>
      <c r="U255" s="40">
        <f t="shared" si="103"/>
        <v>8387.2789573125992</v>
      </c>
      <c r="V255" s="41">
        <f t="shared" si="104"/>
        <v>0.48447415173674324</v>
      </c>
      <c r="W255" s="39">
        <f t="shared" si="105"/>
        <v>2737.2789573125992</v>
      </c>
      <c r="X255" s="50">
        <f t="shared" si="99"/>
        <v>668.05007985366899</v>
      </c>
      <c r="Y255" s="41">
        <f t="shared" si="106"/>
        <v>0.60271310392323318</v>
      </c>
      <c r="Z255" s="52"/>
      <c r="AA255" s="50">
        <f t="shared" si="112"/>
        <v>6318.0500798536686</v>
      </c>
      <c r="AB255" s="39">
        <f t="shared" si="113"/>
        <v>9327.3209091391273</v>
      </c>
      <c r="AC255" s="39">
        <f t="shared" si="107"/>
        <v>3009.2708292854586</v>
      </c>
      <c r="AD255" s="41">
        <f t="shared" si="108"/>
        <v>0.47629740050353564</v>
      </c>
      <c r="AF255" s="46">
        <f t="shared" si="90"/>
        <v>-100</v>
      </c>
      <c r="AG255" s="46">
        <f t="shared" si="109"/>
        <v>-100</v>
      </c>
      <c r="AH255" s="54">
        <f t="shared" si="91"/>
        <v>1568</v>
      </c>
      <c r="AI255" s="55">
        <f t="shared" si="100"/>
        <v>0.75055679287305122</v>
      </c>
      <c r="AJ255" s="55">
        <f t="shared" si="110"/>
        <v>-75.055679287305125</v>
      </c>
      <c r="AK255" s="55">
        <f t="shared" si="111"/>
        <v>-75.055679287305125</v>
      </c>
    </row>
    <row r="256" spans="2:37" s="53" customFormat="1" ht="17.25" customHeight="1" x14ac:dyDescent="0.25">
      <c r="B256" s="91" t="str">
        <f t="shared" si="92"/>
        <v/>
      </c>
      <c r="C256" s="81">
        <f>IF(Sheet3!A227="","",Sheet3!A227)</f>
        <v>39202</v>
      </c>
      <c r="D256" s="82">
        <f>IF(C256="","",Sheet3!E227)</f>
        <v>39.479999999999997</v>
      </c>
      <c r="E256" s="56">
        <f>_xlfn.XLOOKUP(WEEKNUM(C256)&amp;YEAR(C256),Sheet4!C:C,Sheet4!B:B,0)</f>
        <v>0</v>
      </c>
      <c r="F256" s="46">
        <f>IF(int=Weekly,-$D$5,IF(int=Bi_Weekly,0,IF(int=Monthly,0,IF(int=Quarterly,0,IF(int=Yearly,0,IF(int=None,0,0))))))</f>
        <v>0</v>
      </c>
      <c r="G256" s="46"/>
      <c r="H256" s="46">
        <f t="shared" si="101"/>
        <v>-5650</v>
      </c>
      <c r="I256" s="47"/>
      <c r="J256" s="38">
        <f t="shared" si="88"/>
        <v>0</v>
      </c>
      <c r="K256" s="48"/>
      <c r="L256" s="48">
        <f t="shared" si="93"/>
        <v>217.06209043412755</v>
      </c>
      <c r="M256" s="48"/>
      <c r="N256" s="38">
        <f t="shared" si="94"/>
        <v>0</v>
      </c>
      <c r="O256" s="36">
        <f t="shared" si="95"/>
        <v>0</v>
      </c>
      <c r="P256" s="84">
        <f t="shared" si="96"/>
        <v>-6317.5813298373923</v>
      </c>
      <c r="Q256" s="38">
        <f t="shared" si="97"/>
        <v>0</v>
      </c>
      <c r="R256" s="48">
        <f t="shared" si="98"/>
        <v>24.328208492617421</v>
      </c>
      <c r="S256" s="38">
        <f t="shared" si="89"/>
        <v>241.39029892674498</v>
      </c>
      <c r="T256" s="50">
        <f t="shared" si="102"/>
        <v>5650</v>
      </c>
      <c r="U256" s="40">
        <f t="shared" si="103"/>
        <v>8569.6113303393558</v>
      </c>
      <c r="V256" s="41">
        <f t="shared" si="104"/>
        <v>0.51674536820165584</v>
      </c>
      <c r="W256" s="39">
        <f t="shared" si="105"/>
        <v>2919.6113303393558</v>
      </c>
      <c r="X256" s="50">
        <f t="shared" si="99"/>
        <v>668.05007985366899</v>
      </c>
      <c r="Y256" s="41">
        <f t="shared" si="106"/>
        <v>0.63498432038814601</v>
      </c>
      <c r="Z256" s="52"/>
      <c r="AA256" s="50">
        <f t="shared" si="112"/>
        <v>6318.0500798536686</v>
      </c>
      <c r="AB256" s="39">
        <f t="shared" si="113"/>
        <v>9530.0890016278918</v>
      </c>
      <c r="AC256" s="39">
        <f t="shared" si="107"/>
        <v>3212.0389217742231</v>
      </c>
      <c r="AD256" s="41">
        <f t="shared" si="108"/>
        <v>0.50839086129064315</v>
      </c>
      <c r="AF256" s="46">
        <f t="shared" si="90"/>
        <v>0</v>
      </c>
      <c r="AG256" s="46">
        <f t="shared" si="109"/>
        <v>0</v>
      </c>
      <c r="AH256" s="54">
        <f t="shared" si="91"/>
        <v>1575</v>
      </c>
      <c r="AI256" s="55">
        <f t="shared" si="100"/>
        <v>0.74944320712694878</v>
      </c>
      <c r="AJ256" s="55">
        <f t="shared" si="110"/>
        <v>0</v>
      </c>
      <c r="AK256" s="55">
        <f t="shared" si="111"/>
        <v>0</v>
      </c>
    </row>
    <row r="257" spans="2:37" s="53" customFormat="1" ht="17.25" customHeight="1" x14ac:dyDescent="0.25">
      <c r="B257" s="91" t="str">
        <f t="shared" si="92"/>
        <v/>
      </c>
      <c r="C257" s="81">
        <f>IF(Sheet3!A228="","",Sheet3!A228)</f>
        <v>39209</v>
      </c>
      <c r="D257" s="82">
        <f>IF(C257="","",Sheet3!E228)</f>
        <v>39.590000000000003</v>
      </c>
      <c r="E257" s="56">
        <f>_xlfn.XLOOKUP(WEEKNUM(C257)&amp;YEAR(C257),Sheet4!C:C,Sheet4!B:B,0)</f>
        <v>0</v>
      </c>
      <c r="F257" s="46">
        <f>IF(int=Weekly,-$D$5,IF(int=Bi_Weekly,-$D$5,IF(int=Monthly,0,IF(int=Quarterly,0,IF(int=Yearly,0,IF(int=None,0,0))))))</f>
        <v>0</v>
      </c>
      <c r="G257" s="46"/>
      <c r="H257" s="46">
        <f t="shared" si="101"/>
        <v>-5650</v>
      </c>
      <c r="I257" s="47"/>
      <c r="J257" s="38">
        <f t="shared" si="88"/>
        <v>0</v>
      </c>
      <c r="K257" s="48"/>
      <c r="L257" s="48">
        <f t="shared" si="93"/>
        <v>217.06209043412755</v>
      </c>
      <c r="M257" s="48"/>
      <c r="N257" s="38">
        <f t="shared" si="94"/>
        <v>0</v>
      </c>
      <c r="O257" s="36">
        <f t="shared" si="95"/>
        <v>0</v>
      </c>
      <c r="P257" s="84">
        <f t="shared" si="96"/>
        <v>-6317.5813298373923</v>
      </c>
      <c r="Q257" s="38">
        <f t="shared" si="97"/>
        <v>0</v>
      </c>
      <c r="R257" s="48">
        <f t="shared" si="98"/>
        <v>24.328208492617421</v>
      </c>
      <c r="S257" s="38">
        <f t="shared" si="89"/>
        <v>241.39029892674498</v>
      </c>
      <c r="T257" s="50">
        <f t="shared" si="102"/>
        <v>5650</v>
      </c>
      <c r="U257" s="40">
        <f t="shared" si="103"/>
        <v>8593.4881602871101</v>
      </c>
      <c r="V257" s="41">
        <f t="shared" si="104"/>
        <v>0.52097135580302822</v>
      </c>
      <c r="W257" s="39">
        <f t="shared" si="105"/>
        <v>2943.4881602871101</v>
      </c>
      <c r="X257" s="50">
        <f t="shared" si="99"/>
        <v>668.05007985366899</v>
      </c>
      <c r="Y257" s="41">
        <f t="shared" si="106"/>
        <v>0.63921030798951839</v>
      </c>
      <c r="Z257" s="52"/>
      <c r="AA257" s="50">
        <f t="shared" si="112"/>
        <v>6318.0500798536686</v>
      </c>
      <c r="AB257" s="39">
        <f t="shared" si="113"/>
        <v>9556.6419345098329</v>
      </c>
      <c r="AC257" s="39">
        <f t="shared" si="107"/>
        <v>3238.5918546561643</v>
      </c>
      <c r="AD257" s="41">
        <f t="shared" si="108"/>
        <v>0.51259357139049033</v>
      </c>
      <c r="AF257" s="46">
        <f t="shared" si="90"/>
        <v>0</v>
      </c>
      <c r="AG257" s="46">
        <f t="shared" si="109"/>
        <v>0</v>
      </c>
      <c r="AH257" s="54">
        <f t="shared" si="91"/>
        <v>1582</v>
      </c>
      <c r="AI257" s="55">
        <f t="shared" si="100"/>
        <v>0.74832962138084635</v>
      </c>
      <c r="AJ257" s="55">
        <f t="shared" si="110"/>
        <v>0</v>
      </c>
      <c r="AK257" s="55">
        <f t="shared" si="111"/>
        <v>0</v>
      </c>
    </row>
    <row r="258" spans="2:37" s="53" customFormat="1" ht="17.25" customHeight="1" x14ac:dyDescent="0.25">
      <c r="B258" s="91" t="str">
        <f t="shared" si="92"/>
        <v/>
      </c>
      <c r="C258" s="81">
        <f>IF(Sheet3!A229="","",Sheet3!A229)</f>
        <v>39216</v>
      </c>
      <c r="D258" s="82">
        <f>IF(C258="","",Sheet3!E229)</f>
        <v>41.099997999999999</v>
      </c>
      <c r="E258" s="56">
        <f>_xlfn.XLOOKUP(WEEKNUM(C258)&amp;YEAR(C258),Sheet4!C:C,Sheet4!B:B,0)</f>
        <v>0</v>
      </c>
      <c r="F258" s="46">
        <f>IF(int=Weekly,-$D$5,IF(int=Bi_Weekly,0,IF(int=Monthly,0,IF(int=Quarterly,0,IF(int=Yearly,0,IF(int=None,0,0))))))</f>
        <v>0</v>
      </c>
      <c r="G258" s="46"/>
      <c r="H258" s="46">
        <f t="shared" si="101"/>
        <v>-5650</v>
      </c>
      <c r="I258" s="47"/>
      <c r="J258" s="38">
        <f t="shared" si="88"/>
        <v>0</v>
      </c>
      <c r="K258" s="48"/>
      <c r="L258" s="48">
        <f t="shared" si="93"/>
        <v>217.06209043412755</v>
      </c>
      <c r="M258" s="48"/>
      <c r="N258" s="38">
        <f t="shared" si="94"/>
        <v>0</v>
      </c>
      <c r="O258" s="36">
        <f t="shared" si="95"/>
        <v>0</v>
      </c>
      <c r="P258" s="84">
        <f t="shared" si="96"/>
        <v>-6317.5813298373923</v>
      </c>
      <c r="Q258" s="38">
        <f t="shared" si="97"/>
        <v>0</v>
      </c>
      <c r="R258" s="48">
        <f t="shared" si="98"/>
        <v>24.328208492617421</v>
      </c>
      <c r="S258" s="38">
        <f t="shared" si="89"/>
        <v>241.39029892674498</v>
      </c>
      <c r="T258" s="50">
        <f t="shared" si="102"/>
        <v>5650</v>
      </c>
      <c r="U258" s="40">
        <f t="shared" si="103"/>
        <v>8921.2514827184623</v>
      </c>
      <c r="V258" s="41">
        <f t="shared" si="104"/>
        <v>0.57898256331300213</v>
      </c>
      <c r="W258" s="39">
        <f t="shared" si="105"/>
        <v>3271.2514827184623</v>
      </c>
      <c r="X258" s="50">
        <f t="shared" si="99"/>
        <v>668.05007985366899</v>
      </c>
      <c r="Y258" s="41">
        <f t="shared" si="106"/>
        <v>0.69722151549949229</v>
      </c>
      <c r="Z258" s="52"/>
      <c r="AA258" s="50">
        <f t="shared" si="112"/>
        <v>6318.0500798536686</v>
      </c>
      <c r="AB258" s="39">
        <f t="shared" si="113"/>
        <v>9921.1408031086212</v>
      </c>
      <c r="AC258" s="39">
        <f t="shared" si="107"/>
        <v>3603.0907232549525</v>
      </c>
      <c r="AD258" s="41">
        <f t="shared" si="108"/>
        <v>0.57028524271184677</v>
      </c>
      <c r="AF258" s="46">
        <f t="shared" si="90"/>
        <v>0</v>
      </c>
      <c r="AG258" s="46">
        <f t="shared" si="109"/>
        <v>0</v>
      </c>
      <c r="AH258" s="54">
        <f t="shared" si="91"/>
        <v>1589</v>
      </c>
      <c r="AI258" s="55">
        <f t="shared" si="100"/>
        <v>0.74721603563474392</v>
      </c>
      <c r="AJ258" s="55">
        <f t="shared" si="110"/>
        <v>0</v>
      </c>
      <c r="AK258" s="55">
        <f t="shared" si="111"/>
        <v>0</v>
      </c>
    </row>
    <row r="259" spans="2:37" s="53" customFormat="1" ht="17.25" customHeight="1" x14ac:dyDescent="0.25">
      <c r="B259" s="91" t="str">
        <f t="shared" si="92"/>
        <v/>
      </c>
      <c r="C259" s="81">
        <f>IF(Sheet3!A230="","",Sheet3!A230)</f>
        <v>39223</v>
      </c>
      <c r="D259" s="82">
        <f>IF(C259="","",Sheet3!E230)</f>
        <v>40.759998000000003</v>
      </c>
      <c r="E259" s="56">
        <f>_xlfn.XLOOKUP(WEEKNUM(C259)&amp;YEAR(C259),Sheet4!C:C,Sheet4!B:B,0)</f>
        <v>0</v>
      </c>
      <c r="F259" s="46">
        <f>IF(int=Weekly,-$D$5,IF(int=Bi_Weekly,-$D$5,IF(int=Monthly,-$D$5,IF(int=Quarterly,0,IF(int=Yearly,0,IF(int=None,0,0))))))</f>
        <v>-100</v>
      </c>
      <c r="G259" s="46"/>
      <c r="H259" s="46">
        <f t="shared" si="101"/>
        <v>-5750</v>
      </c>
      <c r="I259" s="47"/>
      <c r="J259" s="38">
        <f t="shared" si="88"/>
        <v>2.4533857926097049</v>
      </c>
      <c r="K259" s="48"/>
      <c r="L259" s="48">
        <f t="shared" si="93"/>
        <v>219.51547622673726</v>
      </c>
      <c r="M259" s="48"/>
      <c r="N259" s="38">
        <f t="shared" si="94"/>
        <v>0</v>
      </c>
      <c r="O259" s="36">
        <f t="shared" si="95"/>
        <v>0</v>
      </c>
      <c r="P259" s="84">
        <f t="shared" si="96"/>
        <v>-6417.5813298373923</v>
      </c>
      <c r="Q259" s="38">
        <f t="shared" si="97"/>
        <v>0</v>
      </c>
      <c r="R259" s="48">
        <f t="shared" si="98"/>
        <v>24.328208492617421</v>
      </c>
      <c r="S259" s="38">
        <f t="shared" si="89"/>
        <v>243.84368471935468</v>
      </c>
      <c r="T259" s="50">
        <f t="shared" si="102"/>
        <v>5750</v>
      </c>
      <c r="U259" s="40">
        <f t="shared" si="103"/>
        <v>8947.4503719708591</v>
      </c>
      <c r="V259" s="41">
        <f t="shared" si="104"/>
        <v>0.55607832556014936</v>
      </c>
      <c r="W259" s="39">
        <f t="shared" si="105"/>
        <v>3197.4503719708591</v>
      </c>
      <c r="X259" s="50">
        <f t="shared" si="99"/>
        <v>668.05007985366899</v>
      </c>
      <c r="Y259" s="41">
        <f t="shared" si="106"/>
        <v>0.6722609481433961</v>
      </c>
      <c r="Z259" s="52"/>
      <c r="AA259" s="50">
        <f t="shared" si="112"/>
        <v>6418.0500798536686</v>
      </c>
      <c r="AB259" s="39">
        <f t="shared" si="113"/>
        <v>9939.0681014735273</v>
      </c>
      <c r="AC259" s="39">
        <f t="shared" si="107"/>
        <v>3521.0180216198587</v>
      </c>
      <c r="AD259" s="41">
        <f t="shared" si="108"/>
        <v>0.54861180230929851</v>
      </c>
      <c r="AF259" s="46">
        <f t="shared" si="90"/>
        <v>-100</v>
      </c>
      <c r="AG259" s="46">
        <f t="shared" si="109"/>
        <v>-100</v>
      </c>
      <c r="AH259" s="54">
        <f t="shared" si="91"/>
        <v>1596</v>
      </c>
      <c r="AI259" s="55">
        <f t="shared" si="100"/>
        <v>0.74610244988864138</v>
      </c>
      <c r="AJ259" s="55">
        <f t="shared" si="110"/>
        <v>-74.610244988864139</v>
      </c>
      <c r="AK259" s="55">
        <f t="shared" si="111"/>
        <v>-74.610244988864139</v>
      </c>
    </row>
    <row r="260" spans="2:37" s="53" customFormat="1" ht="17.25" customHeight="1" x14ac:dyDescent="0.25">
      <c r="B260" s="91" t="str">
        <f t="shared" si="92"/>
        <v/>
      </c>
      <c r="C260" s="81">
        <f>IF(Sheet3!A231="","",Sheet3!A231)</f>
        <v>39230</v>
      </c>
      <c r="D260" s="82">
        <f>IF(C260="","",Sheet3!E231)</f>
        <v>40.529998999999997</v>
      </c>
      <c r="E260" s="56">
        <f>_xlfn.XLOOKUP(WEEKNUM(C260)&amp;YEAR(C260),Sheet4!C:C,Sheet4!B:B,0)</f>
        <v>0</v>
      </c>
      <c r="F260" s="46">
        <f>IF(int=Weekly,-$D$5,IF(int=Bi_Weekly,0,IF(int=Monthly,0,IF(int=Quarterly,0,IF(int=Yearly,0,IF(int=None,0,0))))))</f>
        <v>0</v>
      </c>
      <c r="G260" s="46"/>
      <c r="H260" s="46">
        <f t="shared" si="101"/>
        <v>-5750</v>
      </c>
      <c r="I260" s="47"/>
      <c r="J260" s="38">
        <f t="shared" si="88"/>
        <v>0</v>
      </c>
      <c r="K260" s="48"/>
      <c r="L260" s="48">
        <f t="shared" si="93"/>
        <v>219.51547622673726</v>
      </c>
      <c r="M260" s="48"/>
      <c r="N260" s="38">
        <f t="shared" si="94"/>
        <v>0</v>
      </c>
      <c r="O260" s="36">
        <f t="shared" si="95"/>
        <v>0</v>
      </c>
      <c r="P260" s="84">
        <f t="shared" si="96"/>
        <v>-6417.5813298373923</v>
      </c>
      <c r="Q260" s="38">
        <f t="shared" si="97"/>
        <v>0</v>
      </c>
      <c r="R260" s="48">
        <f t="shared" si="98"/>
        <v>24.328208492617421</v>
      </c>
      <c r="S260" s="38">
        <f t="shared" si="89"/>
        <v>243.84368471935468</v>
      </c>
      <c r="T260" s="50">
        <f t="shared" si="102"/>
        <v>5750</v>
      </c>
      <c r="U260" s="40">
        <f t="shared" si="103"/>
        <v>8896.9620319541846</v>
      </c>
      <c r="V260" s="41">
        <f t="shared" si="104"/>
        <v>0.54729774468768433</v>
      </c>
      <c r="W260" s="39">
        <f t="shared" si="105"/>
        <v>3146.9620319541846</v>
      </c>
      <c r="X260" s="50">
        <f t="shared" si="99"/>
        <v>668.05007985366899</v>
      </c>
      <c r="Y260" s="41">
        <f t="shared" si="106"/>
        <v>0.66348036727093107</v>
      </c>
      <c r="Z260" s="52"/>
      <c r="AA260" s="50">
        <f t="shared" si="112"/>
        <v>6418.0500798536686</v>
      </c>
      <c r="AB260" s="39">
        <f t="shared" si="113"/>
        <v>9882.9842978317592</v>
      </c>
      <c r="AC260" s="39">
        <f t="shared" si="107"/>
        <v>3464.9342179780906</v>
      </c>
      <c r="AD260" s="41">
        <f t="shared" si="108"/>
        <v>0.53987335325639751</v>
      </c>
      <c r="AF260" s="46">
        <f t="shared" si="90"/>
        <v>0</v>
      </c>
      <c r="AG260" s="46">
        <f t="shared" si="109"/>
        <v>0</v>
      </c>
      <c r="AH260" s="54">
        <f t="shared" si="91"/>
        <v>1603</v>
      </c>
      <c r="AI260" s="55">
        <f t="shared" si="100"/>
        <v>0.74498886414253895</v>
      </c>
      <c r="AJ260" s="55">
        <f t="shared" si="110"/>
        <v>0</v>
      </c>
      <c r="AK260" s="55">
        <f t="shared" si="111"/>
        <v>0</v>
      </c>
    </row>
    <row r="261" spans="2:37" s="53" customFormat="1" ht="17.25" customHeight="1" x14ac:dyDescent="0.25">
      <c r="B261" s="91" t="str">
        <f t="shared" si="92"/>
        <v/>
      </c>
      <c r="C261" s="81">
        <f>IF(Sheet3!A232="","",Sheet3!A232)</f>
        <v>39237</v>
      </c>
      <c r="D261" s="82">
        <f>IF(C261="","",Sheet3!E232)</f>
        <v>40.259998000000003</v>
      </c>
      <c r="E261" s="56">
        <f>_xlfn.XLOOKUP(WEEKNUM(C261)&amp;YEAR(C261),Sheet4!C:C,Sheet4!B:B,0)</f>
        <v>0</v>
      </c>
      <c r="F261" s="46">
        <f>IF(int=Weekly,-$D$5,IF(int=Bi_Weekly,-$D$5,IF(int=Monthly,0,IF(int=Quarterly,0,IF(int=Yearly,0,IF(int=None,0,0))))))</f>
        <v>0</v>
      </c>
      <c r="G261" s="46"/>
      <c r="H261" s="46">
        <f t="shared" si="101"/>
        <v>-5750</v>
      </c>
      <c r="I261" s="47"/>
      <c r="J261" s="38">
        <f t="shared" si="88"/>
        <v>0</v>
      </c>
      <c r="K261" s="48"/>
      <c r="L261" s="48">
        <f t="shared" si="93"/>
        <v>219.51547622673726</v>
      </c>
      <c r="M261" s="48"/>
      <c r="N261" s="38">
        <f t="shared" si="94"/>
        <v>0</v>
      </c>
      <c r="O261" s="36">
        <f t="shared" si="95"/>
        <v>0</v>
      </c>
      <c r="P261" s="84">
        <f t="shared" si="96"/>
        <v>-6417.5813298373923</v>
      </c>
      <c r="Q261" s="38">
        <f t="shared" si="97"/>
        <v>0</v>
      </c>
      <c r="R261" s="48">
        <f t="shared" si="98"/>
        <v>24.328208492617421</v>
      </c>
      <c r="S261" s="38">
        <f t="shared" si="89"/>
        <v>243.84368471935468</v>
      </c>
      <c r="T261" s="50">
        <f t="shared" si="102"/>
        <v>5750</v>
      </c>
      <c r="U261" s="40">
        <f t="shared" si="103"/>
        <v>8837.6926338574904</v>
      </c>
      <c r="V261" s="41">
        <f t="shared" si="104"/>
        <v>0.53699002327956347</v>
      </c>
      <c r="W261" s="39">
        <f t="shared" si="105"/>
        <v>3087.6926338574904</v>
      </c>
      <c r="X261" s="50">
        <f t="shared" si="99"/>
        <v>668.05007985366899</v>
      </c>
      <c r="Y261" s="41">
        <f t="shared" si="106"/>
        <v>0.65317264586281021</v>
      </c>
      <c r="Z261" s="52"/>
      <c r="AA261" s="50">
        <f t="shared" si="112"/>
        <v>6418.0500798536686</v>
      </c>
      <c r="AB261" s="39">
        <f t="shared" si="113"/>
        <v>9817.1462591138516</v>
      </c>
      <c r="AC261" s="39">
        <f t="shared" si="107"/>
        <v>3399.0961792601829</v>
      </c>
      <c r="AD261" s="41">
        <f t="shared" si="108"/>
        <v>0.52961509133903206</v>
      </c>
      <c r="AF261" s="46">
        <f t="shared" si="90"/>
        <v>0</v>
      </c>
      <c r="AG261" s="46">
        <f t="shared" si="109"/>
        <v>0</v>
      </c>
      <c r="AH261" s="54">
        <f t="shared" si="91"/>
        <v>1610</v>
      </c>
      <c r="AI261" s="55">
        <f t="shared" si="100"/>
        <v>0.74387527839643652</v>
      </c>
      <c r="AJ261" s="55">
        <f t="shared" si="110"/>
        <v>0</v>
      </c>
      <c r="AK261" s="55">
        <f t="shared" si="111"/>
        <v>0</v>
      </c>
    </row>
    <row r="262" spans="2:37" s="53" customFormat="1" ht="17.25" customHeight="1" x14ac:dyDescent="0.25">
      <c r="B262" s="91" t="str">
        <f t="shared" si="92"/>
        <v/>
      </c>
      <c r="C262" s="81">
        <f>IF(Sheet3!A233="","",Sheet3!A233)</f>
        <v>39244</v>
      </c>
      <c r="D262" s="82">
        <f>IF(C262="","",Sheet3!E233)</f>
        <v>40.279998999999997</v>
      </c>
      <c r="E262" s="56">
        <f>_xlfn.XLOOKUP(WEEKNUM(C262)&amp;YEAR(C262),Sheet4!C:C,Sheet4!B:B,0)</f>
        <v>0</v>
      </c>
      <c r="F262" s="46">
        <f>IF(int=Weekly,-$D$5,IF(int=Bi_Weekly,0,IF(int=Monthly,0,IF(int=Quarterly,0,IF(int=Yearly,0,IF(int=None,0,0))))))</f>
        <v>0</v>
      </c>
      <c r="G262" s="46"/>
      <c r="H262" s="46">
        <f t="shared" si="101"/>
        <v>-5750</v>
      </c>
      <c r="I262" s="47"/>
      <c r="J262" s="38">
        <f t="shared" si="88"/>
        <v>0</v>
      </c>
      <c r="K262" s="48"/>
      <c r="L262" s="48">
        <f t="shared" si="93"/>
        <v>219.51547622673726</v>
      </c>
      <c r="M262" s="48"/>
      <c r="N262" s="38">
        <f t="shared" si="94"/>
        <v>0</v>
      </c>
      <c r="O262" s="36">
        <f t="shared" si="95"/>
        <v>0</v>
      </c>
      <c r="P262" s="84">
        <f t="shared" si="96"/>
        <v>-6417.5813298373923</v>
      </c>
      <c r="Q262" s="38">
        <f t="shared" si="97"/>
        <v>0</v>
      </c>
      <c r="R262" s="48">
        <f t="shared" si="98"/>
        <v>24.328208492617421</v>
      </c>
      <c r="S262" s="38">
        <f t="shared" si="89"/>
        <v>243.84368471935468</v>
      </c>
      <c r="T262" s="50">
        <f t="shared" si="102"/>
        <v>5750</v>
      </c>
      <c r="U262" s="40">
        <f t="shared" si="103"/>
        <v>8842.0831628974993</v>
      </c>
      <c r="V262" s="41">
        <f t="shared" si="104"/>
        <v>0.53775359354739116</v>
      </c>
      <c r="W262" s="39">
        <f t="shared" si="105"/>
        <v>3092.0831628974993</v>
      </c>
      <c r="X262" s="50">
        <f t="shared" si="99"/>
        <v>668.05007985366899</v>
      </c>
      <c r="Y262" s="41">
        <f t="shared" si="106"/>
        <v>0.6539362161306379</v>
      </c>
      <c r="Z262" s="52"/>
      <c r="AA262" s="50">
        <f t="shared" si="112"/>
        <v>6418.0500798536686</v>
      </c>
      <c r="AB262" s="39">
        <f t="shared" si="113"/>
        <v>9822.0233766519195</v>
      </c>
      <c r="AC262" s="39">
        <f t="shared" si="107"/>
        <v>3403.9732967982509</v>
      </c>
      <c r="AD262" s="41">
        <f t="shared" si="108"/>
        <v>0.53037499777126418</v>
      </c>
      <c r="AF262" s="46">
        <f t="shared" si="90"/>
        <v>0</v>
      </c>
      <c r="AG262" s="46">
        <f t="shared" si="109"/>
        <v>0</v>
      </c>
      <c r="AH262" s="54">
        <f t="shared" si="91"/>
        <v>1617</v>
      </c>
      <c r="AI262" s="55">
        <f t="shared" si="100"/>
        <v>0.74276169265033409</v>
      </c>
      <c r="AJ262" s="55">
        <f t="shared" si="110"/>
        <v>0</v>
      </c>
      <c r="AK262" s="55">
        <f t="shared" si="111"/>
        <v>0</v>
      </c>
    </row>
    <row r="263" spans="2:37" s="53" customFormat="1" ht="17.25" customHeight="1" x14ac:dyDescent="0.25">
      <c r="B263" s="91" t="str">
        <f t="shared" si="92"/>
        <v/>
      </c>
      <c r="C263" s="81">
        <f>IF(Sheet3!A234="","",Sheet3!A234)</f>
        <v>39251</v>
      </c>
      <c r="D263" s="82">
        <f>IF(C263="","",Sheet3!E234)</f>
        <v>38.849997999999999</v>
      </c>
      <c r="E263" s="56">
        <f>_xlfn.XLOOKUP(WEEKNUM(C263)&amp;YEAR(C263),Sheet4!C:C,Sheet4!B:B,0)</f>
        <v>0</v>
      </c>
      <c r="F263" s="46">
        <f>IF(int=Weekly,-$D$5,IF(int=Bi_Weekly,-$D$5,IF(int=Monthly,-$D$5,IF(int=Quarterly,0,IF(int=Yearly,0,IF(int=None,0,0))))))</f>
        <v>-100</v>
      </c>
      <c r="G263" s="46"/>
      <c r="H263" s="46">
        <f t="shared" si="101"/>
        <v>-5850</v>
      </c>
      <c r="I263" s="47"/>
      <c r="J263" s="38">
        <f t="shared" si="88"/>
        <v>2.5740027065123661</v>
      </c>
      <c r="K263" s="48"/>
      <c r="L263" s="48">
        <f t="shared" si="93"/>
        <v>222.08947893324964</v>
      </c>
      <c r="M263" s="48"/>
      <c r="N263" s="38">
        <f t="shared" si="94"/>
        <v>0</v>
      </c>
      <c r="O263" s="36">
        <f t="shared" si="95"/>
        <v>0</v>
      </c>
      <c r="P263" s="84">
        <f t="shared" si="96"/>
        <v>-6517.5813298373923</v>
      </c>
      <c r="Q263" s="38">
        <f t="shared" si="97"/>
        <v>0</v>
      </c>
      <c r="R263" s="48">
        <f t="shared" si="98"/>
        <v>24.328208492617421</v>
      </c>
      <c r="S263" s="38">
        <f t="shared" si="89"/>
        <v>246.41768742586706</v>
      </c>
      <c r="T263" s="50">
        <f t="shared" si="102"/>
        <v>5850</v>
      </c>
      <c r="U263" s="40">
        <f t="shared" si="103"/>
        <v>8628.1758123777909</v>
      </c>
      <c r="V263" s="41">
        <f t="shared" si="104"/>
        <v>0.47490184826970783</v>
      </c>
      <c r="W263" s="39">
        <f t="shared" si="105"/>
        <v>2778.1758123777909</v>
      </c>
      <c r="X263" s="50">
        <f t="shared" si="99"/>
        <v>668.05007985366899</v>
      </c>
      <c r="Y263" s="41">
        <f t="shared" si="106"/>
        <v>0.58909844311648873</v>
      </c>
      <c r="Z263" s="52"/>
      <c r="AA263" s="50">
        <f t="shared" si="112"/>
        <v>6518.0500798536686</v>
      </c>
      <c r="AB263" s="39">
        <f t="shared" si="113"/>
        <v>9573.3266636595599</v>
      </c>
      <c r="AC263" s="39">
        <f t="shared" si="107"/>
        <v>3055.2765838058913</v>
      </c>
      <c r="AD263" s="41">
        <f t="shared" si="108"/>
        <v>0.46874088820662796</v>
      </c>
      <c r="AF263" s="46">
        <f t="shared" si="90"/>
        <v>-100</v>
      </c>
      <c r="AG263" s="46">
        <f t="shared" si="109"/>
        <v>-100</v>
      </c>
      <c r="AH263" s="54">
        <f t="shared" si="91"/>
        <v>1624</v>
      </c>
      <c r="AI263" s="55">
        <f t="shared" si="100"/>
        <v>0.74164810690423166</v>
      </c>
      <c r="AJ263" s="55">
        <f t="shared" si="110"/>
        <v>-74.164810690423167</v>
      </c>
      <c r="AK263" s="55">
        <f t="shared" si="111"/>
        <v>-74.164810690423167</v>
      </c>
    </row>
    <row r="264" spans="2:37" s="53" customFormat="1" ht="17.25" customHeight="1" x14ac:dyDescent="0.25">
      <c r="B264" s="91" t="str">
        <f t="shared" si="92"/>
        <v/>
      </c>
      <c r="C264" s="81">
        <f>IF(Sheet3!A235="","",Sheet3!A235)</f>
        <v>39258</v>
      </c>
      <c r="D264" s="82">
        <f>IF(C264="","",Sheet3!E235)</f>
        <v>41.5</v>
      </c>
      <c r="E264" s="56">
        <f>_xlfn.XLOOKUP(WEEKNUM(C264)&amp;YEAR(C264),Sheet4!C:C,Sheet4!B:B,0)</f>
        <v>0</v>
      </c>
      <c r="F264" s="46">
        <f>IF(int=Weekly,-$D$5,IF(int=Bi_Weekly,0,IF(int=Monthly,0,IF(int=Quarterly,0,IF(int=Yearly,0,IF(int=None,0,0))))))</f>
        <v>0</v>
      </c>
      <c r="G264" s="46"/>
      <c r="H264" s="46">
        <f t="shared" si="101"/>
        <v>-5850</v>
      </c>
      <c r="I264" s="47"/>
      <c r="J264" s="38">
        <f t="shared" si="88"/>
        <v>0</v>
      </c>
      <c r="K264" s="48"/>
      <c r="L264" s="48">
        <f t="shared" si="93"/>
        <v>222.08947893324964</v>
      </c>
      <c r="M264" s="48"/>
      <c r="N264" s="38">
        <f t="shared" si="94"/>
        <v>0</v>
      </c>
      <c r="O264" s="36">
        <f t="shared" si="95"/>
        <v>0</v>
      </c>
      <c r="P264" s="84">
        <f t="shared" si="96"/>
        <v>-6517.5813298373923</v>
      </c>
      <c r="Q264" s="38">
        <f t="shared" si="97"/>
        <v>0</v>
      </c>
      <c r="R264" s="48">
        <f t="shared" si="98"/>
        <v>24.328208492617421</v>
      </c>
      <c r="S264" s="38">
        <f t="shared" si="89"/>
        <v>246.41768742586706</v>
      </c>
      <c r="T264" s="50">
        <f t="shared" si="102"/>
        <v>5850</v>
      </c>
      <c r="U264" s="40">
        <f t="shared" si="103"/>
        <v>9216.7133757298598</v>
      </c>
      <c r="V264" s="41">
        <f t="shared" si="104"/>
        <v>0.57550655995382227</v>
      </c>
      <c r="W264" s="39">
        <f t="shared" si="105"/>
        <v>3366.7133757298598</v>
      </c>
      <c r="X264" s="50">
        <f t="shared" si="99"/>
        <v>668.05007985366899</v>
      </c>
      <c r="Y264" s="41">
        <f t="shared" si="106"/>
        <v>0.68970315480060318</v>
      </c>
      <c r="Z264" s="52"/>
      <c r="AA264" s="50">
        <f t="shared" si="112"/>
        <v>6518.0500798536686</v>
      </c>
      <c r="AB264" s="39">
        <f t="shared" si="113"/>
        <v>10226.334028173482</v>
      </c>
      <c r="AC264" s="39">
        <f t="shared" si="107"/>
        <v>3708.2839483198131</v>
      </c>
      <c r="AD264" s="41">
        <f t="shared" si="108"/>
        <v>0.56892535388483312</v>
      </c>
      <c r="AF264" s="46">
        <f t="shared" si="90"/>
        <v>0</v>
      </c>
      <c r="AG264" s="46">
        <f t="shared" si="109"/>
        <v>0</v>
      </c>
      <c r="AH264" s="54">
        <f t="shared" si="91"/>
        <v>1631</v>
      </c>
      <c r="AI264" s="55">
        <f t="shared" si="100"/>
        <v>0.74053452115812912</v>
      </c>
      <c r="AJ264" s="55">
        <f t="shared" si="110"/>
        <v>0</v>
      </c>
      <c r="AK264" s="55">
        <f t="shared" si="111"/>
        <v>0</v>
      </c>
    </row>
    <row r="265" spans="2:37" s="53" customFormat="1" ht="17.25" customHeight="1" x14ac:dyDescent="0.25">
      <c r="B265" s="91" t="str">
        <f t="shared" si="92"/>
        <v/>
      </c>
      <c r="C265" s="81">
        <f>IF(Sheet3!A236="","",Sheet3!A236)</f>
        <v>39265</v>
      </c>
      <c r="D265" s="82">
        <f>IF(C265="","",Sheet3!E236)</f>
        <v>40.659999999999997</v>
      </c>
      <c r="E265" s="56">
        <f>_xlfn.XLOOKUP(WEEKNUM(C265)&amp;YEAR(C265),Sheet4!C:C,Sheet4!B:B,0)</f>
        <v>0.35499999999999998</v>
      </c>
      <c r="F265" s="46">
        <f>IF(int=Weekly,-$D$5,IF(int=Bi_Weekly,-$D$5,IF(int=Monthly,0,IF(int=Quarterly,-$D$5,IF(int=Yearly,0,IF(int=None,0,0))))))</f>
        <v>0</v>
      </c>
      <c r="G265" s="46"/>
      <c r="H265" s="46">
        <f t="shared" si="101"/>
        <v>-5850</v>
      </c>
      <c r="I265" s="47"/>
      <c r="J265" s="38">
        <f t="shared" si="88"/>
        <v>0</v>
      </c>
      <c r="K265" s="48"/>
      <c r="L265" s="48">
        <f t="shared" si="93"/>
        <v>222.08947893324964</v>
      </c>
      <c r="M265" s="48"/>
      <c r="N265" s="38">
        <f t="shared" si="94"/>
        <v>78.841765021303615</v>
      </c>
      <c r="O265" s="36">
        <f t="shared" si="95"/>
        <v>-78.841765021303615</v>
      </c>
      <c r="P265" s="84">
        <f t="shared" si="96"/>
        <v>-6596.4230948586955</v>
      </c>
      <c r="Q265" s="38">
        <f t="shared" si="97"/>
        <v>1.9390498037703794</v>
      </c>
      <c r="R265" s="48">
        <f t="shared" si="98"/>
        <v>26.267258296387801</v>
      </c>
      <c r="S265" s="38">
        <f t="shared" si="89"/>
        <v>248.35673722963745</v>
      </c>
      <c r="T265" s="50">
        <f t="shared" si="102"/>
        <v>5850</v>
      </c>
      <c r="U265" s="40">
        <f t="shared" si="103"/>
        <v>9030.1582134259297</v>
      </c>
      <c r="V265" s="41">
        <f t="shared" si="104"/>
        <v>0.5436167886198171</v>
      </c>
      <c r="W265" s="39">
        <f t="shared" si="105"/>
        <v>3180.1582134259297</v>
      </c>
      <c r="X265" s="50">
        <f t="shared" si="99"/>
        <v>746.89184487497255</v>
      </c>
      <c r="Y265" s="41">
        <f t="shared" si="106"/>
        <v>0.67129060825656439</v>
      </c>
      <c r="Z265" s="52"/>
      <c r="AA265" s="50">
        <f t="shared" si="112"/>
        <v>6596.8918448749719</v>
      </c>
      <c r="AB265" s="39">
        <f t="shared" si="113"/>
        <v>10098.184935757057</v>
      </c>
      <c r="AC265" s="39">
        <f t="shared" si="107"/>
        <v>3501.2930908820854</v>
      </c>
      <c r="AD265" s="41">
        <f t="shared" si="108"/>
        <v>0.53074890012062093</v>
      </c>
      <c r="AF265" s="46">
        <f t="shared" si="90"/>
        <v>78.841765021303615</v>
      </c>
      <c r="AG265" s="46">
        <f t="shared" si="109"/>
        <v>0</v>
      </c>
      <c r="AH265" s="54">
        <f t="shared" si="91"/>
        <v>1638</v>
      </c>
      <c r="AI265" s="55">
        <f t="shared" si="100"/>
        <v>0.73942093541202669</v>
      </c>
      <c r="AJ265" s="55">
        <f t="shared" si="110"/>
        <v>58.297251641587529</v>
      </c>
      <c r="AK265" s="55">
        <f t="shared" si="111"/>
        <v>0</v>
      </c>
    </row>
    <row r="266" spans="2:37" s="53" customFormat="1" ht="17.25" customHeight="1" x14ac:dyDescent="0.25">
      <c r="B266" s="91" t="str">
        <f t="shared" si="92"/>
        <v/>
      </c>
      <c r="C266" s="81">
        <f>IF(Sheet3!A237="","",Sheet3!A237)</f>
        <v>39272</v>
      </c>
      <c r="D266" s="82">
        <f>IF(C266="","",Sheet3!E237)</f>
        <v>40.400002000000001</v>
      </c>
      <c r="E266" s="56">
        <f>_xlfn.XLOOKUP(WEEKNUM(C266)&amp;YEAR(C266),Sheet4!C:C,Sheet4!B:B,0)</f>
        <v>0</v>
      </c>
      <c r="F266" s="46">
        <f>IF(int=Weekly,-$D$5,IF(int=Bi_Weekly,0,IF(int=Monthly,0,IF(int=Quarterly,0,IF(int=Yearly,0,IF(int=None,0,0))))))</f>
        <v>0</v>
      </c>
      <c r="G266" s="46"/>
      <c r="H266" s="46">
        <f t="shared" si="101"/>
        <v>-5850</v>
      </c>
      <c r="I266" s="47"/>
      <c r="J266" s="38">
        <f t="shared" si="88"/>
        <v>0</v>
      </c>
      <c r="K266" s="48"/>
      <c r="L266" s="48">
        <f t="shared" si="93"/>
        <v>222.08947893324964</v>
      </c>
      <c r="M266" s="48"/>
      <c r="N266" s="38">
        <f t="shared" si="94"/>
        <v>0</v>
      </c>
      <c r="O266" s="36">
        <f t="shared" si="95"/>
        <v>0</v>
      </c>
      <c r="P266" s="84">
        <f t="shared" si="96"/>
        <v>-6596.4230948586955</v>
      </c>
      <c r="Q266" s="38">
        <f t="shared" si="97"/>
        <v>0</v>
      </c>
      <c r="R266" s="48">
        <f t="shared" si="98"/>
        <v>26.267258296387801</v>
      </c>
      <c r="S266" s="38">
        <f t="shared" si="89"/>
        <v>248.35673722963745</v>
      </c>
      <c r="T266" s="50">
        <f t="shared" si="102"/>
        <v>5850</v>
      </c>
      <c r="U266" s="40">
        <f t="shared" si="103"/>
        <v>8972.4153930822431</v>
      </c>
      <c r="V266" s="41">
        <f t="shared" si="104"/>
        <v>0.53374622103969971</v>
      </c>
      <c r="W266" s="39">
        <f t="shared" si="105"/>
        <v>3122.4153930822431</v>
      </c>
      <c r="X266" s="50">
        <f t="shared" si="99"/>
        <v>746.89184487497255</v>
      </c>
      <c r="Y266" s="41">
        <f t="shared" si="106"/>
        <v>0.661420040676447</v>
      </c>
      <c r="Z266" s="52"/>
      <c r="AA266" s="50">
        <f t="shared" si="112"/>
        <v>6596.8918448749719</v>
      </c>
      <c r="AB266" s="39">
        <f t="shared" si="113"/>
        <v>10033.612680790828</v>
      </c>
      <c r="AC266" s="39">
        <f t="shared" si="107"/>
        <v>3436.7208359158558</v>
      </c>
      <c r="AD266" s="41">
        <f t="shared" si="108"/>
        <v>0.52096061550346517</v>
      </c>
      <c r="AF266" s="46">
        <f t="shared" si="90"/>
        <v>0</v>
      </c>
      <c r="AG266" s="46">
        <f t="shared" si="109"/>
        <v>0</v>
      </c>
      <c r="AH266" s="54">
        <f t="shared" si="91"/>
        <v>1645</v>
      </c>
      <c r="AI266" s="55">
        <f t="shared" si="100"/>
        <v>0.73830734966592426</v>
      </c>
      <c r="AJ266" s="55">
        <f t="shared" si="110"/>
        <v>0</v>
      </c>
      <c r="AK266" s="55">
        <f t="shared" si="111"/>
        <v>0</v>
      </c>
    </row>
    <row r="267" spans="2:37" s="53" customFormat="1" ht="17.25" customHeight="1" x14ac:dyDescent="0.25">
      <c r="B267" s="91" t="str">
        <f t="shared" si="92"/>
        <v/>
      </c>
      <c r="C267" s="81">
        <f>IF(Sheet3!A238="","",Sheet3!A238)</f>
        <v>39279</v>
      </c>
      <c r="D267" s="82">
        <f>IF(C267="","",Sheet3!E238)</f>
        <v>39.060001</v>
      </c>
      <c r="E267" s="56">
        <f>_xlfn.XLOOKUP(WEEKNUM(C267)&amp;YEAR(C267),Sheet4!C:C,Sheet4!B:B,0)</f>
        <v>0</v>
      </c>
      <c r="F267" s="46">
        <f>IF(int=Weekly,-$D$5,IF(int=Bi_Weekly,-$D$5,IF(int=Monthly,-$D$5,IF(int=Quarterly,0,IF(int=Yearly,0,IF(int=None,0,0))))))</f>
        <v>-100</v>
      </c>
      <c r="G267" s="46"/>
      <c r="H267" s="46">
        <f t="shared" si="101"/>
        <v>-5950</v>
      </c>
      <c r="I267" s="47"/>
      <c r="J267" s="38">
        <f t="shared" si="88"/>
        <v>2.5601637849420436</v>
      </c>
      <c r="K267" s="48"/>
      <c r="L267" s="48">
        <f t="shared" si="93"/>
        <v>224.64964271819167</v>
      </c>
      <c r="M267" s="48"/>
      <c r="N267" s="38">
        <f t="shared" si="94"/>
        <v>0</v>
      </c>
      <c r="O267" s="36">
        <f t="shared" si="95"/>
        <v>0</v>
      </c>
      <c r="P267" s="84">
        <f t="shared" si="96"/>
        <v>-6696.4230948586955</v>
      </c>
      <c r="Q267" s="38">
        <f t="shared" si="97"/>
        <v>0</v>
      </c>
      <c r="R267" s="48">
        <f t="shared" si="98"/>
        <v>26.267258296387801</v>
      </c>
      <c r="S267" s="38">
        <f t="shared" si="89"/>
        <v>250.91690101457948</v>
      </c>
      <c r="T267" s="50">
        <f t="shared" si="102"/>
        <v>5950</v>
      </c>
      <c r="U267" s="40">
        <f t="shared" si="103"/>
        <v>8774.8152692222102</v>
      </c>
      <c r="V267" s="41">
        <f t="shared" si="104"/>
        <v>0.47475886877684204</v>
      </c>
      <c r="W267" s="39">
        <f t="shared" si="105"/>
        <v>2824.8152692222102</v>
      </c>
      <c r="X267" s="50">
        <f t="shared" si="99"/>
        <v>746.89184487497255</v>
      </c>
      <c r="Y267" s="41">
        <f t="shared" si="106"/>
        <v>0.60028690993229961</v>
      </c>
      <c r="Z267" s="52"/>
      <c r="AA267" s="50">
        <f t="shared" si="112"/>
        <v>6696.8918448749719</v>
      </c>
      <c r="AB267" s="39">
        <f t="shared" si="113"/>
        <v>9800.814404546376</v>
      </c>
      <c r="AC267" s="39">
        <f t="shared" si="107"/>
        <v>3103.9225596714041</v>
      </c>
      <c r="AD267" s="41">
        <f t="shared" si="108"/>
        <v>0.46348703720619122</v>
      </c>
      <c r="AF267" s="46">
        <f t="shared" si="90"/>
        <v>-100</v>
      </c>
      <c r="AG267" s="46">
        <f t="shared" si="109"/>
        <v>-100</v>
      </c>
      <c r="AH267" s="54">
        <f t="shared" si="91"/>
        <v>1652</v>
      </c>
      <c r="AI267" s="55">
        <f t="shared" si="100"/>
        <v>0.73719376391982183</v>
      </c>
      <c r="AJ267" s="55">
        <f t="shared" si="110"/>
        <v>-73.719376391982181</v>
      </c>
      <c r="AK267" s="55">
        <f t="shared" si="111"/>
        <v>-73.719376391982181</v>
      </c>
    </row>
    <row r="268" spans="2:37" s="53" customFormat="1" ht="17.25" customHeight="1" x14ac:dyDescent="0.25">
      <c r="B268" s="91" t="str">
        <f t="shared" si="92"/>
        <v/>
      </c>
      <c r="C268" s="81">
        <f>IF(Sheet3!A239="","",Sheet3!A239)</f>
        <v>39286</v>
      </c>
      <c r="D268" s="82">
        <f>IF(C268="","",Sheet3!E239)</f>
        <v>39.240001999999997</v>
      </c>
      <c r="E268" s="56">
        <f>_xlfn.XLOOKUP(WEEKNUM(C268)&amp;YEAR(C268),Sheet4!C:C,Sheet4!B:B,0)</f>
        <v>0</v>
      </c>
      <c r="F268" s="46">
        <f>IF(int=Weekly,-$D$5,IF(int=Bi_Weekly,0,IF(int=Monthly,0,IF(int=Quarterly,0,IF(int=Yearly,0,IF(int=None,0,0))))))</f>
        <v>0</v>
      </c>
      <c r="G268" s="46"/>
      <c r="H268" s="46">
        <f t="shared" si="101"/>
        <v>-5950</v>
      </c>
      <c r="I268" s="47"/>
      <c r="J268" s="38">
        <f t="shared" si="88"/>
        <v>0</v>
      </c>
      <c r="K268" s="48"/>
      <c r="L268" s="48">
        <f t="shared" si="93"/>
        <v>224.64964271819167</v>
      </c>
      <c r="M268" s="48"/>
      <c r="N268" s="38">
        <f t="shared" si="94"/>
        <v>0</v>
      </c>
      <c r="O268" s="36">
        <f t="shared" si="95"/>
        <v>0</v>
      </c>
      <c r="P268" s="84">
        <f t="shared" si="96"/>
        <v>-6696.4230948586955</v>
      </c>
      <c r="Q268" s="38">
        <f t="shared" si="97"/>
        <v>0</v>
      </c>
      <c r="R268" s="48">
        <f t="shared" si="98"/>
        <v>26.267258296387801</v>
      </c>
      <c r="S268" s="38">
        <f t="shared" si="89"/>
        <v>250.91690101457948</v>
      </c>
      <c r="T268" s="50">
        <f t="shared" si="102"/>
        <v>5950</v>
      </c>
      <c r="U268" s="40">
        <f t="shared" si="103"/>
        <v>8815.2524295611256</v>
      </c>
      <c r="V268" s="41">
        <f t="shared" si="104"/>
        <v>0.48155503017834045</v>
      </c>
      <c r="W268" s="39">
        <f t="shared" si="105"/>
        <v>2865.2524295611256</v>
      </c>
      <c r="X268" s="50">
        <f t="shared" si="99"/>
        <v>746.89184487497255</v>
      </c>
      <c r="Y268" s="41">
        <f t="shared" si="106"/>
        <v>0.6070830713337978</v>
      </c>
      <c r="Z268" s="52"/>
      <c r="AA268" s="50">
        <f t="shared" si="112"/>
        <v>6696.8918448749719</v>
      </c>
      <c r="AB268" s="39">
        <f t="shared" si="113"/>
        <v>9845.9796976459002</v>
      </c>
      <c r="AC268" s="39">
        <f t="shared" si="107"/>
        <v>3149.0878527709283</v>
      </c>
      <c r="AD268" s="41">
        <f t="shared" si="108"/>
        <v>0.47023125439615354</v>
      </c>
      <c r="AF268" s="46">
        <f t="shared" si="90"/>
        <v>0</v>
      </c>
      <c r="AG268" s="46">
        <f t="shared" si="109"/>
        <v>0</v>
      </c>
      <c r="AH268" s="54">
        <f t="shared" si="91"/>
        <v>1659</v>
      </c>
      <c r="AI268" s="55">
        <f t="shared" si="100"/>
        <v>0.7360801781737194</v>
      </c>
      <c r="AJ268" s="55">
        <f t="shared" si="110"/>
        <v>0</v>
      </c>
      <c r="AK268" s="55">
        <f t="shared" si="111"/>
        <v>0</v>
      </c>
    </row>
    <row r="269" spans="2:37" s="53" customFormat="1" ht="17.25" customHeight="1" x14ac:dyDescent="0.25">
      <c r="B269" s="91" t="str">
        <f t="shared" si="92"/>
        <v/>
      </c>
      <c r="C269" s="81">
        <f>IF(Sheet3!A240="","",Sheet3!A240)</f>
        <v>39293</v>
      </c>
      <c r="D269" s="82">
        <f>IF(C269="","",Sheet3!E240)</f>
        <v>39.450001</v>
      </c>
      <c r="E269" s="56">
        <f>_xlfn.XLOOKUP(WEEKNUM(C269)&amp;YEAR(C269),Sheet4!C:C,Sheet4!B:B,0)</f>
        <v>0</v>
      </c>
      <c r="F269" s="46">
        <f>IF(int=Weekly,-$D$5,IF(int=Bi_Weekly,-$D$5,IF(int=Monthly,0,IF(int=Quarterly,0,IF(int=Yearly,0,IF(int=None,0,0))))))</f>
        <v>0</v>
      </c>
      <c r="G269" s="46"/>
      <c r="H269" s="46">
        <f t="shared" si="101"/>
        <v>-5950</v>
      </c>
      <c r="I269" s="47"/>
      <c r="J269" s="38">
        <f t="shared" si="88"/>
        <v>0</v>
      </c>
      <c r="K269" s="48"/>
      <c r="L269" s="48">
        <f t="shared" si="93"/>
        <v>224.64964271819167</v>
      </c>
      <c r="M269" s="48"/>
      <c r="N269" s="38">
        <f t="shared" si="94"/>
        <v>0</v>
      </c>
      <c r="O269" s="36">
        <f t="shared" si="95"/>
        <v>0</v>
      </c>
      <c r="P269" s="84">
        <f t="shared" si="96"/>
        <v>-6696.4230948586955</v>
      </c>
      <c r="Q269" s="38">
        <f t="shared" si="97"/>
        <v>0</v>
      </c>
      <c r="R269" s="48">
        <f t="shared" si="98"/>
        <v>26.267258296387801</v>
      </c>
      <c r="S269" s="38">
        <f t="shared" si="89"/>
        <v>250.91690101457948</v>
      </c>
      <c r="T269" s="50">
        <f t="shared" si="102"/>
        <v>5950</v>
      </c>
      <c r="U269" s="40">
        <f t="shared" si="103"/>
        <v>8862.4286298823044</v>
      </c>
      <c r="V269" s="41">
        <f t="shared" si="104"/>
        <v>0.48948380334156383</v>
      </c>
      <c r="W269" s="39">
        <f t="shared" si="105"/>
        <v>2912.4286298823044</v>
      </c>
      <c r="X269" s="50">
        <f t="shared" si="99"/>
        <v>746.89184487497255</v>
      </c>
      <c r="Y269" s="41">
        <f t="shared" si="106"/>
        <v>0.61501184449702118</v>
      </c>
      <c r="Z269" s="52"/>
      <c r="AA269" s="50">
        <f t="shared" si="112"/>
        <v>6696.8918448749719</v>
      </c>
      <c r="AB269" s="39">
        <f t="shared" si="113"/>
        <v>9898.6719959420625</v>
      </c>
      <c r="AC269" s="39">
        <f t="shared" si="107"/>
        <v>3201.7801510670906</v>
      </c>
      <c r="AD269" s="41">
        <f t="shared" si="108"/>
        <v>0.47809942660450222</v>
      </c>
      <c r="AF269" s="46">
        <f t="shared" si="90"/>
        <v>0</v>
      </c>
      <c r="AG269" s="46">
        <f t="shared" si="109"/>
        <v>0</v>
      </c>
      <c r="AH269" s="54">
        <f t="shared" si="91"/>
        <v>1666</v>
      </c>
      <c r="AI269" s="55">
        <f t="shared" si="100"/>
        <v>0.73496659242761697</v>
      </c>
      <c r="AJ269" s="55">
        <f t="shared" si="110"/>
        <v>0</v>
      </c>
      <c r="AK269" s="55">
        <f t="shared" si="111"/>
        <v>0</v>
      </c>
    </row>
    <row r="270" spans="2:37" s="53" customFormat="1" ht="17.25" customHeight="1" x14ac:dyDescent="0.25">
      <c r="B270" s="91" t="str">
        <f t="shared" si="92"/>
        <v/>
      </c>
      <c r="C270" s="81">
        <f>IF(Sheet3!A241="","",Sheet3!A241)</f>
        <v>39300</v>
      </c>
      <c r="D270" s="82">
        <f>IF(C270="","",Sheet3!E241)</f>
        <v>38.869999</v>
      </c>
      <c r="E270" s="56">
        <f>_xlfn.XLOOKUP(WEEKNUM(C270)&amp;YEAR(C270),Sheet4!C:C,Sheet4!B:B,0)</f>
        <v>0</v>
      </c>
      <c r="F270" s="46">
        <f>IF(int=Weekly,-$D$5,IF(int=Bi_Weekly,0,IF(int=Monthly,0,IF(int=Quarterly,0,IF(int=Yearly,0,IF(int=None,0,0))))))</f>
        <v>0</v>
      </c>
      <c r="G270" s="46"/>
      <c r="H270" s="46">
        <f t="shared" si="101"/>
        <v>-5950</v>
      </c>
      <c r="I270" s="47"/>
      <c r="J270" s="38">
        <f t="shared" si="88"/>
        <v>0</v>
      </c>
      <c r="K270" s="48"/>
      <c r="L270" s="48">
        <f t="shared" si="93"/>
        <v>224.64964271819167</v>
      </c>
      <c r="M270" s="48"/>
      <c r="N270" s="38">
        <f t="shared" si="94"/>
        <v>0</v>
      </c>
      <c r="O270" s="36">
        <f t="shared" si="95"/>
        <v>0</v>
      </c>
      <c r="P270" s="84">
        <f t="shared" si="96"/>
        <v>-6696.4230948586955</v>
      </c>
      <c r="Q270" s="38">
        <f t="shared" si="97"/>
        <v>0</v>
      </c>
      <c r="R270" s="48">
        <f t="shared" si="98"/>
        <v>26.267258296387801</v>
      </c>
      <c r="S270" s="38">
        <f t="shared" si="89"/>
        <v>250.91690101457948</v>
      </c>
      <c r="T270" s="50">
        <f t="shared" si="102"/>
        <v>5950</v>
      </c>
      <c r="U270" s="40">
        <f t="shared" si="103"/>
        <v>8732.1313878064684</v>
      </c>
      <c r="V270" s="41">
        <f t="shared" si="104"/>
        <v>0.46758510719436441</v>
      </c>
      <c r="W270" s="39">
        <f t="shared" si="105"/>
        <v>2782.1313878064684</v>
      </c>
      <c r="X270" s="50">
        <f t="shared" si="99"/>
        <v>746.89184487497255</v>
      </c>
      <c r="Y270" s="41">
        <f t="shared" si="106"/>
        <v>0.59311314834982198</v>
      </c>
      <c r="Z270" s="52"/>
      <c r="AA270" s="50">
        <f t="shared" si="112"/>
        <v>6696.8918448749719</v>
      </c>
      <c r="AB270" s="39">
        <f t="shared" si="113"/>
        <v>9753.1396915198038</v>
      </c>
      <c r="AC270" s="39">
        <f t="shared" si="107"/>
        <v>3056.247846644832</v>
      </c>
      <c r="AD270" s="41">
        <f t="shared" si="108"/>
        <v>0.45636810589732479</v>
      </c>
      <c r="AF270" s="46">
        <f t="shared" si="90"/>
        <v>0</v>
      </c>
      <c r="AG270" s="46">
        <f t="shared" si="109"/>
        <v>0</v>
      </c>
      <c r="AH270" s="54">
        <f t="shared" si="91"/>
        <v>1673</v>
      </c>
      <c r="AI270" s="55">
        <f t="shared" si="100"/>
        <v>0.73385300668151443</v>
      </c>
      <c r="AJ270" s="55">
        <f t="shared" si="110"/>
        <v>0</v>
      </c>
      <c r="AK270" s="55">
        <f t="shared" si="111"/>
        <v>0</v>
      </c>
    </row>
    <row r="271" spans="2:37" s="53" customFormat="1" ht="17.25" customHeight="1" x14ac:dyDescent="0.25">
      <c r="B271" s="91" t="str">
        <f t="shared" si="92"/>
        <v/>
      </c>
      <c r="C271" s="81">
        <f>IF(Sheet3!A242="","",Sheet3!A242)</f>
        <v>39307</v>
      </c>
      <c r="D271" s="82">
        <f>IF(C271="","",Sheet3!E242)</f>
        <v>39.049999</v>
      </c>
      <c r="E271" s="56">
        <f>_xlfn.XLOOKUP(WEEKNUM(C271)&amp;YEAR(C271),Sheet4!C:C,Sheet4!B:B,0)</f>
        <v>0</v>
      </c>
      <c r="F271" s="46">
        <f>IF(int=Weekly,-$D$5,IF(int=Bi_Weekly,-$D$5,IF(int=Monthly,-$D$5,IF(int=Quarterly,0,IF(int=Yearly,0,IF(int=None,0,0))))))</f>
        <v>-100</v>
      </c>
      <c r="G271" s="46"/>
      <c r="H271" s="46">
        <f t="shared" si="101"/>
        <v>-6050</v>
      </c>
      <c r="I271" s="47"/>
      <c r="J271" s="38">
        <f t="shared" si="88"/>
        <v>2.5608195278058776</v>
      </c>
      <c r="K271" s="48"/>
      <c r="L271" s="48">
        <f t="shared" si="93"/>
        <v>227.21046224599755</v>
      </c>
      <c r="M271" s="48"/>
      <c r="N271" s="38">
        <f t="shared" si="94"/>
        <v>0</v>
      </c>
      <c r="O271" s="36">
        <f t="shared" si="95"/>
        <v>0</v>
      </c>
      <c r="P271" s="84">
        <f t="shared" si="96"/>
        <v>-6796.4230948586955</v>
      </c>
      <c r="Q271" s="38">
        <f t="shared" si="97"/>
        <v>0</v>
      </c>
      <c r="R271" s="48">
        <f t="shared" si="98"/>
        <v>26.267258296387801</v>
      </c>
      <c r="S271" s="38">
        <f t="shared" si="89"/>
        <v>253.47772054238536</v>
      </c>
      <c r="T271" s="50">
        <f t="shared" si="102"/>
        <v>6050</v>
      </c>
      <c r="U271" s="40">
        <f t="shared" si="103"/>
        <v>8872.5683234957414</v>
      </c>
      <c r="V271" s="41">
        <f t="shared" si="104"/>
        <v>0.46654021875962659</v>
      </c>
      <c r="W271" s="39">
        <f t="shared" si="105"/>
        <v>2822.5683234957414</v>
      </c>
      <c r="X271" s="50">
        <f t="shared" si="99"/>
        <v>746.89184487497255</v>
      </c>
      <c r="Y271" s="41">
        <f t="shared" si="106"/>
        <v>0.58999341625962209</v>
      </c>
      <c r="Z271" s="52"/>
      <c r="AA271" s="50">
        <f t="shared" si="112"/>
        <v>6796.8918448749719</v>
      </c>
      <c r="AB271" s="39">
        <f t="shared" si="113"/>
        <v>9898.3047337024273</v>
      </c>
      <c r="AC271" s="39">
        <f t="shared" si="107"/>
        <v>3101.4128888274554</v>
      </c>
      <c r="AD271" s="41">
        <f t="shared" si="108"/>
        <v>0.45629869646461985</v>
      </c>
      <c r="AF271" s="46">
        <f t="shared" si="90"/>
        <v>-100</v>
      </c>
      <c r="AG271" s="46">
        <f t="shared" si="109"/>
        <v>-100</v>
      </c>
      <c r="AH271" s="54">
        <f t="shared" si="91"/>
        <v>1680</v>
      </c>
      <c r="AI271" s="55">
        <f t="shared" si="100"/>
        <v>0.732739420935412</v>
      </c>
      <c r="AJ271" s="55">
        <f t="shared" si="110"/>
        <v>-73.273942093541194</v>
      </c>
      <c r="AK271" s="55">
        <f t="shared" si="111"/>
        <v>-73.273942093541194</v>
      </c>
    </row>
    <row r="272" spans="2:37" s="53" customFormat="1" ht="17.25" customHeight="1" x14ac:dyDescent="0.25">
      <c r="B272" s="91" t="str">
        <f t="shared" si="92"/>
        <v/>
      </c>
      <c r="C272" s="81">
        <f>IF(Sheet3!A243="","",Sheet3!A243)</f>
        <v>39314</v>
      </c>
      <c r="D272" s="82">
        <f>IF(C272="","",Sheet3!E243)</f>
        <v>40.360000999999997</v>
      </c>
      <c r="E272" s="56">
        <f>_xlfn.XLOOKUP(WEEKNUM(C272)&amp;YEAR(C272),Sheet4!C:C,Sheet4!B:B,0)</f>
        <v>0</v>
      </c>
      <c r="F272" s="46">
        <f>IF(int=Weekly,-$D$5,IF(int=Bi_Weekly,0,IF(int=Monthly,0,IF(int=Quarterly,0,IF(int=Yearly,0,IF(int=None,0,0))))))</f>
        <v>0</v>
      </c>
      <c r="G272" s="46"/>
      <c r="H272" s="46">
        <f t="shared" si="101"/>
        <v>-6050</v>
      </c>
      <c r="I272" s="47"/>
      <c r="J272" s="38">
        <f t="shared" si="88"/>
        <v>0</v>
      </c>
      <c r="K272" s="48"/>
      <c r="L272" s="48">
        <f t="shared" si="93"/>
        <v>227.21046224599755</v>
      </c>
      <c r="M272" s="48"/>
      <c r="N272" s="38">
        <f t="shared" si="94"/>
        <v>0</v>
      </c>
      <c r="O272" s="36">
        <f t="shared" si="95"/>
        <v>0</v>
      </c>
      <c r="P272" s="84">
        <f t="shared" si="96"/>
        <v>-6796.4230948586955</v>
      </c>
      <c r="Q272" s="38">
        <f t="shared" si="97"/>
        <v>0</v>
      </c>
      <c r="R272" s="48">
        <f t="shared" si="98"/>
        <v>26.267258296387801</v>
      </c>
      <c r="S272" s="38">
        <f t="shared" si="89"/>
        <v>253.47772054238536</v>
      </c>
      <c r="T272" s="50">
        <f t="shared" si="102"/>
        <v>6050</v>
      </c>
      <c r="U272" s="40">
        <f t="shared" si="103"/>
        <v>9170.2144834589217</v>
      </c>
      <c r="V272" s="41">
        <f t="shared" si="104"/>
        <v>0.51573793115023503</v>
      </c>
      <c r="W272" s="39">
        <f t="shared" si="105"/>
        <v>3120.2144834589217</v>
      </c>
      <c r="X272" s="50">
        <f t="shared" si="99"/>
        <v>746.89184487497255</v>
      </c>
      <c r="Y272" s="41">
        <f t="shared" si="106"/>
        <v>0.63919112865023031</v>
      </c>
      <c r="Z272" s="52"/>
      <c r="AA272" s="50">
        <f t="shared" si="112"/>
        <v>6796.8918448749719</v>
      </c>
      <c r="AB272" s="39">
        <f t="shared" si="113"/>
        <v>10230.361054568391</v>
      </c>
      <c r="AC272" s="39">
        <f t="shared" si="107"/>
        <v>3433.4692096934195</v>
      </c>
      <c r="AD272" s="41">
        <f t="shared" si="108"/>
        <v>0.50515283868792804</v>
      </c>
      <c r="AF272" s="46">
        <f t="shared" si="90"/>
        <v>0</v>
      </c>
      <c r="AG272" s="46">
        <f t="shared" si="109"/>
        <v>0</v>
      </c>
      <c r="AH272" s="54">
        <f t="shared" si="91"/>
        <v>1687</v>
      </c>
      <c r="AI272" s="55">
        <f t="shared" si="100"/>
        <v>0.73162583518930957</v>
      </c>
      <c r="AJ272" s="55">
        <f t="shared" si="110"/>
        <v>0</v>
      </c>
      <c r="AK272" s="55">
        <f t="shared" si="111"/>
        <v>0</v>
      </c>
    </row>
    <row r="273" spans="2:37" s="53" customFormat="1" ht="17.25" customHeight="1" x14ac:dyDescent="0.25">
      <c r="B273" s="91" t="str">
        <f t="shared" si="92"/>
        <v/>
      </c>
      <c r="C273" s="81">
        <f>IF(Sheet3!A244="","",Sheet3!A244)</f>
        <v>39321</v>
      </c>
      <c r="D273" s="82">
        <f>IF(C273="","",Sheet3!E244)</f>
        <v>39.869999</v>
      </c>
      <c r="E273" s="56">
        <f>_xlfn.XLOOKUP(WEEKNUM(C273)&amp;YEAR(C273),Sheet4!C:C,Sheet4!B:B,0)</f>
        <v>0</v>
      </c>
      <c r="F273" s="46">
        <f>IF(int=Weekly,-$D$5,IF(int=Bi_Weekly,-$D$5,IF(int=Monthly,0,IF(int=Quarterly,0,IF(int=Yearly,0,IF(int=None,0,0))))))</f>
        <v>0</v>
      </c>
      <c r="G273" s="46"/>
      <c r="H273" s="46">
        <f t="shared" si="101"/>
        <v>-6050</v>
      </c>
      <c r="I273" s="47"/>
      <c r="J273" s="38">
        <f t="shared" si="88"/>
        <v>0</v>
      </c>
      <c r="K273" s="48"/>
      <c r="L273" s="48">
        <f t="shared" si="93"/>
        <v>227.21046224599755</v>
      </c>
      <c r="M273" s="48"/>
      <c r="N273" s="38">
        <f t="shared" si="94"/>
        <v>0</v>
      </c>
      <c r="O273" s="36">
        <f t="shared" si="95"/>
        <v>0</v>
      </c>
      <c r="P273" s="84">
        <f t="shared" si="96"/>
        <v>-6796.4230948586955</v>
      </c>
      <c r="Q273" s="38">
        <f t="shared" si="97"/>
        <v>0</v>
      </c>
      <c r="R273" s="48">
        <f t="shared" si="98"/>
        <v>26.267258296387801</v>
      </c>
      <c r="S273" s="38">
        <f t="shared" si="89"/>
        <v>253.47772054238536</v>
      </c>
      <c r="T273" s="50">
        <f t="shared" si="102"/>
        <v>6050</v>
      </c>
      <c r="U273" s="40">
        <f t="shared" si="103"/>
        <v>9058.8809025374594</v>
      </c>
      <c r="V273" s="41">
        <f t="shared" si="104"/>
        <v>0.49733568636982795</v>
      </c>
      <c r="W273" s="39">
        <f t="shared" si="105"/>
        <v>3008.8809025374594</v>
      </c>
      <c r="X273" s="50">
        <f t="shared" si="99"/>
        <v>746.89184487497255</v>
      </c>
      <c r="Y273" s="41">
        <f t="shared" si="106"/>
        <v>0.62078888386982345</v>
      </c>
      <c r="Z273" s="52"/>
      <c r="AA273" s="50">
        <f t="shared" si="112"/>
        <v>6796.8918448749719</v>
      </c>
      <c r="AB273" s="39">
        <f t="shared" si="113"/>
        <v>10106.156464547183</v>
      </c>
      <c r="AC273" s="39">
        <f t="shared" si="107"/>
        <v>3309.2646196722108</v>
      </c>
      <c r="AD273" s="41">
        <f t="shared" si="108"/>
        <v>0.48687910521446365</v>
      </c>
      <c r="AF273" s="46">
        <f t="shared" si="90"/>
        <v>0</v>
      </c>
      <c r="AG273" s="46">
        <f t="shared" si="109"/>
        <v>0</v>
      </c>
      <c r="AH273" s="54">
        <f t="shared" si="91"/>
        <v>1694</v>
      </c>
      <c r="AI273" s="55">
        <f t="shared" si="100"/>
        <v>0.73051224944320714</v>
      </c>
      <c r="AJ273" s="55">
        <f t="shared" si="110"/>
        <v>0</v>
      </c>
      <c r="AK273" s="55">
        <f t="shared" si="111"/>
        <v>0</v>
      </c>
    </row>
    <row r="274" spans="2:37" s="53" customFormat="1" ht="17.25" customHeight="1" x14ac:dyDescent="0.25">
      <c r="B274" s="91" t="str">
        <f t="shared" si="92"/>
        <v/>
      </c>
      <c r="C274" s="81">
        <f>IF(Sheet3!A245="","",Sheet3!A245)</f>
        <v>39328</v>
      </c>
      <c r="D274" s="82">
        <f>IF(C274="","",Sheet3!E245)</f>
        <v>38.729999999999997</v>
      </c>
      <c r="E274" s="56">
        <f>_xlfn.XLOOKUP(WEEKNUM(C274)&amp;YEAR(C274),Sheet4!C:C,Sheet4!B:B,0)</f>
        <v>0</v>
      </c>
      <c r="F274" s="46">
        <f>IF(int=Weekly,-$D$5,IF(int=Bi_Weekly,0,IF(int=Monthly,0,IF(int=Quarterly,0,IF(int=Yearly,0,IF(int=None,0,0))))))</f>
        <v>0</v>
      </c>
      <c r="G274" s="46"/>
      <c r="H274" s="46">
        <f t="shared" si="101"/>
        <v>-6050</v>
      </c>
      <c r="I274" s="47"/>
      <c r="J274" s="38">
        <f t="shared" si="88"/>
        <v>0</v>
      </c>
      <c r="K274" s="48"/>
      <c r="L274" s="48">
        <f t="shared" si="93"/>
        <v>227.21046224599755</v>
      </c>
      <c r="M274" s="48"/>
      <c r="N274" s="38">
        <f t="shared" si="94"/>
        <v>0</v>
      </c>
      <c r="O274" s="36">
        <f t="shared" si="95"/>
        <v>0</v>
      </c>
      <c r="P274" s="84">
        <f t="shared" si="96"/>
        <v>-6796.4230948586955</v>
      </c>
      <c r="Q274" s="38">
        <f t="shared" si="97"/>
        <v>0</v>
      </c>
      <c r="R274" s="48">
        <f t="shared" si="98"/>
        <v>26.267258296387801</v>
      </c>
      <c r="S274" s="38">
        <f t="shared" si="89"/>
        <v>253.47772054238536</v>
      </c>
      <c r="T274" s="50">
        <f t="shared" si="102"/>
        <v>6050</v>
      </c>
      <c r="U274" s="40">
        <f t="shared" si="103"/>
        <v>8799.8612027874842</v>
      </c>
      <c r="V274" s="41">
        <f t="shared" si="104"/>
        <v>0.4545225128574355</v>
      </c>
      <c r="W274" s="39">
        <f t="shared" si="105"/>
        <v>2749.8612027874842</v>
      </c>
      <c r="X274" s="50">
        <f t="shared" si="99"/>
        <v>746.89184487497255</v>
      </c>
      <c r="Y274" s="41">
        <f t="shared" si="106"/>
        <v>0.57797571035743078</v>
      </c>
      <c r="Z274" s="52"/>
      <c r="AA274" s="50">
        <f t="shared" si="112"/>
        <v>6796.8918448749719</v>
      </c>
      <c r="AB274" s="39">
        <f t="shared" si="113"/>
        <v>9817.192116606584</v>
      </c>
      <c r="AC274" s="39">
        <f t="shared" si="107"/>
        <v>3020.3002717316122</v>
      </c>
      <c r="AD274" s="41">
        <f t="shared" si="108"/>
        <v>0.44436491570908188</v>
      </c>
      <c r="AF274" s="46">
        <f t="shared" si="90"/>
        <v>0</v>
      </c>
      <c r="AG274" s="46">
        <f t="shared" si="109"/>
        <v>0</v>
      </c>
      <c r="AH274" s="54">
        <f t="shared" si="91"/>
        <v>1701</v>
      </c>
      <c r="AI274" s="55">
        <f t="shared" si="100"/>
        <v>0.72939866369710471</v>
      </c>
      <c r="AJ274" s="55">
        <f t="shared" si="110"/>
        <v>0</v>
      </c>
      <c r="AK274" s="55">
        <f t="shared" si="111"/>
        <v>0</v>
      </c>
    </row>
    <row r="275" spans="2:37" s="53" customFormat="1" ht="17.25" customHeight="1" x14ac:dyDescent="0.25">
      <c r="B275" s="91" t="str">
        <f t="shared" si="92"/>
        <v/>
      </c>
      <c r="C275" s="81">
        <f>IF(Sheet3!A246="","",Sheet3!A246)</f>
        <v>39335</v>
      </c>
      <c r="D275" s="82">
        <f>IF(C275="","",Sheet3!E246)</f>
        <v>40.439999</v>
      </c>
      <c r="E275" s="56">
        <f>_xlfn.XLOOKUP(WEEKNUM(C275)&amp;YEAR(C275),Sheet4!C:C,Sheet4!B:B,0)</f>
        <v>0</v>
      </c>
      <c r="F275" s="46">
        <f>IF(int=Weekly,-$D$5,IF(int=Bi_Weekly,-$D$5,IF(int=Monthly,-$D$5,IF(int=Quarterly,0,IF(int=Yearly,0,IF(int=None,0,0))))))</f>
        <v>-100</v>
      </c>
      <c r="G275" s="46"/>
      <c r="H275" s="46">
        <f t="shared" si="101"/>
        <v>-6150</v>
      </c>
      <c r="I275" s="47"/>
      <c r="J275" s="38">
        <f t="shared" si="88"/>
        <v>2.4727992698516141</v>
      </c>
      <c r="K275" s="48"/>
      <c r="L275" s="48">
        <f t="shared" si="93"/>
        <v>229.68326151584915</v>
      </c>
      <c r="M275" s="48"/>
      <c r="N275" s="38">
        <f t="shared" si="94"/>
        <v>0</v>
      </c>
      <c r="O275" s="36">
        <f t="shared" si="95"/>
        <v>0</v>
      </c>
      <c r="P275" s="84">
        <f t="shared" si="96"/>
        <v>-6896.4230948586955</v>
      </c>
      <c r="Q275" s="38">
        <f t="shared" si="97"/>
        <v>0</v>
      </c>
      <c r="R275" s="48">
        <f t="shared" si="98"/>
        <v>26.267258296387801</v>
      </c>
      <c r="S275" s="38">
        <f t="shared" si="89"/>
        <v>255.95051981223696</v>
      </c>
      <c r="T275" s="50">
        <f t="shared" si="102"/>
        <v>6150</v>
      </c>
      <c r="U275" s="40">
        <f t="shared" si="103"/>
        <v>9288.3908660176785</v>
      </c>
      <c r="V275" s="41">
        <f t="shared" si="104"/>
        <v>0.51030745788905341</v>
      </c>
      <c r="W275" s="39">
        <f t="shared" si="105"/>
        <v>3138.3908660176785</v>
      </c>
      <c r="X275" s="50">
        <f t="shared" si="99"/>
        <v>746.89184487497255</v>
      </c>
      <c r="Y275" s="41">
        <f t="shared" si="106"/>
        <v>0.63175328632400829</v>
      </c>
      <c r="Z275" s="52"/>
      <c r="AA275" s="50">
        <f t="shared" si="112"/>
        <v>6896.8918448749719</v>
      </c>
      <c r="AB275" s="39">
        <f t="shared" si="113"/>
        <v>10350.638765256343</v>
      </c>
      <c r="AC275" s="39">
        <f t="shared" si="107"/>
        <v>3453.7469203813707</v>
      </c>
      <c r="AD275" s="41">
        <f t="shared" si="108"/>
        <v>0.50076860679609236</v>
      </c>
      <c r="AF275" s="46">
        <f t="shared" si="90"/>
        <v>-100</v>
      </c>
      <c r="AG275" s="46">
        <f t="shared" si="109"/>
        <v>-100</v>
      </c>
      <c r="AH275" s="54">
        <f t="shared" si="91"/>
        <v>1708</v>
      </c>
      <c r="AI275" s="55">
        <f t="shared" si="100"/>
        <v>0.72828507795100228</v>
      </c>
      <c r="AJ275" s="55">
        <f t="shared" si="110"/>
        <v>-72.828507795100222</v>
      </c>
      <c r="AK275" s="55">
        <f t="shared" si="111"/>
        <v>-72.828507795100222</v>
      </c>
    </row>
    <row r="276" spans="2:37" s="53" customFormat="1" ht="17.25" customHeight="1" x14ac:dyDescent="0.25">
      <c r="B276" s="91" t="str">
        <f t="shared" si="92"/>
        <v/>
      </c>
      <c r="C276" s="81">
        <f>IF(Sheet3!A247="","",Sheet3!A247)</f>
        <v>39342</v>
      </c>
      <c r="D276" s="82">
        <f>IF(C276="","",Sheet3!E247)</f>
        <v>42.529998999999997</v>
      </c>
      <c r="E276" s="56">
        <f>_xlfn.XLOOKUP(WEEKNUM(C276)&amp;YEAR(C276),Sheet4!C:C,Sheet4!B:B,0)</f>
        <v>0</v>
      </c>
      <c r="F276" s="46">
        <f>IF(int=Weekly,-$D$5,IF(int=Bi_Weekly,0,IF(int=Monthly,0,IF(int=Quarterly,0,IF(int=Yearly,0,IF(int=None,0,0))))))</f>
        <v>0</v>
      </c>
      <c r="G276" s="46"/>
      <c r="H276" s="46">
        <f t="shared" si="101"/>
        <v>-6150</v>
      </c>
      <c r="I276" s="47"/>
      <c r="J276" s="38">
        <f t="shared" si="88"/>
        <v>0</v>
      </c>
      <c r="K276" s="48"/>
      <c r="L276" s="48">
        <f t="shared" si="93"/>
        <v>229.68326151584915</v>
      </c>
      <c r="M276" s="48"/>
      <c r="N276" s="38">
        <f t="shared" si="94"/>
        <v>0</v>
      </c>
      <c r="O276" s="36">
        <f t="shared" si="95"/>
        <v>0</v>
      </c>
      <c r="P276" s="84">
        <f t="shared" si="96"/>
        <v>-6896.4230948586955</v>
      </c>
      <c r="Q276" s="38">
        <f t="shared" si="97"/>
        <v>0</v>
      </c>
      <c r="R276" s="48">
        <f t="shared" si="98"/>
        <v>26.267258296387801</v>
      </c>
      <c r="S276" s="38">
        <f t="shared" si="89"/>
        <v>255.95051981223696</v>
      </c>
      <c r="T276" s="50">
        <f t="shared" si="102"/>
        <v>6150</v>
      </c>
      <c r="U276" s="40">
        <f t="shared" si="103"/>
        <v>9768.4288825858021</v>
      </c>
      <c r="V276" s="41">
        <f t="shared" si="104"/>
        <v>0.5883624199326507</v>
      </c>
      <c r="W276" s="39">
        <f t="shared" si="105"/>
        <v>3618.4288825858021</v>
      </c>
      <c r="X276" s="50">
        <f t="shared" si="99"/>
        <v>746.89184487497255</v>
      </c>
      <c r="Y276" s="41">
        <f t="shared" si="106"/>
        <v>0.70980824836760559</v>
      </c>
      <c r="Z276" s="52"/>
      <c r="AA276" s="50">
        <f t="shared" si="112"/>
        <v>6896.8918448749719</v>
      </c>
      <c r="AB276" s="39">
        <f t="shared" si="113"/>
        <v>10885.575351663916</v>
      </c>
      <c r="AC276" s="39">
        <f t="shared" si="107"/>
        <v>3988.6835067889442</v>
      </c>
      <c r="AD276" s="41">
        <f t="shared" si="108"/>
        <v>0.57833058666171566</v>
      </c>
      <c r="AF276" s="46">
        <f t="shared" si="90"/>
        <v>0</v>
      </c>
      <c r="AG276" s="46">
        <f t="shared" si="109"/>
        <v>0</v>
      </c>
      <c r="AH276" s="54">
        <f t="shared" si="91"/>
        <v>1715</v>
      </c>
      <c r="AI276" s="55">
        <f t="shared" si="100"/>
        <v>0.72717149220489974</v>
      </c>
      <c r="AJ276" s="55">
        <f t="shared" si="110"/>
        <v>0</v>
      </c>
      <c r="AK276" s="55">
        <f t="shared" si="111"/>
        <v>0</v>
      </c>
    </row>
    <row r="277" spans="2:37" s="53" customFormat="1" ht="17.25" customHeight="1" x14ac:dyDescent="0.25">
      <c r="B277" s="91" t="str">
        <f t="shared" si="92"/>
        <v/>
      </c>
      <c r="C277" s="81">
        <f>IF(Sheet3!A248="","",Sheet3!A248)</f>
        <v>39349</v>
      </c>
      <c r="D277" s="82">
        <f>IF(C277="","",Sheet3!E248)</f>
        <v>42.310001</v>
      </c>
      <c r="E277" s="56">
        <f>_xlfn.XLOOKUP(WEEKNUM(C277)&amp;YEAR(C277),Sheet4!C:C,Sheet4!B:B,0)</f>
        <v>0</v>
      </c>
      <c r="F277" s="46">
        <f>IF(int=Weekly,-$D$5,IF(int=Bi_Weekly,-$D$5,IF(int=Monthly,0,IF(int=Quarterly,0,IF(int=Yearly,0,IF(int=None,0,0))))))</f>
        <v>0</v>
      </c>
      <c r="G277" s="46"/>
      <c r="H277" s="46">
        <f t="shared" si="101"/>
        <v>-6150</v>
      </c>
      <c r="I277" s="47"/>
      <c r="J277" s="38">
        <f t="shared" si="88"/>
        <v>0</v>
      </c>
      <c r="K277" s="48"/>
      <c r="L277" s="48">
        <f t="shared" si="93"/>
        <v>229.68326151584915</v>
      </c>
      <c r="M277" s="48"/>
      <c r="N277" s="38">
        <f t="shared" si="94"/>
        <v>0</v>
      </c>
      <c r="O277" s="36">
        <f t="shared" si="95"/>
        <v>0</v>
      </c>
      <c r="P277" s="84">
        <f t="shared" si="96"/>
        <v>-6896.4230948586955</v>
      </c>
      <c r="Q277" s="38">
        <f t="shared" si="97"/>
        <v>0</v>
      </c>
      <c r="R277" s="48">
        <f t="shared" si="98"/>
        <v>26.267258296387801</v>
      </c>
      <c r="S277" s="38">
        <f t="shared" si="89"/>
        <v>255.95051981223696</v>
      </c>
      <c r="T277" s="50">
        <f t="shared" si="102"/>
        <v>6150</v>
      </c>
      <c r="U277" s="40">
        <f t="shared" si="103"/>
        <v>9717.899024418839</v>
      </c>
      <c r="V277" s="41">
        <f t="shared" si="104"/>
        <v>0.58014618283233155</v>
      </c>
      <c r="W277" s="39">
        <f t="shared" si="105"/>
        <v>3567.899024418839</v>
      </c>
      <c r="X277" s="50">
        <f t="shared" si="99"/>
        <v>746.89184487497255</v>
      </c>
      <c r="Y277" s="41">
        <f t="shared" si="106"/>
        <v>0.70159201126728621</v>
      </c>
      <c r="Z277" s="52"/>
      <c r="AA277" s="50">
        <f t="shared" si="112"/>
        <v>6896.8918448749719</v>
      </c>
      <c r="AB277" s="39">
        <f t="shared" si="113"/>
        <v>10829.266749206265</v>
      </c>
      <c r="AC277" s="39">
        <f t="shared" si="107"/>
        <v>3932.3749043312928</v>
      </c>
      <c r="AD277" s="41">
        <f t="shared" si="108"/>
        <v>0.57016624195048249</v>
      </c>
      <c r="AF277" s="46">
        <f t="shared" si="90"/>
        <v>0</v>
      </c>
      <c r="AG277" s="46">
        <f t="shared" si="109"/>
        <v>0</v>
      </c>
      <c r="AH277" s="54">
        <f t="shared" si="91"/>
        <v>1722</v>
      </c>
      <c r="AI277" s="55">
        <f t="shared" si="100"/>
        <v>0.72605790645879731</v>
      </c>
      <c r="AJ277" s="55">
        <f t="shared" si="110"/>
        <v>0</v>
      </c>
      <c r="AK277" s="55">
        <f t="shared" si="111"/>
        <v>0</v>
      </c>
    </row>
    <row r="278" spans="2:37" s="53" customFormat="1" ht="17.25" customHeight="1" x14ac:dyDescent="0.25">
      <c r="B278" s="91" t="str">
        <f t="shared" si="92"/>
        <v/>
      </c>
      <c r="C278" s="81">
        <f>IF(Sheet3!A249="","",Sheet3!A249)</f>
        <v>39356</v>
      </c>
      <c r="D278" s="82">
        <f>IF(C278="","",Sheet3!E249)</f>
        <v>42.139999000000003</v>
      </c>
      <c r="E278" s="56">
        <f>_xlfn.XLOOKUP(WEEKNUM(C278)&amp;YEAR(C278),Sheet4!C:C,Sheet4!B:B,0)</f>
        <v>0.35499999999999998</v>
      </c>
      <c r="F278" s="46">
        <f>IF(int=Weekly,-$D$5,IF(int=Bi_Weekly,0,IF(int=Monthly,0,IF(int=Quarterly,-$D$5,IF(int=Yearly,0,IF(int=None,0,0))))))</f>
        <v>0</v>
      </c>
      <c r="G278" s="46"/>
      <c r="H278" s="46">
        <f t="shared" si="101"/>
        <v>-6150</v>
      </c>
      <c r="I278" s="47"/>
      <c r="J278" s="38">
        <f t="shared" si="88"/>
        <v>0</v>
      </c>
      <c r="K278" s="48"/>
      <c r="L278" s="48">
        <f t="shared" si="93"/>
        <v>229.68326151584915</v>
      </c>
      <c r="M278" s="48"/>
      <c r="N278" s="38">
        <f t="shared" si="94"/>
        <v>81.537557838126446</v>
      </c>
      <c r="O278" s="36">
        <f t="shared" si="95"/>
        <v>-81.537557838126446</v>
      </c>
      <c r="P278" s="84">
        <f t="shared" si="96"/>
        <v>-6977.9606526968219</v>
      </c>
      <c r="Q278" s="38">
        <f t="shared" si="97"/>
        <v>1.9349207350034925</v>
      </c>
      <c r="R278" s="48">
        <f t="shared" si="98"/>
        <v>28.202179031391292</v>
      </c>
      <c r="S278" s="38">
        <f t="shared" si="89"/>
        <v>257.88544054724042</v>
      </c>
      <c r="T278" s="50">
        <f t="shared" si="102"/>
        <v>6150</v>
      </c>
      <c r="U278" s="40">
        <f t="shared" si="103"/>
        <v>9678.8524105946217</v>
      </c>
      <c r="V278" s="41">
        <f t="shared" si="104"/>
        <v>0.57379713993408488</v>
      </c>
      <c r="W278" s="39">
        <f t="shared" si="105"/>
        <v>3528.8524105946217</v>
      </c>
      <c r="X278" s="50">
        <f t="shared" si="99"/>
        <v>828.42940271309897</v>
      </c>
      <c r="Y278" s="41">
        <f t="shared" si="106"/>
        <v>0.70850110785491371</v>
      </c>
      <c r="Z278" s="52"/>
      <c r="AA278" s="50">
        <f t="shared" si="112"/>
        <v>6978.4294027130982</v>
      </c>
      <c r="AB278" s="39">
        <f t="shared" si="113"/>
        <v>10867.292206775272</v>
      </c>
      <c r="AC278" s="39">
        <f t="shared" si="107"/>
        <v>3888.8628040621734</v>
      </c>
      <c r="AD278" s="41">
        <f t="shared" si="108"/>
        <v>0.55726906150977862</v>
      </c>
      <c r="AF278" s="46">
        <f t="shared" si="90"/>
        <v>81.537557838126446</v>
      </c>
      <c r="AG278" s="46">
        <f t="shared" si="109"/>
        <v>0</v>
      </c>
      <c r="AH278" s="54">
        <f t="shared" si="91"/>
        <v>1729</v>
      </c>
      <c r="AI278" s="55">
        <f t="shared" si="100"/>
        <v>0.72494432071269488</v>
      </c>
      <c r="AJ278" s="55">
        <f t="shared" si="110"/>
        <v>59.110189479532643</v>
      </c>
      <c r="AK278" s="55">
        <f t="shared" si="111"/>
        <v>0</v>
      </c>
    </row>
    <row r="279" spans="2:37" s="53" customFormat="1" ht="17.25" customHeight="1" x14ac:dyDescent="0.25">
      <c r="B279" s="91" t="str">
        <f t="shared" si="92"/>
        <v/>
      </c>
      <c r="C279" s="81">
        <f>IF(Sheet3!A250="","",Sheet3!A250)</f>
        <v>39363</v>
      </c>
      <c r="D279" s="82">
        <f>IF(C279="","",Sheet3!E250)</f>
        <v>42.290000999999997</v>
      </c>
      <c r="E279" s="56">
        <f>_xlfn.XLOOKUP(WEEKNUM(C279)&amp;YEAR(C279),Sheet4!C:C,Sheet4!B:B,0)</f>
        <v>0</v>
      </c>
      <c r="F279" s="46">
        <f>IF(int=Weekly,-$D$5,IF(int=Bi_Weekly,-$D$5,IF(int=Monthly,-$D$5,IF(int=Quarterly,0,IF(int=Yearly,0,IF(int=None,0,0))))))</f>
        <v>-100</v>
      </c>
      <c r="G279" s="46"/>
      <c r="H279" s="46">
        <f t="shared" si="101"/>
        <v>-6250</v>
      </c>
      <c r="I279" s="47"/>
      <c r="J279" s="38">
        <f t="shared" si="88"/>
        <v>2.3646251509901832</v>
      </c>
      <c r="K279" s="48"/>
      <c r="L279" s="48">
        <f t="shared" si="93"/>
        <v>232.04788666683933</v>
      </c>
      <c r="M279" s="48"/>
      <c r="N279" s="38">
        <f t="shared" si="94"/>
        <v>0</v>
      </c>
      <c r="O279" s="36">
        <f t="shared" si="95"/>
        <v>0</v>
      </c>
      <c r="P279" s="84">
        <f t="shared" si="96"/>
        <v>-7077.9606526968219</v>
      </c>
      <c r="Q279" s="38">
        <f t="shared" si="97"/>
        <v>0</v>
      </c>
      <c r="R279" s="48">
        <f t="shared" si="98"/>
        <v>28.202179031391292</v>
      </c>
      <c r="S279" s="38">
        <f t="shared" si="89"/>
        <v>260.25006569823063</v>
      </c>
      <c r="T279" s="50">
        <f t="shared" si="102"/>
        <v>6250</v>
      </c>
      <c r="U279" s="40">
        <f t="shared" si="103"/>
        <v>9813.3053591885218</v>
      </c>
      <c r="V279" s="41">
        <f t="shared" si="104"/>
        <v>0.57012885747016351</v>
      </c>
      <c r="W279" s="39">
        <f t="shared" si="105"/>
        <v>3563.3053591885218</v>
      </c>
      <c r="X279" s="50">
        <f t="shared" si="99"/>
        <v>828.42940271309897</v>
      </c>
      <c r="Y279" s="41">
        <f t="shared" si="106"/>
        <v>0.70267756190425912</v>
      </c>
      <c r="Z279" s="52"/>
      <c r="AA279" s="50">
        <f t="shared" si="112"/>
        <v>7078.4294027130982</v>
      </c>
      <c r="AB279" s="39">
        <f t="shared" si="113"/>
        <v>11005.975538628238</v>
      </c>
      <c r="AC279" s="39">
        <f t="shared" si="107"/>
        <v>3927.5461359151395</v>
      </c>
      <c r="AD279" s="41">
        <f t="shared" si="108"/>
        <v>0.55486124286409444</v>
      </c>
      <c r="AF279" s="46">
        <f t="shared" si="90"/>
        <v>-100</v>
      </c>
      <c r="AG279" s="46">
        <f t="shared" si="109"/>
        <v>-100</v>
      </c>
      <c r="AH279" s="54">
        <f t="shared" si="91"/>
        <v>1736</v>
      </c>
      <c r="AI279" s="55">
        <f t="shared" si="100"/>
        <v>0.72383073496659245</v>
      </c>
      <c r="AJ279" s="55">
        <f t="shared" si="110"/>
        <v>-72.38307349665925</v>
      </c>
      <c r="AK279" s="55">
        <f t="shared" si="111"/>
        <v>-72.38307349665925</v>
      </c>
    </row>
    <row r="280" spans="2:37" s="53" customFormat="1" ht="17.25" customHeight="1" x14ac:dyDescent="0.25">
      <c r="B280" s="91" t="str">
        <f t="shared" si="92"/>
        <v/>
      </c>
      <c r="C280" s="81">
        <f>IF(Sheet3!A251="","",Sheet3!A251)</f>
        <v>39370</v>
      </c>
      <c r="D280" s="82">
        <f>IF(C280="","",Sheet3!E251)</f>
        <v>41.369999</v>
      </c>
      <c r="E280" s="56">
        <f>_xlfn.XLOOKUP(WEEKNUM(C280)&amp;YEAR(C280),Sheet4!C:C,Sheet4!B:B,0)</f>
        <v>0</v>
      </c>
      <c r="F280" s="46">
        <f>IF(int=Weekly,-$D$5,IF(int=Bi_Weekly,0,IF(int=Monthly,0,IF(int=Quarterly,0,IF(int=Yearly,0,IF(int=None,0,0))))))</f>
        <v>0</v>
      </c>
      <c r="G280" s="46"/>
      <c r="H280" s="46">
        <f t="shared" si="101"/>
        <v>-6250</v>
      </c>
      <c r="I280" s="47"/>
      <c r="J280" s="38">
        <f t="shared" si="88"/>
        <v>0</v>
      </c>
      <c r="K280" s="48"/>
      <c r="L280" s="48">
        <f t="shared" si="93"/>
        <v>232.04788666683933</v>
      </c>
      <c r="M280" s="48"/>
      <c r="N280" s="38">
        <f t="shared" si="94"/>
        <v>0</v>
      </c>
      <c r="O280" s="36">
        <f t="shared" si="95"/>
        <v>0</v>
      </c>
      <c r="P280" s="84">
        <f t="shared" si="96"/>
        <v>-7077.9606526968219</v>
      </c>
      <c r="Q280" s="38">
        <f t="shared" si="97"/>
        <v>0</v>
      </c>
      <c r="R280" s="48">
        <f t="shared" si="98"/>
        <v>28.202179031391292</v>
      </c>
      <c r="S280" s="38">
        <f t="shared" si="89"/>
        <v>260.25006569823063</v>
      </c>
      <c r="T280" s="50">
        <f t="shared" si="102"/>
        <v>6250</v>
      </c>
      <c r="U280" s="40">
        <f t="shared" si="103"/>
        <v>9599.8208393592558</v>
      </c>
      <c r="V280" s="41">
        <f t="shared" si="104"/>
        <v>0.53597133429748101</v>
      </c>
      <c r="W280" s="39">
        <f t="shared" si="105"/>
        <v>3349.8208393592558</v>
      </c>
      <c r="X280" s="50">
        <f t="shared" si="99"/>
        <v>828.42940271309897</v>
      </c>
      <c r="Y280" s="41">
        <f t="shared" si="106"/>
        <v>0.66852003873157662</v>
      </c>
      <c r="Z280" s="52"/>
      <c r="AA280" s="50">
        <f t="shared" si="112"/>
        <v>7078.4294027130982</v>
      </c>
      <c r="AB280" s="39">
        <f t="shared" si="113"/>
        <v>10766.544957685735</v>
      </c>
      <c r="AC280" s="39">
        <f t="shared" si="107"/>
        <v>3688.1155549726373</v>
      </c>
      <c r="AD280" s="41">
        <f t="shared" si="108"/>
        <v>0.52103586051999273</v>
      </c>
      <c r="AF280" s="46">
        <f t="shared" si="90"/>
        <v>0</v>
      </c>
      <c r="AG280" s="46">
        <f t="shared" si="109"/>
        <v>0</v>
      </c>
      <c r="AH280" s="54">
        <f t="shared" si="91"/>
        <v>1743</v>
      </c>
      <c r="AI280" s="55">
        <f t="shared" si="100"/>
        <v>0.72271714922049002</v>
      </c>
      <c r="AJ280" s="55">
        <f t="shared" si="110"/>
        <v>0</v>
      </c>
      <c r="AK280" s="55">
        <f t="shared" si="111"/>
        <v>0</v>
      </c>
    </row>
    <row r="281" spans="2:37" s="53" customFormat="1" ht="17.25" customHeight="1" x14ac:dyDescent="0.25">
      <c r="B281" s="91" t="str">
        <f t="shared" si="92"/>
        <v/>
      </c>
      <c r="C281" s="81">
        <f>IF(Sheet3!A252="","",Sheet3!A252)</f>
        <v>39377</v>
      </c>
      <c r="D281" s="82">
        <f>IF(C281="","",Sheet3!E252)</f>
        <v>41.459999000000003</v>
      </c>
      <c r="E281" s="56">
        <f>_xlfn.XLOOKUP(WEEKNUM(C281)&amp;YEAR(C281),Sheet4!C:C,Sheet4!B:B,0)</f>
        <v>0</v>
      </c>
      <c r="F281" s="46">
        <f>IF(int=Weekly,-$D$5,IF(int=Bi_Weekly,-$D$5,IF(int=Monthly,0,IF(int=Quarterly,0,IF(int=Yearly,0,IF(int=None,0,0))))))</f>
        <v>0</v>
      </c>
      <c r="G281" s="46"/>
      <c r="H281" s="46">
        <f t="shared" si="101"/>
        <v>-6250</v>
      </c>
      <c r="I281" s="47"/>
      <c r="J281" s="38">
        <f t="shared" si="88"/>
        <v>0</v>
      </c>
      <c r="K281" s="48"/>
      <c r="L281" s="48">
        <f t="shared" si="93"/>
        <v>232.04788666683933</v>
      </c>
      <c r="M281" s="48"/>
      <c r="N281" s="38">
        <f t="shared" si="94"/>
        <v>0</v>
      </c>
      <c r="O281" s="36">
        <f t="shared" si="95"/>
        <v>0</v>
      </c>
      <c r="P281" s="84">
        <f t="shared" si="96"/>
        <v>-7077.9606526968219</v>
      </c>
      <c r="Q281" s="38">
        <f t="shared" si="97"/>
        <v>0</v>
      </c>
      <c r="R281" s="48">
        <f t="shared" si="98"/>
        <v>28.202179031391292</v>
      </c>
      <c r="S281" s="38">
        <f t="shared" si="89"/>
        <v>260.25006569823063</v>
      </c>
      <c r="T281" s="50">
        <f t="shared" si="102"/>
        <v>6250</v>
      </c>
      <c r="U281" s="40">
        <f t="shared" si="103"/>
        <v>9620.705149159272</v>
      </c>
      <c r="V281" s="41">
        <f t="shared" si="104"/>
        <v>0.53931282386548363</v>
      </c>
      <c r="W281" s="39">
        <f t="shared" si="105"/>
        <v>3370.705149159272</v>
      </c>
      <c r="X281" s="50">
        <f t="shared" si="99"/>
        <v>828.42940271309897</v>
      </c>
      <c r="Y281" s="41">
        <f t="shared" si="106"/>
        <v>0.67186152829957924</v>
      </c>
      <c r="Z281" s="52"/>
      <c r="AA281" s="50">
        <f t="shared" si="112"/>
        <v>7078.4294027130982</v>
      </c>
      <c r="AB281" s="39">
        <f t="shared" si="113"/>
        <v>10789.967463598576</v>
      </c>
      <c r="AC281" s="39">
        <f t="shared" si="107"/>
        <v>3711.5380608854775</v>
      </c>
      <c r="AD281" s="41">
        <f t="shared" si="108"/>
        <v>0.52434485812105125</v>
      </c>
      <c r="AF281" s="46">
        <f t="shared" si="90"/>
        <v>0</v>
      </c>
      <c r="AG281" s="46">
        <f t="shared" si="109"/>
        <v>0</v>
      </c>
      <c r="AH281" s="54">
        <f t="shared" si="91"/>
        <v>1750</v>
      </c>
      <c r="AI281" s="55">
        <f t="shared" si="100"/>
        <v>0.72160356347438748</v>
      </c>
      <c r="AJ281" s="55">
        <f t="shared" si="110"/>
        <v>0</v>
      </c>
      <c r="AK281" s="55">
        <f t="shared" si="111"/>
        <v>0</v>
      </c>
    </row>
    <row r="282" spans="2:37" s="53" customFormat="1" ht="17.25" customHeight="1" x14ac:dyDescent="0.25">
      <c r="B282" s="91" t="str">
        <f t="shared" si="92"/>
        <v/>
      </c>
      <c r="C282" s="81">
        <f>IF(Sheet3!A253="","",Sheet3!A253)</f>
        <v>39384</v>
      </c>
      <c r="D282" s="82">
        <f>IF(C282="","",Sheet3!E253)</f>
        <v>40.419998</v>
      </c>
      <c r="E282" s="56">
        <f>_xlfn.XLOOKUP(WEEKNUM(C282)&amp;YEAR(C282),Sheet4!C:C,Sheet4!B:B,0)</f>
        <v>0</v>
      </c>
      <c r="F282" s="46">
        <f>IF(int=Weekly,-$D$5,IF(int=Bi_Weekly,0,IF(int=Monthly,0,IF(int=Quarterly,0,IF(int=Yearly,0,IF(int=None,0,0))))))</f>
        <v>0</v>
      </c>
      <c r="G282" s="46"/>
      <c r="H282" s="46">
        <f t="shared" si="101"/>
        <v>-6250</v>
      </c>
      <c r="I282" s="47"/>
      <c r="J282" s="38">
        <f t="shared" si="88"/>
        <v>0</v>
      </c>
      <c r="K282" s="48"/>
      <c r="L282" s="48">
        <f t="shared" si="93"/>
        <v>232.04788666683933</v>
      </c>
      <c r="M282" s="48"/>
      <c r="N282" s="38">
        <f t="shared" si="94"/>
        <v>0</v>
      </c>
      <c r="O282" s="36">
        <f t="shared" si="95"/>
        <v>0</v>
      </c>
      <c r="P282" s="84">
        <f t="shared" si="96"/>
        <v>-7077.9606526968219</v>
      </c>
      <c r="Q282" s="38">
        <f t="shared" si="97"/>
        <v>0</v>
      </c>
      <c r="R282" s="48">
        <f t="shared" si="98"/>
        <v>28.202179031391292</v>
      </c>
      <c r="S282" s="38">
        <f t="shared" si="89"/>
        <v>260.25006569823063</v>
      </c>
      <c r="T282" s="50">
        <f t="shared" si="102"/>
        <v>6250</v>
      </c>
      <c r="U282" s="40">
        <f t="shared" si="103"/>
        <v>9379.3751149778727</v>
      </c>
      <c r="V282" s="41">
        <f t="shared" si="104"/>
        <v>0.50070001839645961</v>
      </c>
      <c r="W282" s="39">
        <f t="shared" si="105"/>
        <v>3129.3751149778727</v>
      </c>
      <c r="X282" s="50">
        <f t="shared" si="99"/>
        <v>828.42940271309897</v>
      </c>
      <c r="Y282" s="41">
        <f t="shared" si="106"/>
        <v>0.63324872283055544</v>
      </c>
      <c r="Z282" s="52"/>
      <c r="AA282" s="50">
        <f t="shared" si="112"/>
        <v>7078.4294027130982</v>
      </c>
      <c r="AB282" s="39">
        <f t="shared" si="113"/>
        <v>10519.307135022351</v>
      </c>
      <c r="AC282" s="39">
        <f t="shared" si="107"/>
        <v>3440.8777323092527</v>
      </c>
      <c r="AD282" s="41">
        <f t="shared" si="108"/>
        <v>0.48610751574217792</v>
      </c>
      <c r="AF282" s="46">
        <f t="shared" si="90"/>
        <v>0</v>
      </c>
      <c r="AG282" s="46">
        <f t="shared" si="109"/>
        <v>0</v>
      </c>
      <c r="AH282" s="54">
        <f t="shared" si="91"/>
        <v>1757</v>
      </c>
      <c r="AI282" s="55">
        <f t="shared" si="100"/>
        <v>0.72048997772828505</v>
      </c>
      <c r="AJ282" s="55">
        <f t="shared" si="110"/>
        <v>0</v>
      </c>
      <c r="AK282" s="55">
        <f t="shared" si="111"/>
        <v>0</v>
      </c>
    </row>
    <row r="283" spans="2:37" s="53" customFormat="1" ht="17.25" customHeight="1" x14ac:dyDescent="0.25">
      <c r="B283" s="91" t="str">
        <f t="shared" si="92"/>
        <v/>
      </c>
      <c r="C283" s="81">
        <f>IF(Sheet3!A254="","",Sheet3!A254)</f>
        <v>39391</v>
      </c>
      <c r="D283" s="82">
        <f>IF(C283="","",Sheet3!E254)</f>
        <v>39.200001</v>
      </c>
      <c r="E283" s="56">
        <f>_xlfn.XLOOKUP(WEEKNUM(C283)&amp;YEAR(C283),Sheet4!C:C,Sheet4!B:B,0)</f>
        <v>0</v>
      </c>
      <c r="F283" s="46">
        <f>IF(int=Weekly,-$D$5,IF(int=Bi_Weekly,-$D$5,IF(int=Monthly,-$D$5,IF(int=Quarterly,0,IF(int=Yearly,0,IF(int=None,0,0))))))</f>
        <v>-100</v>
      </c>
      <c r="G283" s="46"/>
      <c r="H283" s="46">
        <f t="shared" si="101"/>
        <v>-6350</v>
      </c>
      <c r="I283" s="47"/>
      <c r="J283" s="38">
        <f t="shared" si="88"/>
        <v>2.5510203430862157</v>
      </c>
      <c r="K283" s="48"/>
      <c r="L283" s="48">
        <f t="shared" si="93"/>
        <v>234.59890700992554</v>
      </c>
      <c r="M283" s="48"/>
      <c r="N283" s="38">
        <f t="shared" si="94"/>
        <v>0</v>
      </c>
      <c r="O283" s="36">
        <f t="shared" si="95"/>
        <v>0</v>
      </c>
      <c r="P283" s="84">
        <f t="shared" si="96"/>
        <v>-7177.9606526968219</v>
      </c>
      <c r="Q283" s="38">
        <f t="shared" si="97"/>
        <v>0</v>
      </c>
      <c r="R283" s="48">
        <f t="shared" si="98"/>
        <v>28.202179031391292</v>
      </c>
      <c r="S283" s="38">
        <f t="shared" si="89"/>
        <v>262.80108604131681</v>
      </c>
      <c r="T283" s="50">
        <f t="shared" si="102"/>
        <v>6350</v>
      </c>
      <c r="U283" s="40">
        <f t="shared" si="103"/>
        <v>9196.2773893879876</v>
      </c>
      <c r="V283" s="41">
        <f t="shared" si="104"/>
        <v>0.44823265974613968</v>
      </c>
      <c r="W283" s="39">
        <f t="shared" si="105"/>
        <v>2846.2773893879876</v>
      </c>
      <c r="X283" s="50">
        <f t="shared" si="99"/>
        <v>828.42940271309897</v>
      </c>
      <c r="Y283" s="41">
        <f t="shared" si="106"/>
        <v>0.57869398300804509</v>
      </c>
      <c r="Z283" s="52"/>
      <c r="AA283" s="50">
        <f t="shared" si="112"/>
        <v>7178.4294027130982</v>
      </c>
      <c r="AB283" s="39">
        <f t="shared" si="113"/>
        <v>10301.802835620705</v>
      </c>
      <c r="AC283" s="39">
        <f t="shared" si="107"/>
        <v>3123.3734329076069</v>
      </c>
      <c r="AD283" s="41">
        <f t="shared" si="108"/>
        <v>0.43510540505240924</v>
      </c>
      <c r="AF283" s="46">
        <f t="shared" si="90"/>
        <v>-100</v>
      </c>
      <c r="AG283" s="46">
        <f t="shared" si="109"/>
        <v>-100</v>
      </c>
      <c r="AH283" s="54">
        <f t="shared" si="91"/>
        <v>1764</v>
      </c>
      <c r="AI283" s="55">
        <f t="shared" si="100"/>
        <v>0.71937639198218262</v>
      </c>
      <c r="AJ283" s="55">
        <f t="shared" si="110"/>
        <v>-71.937639198218264</v>
      </c>
      <c r="AK283" s="55">
        <f t="shared" si="111"/>
        <v>-71.937639198218264</v>
      </c>
    </row>
    <row r="284" spans="2:37" s="53" customFormat="1" ht="17.25" customHeight="1" x14ac:dyDescent="0.25">
      <c r="B284" s="91" t="str">
        <f t="shared" si="92"/>
        <v/>
      </c>
      <c r="C284" s="81">
        <f>IF(Sheet3!A255="","",Sheet3!A255)</f>
        <v>39398</v>
      </c>
      <c r="D284" s="82">
        <f>IF(C284="","",Sheet3!E255)</f>
        <v>39.549999</v>
      </c>
      <c r="E284" s="56">
        <f>_xlfn.XLOOKUP(WEEKNUM(C284)&amp;YEAR(C284),Sheet4!C:C,Sheet4!B:B,0)</f>
        <v>0</v>
      </c>
      <c r="F284" s="46">
        <f>IF(int=Weekly,-$D$5,IF(int=Bi_Weekly,0,IF(int=Monthly,0,IF(int=Quarterly,0,IF(int=Yearly,0,IF(int=None,0,0))))))</f>
        <v>0</v>
      </c>
      <c r="G284" s="46"/>
      <c r="H284" s="46">
        <f t="shared" si="101"/>
        <v>-6350</v>
      </c>
      <c r="I284" s="47"/>
      <c r="J284" s="38">
        <f t="shared" si="88"/>
        <v>0</v>
      </c>
      <c r="K284" s="48"/>
      <c r="L284" s="48">
        <f t="shared" si="93"/>
        <v>234.59890700992554</v>
      </c>
      <c r="M284" s="48"/>
      <c r="N284" s="38">
        <f t="shared" si="94"/>
        <v>0</v>
      </c>
      <c r="O284" s="36">
        <f t="shared" si="95"/>
        <v>0</v>
      </c>
      <c r="P284" s="84">
        <f t="shared" si="96"/>
        <v>-7177.9606526968219</v>
      </c>
      <c r="Q284" s="38">
        <f t="shared" si="97"/>
        <v>0</v>
      </c>
      <c r="R284" s="48">
        <f t="shared" si="98"/>
        <v>28.202179031391292</v>
      </c>
      <c r="S284" s="38">
        <f t="shared" si="89"/>
        <v>262.80108604131681</v>
      </c>
      <c r="T284" s="50">
        <f t="shared" si="102"/>
        <v>6350</v>
      </c>
      <c r="U284" s="40">
        <f t="shared" si="103"/>
        <v>9278.3865376436479</v>
      </c>
      <c r="V284" s="41">
        <f t="shared" si="104"/>
        <v>0.46116323427459016</v>
      </c>
      <c r="W284" s="39">
        <f t="shared" si="105"/>
        <v>2928.3865376436479</v>
      </c>
      <c r="X284" s="50">
        <f t="shared" si="99"/>
        <v>828.42940271309897</v>
      </c>
      <c r="Y284" s="41">
        <f t="shared" si="106"/>
        <v>0.59162455753649534</v>
      </c>
      <c r="Z284" s="52"/>
      <c r="AA284" s="50">
        <f t="shared" si="112"/>
        <v>7178.4294027130982</v>
      </c>
      <c r="AB284" s="39">
        <f t="shared" si="113"/>
        <v>10393.782690132994</v>
      </c>
      <c r="AC284" s="39">
        <f t="shared" si="107"/>
        <v>3215.3532874198954</v>
      </c>
      <c r="AD284" s="41">
        <f t="shared" si="108"/>
        <v>0.44791877262241342</v>
      </c>
      <c r="AF284" s="46">
        <f t="shared" si="90"/>
        <v>0</v>
      </c>
      <c r="AG284" s="46">
        <f t="shared" si="109"/>
        <v>0</v>
      </c>
      <c r="AH284" s="54">
        <f t="shared" si="91"/>
        <v>1771</v>
      </c>
      <c r="AI284" s="55">
        <f t="shared" si="100"/>
        <v>0.71826280623608019</v>
      </c>
      <c r="AJ284" s="55">
        <f t="shared" si="110"/>
        <v>0</v>
      </c>
      <c r="AK284" s="55">
        <f t="shared" si="111"/>
        <v>0</v>
      </c>
    </row>
    <row r="285" spans="2:37" s="53" customFormat="1" ht="17.25" customHeight="1" x14ac:dyDescent="0.25">
      <c r="B285" s="91" t="str">
        <f t="shared" si="92"/>
        <v/>
      </c>
      <c r="C285" s="81">
        <f>IF(Sheet3!A256="","",Sheet3!A256)</f>
        <v>39405</v>
      </c>
      <c r="D285" s="82">
        <f>IF(C285="","",Sheet3!E256)</f>
        <v>37.630001</v>
      </c>
      <c r="E285" s="56">
        <f>_xlfn.XLOOKUP(WEEKNUM(C285)&amp;YEAR(C285),Sheet4!C:C,Sheet4!B:B,0)</f>
        <v>0</v>
      </c>
      <c r="F285" s="46">
        <f>IF(int=Weekly,-$D$5,IF(int=Bi_Weekly,-$D$5,IF(int=Monthly,0,IF(int=Quarterly,0,IF(int=Yearly,0,IF(int=None,0,0))))))</f>
        <v>0</v>
      </c>
      <c r="G285" s="46"/>
      <c r="H285" s="46">
        <f t="shared" si="101"/>
        <v>-6350</v>
      </c>
      <c r="I285" s="47"/>
      <c r="J285" s="38">
        <f t="shared" si="88"/>
        <v>0</v>
      </c>
      <c r="K285" s="48"/>
      <c r="L285" s="48">
        <f t="shared" si="93"/>
        <v>234.59890700992554</v>
      </c>
      <c r="M285" s="48"/>
      <c r="N285" s="38">
        <f t="shared" si="94"/>
        <v>0</v>
      </c>
      <c r="O285" s="36">
        <f t="shared" si="95"/>
        <v>0</v>
      </c>
      <c r="P285" s="84">
        <f t="shared" si="96"/>
        <v>-7177.9606526968219</v>
      </c>
      <c r="Q285" s="38">
        <f t="shared" si="97"/>
        <v>0</v>
      </c>
      <c r="R285" s="48">
        <f t="shared" si="98"/>
        <v>28.202179031391292</v>
      </c>
      <c r="S285" s="38">
        <f t="shared" si="89"/>
        <v>262.80108604131681</v>
      </c>
      <c r="T285" s="50">
        <f t="shared" si="102"/>
        <v>6350</v>
      </c>
      <c r="U285" s="40">
        <f t="shared" si="103"/>
        <v>8827.9571053824056</v>
      </c>
      <c r="V285" s="41">
        <f t="shared" si="104"/>
        <v>0.39022946541455217</v>
      </c>
      <c r="W285" s="39">
        <f t="shared" si="105"/>
        <v>2477.9571053824056</v>
      </c>
      <c r="X285" s="50">
        <f t="shared" si="99"/>
        <v>828.42940271309897</v>
      </c>
      <c r="Y285" s="41">
        <f t="shared" si="106"/>
        <v>0.52069078867645735</v>
      </c>
      <c r="Z285" s="52"/>
      <c r="AA285" s="50">
        <f t="shared" si="112"/>
        <v>7178.4294027130982</v>
      </c>
      <c r="AB285" s="39">
        <f t="shared" si="113"/>
        <v>9889.20513053584</v>
      </c>
      <c r="AC285" s="39">
        <f t="shared" si="107"/>
        <v>2710.7757278227418</v>
      </c>
      <c r="AD285" s="41">
        <f t="shared" si="108"/>
        <v>0.3776279706530512</v>
      </c>
      <c r="AF285" s="46">
        <f t="shared" si="90"/>
        <v>0</v>
      </c>
      <c r="AG285" s="46">
        <f t="shared" si="109"/>
        <v>0</v>
      </c>
      <c r="AH285" s="54">
        <f t="shared" si="91"/>
        <v>1778</v>
      </c>
      <c r="AI285" s="55">
        <f t="shared" si="100"/>
        <v>0.71714922048997776</v>
      </c>
      <c r="AJ285" s="55">
        <f t="shared" si="110"/>
        <v>0</v>
      </c>
      <c r="AK285" s="55">
        <f t="shared" si="111"/>
        <v>0</v>
      </c>
    </row>
    <row r="286" spans="2:37" s="53" customFormat="1" ht="17.25" customHeight="1" x14ac:dyDescent="0.25">
      <c r="B286" s="91" t="str">
        <f t="shared" si="92"/>
        <v/>
      </c>
      <c r="C286" s="81">
        <f>IF(Sheet3!A257="","",Sheet3!A257)</f>
        <v>39412</v>
      </c>
      <c r="D286" s="82">
        <f>IF(C286="","",Sheet3!E257)</f>
        <v>38.209999000000003</v>
      </c>
      <c r="E286" s="56">
        <f>_xlfn.XLOOKUP(WEEKNUM(C286)&amp;YEAR(C286),Sheet4!C:C,Sheet4!B:B,0)</f>
        <v>0</v>
      </c>
      <c r="F286" s="46">
        <f>IF(int=Weekly,-$D$5,IF(int=Bi_Weekly,0,IF(int=Monthly,0,IF(int=Quarterly,0,IF(int=Yearly,0,IF(int=None,0,0))))))</f>
        <v>0</v>
      </c>
      <c r="G286" s="46"/>
      <c r="H286" s="46">
        <f t="shared" si="101"/>
        <v>-6350</v>
      </c>
      <c r="I286" s="47"/>
      <c r="J286" s="38">
        <f t="shared" si="88"/>
        <v>0</v>
      </c>
      <c r="K286" s="48"/>
      <c r="L286" s="48">
        <f t="shared" si="93"/>
        <v>234.59890700992554</v>
      </c>
      <c r="M286" s="48"/>
      <c r="N286" s="38">
        <f t="shared" si="94"/>
        <v>0</v>
      </c>
      <c r="O286" s="36">
        <f t="shared" si="95"/>
        <v>0</v>
      </c>
      <c r="P286" s="84">
        <f t="shared" si="96"/>
        <v>-7177.9606526968219</v>
      </c>
      <c r="Q286" s="38">
        <f t="shared" si="97"/>
        <v>0</v>
      </c>
      <c r="R286" s="48">
        <f t="shared" si="98"/>
        <v>28.202179031391292</v>
      </c>
      <c r="S286" s="38">
        <f t="shared" si="89"/>
        <v>262.80108604131681</v>
      </c>
      <c r="T286" s="50">
        <f t="shared" si="102"/>
        <v>6350</v>
      </c>
      <c r="U286" s="40">
        <f t="shared" si="103"/>
        <v>8964.0240022503494</v>
      </c>
      <c r="V286" s="41">
        <f t="shared" si="104"/>
        <v>0.41165732318903148</v>
      </c>
      <c r="W286" s="39">
        <f t="shared" si="105"/>
        <v>2614.0240022503494</v>
      </c>
      <c r="X286" s="50">
        <f t="shared" si="99"/>
        <v>828.42940271309897</v>
      </c>
      <c r="Y286" s="41">
        <f t="shared" si="106"/>
        <v>0.54211864645093666</v>
      </c>
      <c r="Z286" s="52"/>
      <c r="AA286" s="50">
        <f t="shared" si="112"/>
        <v>7178.4294027130982</v>
      </c>
      <c r="AB286" s="39">
        <f t="shared" si="113"/>
        <v>10041.629234837632</v>
      </c>
      <c r="AC286" s="39">
        <f t="shared" si="107"/>
        <v>2863.1998321245337</v>
      </c>
      <c r="AD286" s="41">
        <f t="shared" si="108"/>
        <v>0.39886159931340726</v>
      </c>
      <c r="AF286" s="46">
        <f t="shared" si="90"/>
        <v>0</v>
      </c>
      <c r="AG286" s="46">
        <f t="shared" si="109"/>
        <v>0</v>
      </c>
      <c r="AH286" s="54">
        <f t="shared" si="91"/>
        <v>1785</v>
      </c>
      <c r="AI286" s="55">
        <f t="shared" si="100"/>
        <v>0.71603563474387533</v>
      </c>
      <c r="AJ286" s="55">
        <f t="shared" si="110"/>
        <v>0</v>
      </c>
      <c r="AK286" s="55">
        <f t="shared" si="111"/>
        <v>0</v>
      </c>
    </row>
    <row r="287" spans="2:37" s="53" customFormat="1" ht="17.25" customHeight="1" x14ac:dyDescent="0.25">
      <c r="B287" s="91" t="str">
        <f t="shared" si="92"/>
        <v/>
      </c>
      <c r="C287" s="81">
        <f>IF(Sheet3!A258="","",Sheet3!A258)</f>
        <v>39419</v>
      </c>
      <c r="D287" s="82">
        <f>IF(C287="","",Sheet3!E258)</f>
        <v>38.470001000000003</v>
      </c>
      <c r="E287" s="56">
        <f>_xlfn.XLOOKUP(WEEKNUM(C287)&amp;YEAR(C287),Sheet4!C:C,Sheet4!B:B,0)</f>
        <v>0</v>
      </c>
      <c r="F287" s="46">
        <f>IF(int=Weekly,-$D$5,IF(int=Bi_Weekly,-$D$5,IF(int=Monthly,-$D$5,IF(int=Quarterly,0,IF(int=Yearly,0,IF(int=None,0,0))))))</f>
        <v>-100</v>
      </c>
      <c r="G287" s="46"/>
      <c r="H287" s="46">
        <f t="shared" si="101"/>
        <v>-6450</v>
      </c>
      <c r="I287" s="47"/>
      <c r="J287" s="38">
        <f t="shared" ref="J287:J350" si="114">IF(D$24=0,"",ABS($F287*D$24)/D287)</f>
        <v>2.599428058242057</v>
      </c>
      <c r="K287" s="48"/>
      <c r="L287" s="48">
        <f t="shared" si="93"/>
        <v>237.19833506816761</v>
      </c>
      <c r="M287" s="48"/>
      <c r="N287" s="38">
        <f t="shared" si="94"/>
        <v>0</v>
      </c>
      <c r="O287" s="36">
        <f t="shared" si="95"/>
        <v>0</v>
      </c>
      <c r="P287" s="84">
        <f t="shared" si="96"/>
        <v>-7277.9606526968219</v>
      </c>
      <c r="Q287" s="38">
        <f t="shared" si="97"/>
        <v>0</v>
      </c>
      <c r="R287" s="48">
        <f t="shared" si="98"/>
        <v>28.202179031391292</v>
      </c>
      <c r="S287" s="38">
        <f t="shared" ref="S287:S350" si="115">IF(D287=0,"",L287+R287)</f>
        <v>265.4005140995589</v>
      </c>
      <c r="T287" s="50">
        <f t="shared" si="102"/>
        <v>6450</v>
      </c>
      <c r="U287" s="40">
        <f t="shared" si="103"/>
        <v>9125.0201872707439</v>
      </c>
      <c r="V287" s="41">
        <f t="shared" si="104"/>
        <v>0.41473181197996034</v>
      </c>
      <c r="W287" s="39">
        <f t="shared" si="105"/>
        <v>2675.0201872707439</v>
      </c>
      <c r="X287" s="50">
        <f t="shared" si="99"/>
        <v>828.42940271309897</v>
      </c>
      <c r="Y287" s="41">
        <f t="shared" si="106"/>
        <v>0.54317047906726224</v>
      </c>
      <c r="Z287" s="52"/>
      <c r="AA287" s="50">
        <f t="shared" si="112"/>
        <v>7278.4294027130982</v>
      </c>
      <c r="AB287" s="39">
        <f t="shared" si="113"/>
        <v>10209.958042810546</v>
      </c>
      <c r="AC287" s="39">
        <f t="shared" si="107"/>
        <v>2931.5286400974474</v>
      </c>
      <c r="AD287" s="41">
        <f t="shared" si="108"/>
        <v>0.4027693995362096</v>
      </c>
      <c r="AF287" s="46">
        <f t="shared" ref="AF287:AF350" si="116">F287+ABS(O287)</f>
        <v>-100</v>
      </c>
      <c r="AG287" s="46">
        <f t="shared" si="109"/>
        <v>-100</v>
      </c>
      <c r="AH287" s="54">
        <f t="shared" ref="AH287:AH350" si="117">DATEDIF($C$31,C287,"d")</f>
        <v>1792</v>
      </c>
      <c r="AI287" s="55">
        <f t="shared" si="100"/>
        <v>0.71492204899777279</v>
      </c>
      <c r="AJ287" s="55">
        <f t="shared" si="110"/>
        <v>-71.492204899777278</v>
      </c>
      <c r="AK287" s="55">
        <f t="shared" si="111"/>
        <v>-71.492204899777278</v>
      </c>
    </row>
    <row r="288" spans="2:37" s="53" customFormat="1" ht="17.25" customHeight="1" x14ac:dyDescent="0.25">
      <c r="B288" s="91" t="str">
        <f t="shared" ref="B288:B351" si="118">IF(C287="","",IF(C$30&lt;C288,"",B287+1))</f>
        <v/>
      </c>
      <c r="C288" s="81">
        <f>IF(Sheet3!A259="","",Sheet3!A259)</f>
        <v>39426</v>
      </c>
      <c r="D288" s="82">
        <f>IF(C288="","",Sheet3!E259)</f>
        <v>41.139999000000003</v>
      </c>
      <c r="E288" s="56">
        <f>_xlfn.XLOOKUP(WEEKNUM(C288)&amp;YEAR(C288),Sheet4!C:C,Sheet4!B:B,0)</f>
        <v>0</v>
      </c>
      <c r="F288" s="46">
        <f>IF(int=Weekly,-$D$5,IF(int=Bi_Weekly,0,IF(int=Monthly,0,IF(int=Quarterly,0,IF(int=Yearly,0,IF(int=None,0,0))))))</f>
        <v>0</v>
      </c>
      <c r="G288" s="46"/>
      <c r="H288" s="46">
        <f t="shared" si="101"/>
        <v>-6450</v>
      </c>
      <c r="I288" s="47"/>
      <c r="J288" s="38">
        <f t="shared" si="114"/>
        <v>0</v>
      </c>
      <c r="K288" s="48"/>
      <c r="L288" s="48">
        <f t="shared" ref="L288:L351" si="119">IF(D288=0,"",L287+J288)</f>
        <v>237.19833506816761</v>
      </c>
      <c r="M288" s="48"/>
      <c r="N288" s="38">
        <f t="shared" ref="N288:N351" si="120">IF(D288=0,"",L288*E288)</f>
        <v>0</v>
      </c>
      <c r="O288" s="36">
        <f t="shared" ref="O288:O351" si="121">-(IF(D288=0,"",N288))</f>
        <v>0</v>
      </c>
      <c r="P288" s="84">
        <f t="shared" ref="P288:P351" si="122">P287+F288+O288</f>
        <v>-7277.9606526968219</v>
      </c>
      <c r="Q288" s="38">
        <f t="shared" ref="Q288:Q351" si="123">IF(D288=0,"",ABS($O288)/D288)</f>
        <v>0</v>
      </c>
      <c r="R288" s="48">
        <f t="shared" ref="R288:R351" si="124">IF(D288=0,"",Q288+R287)</f>
        <v>28.202179031391292</v>
      </c>
      <c r="S288" s="38">
        <f t="shared" si="115"/>
        <v>265.4005140995589</v>
      </c>
      <c r="T288" s="50">
        <f t="shared" si="102"/>
        <v>6450</v>
      </c>
      <c r="U288" s="40">
        <f t="shared" si="103"/>
        <v>9758.3392675060804</v>
      </c>
      <c r="V288" s="41">
        <f t="shared" si="104"/>
        <v>0.51292081666760936</v>
      </c>
      <c r="W288" s="39">
        <f t="shared" si="105"/>
        <v>3308.3392675060804</v>
      </c>
      <c r="X288" s="50">
        <f t="shared" ref="X288:X351" si="125">ABS(O288)+X287</f>
        <v>828.42940271309897</v>
      </c>
      <c r="Y288" s="41">
        <f t="shared" si="106"/>
        <v>0.64135948375491147</v>
      </c>
      <c r="Z288" s="52"/>
      <c r="AA288" s="50">
        <f t="shared" si="112"/>
        <v>7278.4294027130982</v>
      </c>
      <c r="AB288" s="39">
        <f t="shared" si="113"/>
        <v>10918.57688465534</v>
      </c>
      <c r="AC288" s="39">
        <f t="shared" si="107"/>
        <v>3640.1474819422419</v>
      </c>
      <c r="AD288" s="41">
        <f t="shared" si="108"/>
        <v>0.50012815685006773</v>
      </c>
      <c r="AF288" s="46">
        <f t="shared" si="116"/>
        <v>0</v>
      </c>
      <c r="AG288" s="46">
        <f t="shared" si="109"/>
        <v>0</v>
      </c>
      <c r="AH288" s="54">
        <f t="shared" si="117"/>
        <v>1799</v>
      </c>
      <c r="AI288" s="55">
        <f t="shared" ref="AI288:AI351" si="126">(AH$30-AH288)/AH$30</f>
        <v>0.71380846325167036</v>
      </c>
      <c r="AJ288" s="55">
        <f t="shared" si="110"/>
        <v>0</v>
      </c>
      <c r="AK288" s="55">
        <f t="shared" si="111"/>
        <v>0</v>
      </c>
    </row>
    <row r="289" spans="2:37" s="53" customFormat="1" ht="17.25" customHeight="1" x14ac:dyDescent="0.25">
      <c r="B289" s="91" t="str">
        <f t="shared" si="118"/>
        <v/>
      </c>
      <c r="C289" s="81">
        <f>IF(Sheet3!A260="","",Sheet3!A260)</f>
        <v>39433</v>
      </c>
      <c r="D289" s="82">
        <f>IF(C289="","",Sheet3!E260)</f>
        <v>41.48</v>
      </c>
      <c r="E289" s="56">
        <f>_xlfn.XLOOKUP(WEEKNUM(C289)&amp;YEAR(C289),Sheet4!C:C,Sheet4!B:B,0)</f>
        <v>0</v>
      </c>
      <c r="F289" s="46">
        <f>IF(int=Weekly,-$D$5,IF(int=Bi_Weekly,-$D$5,IF(int=Monthly,0,IF(int=Quarterly,0,IF(int=Yearly,0,IF(int=None,0,0))))))</f>
        <v>0</v>
      </c>
      <c r="G289" s="46"/>
      <c r="H289" s="46">
        <f t="shared" ref="H289:H352" si="127">H288+F289</f>
        <v>-6450</v>
      </c>
      <c r="I289" s="47"/>
      <c r="J289" s="38">
        <f t="shared" si="114"/>
        <v>0</v>
      </c>
      <c r="K289" s="48"/>
      <c r="L289" s="48">
        <f t="shared" si="119"/>
        <v>237.19833506816761</v>
      </c>
      <c r="M289" s="48"/>
      <c r="N289" s="38">
        <f t="shared" si="120"/>
        <v>0</v>
      </c>
      <c r="O289" s="36">
        <f t="shared" si="121"/>
        <v>0</v>
      </c>
      <c r="P289" s="84">
        <f t="shared" si="122"/>
        <v>-7277.9606526968219</v>
      </c>
      <c r="Q289" s="38">
        <f t="shared" si="123"/>
        <v>0</v>
      </c>
      <c r="R289" s="48">
        <f t="shared" si="124"/>
        <v>28.202179031391292</v>
      </c>
      <c r="S289" s="38">
        <f t="shared" si="115"/>
        <v>265.4005140995589</v>
      </c>
      <c r="T289" s="50">
        <f t="shared" ref="T289:T352" si="128">IF(D289=0,"",D289*J289)+T288</f>
        <v>6450</v>
      </c>
      <c r="U289" s="40">
        <f t="shared" ref="U289:U352" si="129">IF(D289=0,"",L289*D289)</f>
        <v>9838.9869386275914</v>
      </c>
      <c r="V289" s="41">
        <f t="shared" ref="V289:V352" si="130">(U289/T289)-1</f>
        <v>0.52542433157016921</v>
      </c>
      <c r="W289" s="39">
        <f t="shared" ref="W289:W352" si="131">U289-T289</f>
        <v>3388.9869386275914</v>
      </c>
      <c r="X289" s="50">
        <f t="shared" si="125"/>
        <v>828.42940271309897</v>
      </c>
      <c r="Y289" s="41">
        <f t="shared" ref="Y289:Y352" si="132">((U289+X289)/T289)-1</f>
        <v>0.65386299865747133</v>
      </c>
      <c r="Z289" s="52"/>
      <c r="AA289" s="50">
        <f t="shared" si="112"/>
        <v>7278.4294027130982</v>
      </c>
      <c r="AB289" s="39">
        <f t="shared" si="113"/>
        <v>11008.813324849702</v>
      </c>
      <c r="AC289" s="39">
        <f t="shared" ref="AC289:AC352" si="133">AB289-AA289</f>
        <v>3730.3839221366034</v>
      </c>
      <c r="AD289" s="41">
        <f t="shared" ref="AD289:AD352" si="134">(AB289/AA289)-1</f>
        <v>0.51252594697780141</v>
      </c>
      <c r="AF289" s="46">
        <f t="shared" si="116"/>
        <v>0</v>
      </c>
      <c r="AG289" s="46">
        <f t="shared" ref="AG289:AG352" si="135">F289</f>
        <v>0</v>
      </c>
      <c r="AH289" s="54">
        <f t="shared" si="117"/>
        <v>1806</v>
      </c>
      <c r="AI289" s="55">
        <f t="shared" si="126"/>
        <v>0.71269487750556793</v>
      </c>
      <c r="AJ289" s="55">
        <f t="shared" ref="AJ289:AJ352" si="136">AI289*AF289</f>
        <v>0</v>
      </c>
      <c r="AK289" s="55">
        <f t="shared" ref="AK289:AK352" si="137">$AI289*AG289</f>
        <v>0</v>
      </c>
    </row>
    <row r="290" spans="2:37" s="53" customFormat="1" ht="17.25" customHeight="1" x14ac:dyDescent="0.25">
      <c r="B290" s="91" t="str">
        <f t="shared" si="118"/>
        <v/>
      </c>
      <c r="C290" s="81">
        <f>IF(Sheet3!A261="","",Sheet3!A261)</f>
        <v>39440</v>
      </c>
      <c r="D290" s="82">
        <f>IF(C290="","",Sheet3!E261)</f>
        <v>42.439999</v>
      </c>
      <c r="E290" s="56">
        <f>_xlfn.XLOOKUP(WEEKNUM(C290)&amp;YEAR(C290),Sheet4!C:C,Sheet4!B:B,0)</f>
        <v>0</v>
      </c>
      <c r="F290" s="46">
        <f>IF(int=Weekly,-$D$5,IF(int=Bi_Weekly,0,IF(int=Monthly,0,IF(int=Quarterly,0,IF(int=Yearly,0,IF(int=None,0,0))))))</f>
        <v>0</v>
      </c>
      <c r="G290" s="46"/>
      <c r="H290" s="46">
        <f t="shared" si="127"/>
        <v>-6450</v>
      </c>
      <c r="I290" s="47"/>
      <c r="J290" s="38">
        <f t="shared" si="114"/>
        <v>0</v>
      </c>
      <c r="K290" s="48"/>
      <c r="L290" s="48">
        <f t="shared" si="119"/>
        <v>237.19833506816761</v>
      </c>
      <c r="M290" s="48"/>
      <c r="N290" s="38">
        <f t="shared" si="120"/>
        <v>0</v>
      </c>
      <c r="O290" s="36">
        <f t="shared" si="121"/>
        <v>0</v>
      </c>
      <c r="P290" s="84">
        <f t="shared" si="122"/>
        <v>-7277.9606526968219</v>
      </c>
      <c r="Q290" s="38">
        <f t="shared" si="123"/>
        <v>0</v>
      </c>
      <c r="R290" s="48">
        <f t="shared" si="124"/>
        <v>28.202179031391292</v>
      </c>
      <c r="S290" s="38">
        <f t="shared" si="115"/>
        <v>265.4005140995589</v>
      </c>
      <c r="T290" s="50">
        <f t="shared" si="128"/>
        <v>6450</v>
      </c>
      <c r="U290" s="40">
        <f t="shared" si="129"/>
        <v>10066.697103094699</v>
      </c>
      <c r="V290" s="41">
        <f t="shared" si="130"/>
        <v>0.56072823303793773</v>
      </c>
      <c r="W290" s="39">
        <f t="shared" si="131"/>
        <v>3616.6971030946988</v>
      </c>
      <c r="X290" s="50">
        <f t="shared" si="125"/>
        <v>828.42940271309897</v>
      </c>
      <c r="Y290" s="41">
        <f t="shared" si="132"/>
        <v>0.68916690012523985</v>
      </c>
      <c r="Z290" s="52"/>
      <c r="AA290" s="50">
        <f t="shared" si="112"/>
        <v>7278.4294027130982</v>
      </c>
      <c r="AB290" s="39">
        <f t="shared" si="113"/>
        <v>11263.597552984766</v>
      </c>
      <c r="AC290" s="39">
        <f t="shared" si="133"/>
        <v>3985.1681502716674</v>
      </c>
      <c r="AD290" s="41">
        <f t="shared" si="134"/>
        <v>0.54753133262323894</v>
      </c>
      <c r="AF290" s="46">
        <f t="shared" si="116"/>
        <v>0</v>
      </c>
      <c r="AG290" s="46">
        <f t="shared" si="135"/>
        <v>0</v>
      </c>
      <c r="AH290" s="54">
        <f t="shared" si="117"/>
        <v>1813</v>
      </c>
      <c r="AI290" s="55">
        <f t="shared" si="126"/>
        <v>0.7115812917594655</v>
      </c>
      <c r="AJ290" s="55">
        <f t="shared" si="136"/>
        <v>0</v>
      </c>
      <c r="AK290" s="55">
        <f t="shared" si="137"/>
        <v>0</v>
      </c>
    </row>
    <row r="291" spans="2:37" s="53" customFormat="1" ht="17.25" customHeight="1" x14ac:dyDescent="0.25">
      <c r="B291" s="91" t="str">
        <f t="shared" si="118"/>
        <v/>
      </c>
      <c r="C291" s="81">
        <f>IF(Sheet3!A262="","",Sheet3!A262)</f>
        <v>39447</v>
      </c>
      <c r="D291" s="82">
        <f>IF(C291="","",Sheet3!E262)</f>
        <v>40.889999000000003</v>
      </c>
      <c r="E291" s="56">
        <f>_xlfn.XLOOKUP(WEEKNUM(C291)&amp;YEAR(C291),Sheet4!C:C,Sheet4!B:B,0)</f>
        <v>0</v>
      </c>
      <c r="F291" s="46">
        <f>IF(int=Weekly,-$D$5,IF(int=Bi_Weekly,-$D$5,IF(int=Monthly,-$D$5,IF(int=Quarterly,-$D$5,IF(int=Yearly,-$D$5,IF(int=None,0,0))))))</f>
        <v>-100</v>
      </c>
      <c r="G291" s="46"/>
      <c r="H291" s="46">
        <f t="shared" si="127"/>
        <v>-6550</v>
      </c>
      <c r="I291" s="47"/>
      <c r="J291" s="38">
        <f t="shared" si="114"/>
        <v>2.4455857775883043</v>
      </c>
      <c r="K291" s="48"/>
      <c r="L291" s="48">
        <f t="shared" si="119"/>
        <v>239.6439208457559</v>
      </c>
      <c r="M291" s="48"/>
      <c r="N291" s="38">
        <f t="shared" si="120"/>
        <v>0</v>
      </c>
      <c r="O291" s="36">
        <f t="shared" si="121"/>
        <v>0</v>
      </c>
      <c r="P291" s="84">
        <f t="shared" si="122"/>
        <v>-7377.9606526968219</v>
      </c>
      <c r="Q291" s="38">
        <f t="shared" si="123"/>
        <v>0</v>
      </c>
      <c r="R291" s="48">
        <f t="shared" si="124"/>
        <v>28.202179031391292</v>
      </c>
      <c r="S291" s="38">
        <f t="shared" si="115"/>
        <v>267.8460998771472</v>
      </c>
      <c r="T291" s="50">
        <f t="shared" si="128"/>
        <v>6550</v>
      </c>
      <c r="U291" s="40">
        <f t="shared" si="129"/>
        <v>9799.0396837390381</v>
      </c>
      <c r="V291" s="41">
        <f t="shared" si="130"/>
        <v>0.49603659293725766</v>
      </c>
      <c r="W291" s="39">
        <f t="shared" si="131"/>
        <v>3249.0396837390381</v>
      </c>
      <c r="X291" s="50">
        <f t="shared" si="125"/>
        <v>828.42940271309897</v>
      </c>
      <c r="Y291" s="41">
        <f t="shared" si="132"/>
        <v>0.62251436434383756</v>
      </c>
      <c r="Z291" s="52"/>
      <c r="AA291" s="50">
        <f t="shared" si="112"/>
        <v>7378.4294027130982</v>
      </c>
      <c r="AB291" s="39">
        <f t="shared" si="113"/>
        <v>10952.226756130449</v>
      </c>
      <c r="AC291" s="39">
        <f t="shared" si="133"/>
        <v>3573.7973534173507</v>
      </c>
      <c r="AD291" s="41">
        <f t="shared" si="134"/>
        <v>0.48435746394798351</v>
      </c>
      <c r="AF291" s="46">
        <f t="shared" si="116"/>
        <v>-100</v>
      </c>
      <c r="AG291" s="46">
        <f t="shared" si="135"/>
        <v>-100</v>
      </c>
      <c r="AH291" s="54">
        <f t="shared" si="117"/>
        <v>1820</v>
      </c>
      <c r="AI291" s="55">
        <f t="shared" si="126"/>
        <v>0.71046770601336307</v>
      </c>
      <c r="AJ291" s="55">
        <f t="shared" si="136"/>
        <v>-71.046770601336306</v>
      </c>
      <c r="AK291" s="55">
        <f t="shared" si="137"/>
        <v>-71.046770601336306</v>
      </c>
    </row>
    <row r="292" spans="2:37" s="53" customFormat="1" ht="17.25" customHeight="1" x14ac:dyDescent="0.25">
      <c r="B292" s="91" t="str">
        <f t="shared" si="118"/>
        <v/>
      </c>
      <c r="C292" s="81">
        <f>IF(Sheet3!A263="","",Sheet3!A263)</f>
        <v>39454</v>
      </c>
      <c r="D292" s="82">
        <f>IF(C292="","",Sheet3!E263)</f>
        <v>38.200001</v>
      </c>
      <c r="E292" s="56">
        <f>_xlfn.XLOOKUP(WEEKNUM(C292)&amp;YEAR(C292),Sheet4!C:C,Sheet4!B:B,0)</f>
        <v>0.4</v>
      </c>
      <c r="F292" s="46">
        <f>IF(int=Weekly,-$D$5,IF(int=Bi_Weekly,0,IF(int=Monthly,0,IF(int=Quarterly,0,IF(int=Yearly,0,IF(int=None,0,0))))))</f>
        <v>0</v>
      </c>
      <c r="G292" s="46"/>
      <c r="H292" s="46">
        <f t="shared" si="127"/>
        <v>-6550</v>
      </c>
      <c r="I292" s="47"/>
      <c r="J292" s="38">
        <f t="shared" si="114"/>
        <v>0</v>
      </c>
      <c r="K292" s="48"/>
      <c r="L292" s="48">
        <f t="shared" si="119"/>
        <v>239.6439208457559</v>
      </c>
      <c r="M292" s="48"/>
      <c r="N292" s="38">
        <f t="shared" si="120"/>
        <v>95.857568338302372</v>
      </c>
      <c r="O292" s="36">
        <f t="shared" si="121"/>
        <v>-95.857568338302372</v>
      </c>
      <c r="P292" s="84">
        <f t="shared" si="122"/>
        <v>-7473.8182210351242</v>
      </c>
      <c r="Q292" s="38">
        <f t="shared" si="123"/>
        <v>2.5093603620141889</v>
      </c>
      <c r="R292" s="48">
        <f t="shared" si="124"/>
        <v>30.711539393405481</v>
      </c>
      <c r="S292" s="38">
        <f t="shared" si="115"/>
        <v>270.3554602391614</v>
      </c>
      <c r="T292" s="50">
        <f t="shared" si="128"/>
        <v>6550</v>
      </c>
      <c r="U292" s="40">
        <f t="shared" si="129"/>
        <v>9154.398015951796</v>
      </c>
      <c r="V292" s="41">
        <f t="shared" si="130"/>
        <v>0.39761801770256433</v>
      </c>
      <c r="W292" s="39">
        <f t="shared" si="131"/>
        <v>2604.398015951796</v>
      </c>
      <c r="X292" s="50">
        <f t="shared" si="125"/>
        <v>924.28697105140134</v>
      </c>
      <c r="Y292" s="41">
        <f t="shared" si="132"/>
        <v>0.53873053236690027</v>
      </c>
      <c r="Z292" s="52"/>
      <c r="AA292" s="50">
        <f t="shared" si="112"/>
        <v>7474.2869710514005</v>
      </c>
      <c r="AB292" s="39">
        <f t="shared" si="113"/>
        <v>10327.578851491424</v>
      </c>
      <c r="AC292" s="39">
        <f t="shared" si="133"/>
        <v>2853.2918804400233</v>
      </c>
      <c r="AD292" s="41">
        <f t="shared" si="134"/>
        <v>0.3817477026893783</v>
      </c>
      <c r="AF292" s="46">
        <f t="shared" si="116"/>
        <v>95.857568338302372</v>
      </c>
      <c r="AG292" s="46">
        <f t="shared" si="135"/>
        <v>0</v>
      </c>
      <c r="AH292" s="54">
        <f t="shared" si="117"/>
        <v>1827</v>
      </c>
      <c r="AI292" s="55">
        <f t="shared" si="126"/>
        <v>0.70935412026726052</v>
      </c>
      <c r="AJ292" s="55">
        <f t="shared" si="136"/>
        <v>67.996961059575284</v>
      </c>
      <c r="AK292" s="55">
        <f t="shared" si="137"/>
        <v>0</v>
      </c>
    </row>
    <row r="293" spans="2:37" s="53" customFormat="1" ht="17.25" customHeight="1" x14ac:dyDescent="0.25">
      <c r="B293" s="91" t="str">
        <f t="shared" si="118"/>
        <v/>
      </c>
      <c r="C293" s="81">
        <f>IF(Sheet3!A264="","",Sheet3!A264)</f>
        <v>39461</v>
      </c>
      <c r="D293" s="82">
        <f>IF(C293="","",Sheet3!E264)</f>
        <v>36.110000999999997</v>
      </c>
      <c r="E293" s="56">
        <f>_xlfn.XLOOKUP(WEEKNUM(C293)&amp;YEAR(C293),Sheet4!C:C,Sheet4!B:B,0)</f>
        <v>0</v>
      </c>
      <c r="F293" s="46">
        <f>IF(int=Weekly,-$D$5,IF(int=Bi_Weekly,-$D$5,IF(int=Monthly,0,IF(int=Quarterly,0,IF(int=Yearly,0,IF(int=None,0,0))))))</f>
        <v>0</v>
      </c>
      <c r="G293" s="46"/>
      <c r="H293" s="46">
        <f t="shared" si="127"/>
        <v>-6550</v>
      </c>
      <c r="I293" s="47"/>
      <c r="J293" s="38">
        <f t="shared" si="114"/>
        <v>0</v>
      </c>
      <c r="K293" s="48"/>
      <c r="L293" s="48">
        <f t="shared" si="119"/>
        <v>239.6439208457559</v>
      </c>
      <c r="M293" s="48"/>
      <c r="N293" s="38">
        <f t="shared" si="120"/>
        <v>0</v>
      </c>
      <c r="O293" s="36">
        <f t="shared" si="121"/>
        <v>0</v>
      </c>
      <c r="P293" s="84">
        <f t="shared" si="122"/>
        <v>-7473.8182210351242</v>
      </c>
      <c r="Q293" s="38">
        <f t="shared" si="123"/>
        <v>0</v>
      </c>
      <c r="R293" s="48">
        <f t="shared" si="124"/>
        <v>30.711539393405481</v>
      </c>
      <c r="S293" s="38">
        <f t="shared" si="115"/>
        <v>270.3554602391614</v>
      </c>
      <c r="T293" s="50">
        <f t="shared" si="128"/>
        <v>6550</v>
      </c>
      <c r="U293" s="40">
        <f t="shared" si="129"/>
        <v>8653.5422213841648</v>
      </c>
      <c r="V293" s="41">
        <f t="shared" si="130"/>
        <v>0.32115148418078854</v>
      </c>
      <c r="W293" s="39">
        <f t="shared" si="131"/>
        <v>2103.5422213841648</v>
      </c>
      <c r="X293" s="50">
        <f t="shared" si="125"/>
        <v>924.28697105140134</v>
      </c>
      <c r="Y293" s="41">
        <f t="shared" si="132"/>
        <v>0.46226399884512448</v>
      </c>
      <c r="Z293" s="52"/>
      <c r="AA293" s="50">
        <f t="shared" si="112"/>
        <v>7474.2869710514005</v>
      </c>
      <c r="AB293" s="39">
        <f t="shared" si="113"/>
        <v>9762.5359395915766</v>
      </c>
      <c r="AC293" s="39">
        <f t="shared" si="133"/>
        <v>2288.2489685401761</v>
      </c>
      <c r="AD293" s="41">
        <f t="shared" si="134"/>
        <v>0.30614946648459895</v>
      </c>
      <c r="AF293" s="46">
        <f t="shared" si="116"/>
        <v>0</v>
      </c>
      <c r="AG293" s="46">
        <f t="shared" si="135"/>
        <v>0</v>
      </c>
      <c r="AH293" s="54">
        <f t="shared" si="117"/>
        <v>1834</v>
      </c>
      <c r="AI293" s="55">
        <f t="shared" si="126"/>
        <v>0.70824053452115809</v>
      </c>
      <c r="AJ293" s="55">
        <f t="shared" si="136"/>
        <v>0</v>
      </c>
      <c r="AK293" s="55">
        <f t="shared" si="137"/>
        <v>0</v>
      </c>
    </row>
    <row r="294" spans="2:37" s="53" customFormat="1" ht="17.25" customHeight="1" x14ac:dyDescent="0.25">
      <c r="B294" s="91" t="str">
        <f t="shared" si="118"/>
        <v/>
      </c>
      <c r="C294" s="81">
        <f>IF(Sheet3!A265="","",Sheet3!A265)</f>
        <v>39468</v>
      </c>
      <c r="D294" s="82">
        <f>IF(C294="","",Sheet3!E265)</f>
        <v>35.259998000000003</v>
      </c>
      <c r="E294" s="56">
        <f>_xlfn.XLOOKUP(WEEKNUM(C294)&amp;YEAR(C294),Sheet4!C:C,Sheet4!B:B,0)</f>
        <v>0</v>
      </c>
      <c r="F294" s="46">
        <f>IF(int=Weekly,-$D$5,IF(int=Bi_Weekly,0,IF(int=Monthly,0,IF(int=Quarterly,0,IF(int=Yearly,0,IF(int=None,0,0))))))</f>
        <v>0</v>
      </c>
      <c r="G294" s="46"/>
      <c r="H294" s="46">
        <f t="shared" si="127"/>
        <v>-6550</v>
      </c>
      <c r="I294" s="47"/>
      <c r="J294" s="38">
        <f t="shared" si="114"/>
        <v>0</v>
      </c>
      <c r="K294" s="48"/>
      <c r="L294" s="48">
        <f t="shared" si="119"/>
        <v>239.6439208457559</v>
      </c>
      <c r="M294" s="48"/>
      <c r="N294" s="38">
        <f t="shared" si="120"/>
        <v>0</v>
      </c>
      <c r="O294" s="36">
        <f t="shared" si="121"/>
        <v>0</v>
      </c>
      <c r="P294" s="84">
        <f t="shared" si="122"/>
        <v>-7473.8182210351242</v>
      </c>
      <c r="Q294" s="38">
        <f t="shared" si="123"/>
        <v>0</v>
      </c>
      <c r="R294" s="48">
        <f t="shared" si="124"/>
        <v>30.711539393405481</v>
      </c>
      <c r="S294" s="38">
        <f t="shared" si="115"/>
        <v>270.3554602391614</v>
      </c>
      <c r="T294" s="50">
        <f t="shared" si="128"/>
        <v>6550</v>
      </c>
      <c r="U294" s="40">
        <f t="shared" si="129"/>
        <v>8449.8441697335129</v>
      </c>
      <c r="V294" s="41">
        <f t="shared" si="130"/>
        <v>0.2900525449974829</v>
      </c>
      <c r="W294" s="39">
        <f t="shared" si="131"/>
        <v>1899.8441697335129</v>
      </c>
      <c r="X294" s="50">
        <f t="shared" si="125"/>
        <v>924.28697105140134</v>
      </c>
      <c r="Y294" s="41">
        <f t="shared" si="132"/>
        <v>0.43116505966181884</v>
      </c>
      <c r="Z294" s="52"/>
      <c r="AA294" s="50">
        <f t="shared" si="112"/>
        <v>7474.2869710514005</v>
      </c>
      <c r="AB294" s="39">
        <f t="shared" si="113"/>
        <v>9532.7329873219114</v>
      </c>
      <c r="AC294" s="39">
        <f t="shared" si="133"/>
        <v>2058.4460162705109</v>
      </c>
      <c r="AD294" s="41">
        <f t="shared" si="134"/>
        <v>0.27540366382011561</v>
      </c>
      <c r="AF294" s="46">
        <f t="shared" si="116"/>
        <v>0</v>
      </c>
      <c r="AG294" s="46">
        <f t="shared" si="135"/>
        <v>0</v>
      </c>
      <c r="AH294" s="54">
        <f t="shared" si="117"/>
        <v>1841</v>
      </c>
      <c r="AI294" s="55">
        <f t="shared" si="126"/>
        <v>0.70712694877505566</v>
      </c>
      <c r="AJ294" s="55">
        <f t="shared" si="136"/>
        <v>0</v>
      </c>
      <c r="AK294" s="55">
        <f t="shared" si="137"/>
        <v>0</v>
      </c>
    </row>
    <row r="295" spans="2:37" s="53" customFormat="1" ht="17.25" customHeight="1" x14ac:dyDescent="0.25">
      <c r="B295" s="91" t="str">
        <f t="shared" si="118"/>
        <v/>
      </c>
      <c r="C295" s="81">
        <f>IF(Sheet3!A266="","",Sheet3!A266)</f>
        <v>39475</v>
      </c>
      <c r="D295" s="82">
        <f>IF(C295="","",Sheet3!E266)</f>
        <v>38.279998999999997</v>
      </c>
      <c r="E295" s="56">
        <f>_xlfn.XLOOKUP(WEEKNUM(C295)&amp;YEAR(C295),Sheet4!C:C,Sheet4!B:B,0)</f>
        <v>0</v>
      </c>
      <c r="F295" s="46">
        <f>IF(int=Weekly,-$D$5,IF(int=Bi_Weekly,-$D$5,IF(int=Monthly,-$D$5,IF(int=Quarterly,0,IF(int=Yearly,0,IF(int=None,0,0))))))</f>
        <v>-100</v>
      </c>
      <c r="G295" s="46"/>
      <c r="H295" s="46">
        <f t="shared" si="127"/>
        <v>-6650</v>
      </c>
      <c r="I295" s="47"/>
      <c r="J295" s="38">
        <f t="shared" si="114"/>
        <v>2.6123302667797876</v>
      </c>
      <c r="K295" s="48"/>
      <c r="L295" s="48">
        <f t="shared" si="119"/>
        <v>242.25625111253569</v>
      </c>
      <c r="M295" s="48"/>
      <c r="N295" s="38">
        <f t="shared" si="120"/>
        <v>0</v>
      </c>
      <c r="O295" s="36">
        <f t="shared" si="121"/>
        <v>0</v>
      </c>
      <c r="P295" s="84">
        <f t="shared" si="122"/>
        <v>-7573.8182210351242</v>
      </c>
      <c r="Q295" s="38">
        <f t="shared" si="123"/>
        <v>0</v>
      </c>
      <c r="R295" s="48">
        <f t="shared" si="124"/>
        <v>30.711539393405481</v>
      </c>
      <c r="S295" s="38">
        <f t="shared" si="115"/>
        <v>272.9677905059412</v>
      </c>
      <c r="T295" s="50">
        <f t="shared" si="128"/>
        <v>6650</v>
      </c>
      <c r="U295" s="40">
        <f t="shared" si="129"/>
        <v>9273.5690503316146</v>
      </c>
      <c r="V295" s="41">
        <f t="shared" si="130"/>
        <v>0.39452166170400216</v>
      </c>
      <c r="W295" s="39">
        <f t="shared" si="131"/>
        <v>2623.5690503316146</v>
      </c>
      <c r="X295" s="50">
        <f t="shared" si="125"/>
        <v>924.28697105140134</v>
      </c>
      <c r="Y295" s="41">
        <f t="shared" si="132"/>
        <v>0.53351218366661879</v>
      </c>
      <c r="Z295" s="52"/>
      <c r="AA295" s="50">
        <f t="shared" si="112"/>
        <v>7574.2869710514005</v>
      </c>
      <c r="AB295" s="39">
        <f t="shared" si="113"/>
        <v>10449.206747599637</v>
      </c>
      <c r="AC295" s="39">
        <f t="shared" si="133"/>
        <v>2874.9197765482368</v>
      </c>
      <c r="AD295" s="41">
        <f t="shared" si="134"/>
        <v>0.37956309122377552</v>
      </c>
      <c r="AF295" s="46">
        <f t="shared" si="116"/>
        <v>-100</v>
      </c>
      <c r="AG295" s="46">
        <f t="shared" si="135"/>
        <v>-100</v>
      </c>
      <c r="AH295" s="54">
        <f t="shared" si="117"/>
        <v>1848</v>
      </c>
      <c r="AI295" s="55">
        <f t="shared" si="126"/>
        <v>0.70601336302895323</v>
      </c>
      <c r="AJ295" s="55">
        <f t="shared" si="136"/>
        <v>-70.601336302895319</v>
      </c>
      <c r="AK295" s="55">
        <f t="shared" si="137"/>
        <v>-70.601336302895319</v>
      </c>
    </row>
    <row r="296" spans="2:37" s="53" customFormat="1" ht="17.25" customHeight="1" x14ac:dyDescent="0.25">
      <c r="B296" s="91" t="str">
        <f t="shared" si="118"/>
        <v/>
      </c>
      <c r="C296" s="81">
        <f>IF(Sheet3!A267="","",Sheet3!A267)</f>
        <v>39482</v>
      </c>
      <c r="D296" s="82">
        <f>IF(C296="","",Sheet3!E267)</f>
        <v>36.369999</v>
      </c>
      <c r="E296" s="56">
        <f>_xlfn.XLOOKUP(WEEKNUM(C296)&amp;YEAR(C296),Sheet4!C:C,Sheet4!B:B,0)</f>
        <v>0</v>
      </c>
      <c r="F296" s="46">
        <f>IF(int=Weekly,-$D$5,IF(int=Bi_Weekly,0,IF(int=Monthly,0,IF(int=Quarterly,0,IF(int=Yearly,0,IF(int=None,0,0))))))</f>
        <v>0</v>
      </c>
      <c r="G296" s="46"/>
      <c r="H296" s="46">
        <f t="shared" si="127"/>
        <v>-6650</v>
      </c>
      <c r="I296" s="47"/>
      <c r="J296" s="38">
        <f t="shared" si="114"/>
        <v>0</v>
      </c>
      <c r="K296" s="48"/>
      <c r="L296" s="48">
        <f t="shared" si="119"/>
        <v>242.25625111253569</v>
      </c>
      <c r="M296" s="48"/>
      <c r="N296" s="38">
        <f t="shared" si="120"/>
        <v>0</v>
      </c>
      <c r="O296" s="36">
        <f t="shared" si="121"/>
        <v>0</v>
      </c>
      <c r="P296" s="84">
        <f t="shared" si="122"/>
        <v>-7573.8182210351242</v>
      </c>
      <c r="Q296" s="38">
        <f t="shared" si="123"/>
        <v>0</v>
      </c>
      <c r="R296" s="48">
        <f t="shared" si="124"/>
        <v>30.711539393405481</v>
      </c>
      <c r="S296" s="38">
        <f t="shared" si="115"/>
        <v>272.9677905059412</v>
      </c>
      <c r="T296" s="50">
        <f t="shared" si="128"/>
        <v>6650</v>
      </c>
      <c r="U296" s="40">
        <f t="shared" si="129"/>
        <v>8810.8596107066714</v>
      </c>
      <c r="V296" s="41">
        <f t="shared" si="130"/>
        <v>0.32494129484310852</v>
      </c>
      <c r="W296" s="39">
        <f t="shared" si="131"/>
        <v>2160.8596107066714</v>
      </c>
      <c r="X296" s="50">
        <f t="shared" si="125"/>
        <v>924.28697105140134</v>
      </c>
      <c r="Y296" s="41">
        <f t="shared" si="132"/>
        <v>0.46393181680572515</v>
      </c>
      <c r="Z296" s="52"/>
      <c r="AA296" s="50">
        <f t="shared" si="112"/>
        <v>7574.2869710514005</v>
      </c>
      <c r="AB296" s="39">
        <f t="shared" si="113"/>
        <v>9927.8382677332884</v>
      </c>
      <c r="AC296" s="39">
        <f t="shared" si="133"/>
        <v>2353.5512966818878</v>
      </c>
      <c r="AD296" s="41">
        <f t="shared" si="134"/>
        <v>0.31072908983737468</v>
      </c>
      <c r="AF296" s="46">
        <f t="shared" si="116"/>
        <v>0</v>
      </c>
      <c r="AG296" s="46">
        <f t="shared" si="135"/>
        <v>0</v>
      </c>
      <c r="AH296" s="54">
        <f t="shared" si="117"/>
        <v>1855</v>
      </c>
      <c r="AI296" s="55">
        <f t="shared" si="126"/>
        <v>0.7048997772828508</v>
      </c>
      <c r="AJ296" s="55">
        <f t="shared" si="136"/>
        <v>0</v>
      </c>
      <c r="AK296" s="55">
        <f t="shared" si="137"/>
        <v>0</v>
      </c>
    </row>
    <row r="297" spans="2:37" s="53" customFormat="1" ht="17.25" customHeight="1" x14ac:dyDescent="0.25">
      <c r="B297" s="91" t="str">
        <f t="shared" si="118"/>
        <v/>
      </c>
      <c r="C297" s="81">
        <f>IF(Sheet3!A268="","",Sheet3!A268)</f>
        <v>39489</v>
      </c>
      <c r="D297" s="82">
        <f>IF(C297="","",Sheet3!E268)</f>
        <v>37.880001</v>
      </c>
      <c r="E297" s="56">
        <f>_xlfn.XLOOKUP(WEEKNUM(C297)&amp;YEAR(C297),Sheet4!C:C,Sheet4!B:B,0)</f>
        <v>0</v>
      </c>
      <c r="F297" s="46">
        <f>IF(int=Weekly,-$D$5,IF(int=Bi_Weekly,-$D$5,IF(int=Monthly,0,IF(int=Quarterly,0,IF(int=Yearly,0,IF(int=None,0,0))))))</f>
        <v>0</v>
      </c>
      <c r="G297" s="46"/>
      <c r="H297" s="46">
        <f t="shared" si="127"/>
        <v>-6650</v>
      </c>
      <c r="I297" s="47"/>
      <c r="J297" s="38">
        <f t="shared" si="114"/>
        <v>0</v>
      </c>
      <c r="K297" s="48"/>
      <c r="L297" s="48">
        <f t="shared" si="119"/>
        <v>242.25625111253569</v>
      </c>
      <c r="M297" s="48"/>
      <c r="N297" s="38">
        <f t="shared" si="120"/>
        <v>0</v>
      </c>
      <c r="O297" s="36">
        <f t="shared" si="121"/>
        <v>0</v>
      </c>
      <c r="P297" s="84">
        <f t="shared" si="122"/>
        <v>-7573.8182210351242</v>
      </c>
      <c r="Q297" s="38">
        <f t="shared" si="123"/>
        <v>0</v>
      </c>
      <c r="R297" s="48">
        <f t="shared" si="124"/>
        <v>30.711539393405481</v>
      </c>
      <c r="S297" s="38">
        <f t="shared" si="115"/>
        <v>272.9677905059412</v>
      </c>
      <c r="T297" s="50">
        <f t="shared" si="128"/>
        <v>6650</v>
      </c>
      <c r="U297" s="40">
        <f t="shared" si="129"/>
        <v>9176.6670343991027</v>
      </c>
      <c r="V297" s="41">
        <f t="shared" si="130"/>
        <v>0.37994992998482746</v>
      </c>
      <c r="W297" s="39">
        <f t="shared" si="131"/>
        <v>2526.6670343991027</v>
      </c>
      <c r="X297" s="50">
        <f t="shared" si="125"/>
        <v>924.28697105140134</v>
      </c>
      <c r="Y297" s="41">
        <f t="shared" si="132"/>
        <v>0.51894045194744409</v>
      </c>
      <c r="Z297" s="52"/>
      <c r="AA297" s="50">
        <f t="shared" si="112"/>
        <v>7574.2869710514005</v>
      </c>
      <c r="AB297" s="39">
        <f t="shared" si="113"/>
        <v>10340.020177332841</v>
      </c>
      <c r="AC297" s="39">
        <f t="shared" si="133"/>
        <v>2765.7332062814403</v>
      </c>
      <c r="AD297" s="41">
        <f t="shared" si="134"/>
        <v>0.36514766562871914</v>
      </c>
      <c r="AF297" s="46">
        <f t="shared" si="116"/>
        <v>0</v>
      </c>
      <c r="AG297" s="46">
        <f t="shared" si="135"/>
        <v>0</v>
      </c>
      <c r="AH297" s="54">
        <f t="shared" si="117"/>
        <v>1862</v>
      </c>
      <c r="AI297" s="55">
        <f t="shared" si="126"/>
        <v>0.70378619153674837</v>
      </c>
      <c r="AJ297" s="55">
        <f t="shared" si="136"/>
        <v>0</v>
      </c>
      <c r="AK297" s="55">
        <f t="shared" si="137"/>
        <v>0</v>
      </c>
    </row>
    <row r="298" spans="2:37" s="53" customFormat="1" ht="17.25" customHeight="1" x14ac:dyDescent="0.25">
      <c r="B298" s="91" t="str">
        <f t="shared" si="118"/>
        <v/>
      </c>
      <c r="C298" s="81">
        <f>IF(Sheet3!A269="","",Sheet3!A269)</f>
        <v>39496</v>
      </c>
      <c r="D298" s="82">
        <f>IF(C298="","",Sheet3!E269)</f>
        <v>34.979999999999997</v>
      </c>
      <c r="E298" s="56">
        <f>_xlfn.XLOOKUP(WEEKNUM(C298)&amp;YEAR(C298),Sheet4!C:C,Sheet4!B:B,0)</f>
        <v>0</v>
      </c>
      <c r="F298" s="46">
        <f>IF(int=Weekly,-$D$5,IF(int=Bi_Weekly,0,IF(int=Monthly,0,IF(int=Quarterly,0,IF(int=Yearly,0,IF(int=None,0,0))))))</f>
        <v>0</v>
      </c>
      <c r="G298" s="46"/>
      <c r="H298" s="46">
        <f t="shared" si="127"/>
        <v>-6650</v>
      </c>
      <c r="I298" s="47"/>
      <c r="J298" s="38">
        <f t="shared" si="114"/>
        <v>0</v>
      </c>
      <c r="K298" s="48"/>
      <c r="L298" s="48">
        <f t="shared" si="119"/>
        <v>242.25625111253569</v>
      </c>
      <c r="M298" s="48"/>
      <c r="N298" s="38">
        <f t="shared" si="120"/>
        <v>0</v>
      </c>
      <c r="O298" s="36">
        <f t="shared" si="121"/>
        <v>0</v>
      </c>
      <c r="P298" s="84">
        <f t="shared" si="122"/>
        <v>-7573.8182210351242</v>
      </c>
      <c r="Q298" s="38">
        <f t="shared" si="123"/>
        <v>0</v>
      </c>
      <c r="R298" s="48">
        <f t="shared" si="124"/>
        <v>30.711539393405481</v>
      </c>
      <c r="S298" s="38">
        <f t="shared" si="115"/>
        <v>272.9677905059412</v>
      </c>
      <c r="T298" s="50">
        <f t="shared" si="128"/>
        <v>6650</v>
      </c>
      <c r="U298" s="40">
        <f t="shared" si="129"/>
        <v>8474.1236639164981</v>
      </c>
      <c r="V298" s="41">
        <f t="shared" si="130"/>
        <v>0.2743043103633831</v>
      </c>
      <c r="W298" s="39">
        <f t="shared" si="131"/>
        <v>1824.1236639164981</v>
      </c>
      <c r="X298" s="50">
        <f t="shared" si="125"/>
        <v>924.28697105140134</v>
      </c>
      <c r="Y298" s="41">
        <f t="shared" si="132"/>
        <v>0.41329483232599973</v>
      </c>
      <c r="Z298" s="52"/>
      <c r="AA298" s="50">
        <f t="shared" si="112"/>
        <v>7574.2869710514005</v>
      </c>
      <c r="AB298" s="39">
        <f t="shared" si="113"/>
        <v>9548.4133118978225</v>
      </c>
      <c r="AC298" s="39">
        <f t="shared" si="133"/>
        <v>1974.126340846422</v>
      </c>
      <c r="AD298" s="41">
        <f t="shared" si="134"/>
        <v>0.26063527146402654</v>
      </c>
      <c r="AF298" s="46">
        <f t="shared" si="116"/>
        <v>0</v>
      </c>
      <c r="AG298" s="46">
        <f t="shared" si="135"/>
        <v>0</v>
      </c>
      <c r="AH298" s="54">
        <f t="shared" si="117"/>
        <v>1869</v>
      </c>
      <c r="AI298" s="55">
        <f t="shared" si="126"/>
        <v>0.70267260579064583</v>
      </c>
      <c r="AJ298" s="55">
        <f t="shared" si="136"/>
        <v>0</v>
      </c>
      <c r="AK298" s="55">
        <f t="shared" si="137"/>
        <v>0</v>
      </c>
    </row>
    <row r="299" spans="2:37" s="53" customFormat="1" ht="17.25" customHeight="1" x14ac:dyDescent="0.25">
      <c r="B299" s="91" t="str">
        <f t="shared" si="118"/>
        <v/>
      </c>
      <c r="C299" s="81">
        <f>IF(Sheet3!A270="","",Sheet3!A270)</f>
        <v>39503</v>
      </c>
      <c r="D299" s="82">
        <f>IF(C299="","",Sheet3!E270)</f>
        <v>34.830002</v>
      </c>
      <c r="E299" s="56">
        <f>_xlfn.XLOOKUP(WEEKNUM(C299)&amp;YEAR(C299),Sheet4!C:C,Sheet4!B:B,0)</f>
        <v>0</v>
      </c>
      <c r="F299" s="46">
        <f>IF(int=Weekly,-$D$5,IF(int=Bi_Weekly,-$D$5,IF(int=Monthly,-$D$5,IF(int=Quarterly,0,IF(int=Yearly,0,IF(int=None,0,0))))))</f>
        <v>-100</v>
      </c>
      <c r="G299" s="46"/>
      <c r="H299" s="46">
        <f t="shared" si="127"/>
        <v>-6750</v>
      </c>
      <c r="I299" s="47"/>
      <c r="J299" s="38">
        <f t="shared" si="114"/>
        <v>2.8710879775430387</v>
      </c>
      <c r="K299" s="48"/>
      <c r="L299" s="48">
        <f t="shared" si="119"/>
        <v>245.12733909007872</v>
      </c>
      <c r="M299" s="48"/>
      <c r="N299" s="38">
        <f t="shared" si="120"/>
        <v>0</v>
      </c>
      <c r="O299" s="36">
        <f t="shared" si="121"/>
        <v>0</v>
      </c>
      <c r="P299" s="84">
        <f t="shared" si="122"/>
        <v>-7673.8182210351242</v>
      </c>
      <c r="Q299" s="38">
        <f t="shared" si="123"/>
        <v>0</v>
      </c>
      <c r="R299" s="48">
        <f t="shared" si="124"/>
        <v>30.711539393405481</v>
      </c>
      <c r="S299" s="38">
        <f t="shared" si="115"/>
        <v>275.83887848348422</v>
      </c>
      <c r="T299" s="50">
        <f t="shared" si="128"/>
        <v>6750</v>
      </c>
      <c r="U299" s="40">
        <f t="shared" si="129"/>
        <v>8537.7857107621203</v>
      </c>
      <c r="V299" s="41">
        <f t="shared" si="130"/>
        <v>0.26485714233512891</v>
      </c>
      <c r="W299" s="39">
        <f t="shared" si="131"/>
        <v>1787.7857107621203</v>
      </c>
      <c r="X299" s="50">
        <f t="shared" si="125"/>
        <v>924.28697105140134</v>
      </c>
      <c r="Y299" s="41">
        <f t="shared" si="132"/>
        <v>0.40178854545385501</v>
      </c>
      <c r="Z299" s="52"/>
      <c r="AA299" s="50">
        <f t="shared" si="112"/>
        <v>7674.2869710514005</v>
      </c>
      <c r="AB299" s="39">
        <f t="shared" si="113"/>
        <v>9607.4686892575119</v>
      </c>
      <c r="AC299" s="39">
        <f t="shared" si="133"/>
        <v>1933.1817182061113</v>
      </c>
      <c r="AD299" s="41">
        <f t="shared" si="134"/>
        <v>0.25190375672663423</v>
      </c>
      <c r="AF299" s="46">
        <f t="shared" si="116"/>
        <v>-100</v>
      </c>
      <c r="AG299" s="46">
        <f t="shared" si="135"/>
        <v>-100</v>
      </c>
      <c r="AH299" s="54">
        <f t="shared" si="117"/>
        <v>1876</v>
      </c>
      <c r="AI299" s="55">
        <f t="shared" si="126"/>
        <v>0.7015590200445434</v>
      </c>
      <c r="AJ299" s="55">
        <f t="shared" si="136"/>
        <v>-70.155902004454333</v>
      </c>
      <c r="AK299" s="55">
        <f t="shared" si="137"/>
        <v>-70.155902004454333</v>
      </c>
    </row>
    <row r="300" spans="2:37" s="53" customFormat="1" ht="17.25" customHeight="1" x14ac:dyDescent="0.25">
      <c r="B300" s="91" t="str">
        <f t="shared" si="118"/>
        <v/>
      </c>
      <c r="C300" s="81">
        <f>IF(Sheet3!A271="","",Sheet3!A271)</f>
        <v>39510</v>
      </c>
      <c r="D300" s="82">
        <f>IF(C300="","",Sheet3!E271)</f>
        <v>35.009998000000003</v>
      </c>
      <c r="E300" s="56">
        <f>_xlfn.XLOOKUP(WEEKNUM(C300)&amp;YEAR(C300),Sheet4!C:C,Sheet4!B:B,0)</f>
        <v>0</v>
      </c>
      <c r="F300" s="46">
        <f>IF(int=Weekly,-$D$5,IF(int=Bi_Weekly,0,IF(int=Monthly,0,IF(int=Quarterly,0,IF(int=Yearly,0,IF(int=None,0,0))))))</f>
        <v>0</v>
      </c>
      <c r="G300" s="46"/>
      <c r="H300" s="46">
        <f t="shared" si="127"/>
        <v>-6750</v>
      </c>
      <c r="I300" s="47"/>
      <c r="J300" s="38">
        <f t="shared" si="114"/>
        <v>0</v>
      </c>
      <c r="K300" s="48"/>
      <c r="L300" s="48">
        <f t="shared" si="119"/>
        <v>245.12733909007872</v>
      </c>
      <c r="M300" s="48"/>
      <c r="N300" s="38">
        <f t="shared" si="120"/>
        <v>0</v>
      </c>
      <c r="O300" s="36">
        <f t="shared" si="121"/>
        <v>0</v>
      </c>
      <c r="P300" s="84">
        <f t="shared" si="122"/>
        <v>-7673.8182210351242</v>
      </c>
      <c r="Q300" s="38">
        <f t="shared" si="123"/>
        <v>0</v>
      </c>
      <c r="R300" s="48">
        <f t="shared" si="124"/>
        <v>30.711539393405481</v>
      </c>
      <c r="S300" s="38">
        <f t="shared" si="115"/>
        <v>275.83887848348422</v>
      </c>
      <c r="T300" s="50">
        <f t="shared" si="128"/>
        <v>6750</v>
      </c>
      <c r="U300" s="40">
        <f t="shared" si="129"/>
        <v>8581.9076512889787</v>
      </c>
      <c r="V300" s="41">
        <f t="shared" si="130"/>
        <v>0.27139372611688573</v>
      </c>
      <c r="W300" s="39">
        <f t="shared" si="131"/>
        <v>1831.9076512889787</v>
      </c>
      <c r="X300" s="50">
        <f t="shared" si="125"/>
        <v>924.28697105140134</v>
      </c>
      <c r="Y300" s="41">
        <f t="shared" si="132"/>
        <v>0.40832512923561182</v>
      </c>
      <c r="Z300" s="52"/>
      <c r="AA300" s="50">
        <f t="shared" si="112"/>
        <v>7674.2869710514005</v>
      </c>
      <c r="AB300" s="39">
        <f t="shared" si="113"/>
        <v>9657.1185840290254</v>
      </c>
      <c r="AC300" s="39">
        <f t="shared" si="133"/>
        <v>1982.8316129776249</v>
      </c>
      <c r="AD300" s="41">
        <f t="shared" si="134"/>
        <v>0.2583733994385633</v>
      </c>
      <c r="AF300" s="46">
        <f t="shared" si="116"/>
        <v>0</v>
      </c>
      <c r="AG300" s="46">
        <f t="shared" si="135"/>
        <v>0</v>
      </c>
      <c r="AH300" s="54">
        <f t="shared" si="117"/>
        <v>1883</v>
      </c>
      <c r="AI300" s="55">
        <f t="shared" si="126"/>
        <v>0.70044543429844097</v>
      </c>
      <c r="AJ300" s="55">
        <f t="shared" si="136"/>
        <v>0</v>
      </c>
      <c r="AK300" s="55">
        <f t="shared" si="137"/>
        <v>0</v>
      </c>
    </row>
    <row r="301" spans="2:37" s="53" customFormat="1" ht="17.25" customHeight="1" x14ac:dyDescent="0.25">
      <c r="B301" s="91" t="str">
        <f t="shared" si="118"/>
        <v/>
      </c>
      <c r="C301" s="81">
        <f>IF(Sheet3!A272="","",Sheet3!A272)</f>
        <v>39517</v>
      </c>
      <c r="D301" s="82">
        <f>IF(C301="","",Sheet3!E272)</f>
        <v>35.029998999999997</v>
      </c>
      <c r="E301" s="56">
        <f>_xlfn.XLOOKUP(WEEKNUM(C301)&amp;YEAR(C301),Sheet4!C:C,Sheet4!B:B,0)</f>
        <v>0</v>
      </c>
      <c r="F301" s="46">
        <f>IF(int=Weekly,-$D$5,IF(int=Bi_Weekly,-$D$5,IF(int=Monthly,0,IF(int=Quarterly,0,IF(int=Yearly,0,IF(int=None,0,0))))))</f>
        <v>0</v>
      </c>
      <c r="G301" s="46"/>
      <c r="H301" s="46">
        <f t="shared" si="127"/>
        <v>-6750</v>
      </c>
      <c r="I301" s="47"/>
      <c r="J301" s="38">
        <f t="shared" si="114"/>
        <v>0</v>
      </c>
      <c r="K301" s="48"/>
      <c r="L301" s="48">
        <f t="shared" si="119"/>
        <v>245.12733909007872</v>
      </c>
      <c r="M301" s="48"/>
      <c r="N301" s="38">
        <f t="shared" si="120"/>
        <v>0</v>
      </c>
      <c r="O301" s="36">
        <f t="shared" si="121"/>
        <v>0</v>
      </c>
      <c r="P301" s="84">
        <f t="shared" si="122"/>
        <v>-7673.8182210351242</v>
      </c>
      <c r="Q301" s="38">
        <f t="shared" si="123"/>
        <v>0</v>
      </c>
      <c r="R301" s="48">
        <f t="shared" si="124"/>
        <v>30.711539393405481</v>
      </c>
      <c r="S301" s="38">
        <f t="shared" si="115"/>
        <v>275.83887848348422</v>
      </c>
      <c r="T301" s="50">
        <f t="shared" si="128"/>
        <v>6750</v>
      </c>
      <c r="U301" s="40">
        <f t="shared" si="129"/>
        <v>8586.8104431981174</v>
      </c>
      <c r="V301" s="41">
        <f t="shared" si="130"/>
        <v>0.27212006565898039</v>
      </c>
      <c r="W301" s="39">
        <f t="shared" si="131"/>
        <v>1836.8104431981174</v>
      </c>
      <c r="X301" s="50">
        <f t="shared" si="125"/>
        <v>924.28697105140134</v>
      </c>
      <c r="Y301" s="41">
        <f t="shared" si="132"/>
        <v>0.40905146877770626</v>
      </c>
      <c r="Z301" s="52"/>
      <c r="AA301" s="50">
        <f t="shared" si="112"/>
        <v>7674.2869710514005</v>
      </c>
      <c r="AB301" s="39">
        <f t="shared" si="113"/>
        <v>9662.6356374375719</v>
      </c>
      <c r="AC301" s="39">
        <f t="shared" si="133"/>
        <v>1988.3486663861713</v>
      </c>
      <c r="AD301" s="41">
        <f t="shared" si="134"/>
        <v>0.25909230054681709</v>
      </c>
      <c r="AF301" s="46">
        <f t="shared" si="116"/>
        <v>0</v>
      </c>
      <c r="AG301" s="46">
        <f t="shared" si="135"/>
        <v>0</v>
      </c>
      <c r="AH301" s="54">
        <f t="shared" si="117"/>
        <v>1890</v>
      </c>
      <c r="AI301" s="55">
        <f t="shared" si="126"/>
        <v>0.69933184855233854</v>
      </c>
      <c r="AJ301" s="55">
        <f t="shared" si="136"/>
        <v>0</v>
      </c>
      <c r="AK301" s="55">
        <f t="shared" si="137"/>
        <v>0</v>
      </c>
    </row>
    <row r="302" spans="2:37" s="53" customFormat="1" ht="17.25" customHeight="1" x14ac:dyDescent="0.25">
      <c r="B302" s="91" t="str">
        <f t="shared" si="118"/>
        <v/>
      </c>
      <c r="C302" s="81">
        <f>IF(Sheet3!A273="","",Sheet3!A273)</f>
        <v>39524</v>
      </c>
      <c r="D302" s="82">
        <f>IF(C302="","",Sheet3!E273)</f>
        <v>36.849997999999999</v>
      </c>
      <c r="E302" s="56">
        <f>_xlfn.XLOOKUP(WEEKNUM(C302)&amp;YEAR(C302),Sheet4!C:C,Sheet4!B:B,0)</f>
        <v>0</v>
      </c>
      <c r="F302" s="46">
        <f>IF(int=Weekly,-$D$5,IF(int=Bi_Weekly,0,IF(int=Monthly,0,IF(int=Quarterly,0,IF(int=Yearly,0,IF(int=None,0,0))))))</f>
        <v>0</v>
      </c>
      <c r="G302" s="46"/>
      <c r="H302" s="46">
        <f t="shared" si="127"/>
        <v>-6750</v>
      </c>
      <c r="I302" s="47"/>
      <c r="J302" s="38">
        <f t="shared" si="114"/>
        <v>0</v>
      </c>
      <c r="K302" s="48"/>
      <c r="L302" s="48">
        <f t="shared" si="119"/>
        <v>245.12733909007872</v>
      </c>
      <c r="M302" s="48"/>
      <c r="N302" s="38">
        <f t="shared" si="120"/>
        <v>0</v>
      </c>
      <c r="O302" s="36">
        <f t="shared" si="121"/>
        <v>0</v>
      </c>
      <c r="P302" s="84">
        <f t="shared" si="122"/>
        <v>-7673.8182210351242</v>
      </c>
      <c r="Q302" s="38">
        <f t="shared" si="123"/>
        <v>0</v>
      </c>
      <c r="R302" s="48">
        <f t="shared" si="124"/>
        <v>30.711539393405481</v>
      </c>
      <c r="S302" s="38">
        <f t="shared" si="115"/>
        <v>275.83887848348422</v>
      </c>
      <c r="T302" s="50">
        <f t="shared" si="128"/>
        <v>6750</v>
      </c>
      <c r="U302" s="40">
        <f t="shared" si="129"/>
        <v>9032.9419552147228</v>
      </c>
      <c r="V302" s="41">
        <f t="shared" si="130"/>
        <v>0.33821362299477364</v>
      </c>
      <c r="W302" s="39">
        <f t="shared" si="131"/>
        <v>2282.9419552147228</v>
      </c>
      <c r="X302" s="50">
        <f t="shared" si="125"/>
        <v>924.28697105140134</v>
      </c>
      <c r="Y302" s="41">
        <f t="shared" si="132"/>
        <v>0.47514502611349974</v>
      </c>
      <c r="Z302" s="52"/>
      <c r="AA302" s="50">
        <f t="shared" si="112"/>
        <v>7674.2869710514005</v>
      </c>
      <c r="AB302" s="39">
        <f t="shared" si="113"/>
        <v>10164.662120438636</v>
      </c>
      <c r="AC302" s="39">
        <f t="shared" si="133"/>
        <v>2490.3751493872351</v>
      </c>
      <c r="AD302" s="41">
        <f t="shared" si="134"/>
        <v>0.32450899461817317</v>
      </c>
      <c r="AF302" s="46">
        <f t="shared" si="116"/>
        <v>0</v>
      </c>
      <c r="AG302" s="46">
        <f t="shared" si="135"/>
        <v>0</v>
      </c>
      <c r="AH302" s="54">
        <f t="shared" si="117"/>
        <v>1897</v>
      </c>
      <c r="AI302" s="55">
        <f t="shared" si="126"/>
        <v>0.69821826280623611</v>
      </c>
      <c r="AJ302" s="55">
        <f t="shared" si="136"/>
        <v>0</v>
      </c>
      <c r="AK302" s="55">
        <f t="shared" si="137"/>
        <v>0</v>
      </c>
    </row>
    <row r="303" spans="2:37" s="53" customFormat="1" ht="17.25" customHeight="1" x14ac:dyDescent="0.25">
      <c r="B303" s="91" t="str">
        <f t="shared" si="118"/>
        <v/>
      </c>
      <c r="C303" s="81">
        <f>IF(Sheet3!A274="","",Sheet3!A274)</f>
        <v>39531</v>
      </c>
      <c r="D303" s="82">
        <f>IF(C303="","",Sheet3!E274)</f>
        <v>37.659999999999997</v>
      </c>
      <c r="E303" s="56">
        <f>_xlfn.XLOOKUP(WEEKNUM(C303)&amp;YEAR(C303),Sheet4!C:C,Sheet4!B:B,0)</f>
        <v>0</v>
      </c>
      <c r="F303" s="46">
        <f>IF(int=Weekly,-$D$5,IF(int=Bi_Weekly,-$D$5,IF(int=Monthly,-$D$5,IF(int=Quarterly,0,IF(int=Yearly,0,IF(int=None,0,0))))))</f>
        <v>-100</v>
      </c>
      <c r="G303" s="46"/>
      <c r="H303" s="46">
        <f t="shared" si="127"/>
        <v>-6850</v>
      </c>
      <c r="I303" s="47"/>
      <c r="J303" s="38">
        <f t="shared" si="114"/>
        <v>2.6553372278279346</v>
      </c>
      <c r="K303" s="48"/>
      <c r="L303" s="48">
        <f t="shared" si="119"/>
        <v>247.78267631790666</v>
      </c>
      <c r="M303" s="48"/>
      <c r="N303" s="38">
        <f t="shared" si="120"/>
        <v>0</v>
      </c>
      <c r="O303" s="36">
        <f t="shared" si="121"/>
        <v>0</v>
      </c>
      <c r="P303" s="84">
        <f t="shared" si="122"/>
        <v>-7773.8182210351242</v>
      </c>
      <c r="Q303" s="38">
        <f t="shared" si="123"/>
        <v>0</v>
      </c>
      <c r="R303" s="48">
        <f t="shared" si="124"/>
        <v>30.711539393405481</v>
      </c>
      <c r="S303" s="38">
        <f t="shared" si="115"/>
        <v>278.49421571131217</v>
      </c>
      <c r="T303" s="50">
        <f t="shared" si="128"/>
        <v>6850</v>
      </c>
      <c r="U303" s="40">
        <f t="shared" si="129"/>
        <v>9331.4955901323647</v>
      </c>
      <c r="V303" s="41">
        <f t="shared" si="130"/>
        <v>0.36226212994633067</v>
      </c>
      <c r="W303" s="39">
        <f t="shared" si="131"/>
        <v>2481.4955901323647</v>
      </c>
      <c r="X303" s="50">
        <f t="shared" si="125"/>
        <v>924.28697105140134</v>
      </c>
      <c r="Y303" s="41">
        <f t="shared" si="132"/>
        <v>0.49719453447938178</v>
      </c>
      <c r="Z303" s="52"/>
      <c r="AA303" s="50">
        <f t="shared" si="112"/>
        <v>7774.2869710514005</v>
      </c>
      <c r="AB303" s="39">
        <f t="shared" si="113"/>
        <v>10488.092163688016</v>
      </c>
      <c r="AC303" s="39">
        <f t="shared" si="133"/>
        <v>2713.8051926366152</v>
      </c>
      <c r="AD303" s="41">
        <f t="shared" si="134"/>
        <v>0.34907448139512121</v>
      </c>
      <c r="AF303" s="46">
        <f t="shared" si="116"/>
        <v>-100</v>
      </c>
      <c r="AG303" s="46">
        <f t="shared" si="135"/>
        <v>-100</v>
      </c>
      <c r="AH303" s="54">
        <f t="shared" si="117"/>
        <v>1904</v>
      </c>
      <c r="AI303" s="55">
        <f t="shared" si="126"/>
        <v>0.69710467706013368</v>
      </c>
      <c r="AJ303" s="55">
        <f t="shared" si="136"/>
        <v>-69.710467706013361</v>
      </c>
      <c r="AK303" s="55">
        <f t="shared" si="137"/>
        <v>-69.710467706013361</v>
      </c>
    </row>
    <row r="304" spans="2:37" s="53" customFormat="1" ht="17.25" customHeight="1" x14ac:dyDescent="0.25">
      <c r="B304" s="91" t="str">
        <f t="shared" si="118"/>
        <v/>
      </c>
      <c r="C304" s="81">
        <f>IF(Sheet3!A275="","",Sheet3!A275)</f>
        <v>39538</v>
      </c>
      <c r="D304" s="82">
        <f>IF(C304="","",Sheet3!E275)</f>
        <v>38.479999999999997</v>
      </c>
      <c r="E304" s="56">
        <f>_xlfn.XLOOKUP(WEEKNUM(C304)&amp;YEAR(C304),Sheet4!C:C,Sheet4!B:B,0)</f>
        <v>0</v>
      </c>
      <c r="F304" s="46">
        <f>IF(int=Weekly,-$D$5,IF(int=Bi_Weekly,0,IF(int=Monthly,0,IF(int=Quarterly,-$D$5,IF(int=Yearly,0,IF(int=None,0,0))))))</f>
        <v>0</v>
      </c>
      <c r="G304" s="46"/>
      <c r="H304" s="46">
        <f t="shared" si="127"/>
        <v>-6850</v>
      </c>
      <c r="I304" s="47"/>
      <c r="J304" s="38">
        <f t="shared" si="114"/>
        <v>0</v>
      </c>
      <c r="K304" s="48"/>
      <c r="L304" s="48">
        <f t="shared" si="119"/>
        <v>247.78267631790666</v>
      </c>
      <c r="M304" s="48"/>
      <c r="N304" s="38">
        <f t="shared" si="120"/>
        <v>0</v>
      </c>
      <c r="O304" s="36">
        <f t="shared" si="121"/>
        <v>0</v>
      </c>
      <c r="P304" s="84">
        <f t="shared" si="122"/>
        <v>-7773.8182210351242</v>
      </c>
      <c r="Q304" s="38">
        <f t="shared" si="123"/>
        <v>0</v>
      </c>
      <c r="R304" s="48">
        <f t="shared" si="124"/>
        <v>30.711539393405481</v>
      </c>
      <c r="S304" s="38">
        <f t="shared" si="115"/>
        <v>278.49421571131217</v>
      </c>
      <c r="T304" s="50">
        <f t="shared" si="128"/>
        <v>6850</v>
      </c>
      <c r="U304" s="40">
        <f t="shared" si="129"/>
        <v>9534.677384713048</v>
      </c>
      <c r="V304" s="41">
        <f t="shared" si="130"/>
        <v>0.39192370579752533</v>
      </c>
      <c r="W304" s="39">
        <f t="shared" si="131"/>
        <v>2684.677384713048</v>
      </c>
      <c r="X304" s="50">
        <f t="shared" si="125"/>
        <v>924.28697105140134</v>
      </c>
      <c r="Y304" s="41">
        <f t="shared" si="132"/>
        <v>0.52685611033057644</v>
      </c>
      <c r="Z304" s="52"/>
      <c r="AA304" s="50">
        <f t="shared" si="112"/>
        <v>7774.2869710514005</v>
      </c>
      <c r="AB304" s="39">
        <f t="shared" si="113"/>
        <v>10716.457420571291</v>
      </c>
      <c r="AC304" s="39">
        <f t="shared" si="133"/>
        <v>2942.1704495198901</v>
      </c>
      <c r="AD304" s="41">
        <f t="shared" si="134"/>
        <v>0.37844891248232226</v>
      </c>
      <c r="AF304" s="46">
        <f t="shared" si="116"/>
        <v>0</v>
      </c>
      <c r="AG304" s="46">
        <f t="shared" si="135"/>
        <v>0</v>
      </c>
      <c r="AH304" s="54">
        <f t="shared" si="117"/>
        <v>1911</v>
      </c>
      <c r="AI304" s="55">
        <f t="shared" si="126"/>
        <v>0.69599109131403114</v>
      </c>
      <c r="AJ304" s="55">
        <f t="shared" si="136"/>
        <v>0</v>
      </c>
      <c r="AK304" s="55">
        <f t="shared" si="137"/>
        <v>0</v>
      </c>
    </row>
    <row r="305" spans="2:37" s="53" customFormat="1" ht="17.25" customHeight="1" x14ac:dyDescent="0.25">
      <c r="B305" s="91" t="str">
        <f t="shared" si="118"/>
        <v/>
      </c>
      <c r="C305" s="81">
        <f>IF(Sheet3!A276="","",Sheet3!A276)</f>
        <v>39545</v>
      </c>
      <c r="D305" s="82">
        <f>IF(C305="","",Sheet3!E276)</f>
        <v>37.299999</v>
      </c>
      <c r="E305" s="56">
        <f>_xlfn.XLOOKUP(WEEKNUM(C305)&amp;YEAR(C305),Sheet4!C:C,Sheet4!B:B,0)</f>
        <v>0.4</v>
      </c>
      <c r="F305" s="46">
        <f>IF(int=Weekly,-$D$5,IF(int=Bi_Weekly,-$D$5,IF(int=Monthly,0,IF(int=Quarterly,0,IF(int=Yearly,0,IF(int=None,0,0))))))</f>
        <v>0</v>
      </c>
      <c r="G305" s="46"/>
      <c r="H305" s="46">
        <f t="shared" si="127"/>
        <v>-6850</v>
      </c>
      <c r="I305" s="47"/>
      <c r="J305" s="38">
        <f t="shared" si="114"/>
        <v>0</v>
      </c>
      <c r="K305" s="48"/>
      <c r="L305" s="48">
        <f t="shared" si="119"/>
        <v>247.78267631790666</v>
      </c>
      <c r="M305" s="48"/>
      <c r="N305" s="38">
        <f t="shared" si="120"/>
        <v>99.113070527162677</v>
      </c>
      <c r="O305" s="36">
        <f t="shared" si="121"/>
        <v>-99.113070527162677</v>
      </c>
      <c r="P305" s="84">
        <f t="shared" si="122"/>
        <v>-7872.9312915622868</v>
      </c>
      <c r="Q305" s="38">
        <f t="shared" si="123"/>
        <v>2.6571869486420812</v>
      </c>
      <c r="R305" s="48">
        <f t="shared" si="124"/>
        <v>33.368726342047559</v>
      </c>
      <c r="S305" s="38">
        <f t="shared" si="115"/>
        <v>281.15140265995421</v>
      </c>
      <c r="T305" s="50">
        <f t="shared" si="128"/>
        <v>6850</v>
      </c>
      <c r="U305" s="40">
        <f t="shared" si="129"/>
        <v>9242.293578875242</v>
      </c>
      <c r="V305" s="41">
        <f t="shared" si="130"/>
        <v>0.34923993852193314</v>
      </c>
      <c r="W305" s="39">
        <f t="shared" si="131"/>
        <v>2392.293578875242</v>
      </c>
      <c r="X305" s="50">
        <f t="shared" si="125"/>
        <v>1023.400041578564</v>
      </c>
      <c r="Y305" s="41">
        <f t="shared" si="132"/>
        <v>0.49864140444581118</v>
      </c>
      <c r="Z305" s="52"/>
      <c r="AA305" s="50">
        <f t="shared" ref="AA305:AA368" si="138">(D305*Q305)+(D305*J305)+AA304</f>
        <v>7873.4000415785631</v>
      </c>
      <c r="AB305" s="39">
        <f t="shared" ref="AB305:AB368" si="139">(L305*D305)+(D305*R305)</f>
        <v>10486.947038064889</v>
      </c>
      <c r="AC305" s="39">
        <f t="shared" si="133"/>
        <v>2613.546996486326</v>
      </c>
      <c r="AD305" s="41">
        <f t="shared" si="134"/>
        <v>0.33194642501136373</v>
      </c>
      <c r="AF305" s="46">
        <f t="shared" si="116"/>
        <v>99.113070527162677</v>
      </c>
      <c r="AG305" s="46">
        <f t="shared" si="135"/>
        <v>0</v>
      </c>
      <c r="AH305" s="54">
        <f t="shared" si="117"/>
        <v>1918</v>
      </c>
      <c r="AI305" s="55">
        <f t="shared" si="126"/>
        <v>0.69487750556792871</v>
      </c>
      <c r="AJ305" s="55">
        <f t="shared" si="136"/>
        <v>68.871443217092988</v>
      </c>
      <c r="AK305" s="55">
        <f t="shared" si="137"/>
        <v>0</v>
      </c>
    </row>
    <row r="306" spans="2:37" s="53" customFormat="1" ht="17.25" customHeight="1" x14ac:dyDescent="0.25">
      <c r="B306" s="91" t="str">
        <f t="shared" si="118"/>
        <v/>
      </c>
      <c r="C306" s="81">
        <f>IF(Sheet3!A277="","",Sheet3!A277)</f>
        <v>39552</v>
      </c>
      <c r="D306" s="82">
        <f>IF(C306="","",Sheet3!E277)</f>
        <v>37.509998000000003</v>
      </c>
      <c r="E306" s="56">
        <f>_xlfn.XLOOKUP(WEEKNUM(C306)&amp;YEAR(C306),Sheet4!C:C,Sheet4!B:B,0)</f>
        <v>0</v>
      </c>
      <c r="F306" s="46">
        <f>IF(int=Weekly,-$D$5,IF(int=Bi_Weekly,0,IF(int=Monthly,0,IF(int=Quarterly,0,IF(int=Yearly,0,IF(int=None,0,0))))))</f>
        <v>0</v>
      </c>
      <c r="G306" s="46"/>
      <c r="H306" s="46">
        <f t="shared" si="127"/>
        <v>-6850</v>
      </c>
      <c r="I306" s="47"/>
      <c r="J306" s="38">
        <f t="shared" si="114"/>
        <v>0</v>
      </c>
      <c r="K306" s="48"/>
      <c r="L306" s="48">
        <f t="shared" si="119"/>
        <v>247.78267631790666</v>
      </c>
      <c r="M306" s="48"/>
      <c r="N306" s="38">
        <f t="shared" si="120"/>
        <v>0</v>
      </c>
      <c r="O306" s="36">
        <f t="shared" si="121"/>
        <v>0</v>
      </c>
      <c r="P306" s="84">
        <f t="shared" si="122"/>
        <v>-7872.9312915622868</v>
      </c>
      <c r="Q306" s="38">
        <f t="shared" si="123"/>
        <v>0</v>
      </c>
      <c r="R306" s="48">
        <f t="shared" si="124"/>
        <v>33.368726342047559</v>
      </c>
      <c r="S306" s="38">
        <f t="shared" si="115"/>
        <v>281.15140265995421</v>
      </c>
      <c r="T306" s="50">
        <f t="shared" si="128"/>
        <v>6850</v>
      </c>
      <c r="U306" s="40">
        <f t="shared" si="129"/>
        <v>9294.3276931193268</v>
      </c>
      <c r="V306" s="41">
        <f t="shared" si="130"/>
        <v>0.3568361595794638</v>
      </c>
      <c r="W306" s="39">
        <f t="shared" si="131"/>
        <v>2444.3276931193268</v>
      </c>
      <c r="X306" s="50">
        <f t="shared" si="125"/>
        <v>1023.400041578564</v>
      </c>
      <c r="Y306" s="41">
        <f t="shared" si="132"/>
        <v>0.50623762550334184</v>
      </c>
      <c r="Z306" s="52"/>
      <c r="AA306" s="50">
        <f t="shared" si="138"/>
        <v>7873.4000415785631</v>
      </c>
      <c r="AB306" s="39">
        <f t="shared" si="139"/>
        <v>10545.988551472077</v>
      </c>
      <c r="AC306" s="39">
        <f t="shared" si="133"/>
        <v>2672.5885098935141</v>
      </c>
      <c r="AD306" s="41">
        <f t="shared" si="134"/>
        <v>0.33944528358521953</v>
      </c>
      <c r="AF306" s="46">
        <f t="shared" si="116"/>
        <v>0</v>
      </c>
      <c r="AG306" s="46">
        <f t="shared" si="135"/>
        <v>0</v>
      </c>
      <c r="AH306" s="54">
        <f t="shared" si="117"/>
        <v>1925</v>
      </c>
      <c r="AI306" s="55">
        <f t="shared" si="126"/>
        <v>0.69376391982182628</v>
      </c>
      <c r="AJ306" s="55">
        <f t="shared" si="136"/>
        <v>0</v>
      </c>
      <c r="AK306" s="55">
        <f t="shared" si="137"/>
        <v>0</v>
      </c>
    </row>
    <row r="307" spans="2:37" s="53" customFormat="1" ht="17.25" customHeight="1" x14ac:dyDescent="0.25">
      <c r="B307" s="91" t="str">
        <f t="shared" si="118"/>
        <v/>
      </c>
      <c r="C307" s="81">
        <f>IF(Sheet3!A278="","",Sheet3!A278)</f>
        <v>39559</v>
      </c>
      <c r="D307" s="82">
        <f>IF(C307="","",Sheet3!E278)</f>
        <v>38.580002</v>
      </c>
      <c r="E307" s="56">
        <f>_xlfn.XLOOKUP(WEEKNUM(C307)&amp;YEAR(C307),Sheet4!C:C,Sheet4!B:B,0)</f>
        <v>0</v>
      </c>
      <c r="F307" s="46">
        <f>IF(int=Weekly,-$D$5,IF(int=Bi_Weekly,-$D$5,IF(int=Monthly,-$D$5,IF(int=Quarterly,0,IF(int=Yearly,0,IF(int=None,0,0))))))</f>
        <v>-100</v>
      </c>
      <c r="G307" s="46"/>
      <c r="H307" s="46">
        <f t="shared" si="127"/>
        <v>-6950</v>
      </c>
      <c r="I307" s="47"/>
      <c r="J307" s="38">
        <f t="shared" si="114"/>
        <v>2.5920164545351758</v>
      </c>
      <c r="K307" s="48"/>
      <c r="L307" s="48">
        <f t="shared" si="119"/>
        <v>250.37469277244185</v>
      </c>
      <c r="M307" s="48"/>
      <c r="N307" s="38">
        <f t="shared" si="120"/>
        <v>0</v>
      </c>
      <c r="O307" s="36">
        <f t="shared" si="121"/>
        <v>0</v>
      </c>
      <c r="P307" s="84">
        <f t="shared" si="122"/>
        <v>-7972.9312915622868</v>
      </c>
      <c r="Q307" s="38">
        <f t="shared" si="123"/>
        <v>0</v>
      </c>
      <c r="R307" s="48">
        <f t="shared" si="124"/>
        <v>33.368726342047559</v>
      </c>
      <c r="S307" s="38">
        <f t="shared" si="115"/>
        <v>283.74341911448943</v>
      </c>
      <c r="T307" s="50">
        <f t="shared" si="128"/>
        <v>6950</v>
      </c>
      <c r="U307" s="40">
        <f t="shared" si="129"/>
        <v>9659.4561479101922</v>
      </c>
      <c r="V307" s="41">
        <f t="shared" si="130"/>
        <v>0.38984980545470393</v>
      </c>
      <c r="W307" s="39">
        <f t="shared" si="131"/>
        <v>2709.4561479101922</v>
      </c>
      <c r="X307" s="50">
        <f t="shared" si="125"/>
        <v>1023.400041578564</v>
      </c>
      <c r="Y307" s="41">
        <f t="shared" si="132"/>
        <v>0.5371016099983823</v>
      </c>
      <c r="Z307" s="52"/>
      <c r="AA307" s="50">
        <f t="shared" si="138"/>
        <v>7973.4000415785631</v>
      </c>
      <c r="AB307" s="39">
        <f t="shared" si="139"/>
        <v>10946.821676923839</v>
      </c>
      <c r="AC307" s="39">
        <f t="shared" si="133"/>
        <v>2973.4216353452757</v>
      </c>
      <c r="AD307" s="41">
        <f t="shared" si="134"/>
        <v>0.37291765367846774</v>
      </c>
      <c r="AF307" s="46">
        <f t="shared" si="116"/>
        <v>-100</v>
      </c>
      <c r="AG307" s="46">
        <f t="shared" si="135"/>
        <v>-100</v>
      </c>
      <c r="AH307" s="54">
        <f t="shared" si="117"/>
        <v>1932</v>
      </c>
      <c r="AI307" s="55">
        <f t="shared" si="126"/>
        <v>0.69265033407572385</v>
      </c>
      <c r="AJ307" s="55">
        <f t="shared" si="136"/>
        <v>-69.265033407572389</v>
      </c>
      <c r="AK307" s="55">
        <f t="shared" si="137"/>
        <v>-69.265033407572389</v>
      </c>
    </row>
    <row r="308" spans="2:37" s="53" customFormat="1" ht="17.25" customHeight="1" x14ac:dyDescent="0.25">
      <c r="B308" s="91" t="str">
        <f t="shared" si="118"/>
        <v/>
      </c>
      <c r="C308" s="81">
        <f>IF(Sheet3!A279="","",Sheet3!A279)</f>
        <v>39566</v>
      </c>
      <c r="D308" s="82">
        <f>IF(C308="","",Sheet3!E279)</f>
        <v>40.130001</v>
      </c>
      <c r="E308" s="56">
        <f>_xlfn.XLOOKUP(WEEKNUM(C308)&amp;YEAR(C308),Sheet4!C:C,Sheet4!B:B,0)</f>
        <v>0</v>
      </c>
      <c r="F308" s="46">
        <f>IF(int=Weekly,-$D$5,IF(int=Bi_Weekly,0,IF(int=Monthly,0,IF(int=Quarterly,0,IF(int=Yearly,0,IF(int=None,0,0))))))</f>
        <v>0</v>
      </c>
      <c r="G308" s="46"/>
      <c r="H308" s="46">
        <f t="shared" si="127"/>
        <v>-6950</v>
      </c>
      <c r="I308" s="47"/>
      <c r="J308" s="38">
        <f t="shared" si="114"/>
        <v>0</v>
      </c>
      <c r="K308" s="48"/>
      <c r="L308" s="48">
        <f t="shared" si="119"/>
        <v>250.37469277244185</v>
      </c>
      <c r="M308" s="48"/>
      <c r="N308" s="38">
        <f t="shared" si="120"/>
        <v>0</v>
      </c>
      <c r="O308" s="36">
        <f t="shared" si="121"/>
        <v>0</v>
      </c>
      <c r="P308" s="84">
        <f t="shared" si="122"/>
        <v>-7972.9312915622868</v>
      </c>
      <c r="Q308" s="38">
        <f t="shared" si="123"/>
        <v>0</v>
      </c>
      <c r="R308" s="48">
        <f t="shared" si="124"/>
        <v>33.368726342047559</v>
      </c>
      <c r="S308" s="38">
        <f t="shared" si="115"/>
        <v>283.74341911448943</v>
      </c>
      <c r="T308" s="50">
        <f t="shared" si="128"/>
        <v>6950</v>
      </c>
      <c r="U308" s="40">
        <f t="shared" si="129"/>
        <v>10047.536671332784</v>
      </c>
      <c r="V308" s="41">
        <f t="shared" si="130"/>
        <v>0.44568872968817042</v>
      </c>
      <c r="W308" s="39">
        <f t="shared" si="131"/>
        <v>3097.536671332784</v>
      </c>
      <c r="X308" s="50">
        <f t="shared" si="125"/>
        <v>1023.400041578564</v>
      </c>
      <c r="Y308" s="41">
        <f t="shared" si="132"/>
        <v>0.59294053423184878</v>
      </c>
      <c r="Z308" s="52"/>
      <c r="AA308" s="50">
        <f t="shared" si="138"/>
        <v>7973.4000415785631</v>
      </c>
      <c r="AB308" s="39">
        <f t="shared" si="139"/>
        <v>11386.62369280788</v>
      </c>
      <c r="AC308" s="39">
        <f t="shared" si="133"/>
        <v>3413.2236512293166</v>
      </c>
      <c r="AD308" s="41">
        <f t="shared" si="134"/>
        <v>0.42807630790259088</v>
      </c>
      <c r="AF308" s="46">
        <f t="shared" si="116"/>
        <v>0</v>
      </c>
      <c r="AG308" s="46">
        <f t="shared" si="135"/>
        <v>0</v>
      </c>
      <c r="AH308" s="54">
        <f t="shared" si="117"/>
        <v>1939</v>
      </c>
      <c r="AI308" s="55">
        <f t="shared" si="126"/>
        <v>0.69153674832962142</v>
      </c>
      <c r="AJ308" s="55">
        <f t="shared" si="136"/>
        <v>0</v>
      </c>
      <c r="AK308" s="55">
        <f t="shared" si="137"/>
        <v>0</v>
      </c>
    </row>
    <row r="309" spans="2:37" s="53" customFormat="1" ht="17.25" customHeight="1" x14ac:dyDescent="0.25">
      <c r="B309" s="91" t="str">
        <f t="shared" si="118"/>
        <v/>
      </c>
      <c r="C309" s="81">
        <f>IF(Sheet3!A280="","",Sheet3!A280)</f>
        <v>39573</v>
      </c>
      <c r="D309" s="82">
        <f>IF(C309="","",Sheet3!E280)</f>
        <v>38.590000000000003</v>
      </c>
      <c r="E309" s="56">
        <f>_xlfn.XLOOKUP(WEEKNUM(C309)&amp;YEAR(C309),Sheet4!C:C,Sheet4!B:B,0)</f>
        <v>0</v>
      </c>
      <c r="F309" s="46">
        <f>IF(int=Weekly,-$D$5,IF(int=Bi_Weekly,-$D$5,IF(int=Monthly,0,IF(int=Quarterly,0,IF(int=Yearly,0,IF(int=None,0,0))))))</f>
        <v>0</v>
      </c>
      <c r="G309" s="46"/>
      <c r="H309" s="46">
        <f t="shared" si="127"/>
        <v>-6950</v>
      </c>
      <c r="I309" s="47"/>
      <c r="J309" s="38">
        <f t="shared" si="114"/>
        <v>0</v>
      </c>
      <c r="K309" s="48"/>
      <c r="L309" s="48">
        <f t="shared" si="119"/>
        <v>250.37469277244185</v>
      </c>
      <c r="M309" s="48"/>
      <c r="N309" s="38">
        <f t="shared" si="120"/>
        <v>0</v>
      </c>
      <c r="O309" s="36">
        <f t="shared" si="121"/>
        <v>0</v>
      </c>
      <c r="P309" s="84">
        <f t="shared" si="122"/>
        <v>-7972.9312915622868</v>
      </c>
      <c r="Q309" s="38">
        <f t="shared" si="123"/>
        <v>0</v>
      </c>
      <c r="R309" s="48">
        <f t="shared" si="124"/>
        <v>33.368726342047559</v>
      </c>
      <c r="S309" s="38">
        <f t="shared" si="115"/>
        <v>283.74341911448943</v>
      </c>
      <c r="T309" s="50">
        <f t="shared" si="128"/>
        <v>6950</v>
      </c>
      <c r="U309" s="40">
        <f t="shared" si="129"/>
        <v>9661.9593940885316</v>
      </c>
      <c r="V309" s="41">
        <f t="shared" si="130"/>
        <v>0.39020998476093971</v>
      </c>
      <c r="W309" s="39">
        <f t="shared" si="131"/>
        <v>2711.9593940885316</v>
      </c>
      <c r="X309" s="50">
        <f t="shared" si="125"/>
        <v>1023.400041578564</v>
      </c>
      <c r="Y309" s="41">
        <f t="shared" si="132"/>
        <v>0.53746178930461785</v>
      </c>
      <c r="Z309" s="52"/>
      <c r="AA309" s="50">
        <f t="shared" si="138"/>
        <v>7973.4000415785631</v>
      </c>
      <c r="AB309" s="39">
        <f t="shared" si="139"/>
        <v>10949.658543628148</v>
      </c>
      <c r="AC309" s="39">
        <f t="shared" si="133"/>
        <v>2976.2585020495844</v>
      </c>
      <c r="AD309" s="41">
        <f t="shared" si="134"/>
        <v>0.37327344502087079</v>
      </c>
      <c r="AF309" s="46">
        <f t="shared" si="116"/>
        <v>0</v>
      </c>
      <c r="AG309" s="46">
        <f t="shared" si="135"/>
        <v>0</v>
      </c>
      <c r="AH309" s="54">
        <f t="shared" si="117"/>
        <v>1946</v>
      </c>
      <c r="AI309" s="55">
        <f t="shared" si="126"/>
        <v>0.69042316258351888</v>
      </c>
      <c r="AJ309" s="55">
        <f t="shared" si="136"/>
        <v>0</v>
      </c>
      <c r="AK309" s="55">
        <f t="shared" si="137"/>
        <v>0</v>
      </c>
    </row>
    <row r="310" spans="2:37" s="53" customFormat="1" ht="17.25" customHeight="1" x14ac:dyDescent="0.25">
      <c r="B310" s="91" t="str">
        <f t="shared" si="118"/>
        <v/>
      </c>
      <c r="C310" s="81">
        <f>IF(Sheet3!A281="","",Sheet3!A281)</f>
        <v>39580</v>
      </c>
      <c r="D310" s="82">
        <f>IF(C310="","",Sheet3!E281)</f>
        <v>40.07</v>
      </c>
      <c r="E310" s="56">
        <f>_xlfn.XLOOKUP(WEEKNUM(C310)&amp;YEAR(C310),Sheet4!C:C,Sheet4!B:B,0)</f>
        <v>0</v>
      </c>
      <c r="F310" s="46">
        <f>IF(int=Weekly,-$D$5,IF(int=Bi_Weekly,0,IF(int=Monthly,0,IF(int=Quarterly,0,IF(int=Yearly,0,IF(int=None,0,0))))))</f>
        <v>0</v>
      </c>
      <c r="G310" s="46"/>
      <c r="H310" s="46">
        <f t="shared" si="127"/>
        <v>-6950</v>
      </c>
      <c r="I310" s="47"/>
      <c r="J310" s="38">
        <f t="shared" si="114"/>
        <v>0</v>
      </c>
      <c r="K310" s="48"/>
      <c r="L310" s="48">
        <f t="shared" si="119"/>
        <v>250.37469277244185</v>
      </c>
      <c r="M310" s="48"/>
      <c r="N310" s="38">
        <f t="shared" si="120"/>
        <v>0</v>
      </c>
      <c r="O310" s="36">
        <f t="shared" si="121"/>
        <v>0</v>
      </c>
      <c r="P310" s="84">
        <f t="shared" si="122"/>
        <v>-7972.9312915622868</v>
      </c>
      <c r="Q310" s="38">
        <f t="shared" si="123"/>
        <v>0</v>
      </c>
      <c r="R310" s="48">
        <f t="shared" si="124"/>
        <v>33.368726342047559</v>
      </c>
      <c r="S310" s="38">
        <f t="shared" si="115"/>
        <v>283.74341911448943</v>
      </c>
      <c r="T310" s="50">
        <f t="shared" si="128"/>
        <v>6950</v>
      </c>
      <c r="U310" s="40">
        <f t="shared" si="129"/>
        <v>10032.513939391745</v>
      </c>
      <c r="V310" s="41">
        <f t="shared" si="130"/>
        <v>0.44352718552399217</v>
      </c>
      <c r="W310" s="39">
        <f t="shared" si="131"/>
        <v>3082.5139393917452</v>
      </c>
      <c r="X310" s="50">
        <f t="shared" si="125"/>
        <v>1023.400041578564</v>
      </c>
      <c r="Y310" s="41">
        <f t="shared" si="132"/>
        <v>0.59077899006767032</v>
      </c>
      <c r="Z310" s="52"/>
      <c r="AA310" s="50">
        <f t="shared" si="138"/>
        <v>7973.4000415785631</v>
      </c>
      <c r="AB310" s="39">
        <f t="shared" si="139"/>
        <v>11369.59880391759</v>
      </c>
      <c r="AC310" s="39">
        <f t="shared" si="133"/>
        <v>3396.1987623390269</v>
      </c>
      <c r="AD310" s="41">
        <f t="shared" si="134"/>
        <v>0.42594109722690554</v>
      </c>
      <c r="AF310" s="46">
        <f t="shared" si="116"/>
        <v>0</v>
      </c>
      <c r="AG310" s="46">
        <f t="shared" si="135"/>
        <v>0</v>
      </c>
      <c r="AH310" s="54">
        <f t="shared" si="117"/>
        <v>1953</v>
      </c>
      <c r="AI310" s="55">
        <f t="shared" si="126"/>
        <v>0.68930957683741645</v>
      </c>
      <c r="AJ310" s="55">
        <f t="shared" si="136"/>
        <v>0</v>
      </c>
      <c r="AK310" s="55">
        <f t="shared" si="137"/>
        <v>0</v>
      </c>
    </row>
    <row r="311" spans="2:37" s="53" customFormat="1" ht="17.25" customHeight="1" x14ac:dyDescent="0.25">
      <c r="B311" s="91" t="str">
        <f t="shared" si="118"/>
        <v/>
      </c>
      <c r="C311" s="81">
        <f>IF(Sheet3!A282="","",Sheet3!A282)</f>
        <v>39587</v>
      </c>
      <c r="D311" s="82">
        <f>IF(C311="","",Sheet3!E282)</f>
        <v>38.529998999999997</v>
      </c>
      <c r="E311" s="56">
        <f>_xlfn.XLOOKUP(WEEKNUM(C311)&amp;YEAR(C311),Sheet4!C:C,Sheet4!B:B,0)</f>
        <v>0</v>
      </c>
      <c r="F311" s="46">
        <f>IF(int=Weekly,-$D$5,IF(int=Bi_Weekly,-$D$5,IF(int=Monthly,-$D$5,IF(int=Quarterly,0,IF(int=Yearly,0,IF(int=None,0,0))))))</f>
        <v>-100</v>
      </c>
      <c r="G311" s="46"/>
      <c r="H311" s="46">
        <f t="shared" si="127"/>
        <v>-7050</v>
      </c>
      <c r="I311" s="47"/>
      <c r="J311" s="38">
        <f t="shared" si="114"/>
        <v>2.5953802905626864</v>
      </c>
      <c r="K311" s="48"/>
      <c r="L311" s="48">
        <f t="shared" si="119"/>
        <v>252.97007306300452</v>
      </c>
      <c r="M311" s="48"/>
      <c r="N311" s="38">
        <f t="shared" si="120"/>
        <v>0</v>
      </c>
      <c r="O311" s="36">
        <f t="shared" si="121"/>
        <v>0</v>
      </c>
      <c r="P311" s="84">
        <f t="shared" si="122"/>
        <v>-8072.9312915622868</v>
      </c>
      <c r="Q311" s="38">
        <f t="shared" si="123"/>
        <v>0</v>
      </c>
      <c r="R311" s="48">
        <f t="shared" si="124"/>
        <v>33.368726342047559</v>
      </c>
      <c r="S311" s="38">
        <f t="shared" si="115"/>
        <v>286.3387994050521</v>
      </c>
      <c r="T311" s="50">
        <f t="shared" si="128"/>
        <v>7050</v>
      </c>
      <c r="U311" s="40">
        <f t="shared" si="129"/>
        <v>9746.936662147491</v>
      </c>
      <c r="V311" s="41">
        <f t="shared" si="130"/>
        <v>0.38254420739680728</v>
      </c>
      <c r="W311" s="39">
        <f t="shared" si="131"/>
        <v>2696.936662147491</v>
      </c>
      <c r="X311" s="50">
        <f t="shared" si="125"/>
        <v>1023.400041578564</v>
      </c>
      <c r="Y311" s="41">
        <f t="shared" si="132"/>
        <v>0.52770733386185165</v>
      </c>
      <c r="Z311" s="52"/>
      <c r="AA311" s="50">
        <f t="shared" si="138"/>
        <v>8073.4000415785631</v>
      </c>
      <c r="AB311" s="39">
        <f t="shared" si="139"/>
        <v>11032.633654737856</v>
      </c>
      <c r="AC311" s="39">
        <f t="shared" si="133"/>
        <v>2959.2336131592929</v>
      </c>
      <c r="AD311" s="41">
        <f t="shared" si="134"/>
        <v>0.36654118437325511</v>
      </c>
      <c r="AF311" s="46">
        <f t="shared" si="116"/>
        <v>-100</v>
      </c>
      <c r="AG311" s="46">
        <f t="shared" si="135"/>
        <v>-100</v>
      </c>
      <c r="AH311" s="54">
        <f t="shared" si="117"/>
        <v>1960</v>
      </c>
      <c r="AI311" s="55">
        <f t="shared" si="126"/>
        <v>0.68819599109131402</v>
      </c>
      <c r="AJ311" s="55">
        <f t="shared" si="136"/>
        <v>-68.819599109131403</v>
      </c>
      <c r="AK311" s="55">
        <f t="shared" si="137"/>
        <v>-68.819599109131403</v>
      </c>
    </row>
    <row r="312" spans="2:37" s="53" customFormat="1" ht="17.25" customHeight="1" x14ac:dyDescent="0.25">
      <c r="B312" s="91" t="str">
        <f t="shared" si="118"/>
        <v/>
      </c>
      <c r="C312" s="81">
        <f>IF(Sheet3!A283="","",Sheet3!A283)</f>
        <v>39594</v>
      </c>
      <c r="D312" s="82">
        <f>IF(C312="","",Sheet3!E283)</f>
        <v>39.900002000000001</v>
      </c>
      <c r="E312" s="56">
        <f>_xlfn.XLOOKUP(WEEKNUM(C312)&amp;YEAR(C312),Sheet4!C:C,Sheet4!B:B,0)</f>
        <v>0</v>
      </c>
      <c r="F312" s="46">
        <f>IF(int=Weekly,-$D$5,IF(int=Bi_Weekly,0,IF(int=Monthly,0,IF(int=Quarterly,0,IF(int=Yearly,0,IF(int=None,0,0))))))</f>
        <v>0</v>
      </c>
      <c r="G312" s="46"/>
      <c r="H312" s="46">
        <f t="shared" si="127"/>
        <v>-7050</v>
      </c>
      <c r="I312" s="47"/>
      <c r="J312" s="38">
        <f t="shared" si="114"/>
        <v>0</v>
      </c>
      <c r="K312" s="48"/>
      <c r="L312" s="48">
        <f t="shared" si="119"/>
        <v>252.97007306300452</v>
      </c>
      <c r="M312" s="48"/>
      <c r="N312" s="38">
        <f t="shared" si="120"/>
        <v>0</v>
      </c>
      <c r="O312" s="36">
        <f t="shared" si="121"/>
        <v>0</v>
      </c>
      <c r="P312" s="84">
        <f t="shared" si="122"/>
        <v>-8072.9312915622868</v>
      </c>
      <c r="Q312" s="38">
        <f t="shared" si="123"/>
        <v>0</v>
      </c>
      <c r="R312" s="48">
        <f t="shared" si="124"/>
        <v>33.368726342047559</v>
      </c>
      <c r="S312" s="38">
        <f t="shared" si="115"/>
        <v>286.3387994050521</v>
      </c>
      <c r="T312" s="50">
        <f t="shared" si="128"/>
        <v>7050</v>
      </c>
      <c r="U312" s="40">
        <f t="shared" si="129"/>
        <v>10093.506421154027</v>
      </c>
      <c r="V312" s="41">
        <f t="shared" si="130"/>
        <v>0.4317030384615641</v>
      </c>
      <c r="W312" s="39">
        <f t="shared" si="131"/>
        <v>3043.5064211540266</v>
      </c>
      <c r="X312" s="50">
        <f t="shared" si="125"/>
        <v>1023.400041578564</v>
      </c>
      <c r="Y312" s="41">
        <f t="shared" si="132"/>
        <v>0.57686616492660847</v>
      </c>
      <c r="Z312" s="52"/>
      <c r="AA312" s="50">
        <f t="shared" si="138"/>
        <v>8073.4000415785631</v>
      </c>
      <c r="AB312" s="39">
        <f t="shared" si="139"/>
        <v>11424.918668939177</v>
      </c>
      <c r="AC312" s="39">
        <f t="shared" si="133"/>
        <v>3351.5186273606141</v>
      </c>
      <c r="AD312" s="41">
        <f t="shared" si="134"/>
        <v>0.41513099934353104</v>
      </c>
      <c r="AF312" s="46">
        <f t="shared" si="116"/>
        <v>0</v>
      </c>
      <c r="AG312" s="46">
        <f t="shared" si="135"/>
        <v>0</v>
      </c>
      <c r="AH312" s="54">
        <f t="shared" si="117"/>
        <v>1967</v>
      </c>
      <c r="AI312" s="55">
        <f t="shared" si="126"/>
        <v>0.68708240534521159</v>
      </c>
      <c r="AJ312" s="55">
        <f t="shared" si="136"/>
        <v>0</v>
      </c>
      <c r="AK312" s="55">
        <f t="shared" si="137"/>
        <v>0</v>
      </c>
    </row>
    <row r="313" spans="2:37" s="53" customFormat="1" ht="17.25" customHeight="1" x14ac:dyDescent="0.25">
      <c r="B313" s="91" t="str">
        <f t="shared" si="118"/>
        <v/>
      </c>
      <c r="C313" s="81">
        <f>IF(Sheet3!A284="","",Sheet3!A284)</f>
        <v>39601</v>
      </c>
      <c r="D313" s="82">
        <f>IF(C313="","",Sheet3!E284)</f>
        <v>38.209999000000003</v>
      </c>
      <c r="E313" s="56">
        <f>_xlfn.XLOOKUP(WEEKNUM(C313)&amp;YEAR(C313),Sheet4!C:C,Sheet4!B:B,0)</f>
        <v>0</v>
      </c>
      <c r="F313" s="46">
        <f>IF(int=Weekly,-$D$5,IF(int=Bi_Weekly,-$D$5,IF(int=Monthly,0,IF(int=Quarterly,0,IF(int=Yearly,0,IF(int=None,0,0))))))</f>
        <v>0</v>
      </c>
      <c r="G313" s="46"/>
      <c r="H313" s="46">
        <f t="shared" si="127"/>
        <v>-7050</v>
      </c>
      <c r="I313" s="47"/>
      <c r="J313" s="38">
        <f t="shared" si="114"/>
        <v>0</v>
      </c>
      <c r="K313" s="48"/>
      <c r="L313" s="48">
        <f t="shared" si="119"/>
        <v>252.97007306300452</v>
      </c>
      <c r="M313" s="48"/>
      <c r="N313" s="38">
        <f t="shared" si="120"/>
        <v>0</v>
      </c>
      <c r="O313" s="36">
        <f t="shared" si="121"/>
        <v>0</v>
      </c>
      <c r="P313" s="84">
        <f t="shared" si="122"/>
        <v>-8072.9312915622868</v>
      </c>
      <c r="Q313" s="38">
        <f t="shared" si="123"/>
        <v>0</v>
      </c>
      <c r="R313" s="48">
        <f t="shared" si="124"/>
        <v>33.368726342047559</v>
      </c>
      <c r="S313" s="38">
        <f t="shared" si="115"/>
        <v>286.3387994050521</v>
      </c>
      <c r="T313" s="50">
        <f t="shared" si="128"/>
        <v>7050</v>
      </c>
      <c r="U313" s="40">
        <f t="shared" si="129"/>
        <v>9665.9862387673311</v>
      </c>
      <c r="V313" s="41">
        <f t="shared" si="130"/>
        <v>0.37106187783933775</v>
      </c>
      <c r="W313" s="39">
        <f t="shared" si="131"/>
        <v>2615.9862387673311</v>
      </c>
      <c r="X313" s="50">
        <f t="shared" si="125"/>
        <v>1023.400041578564</v>
      </c>
      <c r="Y313" s="41">
        <f t="shared" si="132"/>
        <v>0.51622500430438212</v>
      </c>
      <c r="Z313" s="52"/>
      <c r="AA313" s="50">
        <f t="shared" si="138"/>
        <v>8073.4000415785631</v>
      </c>
      <c r="AB313" s="39">
        <f t="shared" si="139"/>
        <v>10941.005238928243</v>
      </c>
      <c r="AC313" s="39">
        <f t="shared" si="133"/>
        <v>2867.6051973496797</v>
      </c>
      <c r="AD313" s="41">
        <f t="shared" si="134"/>
        <v>0.35519176339352887</v>
      </c>
      <c r="AF313" s="46">
        <f t="shared" si="116"/>
        <v>0</v>
      </c>
      <c r="AG313" s="46">
        <f t="shared" si="135"/>
        <v>0</v>
      </c>
      <c r="AH313" s="54">
        <f t="shared" si="117"/>
        <v>1974</v>
      </c>
      <c r="AI313" s="55">
        <f t="shared" si="126"/>
        <v>0.68596881959910916</v>
      </c>
      <c r="AJ313" s="55">
        <f t="shared" si="136"/>
        <v>0</v>
      </c>
      <c r="AK313" s="55">
        <f t="shared" si="137"/>
        <v>0</v>
      </c>
    </row>
    <row r="314" spans="2:37" s="53" customFormat="1" ht="17.25" customHeight="1" x14ac:dyDescent="0.25">
      <c r="B314" s="91" t="str">
        <f t="shared" si="118"/>
        <v/>
      </c>
      <c r="C314" s="81">
        <f>IF(Sheet3!A285="","",Sheet3!A285)</f>
        <v>39608</v>
      </c>
      <c r="D314" s="82">
        <f>IF(C314="","",Sheet3!E285)</f>
        <v>36.68</v>
      </c>
      <c r="E314" s="56">
        <f>_xlfn.XLOOKUP(WEEKNUM(C314)&amp;YEAR(C314),Sheet4!C:C,Sheet4!B:B,0)</f>
        <v>0</v>
      </c>
      <c r="F314" s="46">
        <f>IF(int=Weekly,-$D$5,IF(int=Bi_Weekly,0,IF(int=Monthly,0,IF(int=Quarterly,0,IF(int=Yearly,0,IF(int=None,0,0))))))</f>
        <v>0</v>
      </c>
      <c r="G314" s="46"/>
      <c r="H314" s="46">
        <f t="shared" si="127"/>
        <v>-7050</v>
      </c>
      <c r="I314" s="47"/>
      <c r="J314" s="38">
        <f t="shared" si="114"/>
        <v>0</v>
      </c>
      <c r="K314" s="48"/>
      <c r="L314" s="48">
        <f t="shared" si="119"/>
        <v>252.97007306300452</v>
      </c>
      <c r="M314" s="48"/>
      <c r="N314" s="38">
        <f t="shared" si="120"/>
        <v>0</v>
      </c>
      <c r="O314" s="36">
        <f t="shared" si="121"/>
        <v>0</v>
      </c>
      <c r="P314" s="84">
        <f t="shared" si="122"/>
        <v>-8072.9312915622868</v>
      </c>
      <c r="Q314" s="38">
        <f t="shared" si="123"/>
        <v>0</v>
      </c>
      <c r="R314" s="48">
        <f t="shared" si="124"/>
        <v>33.368726342047559</v>
      </c>
      <c r="S314" s="38">
        <f t="shared" si="115"/>
        <v>286.3387994050521</v>
      </c>
      <c r="T314" s="50">
        <f t="shared" si="128"/>
        <v>7050</v>
      </c>
      <c r="U314" s="40">
        <f t="shared" si="129"/>
        <v>9278.9422799510048</v>
      </c>
      <c r="V314" s="41">
        <f t="shared" si="130"/>
        <v>0.31616202552496531</v>
      </c>
      <c r="W314" s="39">
        <f t="shared" si="131"/>
        <v>2228.9422799510048</v>
      </c>
      <c r="X314" s="50">
        <f t="shared" si="125"/>
        <v>1023.400041578564</v>
      </c>
      <c r="Y314" s="41">
        <f t="shared" si="132"/>
        <v>0.4613251519900099</v>
      </c>
      <c r="Z314" s="52"/>
      <c r="AA314" s="50">
        <f t="shared" si="138"/>
        <v>8073.4000415785631</v>
      </c>
      <c r="AB314" s="39">
        <f t="shared" si="139"/>
        <v>10502.907162177309</v>
      </c>
      <c r="AC314" s="39">
        <f t="shared" si="133"/>
        <v>2429.507120598746</v>
      </c>
      <c r="AD314" s="41">
        <f t="shared" si="134"/>
        <v>0.30092737980115158</v>
      </c>
      <c r="AF314" s="46">
        <f t="shared" si="116"/>
        <v>0</v>
      </c>
      <c r="AG314" s="46">
        <f t="shared" si="135"/>
        <v>0</v>
      </c>
      <c r="AH314" s="54">
        <f t="shared" si="117"/>
        <v>1981</v>
      </c>
      <c r="AI314" s="55">
        <f t="shared" si="126"/>
        <v>0.68485523385300673</v>
      </c>
      <c r="AJ314" s="55">
        <f t="shared" si="136"/>
        <v>0</v>
      </c>
      <c r="AK314" s="55">
        <f t="shared" si="137"/>
        <v>0</v>
      </c>
    </row>
    <row r="315" spans="2:37" s="53" customFormat="1" ht="17.25" customHeight="1" x14ac:dyDescent="0.25">
      <c r="B315" s="91" t="str">
        <f t="shared" si="118"/>
        <v/>
      </c>
      <c r="C315" s="81">
        <f>IF(Sheet3!A286="","",Sheet3!A286)</f>
        <v>39615</v>
      </c>
      <c r="D315" s="82">
        <f>IF(C315="","",Sheet3!E286)</f>
        <v>34.43</v>
      </c>
      <c r="E315" s="56">
        <f>_xlfn.XLOOKUP(WEEKNUM(C315)&amp;YEAR(C315),Sheet4!C:C,Sheet4!B:B,0)</f>
        <v>0</v>
      </c>
      <c r="F315" s="46">
        <f>IF(int=Weekly,-$D$5,IF(int=Bi_Weekly,-$D$5,IF(int=Monthly,-$D$5,IF(int=Quarterly,0,IF(int=Yearly,0,IF(int=None,0,0))))))</f>
        <v>-100</v>
      </c>
      <c r="G315" s="46"/>
      <c r="H315" s="46">
        <f t="shared" si="127"/>
        <v>-7150</v>
      </c>
      <c r="I315" s="47"/>
      <c r="J315" s="38">
        <f t="shared" si="114"/>
        <v>2.9044437990124892</v>
      </c>
      <c r="K315" s="48"/>
      <c r="L315" s="48">
        <f t="shared" si="119"/>
        <v>255.874516862017</v>
      </c>
      <c r="M315" s="48"/>
      <c r="N315" s="38">
        <f t="shared" si="120"/>
        <v>0</v>
      </c>
      <c r="O315" s="36">
        <f t="shared" si="121"/>
        <v>0</v>
      </c>
      <c r="P315" s="84">
        <f t="shared" si="122"/>
        <v>-8172.9312915622868</v>
      </c>
      <c r="Q315" s="38">
        <f t="shared" si="123"/>
        <v>0</v>
      </c>
      <c r="R315" s="48">
        <f t="shared" si="124"/>
        <v>33.368726342047559</v>
      </c>
      <c r="S315" s="38">
        <f t="shared" si="115"/>
        <v>289.24324320406458</v>
      </c>
      <c r="T315" s="50">
        <f t="shared" si="128"/>
        <v>7150</v>
      </c>
      <c r="U315" s="40">
        <f t="shared" si="129"/>
        <v>8809.7596155592455</v>
      </c>
      <c r="V315" s="41">
        <f t="shared" si="130"/>
        <v>0.23213421196632811</v>
      </c>
      <c r="W315" s="39">
        <f t="shared" si="131"/>
        <v>1659.7596155592455</v>
      </c>
      <c r="X315" s="50">
        <f t="shared" si="125"/>
        <v>1023.400041578564</v>
      </c>
      <c r="Y315" s="41">
        <f t="shared" si="132"/>
        <v>0.3752670849143791</v>
      </c>
      <c r="Z315" s="52"/>
      <c r="AA315" s="50">
        <f t="shared" si="138"/>
        <v>8173.4000415785631</v>
      </c>
      <c r="AB315" s="39">
        <f t="shared" si="139"/>
        <v>9958.6448635159431</v>
      </c>
      <c r="AC315" s="39">
        <f t="shared" si="133"/>
        <v>1785.24482193738</v>
      </c>
      <c r="AD315" s="41">
        <f t="shared" si="134"/>
        <v>0.21842131950665999</v>
      </c>
      <c r="AF315" s="46">
        <f t="shared" si="116"/>
        <v>-100</v>
      </c>
      <c r="AG315" s="46">
        <f t="shared" si="135"/>
        <v>-100</v>
      </c>
      <c r="AH315" s="54">
        <f t="shared" si="117"/>
        <v>1988</v>
      </c>
      <c r="AI315" s="55">
        <f t="shared" si="126"/>
        <v>0.68374164810690419</v>
      </c>
      <c r="AJ315" s="55">
        <f t="shared" si="136"/>
        <v>-68.374164810690417</v>
      </c>
      <c r="AK315" s="55">
        <f t="shared" si="137"/>
        <v>-68.374164810690417</v>
      </c>
    </row>
    <row r="316" spans="2:37" s="53" customFormat="1" ht="17.25" customHeight="1" x14ac:dyDescent="0.25">
      <c r="B316" s="91" t="str">
        <f t="shared" si="118"/>
        <v/>
      </c>
      <c r="C316" s="81">
        <f>IF(Sheet3!A287="","",Sheet3!A287)</f>
        <v>39622</v>
      </c>
      <c r="D316" s="82">
        <f>IF(C316="","",Sheet3!E287)</f>
        <v>32.759998000000003</v>
      </c>
      <c r="E316" s="56">
        <f>_xlfn.XLOOKUP(WEEKNUM(C316)&amp;YEAR(C316),Sheet4!C:C,Sheet4!B:B,0)</f>
        <v>0</v>
      </c>
      <c r="F316" s="46">
        <f>IF(int=Weekly,-$D$5,IF(int=Bi_Weekly,0,IF(int=Monthly,0,IF(int=Quarterly,0,IF(int=Yearly,0,IF(int=None,0,0))))))</f>
        <v>0</v>
      </c>
      <c r="G316" s="46"/>
      <c r="H316" s="46">
        <f t="shared" si="127"/>
        <v>-7150</v>
      </c>
      <c r="I316" s="47"/>
      <c r="J316" s="38">
        <f t="shared" si="114"/>
        <v>0</v>
      </c>
      <c r="K316" s="48"/>
      <c r="L316" s="48">
        <f t="shared" si="119"/>
        <v>255.874516862017</v>
      </c>
      <c r="M316" s="48"/>
      <c r="N316" s="38">
        <f t="shared" si="120"/>
        <v>0</v>
      </c>
      <c r="O316" s="36">
        <f t="shared" si="121"/>
        <v>0</v>
      </c>
      <c r="P316" s="84">
        <f t="shared" si="122"/>
        <v>-8172.9312915622868</v>
      </c>
      <c r="Q316" s="38">
        <f t="shared" si="123"/>
        <v>0</v>
      </c>
      <c r="R316" s="48">
        <f t="shared" si="124"/>
        <v>33.368726342047559</v>
      </c>
      <c r="S316" s="38">
        <f t="shared" si="115"/>
        <v>289.24324320406458</v>
      </c>
      <c r="T316" s="50">
        <f t="shared" si="128"/>
        <v>7150</v>
      </c>
      <c r="U316" s="40">
        <f t="shared" si="129"/>
        <v>8382.4486606506434</v>
      </c>
      <c r="V316" s="41">
        <f t="shared" si="130"/>
        <v>0.17237044204904106</v>
      </c>
      <c r="W316" s="39">
        <f t="shared" si="131"/>
        <v>1232.4486606506434</v>
      </c>
      <c r="X316" s="50">
        <f t="shared" si="125"/>
        <v>1023.400041578564</v>
      </c>
      <c r="Y316" s="41">
        <f t="shared" si="132"/>
        <v>0.31550331499709183</v>
      </c>
      <c r="Z316" s="52"/>
      <c r="AA316" s="50">
        <f t="shared" si="138"/>
        <v>8173.4000415785631</v>
      </c>
      <c r="AB316" s="39">
        <f t="shared" si="139"/>
        <v>9475.6080688786697</v>
      </c>
      <c r="AC316" s="39">
        <f t="shared" si="133"/>
        <v>1302.2080273001066</v>
      </c>
      <c r="AD316" s="41">
        <f t="shared" si="134"/>
        <v>0.15932268342130551</v>
      </c>
      <c r="AF316" s="46">
        <f t="shared" si="116"/>
        <v>0</v>
      </c>
      <c r="AG316" s="46">
        <f t="shared" si="135"/>
        <v>0</v>
      </c>
      <c r="AH316" s="54">
        <f t="shared" si="117"/>
        <v>1995</v>
      </c>
      <c r="AI316" s="55">
        <f t="shared" si="126"/>
        <v>0.68262806236080176</v>
      </c>
      <c r="AJ316" s="55">
        <f t="shared" si="136"/>
        <v>0</v>
      </c>
      <c r="AK316" s="55">
        <f t="shared" si="137"/>
        <v>0</v>
      </c>
    </row>
    <row r="317" spans="2:37" s="53" customFormat="1" ht="17.25" customHeight="1" x14ac:dyDescent="0.25">
      <c r="B317" s="91" t="str">
        <f t="shared" si="118"/>
        <v/>
      </c>
      <c r="C317" s="81">
        <f>IF(Sheet3!A288="","",Sheet3!A288)</f>
        <v>39629</v>
      </c>
      <c r="D317" s="82">
        <f>IF(C317="","",Sheet3!E288)</f>
        <v>32.580002</v>
      </c>
      <c r="E317" s="56">
        <f>_xlfn.XLOOKUP(WEEKNUM(C317)&amp;YEAR(C317),Sheet4!C:C,Sheet4!B:B,0)</f>
        <v>0</v>
      </c>
      <c r="F317" s="46">
        <f>IF(int=Weekly,-$D$5,IF(int=Bi_Weekly,-$D$5,IF(int=Monthly,0,IF(int=Quarterly,-$D$5,IF(int=Yearly,0,IF(int=None,0,0))))))</f>
        <v>0</v>
      </c>
      <c r="G317" s="46"/>
      <c r="H317" s="46">
        <f t="shared" si="127"/>
        <v>-7150</v>
      </c>
      <c r="I317" s="47"/>
      <c r="J317" s="38">
        <f t="shared" si="114"/>
        <v>0</v>
      </c>
      <c r="K317" s="48"/>
      <c r="L317" s="48">
        <f t="shared" si="119"/>
        <v>255.874516862017</v>
      </c>
      <c r="M317" s="48"/>
      <c r="N317" s="38">
        <f t="shared" si="120"/>
        <v>0</v>
      </c>
      <c r="O317" s="36">
        <f t="shared" si="121"/>
        <v>0</v>
      </c>
      <c r="P317" s="84">
        <f t="shared" si="122"/>
        <v>-8172.9312915622868</v>
      </c>
      <c r="Q317" s="38">
        <f t="shared" si="123"/>
        <v>0</v>
      </c>
      <c r="R317" s="48">
        <f t="shared" si="124"/>
        <v>33.368726342047559</v>
      </c>
      <c r="S317" s="38">
        <f t="shared" si="115"/>
        <v>289.24324320406458</v>
      </c>
      <c r="T317" s="50">
        <f t="shared" si="128"/>
        <v>7150</v>
      </c>
      <c r="U317" s="40">
        <f t="shared" si="129"/>
        <v>8336.3922711135474</v>
      </c>
      <c r="V317" s="41">
        <f t="shared" si="130"/>
        <v>0.16592898896692976</v>
      </c>
      <c r="W317" s="39">
        <f t="shared" si="131"/>
        <v>1186.3922711135474</v>
      </c>
      <c r="X317" s="50">
        <f t="shared" si="125"/>
        <v>1023.400041578564</v>
      </c>
      <c r="Y317" s="41">
        <f t="shared" si="132"/>
        <v>0.30906186191498075</v>
      </c>
      <c r="Z317" s="52"/>
      <c r="AA317" s="50">
        <f t="shared" si="138"/>
        <v>8173.4000415785631</v>
      </c>
      <c r="AB317" s="39">
        <f t="shared" si="139"/>
        <v>9423.5454420749102</v>
      </c>
      <c r="AC317" s="39">
        <f t="shared" si="133"/>
        <v>1250.1454004963471</v>
      </c>
      <c r="AD317" s="41">
        <f t="shared" si="134"/>
        <v>0.15295291973190883</v>
      </c>
      <c r="AF317" s="46">
        <f t="shared" si="116"/>
        <v>0</v>
      </c>
      <c r="AG317" s="46">
        <f t="shared" si="135"/>
        <v>0</v>
      </c>
      <c r="AH317" s="54">
        <f t="shared" si="117"/>
        <v>2002</v>
      </c>
      <c r="AI317" s="55">
        <f t="shared" si="126"/>
        <v>0.68151447661469933</v>
      </c>
      <c r="AJ317" s="55">
        <f t="shared" si="136"/>
        <v>0</v>
      </c>
      <c r="AK317" s="55">
        <f t="shared" si="137"/>
        <v>0</v>
      </c>
    </row>
    <row r="318" spans="2:37" s="53" customFormat="1" ht="17.25" customHeight="1" x14ac:dyDescent="0.25">
      <c r="B318" s="91" t="str">
        <f t="shared" si="118"/>
        <v/>
      </c>
      <c r="C318" s="81">
        <f>IF(Sheet3!A289="","",Sheet3!A289)</f>
        <v>39636</v>
      </c>
      <c r="D318" s="82">
        <f>IF(C318="","",Sheet3!E289)</f>
        <v>32.580002</v>
      </c>
      <c r="E318" s="56">
        <f>_xlfn.XLOOKUP(WEEKNUM(C318)&amp;YEAR(C318),Sheet4!C:C,Sheet4!B:B,0)</f>
        <v>0.4</v>
      </c>
      <c r="F318" s="46">
        <f>IF(int=Weekly,-$D$5,IF(int=Bi_Weekly,0,IF(int=Monthly,0,IF(int=Quarterly,0,IF(int=Yearly,0,IF(int=None,0,0))))))</f>
        <v>0</v>
      </c>
      <c r="G318" s="46"/>
      <c r="H318" s="46">
        <f t="shared" si="127"/>
        <v>-7150</v>
      </c>
      <c r="I318" s="47"/>
      <c r="J318" s="38">
        <f t="shared" si="114"/>
        <v>0</v>
      </c>
      <c r="K318" s="48"/>
      <c r="L318" s="48">
        <f t="shared" si="119"/>
        <v>255.874516862017</v>
      </c>
      <c r="M318" s="48"/>
      <c r="N318" s="38">
        <f t="shared" si="120"/>
        <v>102.34980674480681</v>
      </c>
      <c r="O318" s="36">
        <f t="shared" si="121"/>
        <v>-102.34980674480681</v>
      </c>
      <c r="P318" s="84">
        <f t="shared" si="122"/>
        <v>-8275.281098307094</v>
      </c>
      <c r="Q318" s="38">
        <f t="shared" si="123"/>
        <v>3.1414917268822395</v>
      </c>
      <c r="R318" s="48">
        <f t="shared" si="124"/>
        <v>36.510218068929795</v>
      </c>
      <c r="S318" s="38">
        <f t="shared" si="115"/>
        <v>292.38473493094682</v>
      </c>
      <c r="T318" s="50">
        <f t="shared" si="128"/>
        <v>7150</v>
      </c>
      <c r="U318" s="40">
        <f t="shared" si="129"/>
        <v>8336.3922711135474</v>
      </c>
      <c r="V318" s="41">
        <f t="shared" si="130"/>
        <v>0.16592898896692976</v>
      </c>
      <c r="W318" s="39">
        <f t="shared" si="131"/>
        <v>1186.3922711135474</v>
      </c>
      <c r="X318" s="50">
        <f t="shared" si="125"/>
        <v>1125.7498483233708</v>
      </c>
      <c r="Y318" s="41">
        <f t="shared" si="132"/>
        <v>0.32337652020096752</v>
      </c>
      <c r="Z318" s="52"/>
      <c r="AA318" s="50">
        <f t="shared" si="138"/>
        <v>8275.7498483233703</v>
      </c>
      <c r="AB318" s="39">
        <f t="shared" si="139"/>
        <v>9525.8952488197156</v>
      </c>
      <c r="AC318" s="39">
        <f t="shared" si="133"/>
        <v>1250.1454004963452</v>
      </c>
      <c r="AD318" s="41">
        <f t="shared" si="134"/>
        <v>0.151061284283456</v>
      </c>
      <c r="AF318" s="46">
        <f t="shared" si="116"/>
        <v>102.34980674480681</v>
      </c>
      <c r="AG318" s="46">
        <f t="shared" si="135"/>
        <v>0</v>
      </c>
      <c r="AH318" s="54">
        <f t="shared" si="117"/>
        <v>2009</v>
      </c>
      <c r="AI318" s="55">
        <f t="shared" si="126"/>
        <v>0.6804008908685969</v>
      </c>
      <c r="AJ318" s="55">
        <f t="shared" si="136"/>
        <v>69.638899689395288</v>
      </c>
      <c r="AK318" s="55">
        <f t="shared" si="137"/>
        <v>0</v>
      </c>
    </row>
    <row r="319" spans="2:37" s="53" customFormat="1" ht="17.25" customHeight="1" x14ac:dyDescent="0.25">
      <c r="B319" s="91" t="str">
        <f t="shared" si="118"/>
        <v/>
      </c>
      <c r="C319" s="81">
        <f>IF(Sheet3!A290="","",Sheet3!A290)</f>
        <v>39643</v>
      </c>
      <c r="D319" s="82">
        <f>IF(C319="","",Sheet3!E290)</f>
        <v>32.119999</v>
      </c>
      <c r="E319" s="56">
        <f>_xlfn.XLOOKUP(WEEKNUM(C319)&amp;YEAR(C319),Sheet4!C:C,Sheet4!B:B,0)</f>
        <v>0</v>
      </c>
      <c r="F319" s="46">
        <f>IF(int=Weekly,-$D$5,IF(int=Bi_Weekly,-$D$5,IF(int=Monthly,-$D$5,IF(int=Quarterly,0,IF(int=Yearly,0,IF(int=None,0,0))))))</f>
        <v>-100</v>
      </c>
      <c r="G319" s="46"/>
      <c r="H319" s="46">
        <f t="shared" si="127"/>
        <v>-7250</v>
      </c>
      <c r="I319" s="47"/>
      <c r="J319" s="38">
        <f t="shared" si="114"/>
        <v>3.1133251280611809</v>
      </c>
      <c r="K319" s="48"/>
      <c r="L319" s="48">
        <f t="shared" si="119"/>
        <v>258.98784199007821</v>
      </c>
      <c r="M319" s="48"/>
      <c r="N319" s="38">
        <f t="shared" si="120"/>
        <v>0</v>
      </c>
      <c r="O319" s="36">
        <f t="shared" si="121"/>
        <v>0</v>
      </c>
      <c r="P319" s="84">
        <f t="shared" si="122"/>
        <v>-8375.281098307094</v>
      </c>
      <c r="Q319" s="38">
        <f t="shared" si="123"/>
        <v>0</v>
      </c>
      <c r="R319" s="48">
        <f t="shared" si="124"/>
        <v>36.510218068929795</v>
      </c>
      <c r="S319" s="38">
        <f t="shared" si="115"/>
        <v>295.49806005900803</v>
      </c>
      <c r="T319" s="50">
        <f t="shared" si="128"/>
        <v>7250</v>
      </c>
      <c r="U319" s="40">
        <f t="shared" si="129"/>
        <v>8318.6892257334694</v>
      </c>
      <c r="V319" s="41">
        <f t="shared" si="130"/>
        <v>0.14740541044599587</v>
      </c>
      <c r="W319" s="39">
        <f t="shared" si="131"/>
        <v>1068.6892257334694</v>
      </c>
      <c r="X319" s="50">
        <f t="shared" si="125"/>
        <v>1125.7498483233708</v>
      </c>
      <c r="Y319" s="41">
        <f t="shared" si="132"/>
        <v>0.30268125159404691</v>
      </c>
      <c r="Z319" s="52"/>
      <c r="AA319" s="50">
        <f t="shared" si="138"/>
        <v>8375.7498483233703</v>
      </c>
      <c r="AB319" s="39">
        <f t="shared" si="139"/>
        <v>9491.3973935972754</v>
      </c>
      <c r="AC319" s="39">
        <f t="shared" si="133"/>
        <v>1115.6475452739051</v>
      </c>
      <c r="AD319" s="41">
        <f t="shared" si="134"/>
        <v>0.13319972127596813</v>
      </c>
      <c r="AF319" s="46">
        <f t="shared" si="116"/>
        <v>-100</v>
      </c>
      <c r="AG319" s="46">
        <f t="shared" si="135"/>
        <v>-100</v>
      </c>
      <c r="AH319" s="54">
        <f t="shared" si="117"/>
        <v>2016</v>
      </c>
      <c r="AI319" s="55">
        <f t="shared" si="126"/>
        <v>0.67928730512249447</v>
      </c>
      <c r="AJ319" s="55">
        <f t="shared" si="136"/>
        <v>-67.928730512249444</v>
      </c>
      <c r="AK319" s="55">
        <f t="shared" si="137"/>
        <v>-67.928730512249444</v>
      </c>
    </row>
    <row r="320" spans="2:37" s="53" customFormat="1" ht="17.25" customHeight="1" x14ac:dyDescent="0.25">
      <c r="B320" s="91" t="str">
        <f t="shared" si="118"/>
        <v/>
      </c>
      <c r="C320" s="81">
        <f>IF(Sheet3!A291="","",Sheet3!A291)</f>
        <v>39650</v>
      </c>
      <c r="D320" s="82">
        <f>IF(C320="","",Sheet3!E291)</f>
        <v>31.4</v>
      </c>
      <c r="E320" s="56">
        <f>_xlfn.XLOOKUP(WEEKNUM(C320)&amp;YEAR(C320),Sheet4!C:C,Sheet4!B:B,0)</f>
        <v>0</v>
      </c>
      <c r="F320" s="46">
        <f>IF(int=Weekly,-$D$5,IF(int=Bi_Weekly,0,IF(int=Monthly,0,IF(int=Quarterly,0,IF(int=Yearly,0,IF(int=None,0,0))))))</f>
        <v>0</v>
      </c>
      <c r="G320" s="46"/>
      <c r="H320" s="46">
        <f t="shared" si="127"/>
        <v>-7250</v>
      </c>
      <c r="I320" s="47"/>
      <c r="J320" s="38">
        <f t="shared" si="114"/>
        <v>0</v>
      </c>
      <c r="K320" s="48"/>
      <c r="L320" s="48">
        <f t="shared" si="119"/>
        <v>258.98784199007821</v>
      </c>
      <c r="M320" s="48"/>
      <c r="N320" s="38">
        <f t="shared" si="120"/>
        <v>0</v>
      </c>
      <c r="O320" s="36">
        <f t="shared" si="121"/>
        <v>0</v>
      </c>
      <c r="P320" s="84">
        <f t="shared" si="122"/>
        <v>-8375.281098307094</v>
      </c>
      <c r="Q320" s="38">
        <f t="shared" si="123"/>
        <v>0</v>
      </c>
      <c r="R320" s="48">
        <f t="shared" si="124"/>
        <v>36.510218068929795</v>
      </c>
      <c r="S320" s="38">
        <f t="shared" si="115"/>
        <v>295.49806005900803</v>
      </c>
      <c r="T320" s="50">
        <f t="shared" si="128"/>
        <v>7250</v>
      </c>
      <c r="U320" s="40">
        <f t="shared" si="129"/>
        <v>8132.2182384884554</v>
      </c>
      <c r="V320" s="41">
        <f t="shared" si="130"/>
        <v>0.12168527427426978</v>
      </c>
      <c r="W320" s="39">
        <f t="shared" si="131"/>
        <v>882.21823848845543</v>
      </c>
      <c r="X320" s="50">
        <f t="shared" si="125"/>
        <v>1125.7498483233708</v>
      </c>
      <c r="Y320" s="41">
        <f t="shared" si="132"/>
        <v>0.27696111542232082</v>
      </c>
      <c r="Z320" s="52"/>
      <c r="AA320" s="50">
        <f t="shared" si="138"/>
        <v>8375.7498483233703</v>
      </c>
      <c r="AB320" s="39">
        <f t="shared" si="139"/>
        <v>9278.6390858528503</v>
      </c>
      <c r="AC320" s="39">
        <f t="shared" si="133"/>
        <v>902.88923752947994</v>
      </c>
      <c r="AD320" s="41">
        <f t="shared" si="134"/>
        <v>0.10779801855116489</v>
      </c>
      <c r="AF320" s="46">
        <f t="shared" si="116"/>
        <v>0</v>
      </c>
      <c r="AG320" s="46">
        <f t="shared" si="135"/>
        <v>0</v>
      </c>
      <c r="AH320" s="54">
        <f t="shared" si="117"/>
        <v>2023</v>
      </c>
      <c r="AI320" s="55">
        <f t="shared" si="126"/>
        <v>0.67817371937639204</v>
      </c>
      <c r="AJ320" s="55">
        <f t="shared" si="136"/>
        <v>0</v>
      </c>
      <c r="AK320" s="55">
        <f t="shared" si="137"/>
        <v>0</v>
      </c>
    </row>
    <row r="321" spans="2:37" s="53" customFormat="1" ht="17.25" customHeight="1" x14ac:dyDescent="0.25">
      <c r="B321" s="91" t="str">
        <f t="shared" si="118"/>
        <v/>
      </c>
      <c r="C321" s="81">
        <f>IF(Sheet3!A292="","",Sheet3!A292)</f>
        <v>39657</v>
      </c>
      <c r="D321" s="82">
        <f>IF(C321="","",Sheet3!E292)</f>
        <v>30.440000999999999</v>
      </c>
      <c r="E321" s="56">
        <f>_xlfn.XLOOKUP(WEEKNUM(C321)&amp;YEAR(C321),Sheet4!C:C,Sheet4!B:B,0)</f>
        <v>0</v>
      </c>
      <c r="F321" s="46">
        <f>IF(int=Weekly,-$D$5,IF(int=Bi_Weekly,-$D$5,IF(int=Monthly,0,IF(int=Quarterly,0,IF(int=Yearly,0,IF(int=None,0,0))))))</f>
        <v>0</v>
      </c>
      <c r="G321" s="46"/>
      <c r="H321" s="46">
        <f t="shared" si="127"/>
        <v>-7250</v>
      </c>
      <c r="I321" s="47"/>
      <c r="J321" s="38">
        <f t="shared" si="114"/>
        <v>0</v>
      </c>
      <c r="K321" s="48"/>
      <c r="L321" s="48">
        <f t="shared" si="119"/>
        <v>258.98784199007821</v>
      </c>
      <c r="M321" s="48"/>
      <c r="N321" s="38">
        <f t="shared" si="120"/>
        <v>0</v>
      </c>
      <c r="O321" s="36">
        <f t="shared" si="121"/>
        <v>0</v>
      </c>
      <c r="P321" s="84">
        <f t="shared" si="122"/>
        <v>-8375.281098307094</v>
      </c>
      <c r="Q321" s="38">
        <f t="shared" si="123"/>
        <v>0</v>
      </c>
      <c r="R321" s="48">
        <f t="shared" si="124"/>
        <v>36.510218068929795</v>
      </c>
      <c r="S321" s="38">
        <f t="shared" si="115"/>
        <v>295.49806005900803</v>
      </c>
      <c r="T321" s="50">
        <f t="shared" si="128"/>
        <v>7250</v>
      </c>
      <c r="U321" s="40">
        <f t="shared" si="129"/>
        <v>7883.5901691658228</v>
      </c>
      <c r="V321" s="41">
        <f t="shared" si="130"/>
        <v>8.7391747471147863E-2</v>
      </c>
      <c r="W321" s="39">
        <f t="shared" si="131"/>
        <v>633.59016916582277</v>
      </c>
      <c r="X321" s="50">
        <f t="shared" si="125"/>
        <v>1125.7498483233708</v>
      </c>
      <c r="Y321" s="41">
        <f t="shared" si="132"/>
        <v>0.24266758861919913</v>
      </c>
      <c r="Z321" s="52"/>
      <c r="AA321" s="50">
        <f t="shared" si="138"/>
        <v>8375.7498483233703</v>
      </c>
      <c r="AB321" s="39">
        <f t="shared" si="139"/>
        <v>8994.9612436942643</v>
      </c>
      <c r="AC321" s="39">
        <f t="shared" si="133"/>
        <v>619.21139537089402</v>
      </c>
      <c r="AD321" s="41">
        <f t="shared" si="134"/>
        <v>7.3929069824697047E-2</v>
      </c>
      <c r="AF321" s="46">
        <f t="shared" si="116"/>
        <v>0</v>
      </c>
      <c r="AG321" s="46">
        <f t="shared" si="135"/>
        <v>0</v>
      </c>
      <c r="AH321" s="54">
        <f t="shared" si="117"/>
        <v>2030</v>
      </c>
      <c r="AI321" s="55">
        <f t="shared" si="126"/>
        <v>0.6770601336302895</v>
      </c>
      <c r="AJ321" s="55">
        <f t="shared" si="136"/>
        <v>0</v>
      </c>
      <c r="AK321" s="55">
        <f t="shared" si="137"/>
        <v>0</v>
      </c>
    </row>
    <row r="322" spans="2:37" s="53" customFormat="1" ht="17.25" customHeight="1" x14ac:dyDescent="0.25">
      <c r="B322" s="91" t="str">
        <f t="shared" si="118"/>
        <v/>
      </c>
      <c r="C322" s="81">
        <f>IF(Sheet3!A293="","",Sheet3!A293)</f>
        <v>39664</v>
      </c>
      <c r="D322" s="82">
        <f>IF(C322="","",Sheet3!E293)</f>
        <v>30.969999000000001</v>
      </c>
      <c r="E322" s="56">
        <f>_xlfn.XLOOKUP(WEEKNUM(C322)&amp;YEAR(C322),Sheet4!C:C,Sheet4!B:B,0)</f>
        <v>0</v>
      </c>
      <c r="F322" s="46">
        <f>IF(int=Weekly,-$D$5,IF(int=Bi_Weekly,0,IF(int=Monthly,0,IF(int=Quarterly,0,IF(int=Yearly,0,IF(int=None,0,0))))))</f>
        <v>0</v>
      </c>
      <c r="G322" s="46"/>
      <c r="H322" s="46">
        <f t="shared" si="127"/>
        <v>-7250</v>
      </c>
      <c r="I322" s="47"/>
      <c r="J322" s="38">
        <f t="shared" si="114"/>
        <v>0</v>
      </c>
      <c r="K322" s="48"/>
      <c r="L322" s="48">
        <f t="shared" si="119"/>
        <v>258.98784199007821</v>
      </c>
      <c r="M322" s="48"/>
      <c r="N322" s="38">
        <f t="shared" si="120"/>
        <v>0</v>
      </c>
      <c r="O322" s="36">
        <f t="shared" si="121"/>
        <v>0</v>
      </c>
      <c r="P322" s="84">
        <f t="shared" si="122"/>
        <v>-8375.281098307094</v>
      </c>
      <c r="Q322" s="38">
        <f t="shared" si="123"/>
        <v>0</v>
      </c>
      <c r="R322" s="48">
        <f t="shared" si="124"/>
        <v>36.510218068929795</v>
      </c>
      <c r="S322" s="38">
        <f t="shared" si="115"/>
        <v>295.49806005900803</v>
      </c>
      <c r="T322" s="50">
        <f t="shared" si="128"/>
        <v>7250</v>
      </c>
      <c r="U322" s="40">
        <f t="shared" si="129"/>
        <v>8020.8532074448804</v>
      </c>
      <c r="V322" s="41">
        <f t="shared" si="130"/>
        <v>0.10632458033722481</v>
      </c>
      <c r="W322" s="39">
        <f t="shared" si="131"/>
        <v>770.85320744488035</v>
      </c>
      <c r="X322" s="50">
        <f t="shared" si="125"/>
        <v>1125.7498483233708</v>
      </c>
      <c r="Y322" s="41">
        <f t="shared" si="132"/>
        <v>0.26160042148527607</v>
      </c>
      <c r="Z322" s="52"/>
      <c r="AA322" s="50">
        <f t="shared" si="138"/>
        <v>8375.7498483233703</v>
      </c>
      <c r="AB322" s="39">
        <f t="shared" si="139"/>
        <v>9151.5746245294176</v>
      </c>
      <c r="AC322" s="39">
        <f t="shared" si="133"/>
        <v>775.82477620604732</v>
      </c>
      <c r="AD322" s="41">
        <f t="shared" si="134"/>
        <v>9.2627500851323763E-2</v>
      </c>
      <c r="AF322" s="46">
        <f t="shared" si="116"/>
        <v>0</v>
      </c>
      <c r="AG322" s="46">
        <f t="shared" si="135"/>
        <v>0</v>
      </c>
      <c r="AH322" s="54">
        <f t="shared" si="117"/>
        <v>2037</v>
      </c>
      <c r="AI322" s="55">
        <f t="shared" si="126"/>
        <v>0.67594654788418707</v>
      </c>
      <c r="AJ322" s="55">
        <f t="shared" si="136"/>
        <v>0</v>
      </c>
      <c r="AK322" s="55">
        <f t="shared" si="137"/>
        <v>0</v>
      </c>
    </row>
    <row r="323" spans="2:37" s="53" customFormat="1" ht="17.25" customHeight="1" x14ac:dyDescent="0.25">
      <c r="B323" s="91" t="str">
        <f t="shared" si="118"/>
        <v/>
      </c>
      <c r="C323" s="81">
        <f>IF(Sheet3!A294="","",Sheet3!A294)</f>
        <v>39671</v>
      </c>
      <c r="D323" s="82">
        <f>IF(C323="","",Sheet3!E294)</f>
        <v>31.66</v>
      </c>
      <c r="E323" s="56">
        <f>_xlfn.XLOOKUP(WEEKNUM(C323)&amp;YEAR(C323),Sheet4!C:C,Sheet4!B:B,0)</f>
        <v>0</v>
      </c>
      <c r="F323" s="46">
        <f>IF(int=Weekly,-$D$5,IF(int=Bi_Weekly,-$D$5,IF(int=Monthly,-$D$5,IF(int=Quarterly,0,IF(int=Yearly,0,IF(int=None,0,0))))))</f>
        <v>-100</v>
      </c>
      <c r="G323" s="46"/>
      <c r="H323" s="46">
        <f t="shared" si="127"/>
        <v>-7350</v>
      </c>
      <c r="I323" s="47"/>
      <c r="J323" s="38">
        <f t="shared" si="114"/>
        <v>3.1585596967782692</v>
      </c>
      <c r="K323" s="48"/>
      <c r="L323" s="48">
        <f t="shared" si="119"/>
        <v>262.14640168685651</v>
      </c>
      <c r="M323" s="48"/>
      <c r="N323" s="38">
        <f t="shared" si="120"/>
        <v>0</v>
      </c>
      <c r="O323" s="36">
        <f t="shared" si="121"/>
        <v>0</v>
      </c>
      <c r="P323" s="84">
        <f t="shared" si="122"/>
        <v>-8475.281098307094</v>
      </c>
      <c r="Q323" s="38">
        <f t="shared" si="123"/>
        <v>0</v>
      </c>
      <c r="R323" s="48">
        <f t="shared" si="124"/>
        <v>36.510218068929795</v>
      </c>
      <c r="S323" s="38">
        <f t="shared" si="115"/>
        <v>298.65661975578632</v>
      </c>
      <c r="T323" s="50">
        <f t="shared" si="128"/>
        <v>7350</v>
      </c>
      <c r="U323" s="40">
        <f t="shared" si="129"/>
        <v>8299.5550774058775</v>
      </c>
      <c r="V323" s="41">
        <f t="shared" si="130"/>
        <v>0.12919116699399691</v>
      </c>
      <c r="W323" s="39">
        <f t="shared" si="131"/>
        <v>949.55507740587746</v>
      </c>
      <c r="X323" s="50">
        <f t="shared" si="125"/>
        <v>1125.7498483233708</v>
      </c>
      <c r="Y323" s="41">
        <f t="shared" si="132"/>
        <v>0.28235441166384323</v>
      </c>
      <c r="Z323" s="52"/>
      <c r="AA323" s="50">
        <f t="shared" si="138"/>
        <v>8475.7498483233703</v>
      </c>
      <c r="AB323" s="39">
        <f t="shared" si="139"/>
        <v>9455.4685814681943</v>
      </c>
      <c r="AC323" s="39">
        <f t="shared" si="133"/>
        <v>979.718733144824</v>
      </c>
      <c r="AD323" s="41">
        <f t="shared" si="134"/>
        <v>0.11559080325366455</v>
      </c>
      <c r="AF323" s="46">
        <f t="shared" si="116"/>
        <v>-100</v>
      </c>
      <c r="AG323" s="46">
        <f t="shared" si="135"/>
        <v>-100</v>
      </c>
      <c r="AH323" s="54">
        <f t="shared" si="117"/>
        <v>2044</v>
      </c>
      <c r="AI323" s="55">
        <f t="shared" si="126"/>
        <v>0.67483296213808464</v>
      </c>
      <c r="AJ323" s="55">
        <f t="shared" si="136"/>
        <v>-67.483296213808458</v>
      </c>
      <c r="AK323" s="55">
        <f t="shared" si="137"/>
        <v>-67.483296213808458</v>
      </c>
    </row>
    <row r="324" spans="2:37" s="53" customFormat="1" ht="17.25" customHeight="1" x14ac:dyDescent="0.25">
      <c r="B324" s="91" t="str">
        <f t="shared" si="118"/>
        <v/>
      </c>
      <c r="C324" s="81">
        <f>IF(Sheet3!A295="","",Sheet3!A295)</f>
        <v>39678</v>
      </c>
      <c r="D324" s="82">
        <f>IF(C324="","",Sheet3!E295)</f>
        <v>31.17</v>
      </c>
      <c r="E324" s="56">
        <f>_xlfn.XLOOKUP(WEEKNUM(C324)&amp;YEAR(C324),Sheet4!C:C,Sheet4!B:B,0)</f>
        <v>0</v>
      </c>
      <c r="F324" s="46">
        <f>IF(int=Weekly,-$D$5,IF(int=Bi_Weekly,0,IF(int=Monthly,0,IF(int=Quarterly,0,IF(int=Yearly,0,IF(int=None,0,0))))))</f>
        <v>0</v>
      </c>
      <c r="G324" s="46"/>
      <c r="H324" s="46">
        <f t="shared" si="127"/>
        <v>-7350</v>
      </c>
      <c r="I324" s="47"/>
      <c r="J324" s="38">
        <f t="shared" si="114"/>
        <v>0</v>
      </c>
      <c r="K324" s="48"/>
      <c r="L324" s="48">
        <f t="shared" si="119"/>
        <v>262.14640168685651</v>
      </c>
      <c r="M324" s="48"/>
      <c r="N324" s="38">
        <f t="shared" si="120"/>
        <v>0</v>
      </c>
      <c r="O324" s="36">
        <f t="shared" si="121"/>
        <v>0</v>
      </c>
      <c r="P324" s="84">
        <f t="shared" si="122"/>
        <v>-8475.281098307094</v>
      </c>
      <c r="Q324" s="38">
        <f t="shared" si="123"/>
        <v>0</v>
      </c>
      <c r="R324" s="48">
        <f t="shared" si="124"/>
        <v>36.510218068929795</v>
      </c>
      <c r="S324" s="38">
        <f t="shared" si="115"/>
        <v>298.65661975578632</v>
      </c>
      <c r="T324" s="50">
        <f t="shared" si="128"/>
        <v>7350</v>
      </c>
      <c r="U324" s="40">
        <f t="shared" si="129"/>
        <v>8171.1033405793178</v>
      </c>
      <c r="V324" s="41">
        <f t="shared" si="130"/>
        <v>0.11171474021487326</v>
      </c>
      <c r="W324" s="39">
        <f t="shared" si="131"/>
        <v>821.10334057931777</v>
      </c>
      <c r="X324" s="50">
        <f t="shared" si="125"/>
        <v>1125.7498483233708</v>
      </c>
      <c r="Y324" s="41">
        <f t="shared" si="132"/>
        <v>0.26487798488471959</v>
      </c>
      <c r="Z324" s="52"/>
      <c r="AA324" s="50">
        <f t="shared" si="138"/>
        <v>8475.7498483233703</v>
      </c>
      <c r="AB324" s="39">
        <f t="shared" si="139"/>
        <v>9309.1268377878587</v>
      </c>
      <c r="AC324" s="39">
        <f t="shared" si="133"/>
        <v>833.37698946448836</v>
      </c>
      <c r="AD324" s="41">
        <f t="shared" si="134"/>
        <v>9.8324868522322362E-2</v>
      </c>
      <c r="AF324" s="46">
        <f t="shared" si="116"/>
        <v>0</v>
      </c>
      <c r="AG324" s="46">
        <f t="shared" si="135"/>
        <v>0</v>
      </c>
      <c r="AH324" s="54">
        <f t="shared" si="117"/>
        <v>2051</v>
      </c>
      <c r="AI324" s="55">
        <f t="shared" si="126"/>
        <v>0.67371937639198221</v>
      </c>
      <c r="AJ324" s="55">
        <f t="shared" si="136"/>
        <v>0</v>
      </c>
      <c r="AK324" s="55">
        <f t="shared" si="137"/>
        <v>0</v>
      </c>
    </row>
    <row r="325" spans="2:37" s="53" customFormat="1" ht="17.25" customHeight="1" x14ac:dyDescent="0.25">
      <c r="B325" s="91" t="str">
        <f t="shared" si="118"/>
        <v/>
      </c>
      <c r="C325" s="81">
        <f>IF(Sheet3!A296="","",Sheet3!A296)</f>
        <v>39685</v>
      </c>
      <c r="D325" s="82">
        <f>IF(C325="","",Sheet3!E296)</f>
        <v>31.99</v>
      </c>
      <c r="E325" s="56">
        <f>_xlfn.XLOOKUP(WEEKNUM(C325)&amp;YEAR(C325),Sheet4!C:C,Sheet4!B:B,0)</f>
        <v>0</v>
      </c>
      <c r="F325" s="46">
        <f>IF(int=Weekly,-$D$5,IF(int=Bi_Weekly,-$D$5,IF(int=Monthly,0,IF(int=Quarterly,0,IF(int=Yearly,0,IF(int=None,0,0))))))</f>
        <v>0</v>
      </c>
      <c r="G325" s="46"/>
      <c r="H325" s="46">
        <f t="shared" si="127"/>
        <v>-7350</v>
      </c>
      <c r="I325" s="47"/>
      <c r="J325" s="38">
        <f t="shared" si="114"/>
        <v>0</v>
      </c>
      <c r="K325" s="48"/>
      <c r="L325" s="48">
        <f t="shared" si="119"/>
        <v>262.14640168685651</v>
      </c>
      <c r="M325" s="48"/>
      <c r="N325" s="38">
        <f t="shared" si="120"/>
        <v>0</v>
      </c>
      <c r="O325" s="36">
        <f t="shared" si="121"/>
        <v>0</v>
      </c>
      <c r="P325" s="84">
        <f t="shared" si="122"/>
        <v>-8475.281098307094</v>
      </c>
      <c r="Q325" s="38">
        <f t="shared" si="123"/>
        <v>0</v>
      </c>
      <c r="R325" s="48">
        <f t="shared" si="124"/>
        <v>36.510218068929795</v>
      </c>
      <c r="S325" s="38">
        <f t="shared" si="115"/>
        <v>298.65661975578632</v>
      </c>
      <c r="T325" s="50">
        <f t="shared" si="128"/>
        <v>7350</v>
      </c>
      <c r="U325" s="40">
        <f t="shared" si="129"/>
        <v>8386.0633899625391</v>
      </c>
      <c r="V325" s="41">
        <f t="shared" si="130"/>
        <v>0.14096100543708023</v>
      </c>
      <c r="W325" s="39">
        <f t="shared" si="131"/>
        <v>1036.0633899625391</v>
      </c>
      <c r="X325" s="50">
        <f t="shared" si="125"/>
        <v>1125.7498483233708</v>
      </c>
      <c r="Y325" s="41">
        <f t="shared" si="132"/>
        <v>0.29412425010692655</v>
      </c>
      <c r="Z325" s="52"/>
      <c r="AA325" s="50">
        <f t="shared" si="138"/>
        <v>8475.7498483233703</v>
      </c>
      <c r="AB325" s="39">
        <f t="shared" si="139"/>
        <v>9554.0252659876023</v>
      </c>
      <c r="AC325" s="39">
        <f t="shared" si="133"/>
        <v>1078.275417664232</v>
      </c>
      <c r="AD325" s="41">
        <f t="shared" si="134"/>
        <v>0.127218881746201</v>
      </c>
      <c r="AF325" s="46">
        <f t="shared" si="116"/>
        <v>0</v>
      </c>
      <c r="AG325" s="46">
        <f t="shared" si="135"/>
        <v>0</v>
      </c>
      <c r="AH325" s="54">
        <f t="shared" si="117"/>
        <v>2058</v>
      </c>
      <c r="AI325" s="55">
        <f t="shared" si="126"/>
        <v>0.67260579064587978</v>
      </c>
      <c r="AJ325" s="55">
        <f t="shared" si="136"/>
        <v>0</v>
      </c>
      <c r="AK325" s="55">
        <f t="shared" si="137"/>
        <v>0</v>
      </c>
    </row>
    <row r="326" spans="2:37" s="53" customFormat="1" ht="17.25" customHeight="1" x14ac:dyDescent="0.25">
      <c r="B326" s="91" t="str">
        <f t="shared" si="118"/>
        <v/>
      </c>
      <c r="C326" s="81">
        <f>IF(Sheet3!A297="","",Sheet3!A297)</f>
        <v>39692</v>
      </c>
      <c r="D326" s="82">
        <f>IF(C326="","",Sheet3!E297)</f>
        <v>31.5</v>
      </c>
      <c r="E326" s="56">
        <f>_xlfn.XLOOKUP(WEEKNUM(C326)&amp;YEAR(C326),Sheet4!C:C,Sheet4!B:B,0)</f>
        <v>0</v>
      </c>
      <c r="F326" s="46">
        <f>IF(int=Weekly,-$D$5,IF(int=Bi_Weekly,0,IF(int=Monthly,0,IF(int=Quarterly,0,IF(int=Yearly,0,IF(int=None,0,0))))))</f>
        <v>0</v>
      </c>
      <c r="G326" s="46"/>
      <c r="H326" s="46">
        <f t="shared" si="127"/>
        <v>-7350</v>
      </c>
      <c r="I326" s="47"/>
      <c r="J326" s="38">
        <f t="shared" si="114"/>
        <v>0</v>
      </c>
      <c r="K326" s="48"/>
      <c r="L326" s="48">
        <f t="shared" si="119"/>
        <v>262.14640168685651</v>
      </c>
      <c r="M326" s="48"/>
      <c r="N326" s="38">
        <f t="shared" si="120"/>
        <v>0</v>
      </c>
      <c r="O326" s="36">
        <f t="shared" si="121"/>
        <v>0</v>
      </c>
      <c r="P326" s="84">
        <f t="shared" si="122"/>
        <v>-8475.281098307094</v>
      </c>
      <c r="Q326" s="38">
        <f t="shared" si="123"/>
        <v>0</v>
      </c>
      <c r="R326" s="48">
        <f t="shared" si="124"/>
        <v>36.510218068929795</v>
      </c>
      <c r="S326" s="38">
        <f t="shared" si="115"/>
        <v>298.65661975578632</v>
      </c>
      <c r="T326" s="50">
        <f t="shared" si="128"/>
        <v>7350</v>
      </c>
      <c r="U326" s="40">
        <f t="shared" si="129"/>
        <v>8257.6116531359803</v>
      </c>
      <c r="V326" s="41">
        <f t="shared" si="130"/>
        <v>0.12348457865795659</v>
      </c>
      <c r="W326" s="39">
        <f t="shared" si="131"/>
        <v>907.6116531359803</v>
      </c>
      <c r="X326" s="50">
        <f t="shared" si="125"/>
        <v>1125.7498483233708</v>
      </c>
      <c r="Y326" s="41">
        <f t="shared" si="132"/>
        <v>0.27664782332780291</v>
      </c>
      <c r="Z326" s="52"/>
      <c r="AA326" s="50">
        <f t="shared" si="138"/>
        <v>8475.7498483233703</v>
      </c>
      <c r="AB326" s="39">
        <f t="shared" si="139"/>
        <v>9407.6835223072685</v>
      </c>
      <c r="AC326" s="39">
        <f t="shared" si="133"/>
        <v>931.93367398389819</v>
      </c>
      <c r="AD326" s="41">
        <f t="shared" si="134"/>
        <v>0.10995294701485903</v>
      </c>
      <c r="AF326" s="46">
        <f t="shared" si="116"/>
        <v>0</v>
      </c>
      <c r="AG326" s="46">
        <f t="shared" si="135"/>
        <v>0</v>
      </c>
      <c r="AH326" s="54">
        <f t="shared" si="117"/>
        <v>2065</v>
      </c>
      <c r="AI326" s="55">
        <f t="shared" si="126"/>
        <v>0.67149220489977723</v>
      </c>
      <c r="AJ326" s="55">
        <f t="shared" si="136"/>
        <v>0</v>
      </c>
      <c r="AK326" s="55">
        <f t="shared" si="137"/>
        <v>0</v>
      </c>
    </row>
    <row r="327" spans="2:37" s="53" customFormat="1" ht="17.25" customHeight="1" x14ac:dyDescent="0.25">
      <c r="B327" s="91" t="str">
        <f t="shared" si="118"/>
        <v/>
      </c>
      <c r="C327" s="81">
        <f>IF(Sheet3!A298="","",Sheet3!A298)</f>
        <v>39699</v>
      </c>
      <c r="D327" s="82">
        <f>IF(C327="","",Sheet3!E298)</f>
        <v>31.540001</v>
      </c>
      <c r="E327" s="56">
        <f>_xlfn.XLOOKUP(WEEKNUM(C327)&amp;YEAR(C327),Sheet4!C:C,Sheet4!B:B,0)</f>
        <v>0</v>
      </c>
      <c r="F327" s="46">
        <f>IF(int=Weekly,-$D$5,IF(int=Bi_Weekly,-$D$5,IF(int=Monthly,-$D$5,IF(int=Quarterly,0,IF(int=Yearly,0,IF(int=None,0,0))))))</f>
        <v>-100</v>
      </c>
      <c r="G327" s="46"/>
      <c r="H327" s="46">
        <f t="shared" si="127"/>
        <v>-7450</v>
      </c>
      <c r="I327" s="47"/>
      <c r="J327" s="38">
        <f t="shared" si="114"/>
        <v>3.1705769444966094</v>
      </c>
      <c r="K327" s="48"/>
      <c r="L327" s="48">
        <f t="shared" si="119"/>
        <v>265.31697863135309</v>
      </c>
      <c r="M327" s="48"/>
      <c r="N327" s="38">
        <f t="shared" si="120"/>
        <v>0</v>
      </c>
      <c r="O327" s="36">
        <f t="shared" si="121"/>
        <v>0</v>
      </c>
      <c r="P327" s="84">
        <f t="shared" si="122"/>
        <v>-8575.281098307094</v>
      </c>
      <c r="Q327" s="38">
        <f t="shared" si="123"/>
        <v>0</v>
      </c>
      <c r="R327" s="48">
        <f t="shared" si="124"/>
        <v>36.510218068929795</v>
      </c>
      <c r="S327" s="38">
        <f t="shared" si="115"/>
        <v>301.82719670028291</v>
      </c>
      <c r="T327" s="50">
        <f t="shared" si="128"/>
        <v>7450</v>
      </c>
      <c r="U327" s="40">
        <f t="shared" si="129"/>
        <v>8368.097771349856</v>
      </c>
      <c r="V327" s="41">
        <f t="shared" si="130"/>
        <v>0.12323460018118881</v>
      </c>
      <c r="W327" s="39">
        <f t="shared" si="131"/>
        <v>918.09777134985598</v>
      </c>
      <c r="X327" s="50">
        <f t="shared" si="125"/>
        <v>1125.7498483233708</v>
      </c>
      <c r="Y327" s="41">
        <f t="shared" si="132"/>
        <v>0.27434196237224517</v>
      </c>
      <c r="Z327" s="52"/>
      <c r="AA327" s="50">
        <f t="shared" si="138"/>
        <v>8575.7498483233703</v>
      </c>
      <c r="AB327" s="39">
        <f t="shared" si="139"/>
        <v>9519.6300857541191</v>
      </c>
      <c r="AC327" s="39">
        <f t="shared" si="133"/>
        <v>943.88023743074882</v>
      </c>
      <c r="AD327" s="41">
        <f t="shared" si="134"/>
        <v>0.11006387244554316</v>
      </c>
      <c r="AF327" s="46">
        <f t="shared" si="116"/>
        <v>-100</v>
      </c>
      <c r="AG327" s="46">
        <f t="shared" si="135"/>
        <v>-100</v>
      </c>
      <c r="AH327" s="54">
        <f t="shared" si="117"/>
        <v>2072</v>
      </c>
      <c r="AI327" s="55">
        <f t="shared" si="126"/>
        <v>0.6703786191536748</v>
      </c>
      <c r="AJ327" s="55">
        <f t="shared" si="136"/>
        <v>-67.037861915367486</v>
      </c>
      <c r="AK327" s="55">
        <f t="shared" si="137"/>
        <v>-67.037861915367486</v>
      </c>
    </row>
    <row r="328" spans="2:37" s="53" customFormat="1" ht="17.25" customHeight="1" x14ac:dyDescent="0.25">
      <c r="B328" s="91" t="str">
        <f t="shared" si="118"/>
        <v/>
      </c>
      <c r="C328" s="81">
        <f>IF(Sheet3!A299="","",Sheet3!A299)</f>
        <v>39706</v>
      </c>
      <c r="D328" s="82">
        <f>IF(C328="","",Sheet3!E299)</f>
        <v>30.43</v>
      </c>
      <c r="E328" s="56">
        <f>_xlfn.XLOOKUP(WEEKNUM(C328)&amp;YEAR(C328),Sheet4!C:C,Sheet4!B:B,0)</f>
        <v>0</v>
      </c>
      <c r="F328" s="46">
        <f>IF(int=Weekly,-$D$5,IF(int=Bi_Weekly,0,IF(int=Monthly,0,IF(int=Quarterly,0,IF(int=Yearly,0,IF(int=None,0,0))))))</f>
        <v>0</v>
      </c>
      <c r="G328" s="46"/>
      <c r="H328" s="46">
        <f t="shared" si="127"/>
        <v>-7450</v>
      </c>
      <c r="I328" s="47"/>
      <c r="J328" s="38">
        <f t="shared" si="114"/>
        <v>0</v>
      </c>
      <c r="K328" s="48"/>
      <c r="L328" s="48">
        <f t="shared" si="119"/>
        <v>265.31697863135309</v>
      </c>
      <c r="M328" s="48"/>
      <c r="N328" s="38">
        <f t="shared" si="120"/>
        <v>0</v>
      </c>
      <c r="O328" s="36">
        <f t="shared" si="121"/>
        <v>0</v>
      </c>
      <c r="P328" s="84">
        <f t="shared" si="122"/>
        <v>-8575.281098307094</v>
      </c>
      <c r="Q328" s="38">
        <f t="shared" si="123"/>
        <v>0</v>
      </c>
      <c r="R328" s="48">
        <f t="shared" si="124"/>
        <v>36.510218068929795</v>
      </c>
      <c r="S328" s="38">
        <f t="shared" si="115"/>
        <v>301.82719670028291</v>
      </c>
      <c r="T328" s="50">
        <f t="shared" si="128"/>
        <v>7450</v>
      </c>
      <c r="U328" s="40">
        <f t="shared" si="129"/>
        <v>8073.5956597520744</v>
      </c>
      <c r="V328" s="41">
        <f t="shared" si="130"/>
        <v>8.3704115402962964E-2</v>
      </c>
      <c r="W328" s="39">
        <f t="shared" si="131"/>
        <v>623.59565975207443</v>
      </c>
      <c r="X328" s="50">
        <f t="shared" si="125"/>
        <v>1125.7498483233708</v>
      </c>
      <c r="Y328" s="41">
        <f t="shared" si="132"/>
        <v>0.23481147759401932</v>
      </c>
      <c r="Z328" s="52"/>
      <c r="AA328" s="50">
        <f t="shared" si="138"/>
        <v>8575.7498483233703</v>
      </c>
      <c r="AB328" s="39">
        <f t="shared" si="139"/>
        <v>9184.6015955896073</v>
      </c>
      <c r="AC328" s="39">
        <f t="shared" si="133"/>
        <v>608.851747266237</v>
      </c>
      <c r="AD328" s="41">
        <f t="shared" si="134"/>
        <v>7.0996910828185156E-2</v>
      </c>
      <c r="AF328" s="46">
        <f t="shared" si="116"/>
        <v>0</v>
      </c>
      <c r="AG328" s="46">
        <f t="shared" si="135"/>
        <v>0</v>
      </c>
      <c r="AH328" s="54">
        <f t="shared" si="117"/>
        <v>2079</v>
      </c>
      <c r="AI328" s="55">
        <f t="shared" si="126"/>
        <v>0.66926503340757237</v>
      </c>
      <c r="AJ328" s="55">
        <f t="shared" si="136"/>
        <v>0</v>
      </c>
      <c r="AK328" s="55">
        <f t="shared" si="137"/>
        <v>0</v>
      </c>
    </row>
    <row r="329" spans="2:37" s="53" customFormat="1" ht="17.25" customHeight="1" x14ac:dyDescent="0.25">
      <c r="B329" s="91" t="str">
        <f t="shared" si="118"/>
        <v/>
      </c>
      <c r="C329" s="81">
        <f>IF(Sheet3!A300="","",Sheet3!A300)</f>
        <v>39713</v>
      </c>
      <c r="D329" s="82">
        <f>IF(C329="","",Sheet3!E300)</f>
        <v>30</v>
      </c>
      <c r="E329" s="56">
        <f>_xlfn.XLOOKUP(WEEKNUM(C329)&amp;YEAR(C329),Sheet4!C:C,Sheet4!B:B,0)</f>
        <v>0</v>
      </c>
      <c r="F329" s="46">
        <f>IF(int=Weekly,-$D$5,IF(int=Bi_Weekly,-$D$5,IF(int=Monthly,0,IF(int=Quarterly,0,IF(int=Yearly,0,IF(int=None,0,0))))))</f>
        <v>0</v>
      </c>
      <c r="G329" s="46"/>
      <c r="H329" s="46">
        <f t="shared" si="127"/>
        <v>-7450</v>
      </c>
      <c r="I329" s="47"/>
      <c r="J329" s="38">
        <f t="shared" si="114"/>
        <v>0</v>
      </c>
      <c r="K329" s="48"/>
      <c r="L329" s="48">
        <f t="shared" si="119"/>
        <v>265.31697863135309</v>
      </c>
      <c r="M329" s="48"/>
      <c r="N329" s="38">
        <f t="shared" si="120"/>
        <v>0</v>
      </c>
      <c r="O329" s="36">
        <f t="shared" si="121"/>
        <v>0</v>
      </c>
      <c r="P329" s="84">
        <f t="shared" si="122"/>
        <v>-8575.281098307094</v>
      </c>
      <c r="Q329" s="38">
        <f t="shared" si="123"/>
        <v>0</v>
      </c>
      <c r="R329" s="48">
        <f t="shared" si="124"/>
        <v>36.510218068929795</v>
      </c>
      <c r="S329" s="38">
        <f t="shared" si="115"/>
        <v>301.82719670028291</v>
      </c>
      <c r="T329" s="50">
        <f t="shared" si="128"/>
        <v>7450</v>
      </c>
      <c r="U329" s="40">
        <f t="shared" si="129"/>
        <v>7959.5093589405933</v>
      </c>
      <c r="V329" s="41">
        <f t="shared" si="130"/>
        <v>6.8390517978603071E-2</v>
      </c>
      <c r="W329" s="39">
        <f t="shared" si="131"/>
        <v>509.5093589405933</v>
      </c>
      <c r="X329" s="50">
        <f t="shared" si="125"/>
        <v>1125.7498483233708</v>
      </c>
      <c r="Y329" s="41">
        <f t="shared" si="132"/>
        <v>0.21949788016965965</v>
      </c>
      <c r="Z329" s="52"/>
      <c r="AA329" s="50">
        <f t="shared" si="138"/>
        <v>8575.7498483233703</v>
      </c>
      <c r="AB329" s="39">
        <f t="shared" si="139"/>
        <v>9054.8159010084873</v>
      </c>
      <c r="AC329" s="39">
        <f t="shared" si="133"/>
        <v>479.06605268511703</v>
      </c>
      <c r="AD329" s="41">
        <f t="shared" si="134"/>
        <v>5.5862876268339301E-2</v>
      </c>
      <c r="AF329" s="46">
        <f t="shared" si="116"/>
        <v>0</v>
      </c>
      <c r="AG329" s="46">
        <f t="shared" si="135"/>
        <v>0</v>
      </c>
      <c r="AH329" s="54">
        <f t="shared" si="117"/>
        <v>2086</v>
      </c>
      <c r="AI329" s="55">
        <f t="shared" si="126"/>
        <v>0.66815144766146994</v>
      </c>
      <c r="AJ329" s="55">
        <f t="shared" si="136"/>
        <v>0</v>
      </c>
      <c r="AK329" s="55">
        <f t="shared" si="137"/>
        <v>0</v>
      </c>
    </row>
    <row r="330" spans="2:37" s="53" customFormat="1" ht="17.25" customHeight="1" x14ac:dyDescent="0.25">
      <c r="B330" s="91" t="str">
        <f t="shared" si="118"/>
        <v/>
      </c>
      <c r="C330" s="81">
        <f>IF(Sheet3!A301="","",Sheet3!A301)</f>
        <v>39720</v>
      </c>
      <c r="D330" s="82">
        <f>IF(C330="","",Sheet3!E301)</f>
        <v>28.120000999999998</v>
      </c>
      <c r="E330" s="56">
        <f>_xlfn.XLOOKUP(WEEKNUM(C330)&amp;YEAR(C330),Sheet4!C:C,Sheet4!B:B,0)</f>
        <v>0</v>
      </c>
      <c r="F330" s="46">
        <f>IF(int=Weekly,-$D$5,IF(int=Bi_Weekly,0,IF(int=Monthly,0,IF(int=Quarterly,-$D$5,IF(int=Yearly,0,IF(int=None,0,0))))))</f>
        <v>0</v>
      </c>
      <c r="G330" s="46"/>
      <c r="H330" s="46">
        <f t="shared" si="127"/>
        <v>-7450</v>
      </c>
      <c r="I330" s="47"/>
      <c r="J330" s="38">
        <f t="shared" si="114"/>
        <v>0</v>
      </c>
      <c r="K330" s="48"/>
      <c r="L330" s="48">
        <f t="shared" si="119"/>
        <v>265.31697863135309</v>
      </c>
      <c r="M330" s="48"/>
      <c r="N330" s="38">
        <f t="shared" si="120"/>
        <v>0</v>
      </c>
      <c r="O330" s="36">
        <f t="shared" si="121"/>
        <v>0</v>
      </c>
      <c r="P330" s="84">
        <f t="shared" si="122"/>
        <v>-8575.281098307094</v>
      </c>
      <c r="Q330" s="38">
        <f t="shared" si="123"/>
        <v>0</v>
      </c>
      <c r="R330" s="48">
        <f t="shared" si="124"/>
        <v>36.510218068929795</v>
      </c>
      <c r="S330" s="38">
        <f t="shared" si="115"/>
        <v>301.82719670028291</v>
      </c>
      <c r="T330" s="50">
        <f t="shared" si="128"/>
        <v>7450</v>
      </c>
      <c r="U330" s="40">
        <f t="shared" si="129"/>
        <v>7460.7137044306273</v>
      </c>
      <c r="V330" s="41">
        <f t="shared" si="130"/>
        <v>1.4380811316279107E-3</v>
      </c>
      <c r="W330" s="39">
        <f t="shared" si="131"/>
        <v>10.713704430627331</v>
      </c>
      <c r="X330" s="50">
        <f t="shared" si="125"/>
        <v>1125.7498483233708</v>
      </c>
      <c r="Y330" s="41">
        <f t="shared" si="132"/>
        <v>0.15254544332268427</v>
      </c>
      <c r="Z330" s="52"/>
      <c r="AA330" s="50">
        <f t="shared" si="138"/>
        <v>8575.7498483233703</v>
      </c>
      <c r="AB330" s="39">
        <f t="shared" si="139"/>
        <v>8487.3810730391506</v>
      </c>
      <c r="AC330" s="39">
        <f t="shared" si="133"/>
        <v>-88.368775284219737</v>
      </c>
      <c r="AD330" s="41">
        <f t="shared" si="134"/>
        <v>-1.0304495449047657E-2</v>
      </c>
      <c r="AF330" s="46">
        <f t="shared" si="116"/>
        <v>0</v>
      </c>
      <c r="AG330" s="46">
        <f t="shared" si="135"/>
        <v>0</v>
      </c>
      <c r="AH330" s="54">
        <f t="shared" si="117"/>
        <v>2093</v>
      </c>
      <c r="AI330" s="55">
        <f t="shared" si="126"/>
        <v>0.66703786191536751</v>
      </c>
      <c r="AJ330" s="55">
        <f t="shared" si="136"/>
        <v>0</v>
      </c>
      <c r="AK330" s="55">
        <f t="shared" si="137"/>
        <v>0</v>
      </c>
    </row>
    <row r="331" spans="2:37" s="53" customFormat="1" ht="17.25" customHeight="1" x14ac:dyDescent="0.25">
      <c r="B331" s="91" t="str">
        <f t="shared" si="118"/>
        <v/>
      </c>
      <c r="C331" s="81">
        <f>IF(Sheet3!A302="","",Sheet3!A302)</f>
        <v>39727</v>
      </c>
      <c r="D331" s="82">
        <f>IF(C331="","",Sheet3!E302)</f>
        <v>22.42</v>
      </c>
      <c r="E331" s="56">
        <f>_xlfn.XLOOKUP(WEEKNUM(C331)&amp;YEAR(C331),Sheet4!C:C,Sheet4!B:B,0)</f>
        <v>0.4</v>
      </c>
      <c r="F331" s="46">
        <f>IF(int=Weekly,-$D$5,IF(int=Bi_Weekly,-$D$5,IF(int=Monthly,-$D$5,IF(int=Quarterly,0,IF(int=Yearly,0,IF(int=None,0,0))))))</f>
        <v>-100</v>
      </c>
      <c r="G331" s="46"/>
      <c r="H331" s="46">
        <f t="shared" si="127"/>
        <v>-7550</v>
      </c>
      <c r="I331" s="47"/>
      <c r="J331" s="38">
        <f t="shared" si="114"/>
        <v>4.4603033006244424</v>
      </c>
      <c r="K331" s="48"/>
      <c r="L331" s="48">
        <f t="shared" si="119"/>
        <v>269.77728193197754</v>
      </c>
      <c r="M331" s="48"/>
      <c r="N331" s="38">
        <f t="shared" si="120"/>
        <v>107.91091277279102</v>
      </c>
      <c r="O331" s="36">
        <f t="shared" si="121"/>
        <v>-107.91091277279102</v>
      </c>
      <c r="P331" s="84">
        <f t="shared" si="122"/>
        <v>-8783.1920110798856</v>
      </c>
      <c r="Q331" s="38">
        <f t="shared" si="123"/>
        <v>4.8131540041387604</v>
      </c>
      <c r="R331" s="48">
        <f t="shared" si="124"/>
        <v>41.323372073068555</v>
      </c>
      <c r="S331" s="38">
        <f t="shared" si="115"/>
        <v>311.10065400504607</v>
      </c>
      <c r="T331" s="50">
        <f t="shared" si="128"/>
        <v>7550</v>
      </c>
      <c r="U331" s="40">
        <f t="shared" si="129"/>
        <v>6048.4066609149368</v>
      </c>
      <c r="V331" s="41">
        <f t="shared" si="130"/>
        <v>-0.19888653497815412</v>
      </c>
      <c r="W331" s="39">
        <f t="shared" si="131"/>
        <v>-1501.5933390850632</v>
      </c>
      <c r="X331" s="50">
        <f t="shared" si="125"/>
        <v>1233.6607610961619</v>
      </c>
      <c r="Y331" s="41">
        <f t="shared" si="132"/>
        <v>-3.5487758674026648E-2</v>
      </c>
      <c r="Z331" s="52"/>
      <c r="AA331" s="50">
        <f t="shared" si="138"/>
        <v>8783.6607610961619</v>
      </c>
      <c r="AB331" s="39">
        <f t="shared" si="139"/>
        <v>6974.8766627931336</v>
      </c>
      <c r="AC331" s="39">
        <f t="shared" si="133"/>
        <v>-1808.7840983030283</v>
      </c>
      <c r="AD331" s="41">
        <f t="shared" si="134"/>
        <v>-0.20592599685934365</v>
      </c>
      <c r="AF331" s="46">
        <f t="shared" si="116"/>
        <v>7.910912772791022</v>
      </c>
      <c r="AG331" s="46">
        <f t="shared" si="135"/>
        <v>-100</v>
      </c>
      <c r="AH331" s="54">
        <f t="shared" si="117"/>
        <v>2100</v>
      </c>
      <c r="AI331" s="55">
        <f t="shared" si="126"/>
        <v>0.66592427616926508</v>
      </c>
      <c r="AJ331" s="55">
        <f t="shared" si="136"/>
        <v>5.2680688620590548</v>
      </c>
      <c r="AK331" s="55">
        <f t="shared" si="137"/>
        <v>-66.592427616926514</v>
      </c>
    </row>
    <row r="332" spans="2:37" s="53" customFormat="1" ht="17.25" customHeight="1" x14ac:dyDescent="0.25">
      <c r="B332" s="91" t="str">
        <f t="shared" si="118"/>
        <v/>
      </c>
      <c r="C332" s="81">
        <f>IF(Sheet3!A303="","",Sheet3!A303)</f>
        <v>39734</v>
      </c>
      <c r="D332" s="82">
        <f>IF(C332="","",Sheet3!E303)</f>
        <v>25.290001</v>
      </c>
      <c r="E332" s="56">
        <f>_xlfn.XLOOKUP(WEEKNUM(C332)&amp;YEAR(C332),Sheet4!C:C,Sheet4!B:B,0)</f>
        <v>0</v>
      </c>
      <c r="F332" s="46">
        <f>IF(int=Weekly,-$D$5,IF(int=Bi_Weekly,0,IF(int=Monthly,0,IF(int=Quarterly,0,IF(int=Yearly,0,IF(int=None,0,0))))))</f>
        <v>0</v>
      </c>
      <c r="G332" s="46"/>
      <c r="H332" s="46">
        <f t="shared" si="127"/>
        <v>-7550</v>
      </c>
      <c r="I332" s="47"/>
      <c r="J332" s="38">
        <f t="shared" si="114"/>
        <v>0</v>
      </c>
      <c r="K332" s="48"/>
      <c r="L332" s="48">
        <f t="shared" si="119"/>
        <v>269.77728193197754</v>
      </c>
      <c r="M332" s="48"/>
      <c r="N332" s="38">
        <f t="shared" si="120"/>
        <v>0</v>
      </c>
      <c r="O332" s="36">
        <f t="shared" si="121"/>
        <v>0</v>
      </c>
      <c r="P332" s="84">
        <f t="shared" si="122"/>
        <v>-8783.1920110798856</v>
      </c>
      <c r="Q332" s="38">
        <f t="shared" si="123"/>
        <v>0</v>
      </c>
      <c r="R332" s="48">
        <f t="shared" si="124"/>
        <v>41.323372073068555</v>
      </c>
      <c r="S332" s="38">
        <f t="shared" si="115"/>
        <v>311.10065400504607</v>
      </c>
      <c r="T332" s="50">
        <f t="shared" si="128"/>
        <v>7550</v>
      </c>
      <c r="U332" s="40">
        <f t="shared" si="129"/>
        <v>6822.6677298369941</v>
      </c>
      <c r="V332" s="41">
        <f t="shared" si="130"/>
        <v>-9.6335400021590134E-2</v>
      </c>
      <c r="W332" s="39">
        <f t="shared" si="131"/>
        <v>-727.33227016300589</v>
      </c>
      <c r="X332" s="50">
        <f t="shared" si="125"/>
        <v>1233.6607610961619</v>
      </c>
      <c r="Y332" s="41">
        <f t="shared" si="132"/>
        <v>6.7063376282537224E-2</v>
      </c>
      <c r="Z332" s="52"/>
      <c r="AA332" s="50">
        <f t="shared" si="138"/>
        <v>8783.6607610961619</v>
      </c>
      <c r="AB332" s="39">
        <f t="shared" si="139"/>
        <v>7867.7358508882699</v>
      </c>
      <c r="AC332" s="39">
        <f t="shared" si="133"/>
        <v>-915.92491020789203</v>
      </c>
      <c r="AD332" s="41">
        <f t="shared" si="134"/>
        <v>-0.10427598869307753</v>
      </c>
      <c r="AF332" s="46">
        <f t="shared" si="116"/>
        <v>0</v>
      </c>
      <c r="AG332" s="46">
        <f t="shared" si="135"/>
        <v>0</v>
      </c>
      <c r="AH332" s="54">
        <f t="shared" si="117"/>
        <v>2107</v>
      </c>
      <c r="AI332" s="55">
        <f t="shared" si="126"/>
        <v>0.66481069042316254</v>
      </c>
      <c r="AJ332" s="55">
        <f t="shared" si="136"/>
        <v>0</v>
      </c>
      <c r="AK332" s="55">
        <f t="shared" si="137"/>
        <v>0</v>
      </c>
    </row>
    <row r="333" spans="2:37" s="53" customFormat="1" ht="17.25" customHeight="1" x14ac:dyDescent="0.25">
      <c r="B333" s="91" t="str">
        <f t="shared" si="118"/>
        <v/>
      </c>
      <c r="C333" s="81">
        <f>IF(Sheet3!A304="","",Sheet3!A304)</f>
        <v>39741</v>
      </c>
      <c r="D333" s="82">
        <f>IF(C333="","",Sheet3!E304)</f>
        <v>24.68</v>
      </c>
      <c r="E333" s="56">
        <f>_xlfn.XLOOKUP(WEEKNUM(C333)&amp;YEAR(C333),Sheet4!C:C,Sheet4!B:B,0)</f>
        <v>0</v>
      </c>
      <c r="F333" s="46">
        <f>IF(int=Weekly,-$D$5,IF(int=Bi_Weekly,-$D$5,IF(int=Monthly,0,IF(int=Quarterly,0,IF(int=Yearly,0,IF(int=None,0,0))))))</f>
        <v>0</v>
      </c>
      <c r="G333" s="46"/>
      <c r="H333" s="46">
        <f t="shared" si="127"/>
        <v>-7550</v>
      </c>
      <c r="I333" s="47"/>
      <c r="J333" s="38">
        <f t="shared" si="114"/>
        <v>0</v>
      </c>
      <c r="K333" s="48"/>
      <c r="L333" s="48">
        <f t="shared" si="119"/>
        <v>269.77728193197754</v>
      </c>
      <c r="M333" s="48"/>
      <c r="N333" s="38">
        <f t="shared" si="120"/>
        <v>0</v>
      </c>
      <c r="O333" s="36">
        <f t="shared" si="121"/>
        <v>0</v>
      </c>
      <c r="P333" s="84">
        <f t="shared" si="122"/>
        <v>-8783.1920110798856</v>
      </c>
      <c r="Q333" s="38">
        <f t="shared" si="123"/>
        <v>0</v>
      </c>
      <c r="R333" s="48">
        <f t="shared" si="124"/>
        <v>41.323372073068555</v>
      </c>
      <c r="S333" s="38">
        <f t="shared" si="115"/>
        <v>311.10065400504607</v>
      </c>
      <c r="T333" s="50">
        <f t="shared" si="128"/>
        <v>7550</v>
      </c>
      <c r="U333" s="40">
        <f t="shared" si="129"/>
        <v>6658.1033180812055</v>
      </c>
      <c r="V333" s="41">
        <f t="shared" si="130"/>
        <v>-0.11813201085017144</v>
      </c>
      <c r="W333" s="39">
        <f t="shared" si="131"/>
        <v>-891.89668191879446</v>
      </c>
      <c r="X333" s="50">
        <f t="shared" si="125"/>
        <v>1233.6607610961619</v>
      </c>
      <c r="Y333" s="41">
        <f t="shared" si="132"/>
        <v>4.5266765453956026E-2</v>
      </c>
      <c r="Z333" s="52"/>
      <c r="AA333" s="50">
        <f t="shared" si="138"/>
        <v>8783.6607610961619</v>
      </c>
      <c r="AB333" s="39">
        <f t="shared" si="139"/>
        <v>7677.9641408445377</v>
      </c>
      <c r="AC333" s="39">
        <f t="shared" si="133"/>
        <v>-1105.6966202516242</v>
      </c>
      <c r="AD333" s="41">
        <f t="shared" si="134"/>
        <v>-0.12588107058379128</v>
      </c>
      <c r="AF333" s="46">
        <f t="shared" si="116"/>
        <v>0</v>
      </c>
      <c r="AG333" s="46">
        <f t="shared" si="135"/>
        <v>0</v>
      </c>
      <c r="AH333" s="54">
        <f t="shared" si="117"/>
        <v>2114</v>
      </c>
      <c r="AI333" s="55">
        <f t="shared" si="126"/>
        <v>0.66369710467706011</v>
      </c>
      <c r="AJ333" s="55">
        <f t="shared" si="136"/>
        <v>0</v>
      </c>
      <c r="AK333" s="55">
        <f t="shared" si="137"/>
        <v>0</v>
      </c>
    </row>
    <row r="334" spans="2:37" s="53" customFormat="1" ht="17.25" customHeight="1" x14ac:dyDescent="0.25">
      <c r="B334" s="91" t="str">
        <f t="shared" si="118"/>
        <v/>
      </c>
      <c r="C334" s="81">
        <f>IF(Sheet3!A305="","",Sheet3!A305)</f>
        <v>39748</v>
      </c>
      <c r="D334" s="82">
        <f>IF(C334="","",Sheet3!E305)</f>
        <v>26.77</v>
      </c>
      <c r="E334" s="56">
        <f>_xlfn.XLOOKUP(WEEKNUM(C334)&amp;YEAR(C334),Sheet4!C:C,Sheet4!B:B,0)</f>
        <v>0</v>
      </c>
      <c r="F334" s="46">
        <f>IF(int=Weekly,-$D$5,IF(int=Bi_Weekly,0,IF(int=Monthly,0,IF(int=Quarterly,0,IF(int=Yearly,0,IF(int=None,0,0))))))</f>
        <v>0</v>
      </c>
      <c r="G334" s="46"/>
      <c r="H334" s="46">
        <f t="shared" si="127"/>
        <v>-7550</v>
      </c>
      <c r="I334" s="47"/>
      <c r="J334" s="38">
        <f t="shared" si="114"/>
        <v>0</v>
      </c>
      <c r="K334" s="48"/>
      <c r="L334" s="48">
        <f t="shared" si="119"/>
        <v>269.77728193197754</v>
      </c>
      <c r="M334" s="48"/>
      <c r="N334" s="38">
        <f t="shared" si="120"/>
        <v>0</v>
      </c>
      <c r="O334" s="36">
        <f t="shared" si="121"/>
        <v>0</v>
      </c>
      <c r="P334" s="84">
        <f t="shared" si="122"/>
        <v>-8783.1920110798856</v>
      </c>
      <c r="Q334" s="38">
        <f t="shared" si="123"/>
        <v>0</v>
      </c>
      <c r="R334" s="48">
        <f t="shared" si="124"/>
        <v>41.323372073068555</v>
      </c>
      <c r="S334" s="38">
        <f t="shared" si="115"/>
        <v>311.10065400504607</v>
      </c>
      <c r="T334" s="50">
        <f t="shared" si="128"/>
        <v>7550</v>
      </c>
      <c r="U334" s="40">
        <f t="shared" si="129"/>
        <v>7221.9378373190384</v>
      </c>
      <c r="V334" s="41">
        <f t="shared" si="130"/>
        <v>-4.345194207694858E-2</v>
      </c>
      <c r="W334" s="39">
        <f t="shared" si="131"/>
        <v>-328.06216268096159</v>
      </c>
      <c r="X334" s="50">
        <f t="shared" si="125"/>
        <v>1233.6607610961619</v>
      </c>
      <c r="Y334" s="41">
        <f t="shared" si="132"/>
        <v>0.11994683422717878</v>
      </c>
      <c r="Z334" s="52"/>
      <c r="AA334" s="50">
        <f t="shared" si="138"/>
        <v>8783.6607610961619</v>
      </c>
      <c r="AB334" s="39">
        <f t="shared" si="139"/>
        <v>8328.1645077150843</v>
      </c>
      <c r="AC334" s="39">
        <f t="shared" si="133"/>
        <v>-455.49625338107762</v>
      </c>
      <c r="AD334" s="41">
        <f t="shared" si="134"/>
        <v>-5.1857222833391114E-2</v>
      </c>
      <c r="AF334" s="46">
        <f t="shared" si="116"/>
        <v>0</v>
      </c>
      <c r="AG334" s="46">
        <f t="shared" si="135"/>
        <v>0</v>
      </c>
      <c r="AH334" s="54">
        <f t="shared" si="117"/>
        <v>2121</v>
      </c>
      <c r="AI334" s="55">
        <f t="shared" si="126"/>
        <v>0.66258351893095768</v>
      </c>
      <c r="AJ334" s="55">
        <f t="shared" si="136"/>
        <v>0</v>
      </c>
      <c r="AK334" s="55">
        <f t="shared" si="137"/>
        <v>0</v>
      </c>
    </row>
    <row r="335" spans="2:37" s="53" customFormat="1" ht="17.25" customHeight="1" x14ac:dyDescent="0.25">
      <c r="B335" s="91" t="str">
        <f t="shared" si="118"/>
        <v/>
      </c>
      <c r="C335" s="81">
        <f>IF(Sheet3!A306="","",Sheet3!A306)</f>
        <v>39755</v>
      </c>
      <c r="D335" s="82">
        <f>IF(C335="","",Sheet3!E306)</f>
        <v>27</v>
      </c>
      <c r="E335" s="56">
        <f>_xlfn.XLOOKUP(WEEKNUM(C335)&amp;YEAR(C335),Sheet4!C:C,Sheet4!B:B,0)</f>
        <v>0</v>
      </c>
      <c r="F335" s="46">
        <f>IF(int=Weekly,-$D$5,IF(int=Bi_Weekly,-$D$5,IF(int=Monthly,-$D$5,IF(int=Quarterly,0,IF(int=Yearly,0,IF(int=None,0,0))))))</f>
        <v>-100</v>
      </c>
      <c r="G335" s="46"/>
      <c r="H335" s="46">
        <f t="shared" si="127"/>
        <v>-7650</v>
      </c>
      <c r="I335" s="47"/>
      <c r="J335" s="38">
        <f t="shared" si="114"/>
        <v>3.7037037037037037</v>
      </c>
      <c r="K335" s="48"/>
      <c r="L335" s="48">
        <f t="shared" si="119"/>
        <v>273.48098563568124</v>
      </c>
      <c r="M335" s="48"/>
      <c r="N335" s="38">
        <f t="shared" si="120"/>
        <v>0</v>
      </c>
      <c r="O335" s="36">
        <f t="shared" si="121"/>
        <v>0</v>
      </c>
      <c r="P335" s="84">
        <f t="shared" si="122"/>
        <v>-8883.1920110798856</v>
      </c>
      <c r="Q335" s="38">
        <f t="shared" si="123"/>
        <v>0</v>
      </c>
      <c r="R335" s="48">
        <f t="shared" si="124"/>
        <v>41.323372073068555</v>
      </c>
      <c r="S335" s="38">
        <f t="shared" si="115"/>
        <v>314.80435770874976</v>
      </c>
      <c r="T335" s="50">
        <f t="shared" si="128"/>
        <v>7650</v>
      </c>
      <c r="U335" s="40">
        <f t="shared" si="129"/>
        <v>7383.9866121633931</v>
      </c>
      <c r="V335" s="41">
        <f t="shared" si="130"/>
        <v>-3.4772991874066239E-2</v>
      </c>
      <c r="W335" s="39">
        <f t="shared" si="131"/>
        <v>-266.01338783660685</v>
      </c>
      <c r="X335" s="50">
        <f t="shared" si="125"/>
        <v>1233.6607610961619</v>
      </c>
      <c r="Y335" s="41">
        <f t="shared" si="132"/>
        <v>0.12648985271366731</v>
      </c>
      <c r="Z335" s="52"/>
      <c r="AA335" s="50">
        <f t="shared" si="138"/>
        <v>8883.6607610961619</v>
      </c>
      <c r="AB335" s="39">
        <f t="shared" si="139"/>
        <v>8499.7176581362437</v>
      </c>
      <c r="AC335" s="39">
        <f t="shared" si="133"/>
        <v>-383.94310295991818</v>
      </c>
      <c r="AD335" s="41">
        <f t="shared" si="134"/>
        <v>-4.3219018970344303E-2</v>
      </c>
      <c r="AF335" s="46">
        <f t="shared" si="116"/>
        <v>-100</v>
      </c>
      <c r="AG335" s="46">
        <f t="shared" si="135"/>
        <v>-100</v>
      </c>
      <c r="AH335" s="54">
        <f t="shared" si="117"/>
        <v>2128</v>
      </c>
      <c r="AI335" s="55">
        <f t="shared" si="126"/>
        <v>0.66146993318485525</v>
      </c>
      <c r="AJ335" s="55">
        <f t="shared" si="136"/>
        <v>-66.146993318485528</v>
      </c>
      <c r="AK335" s="55">
        <f t="shared" si="137"/>
        <v>-66.146993318485528</v>
      </c>
    </row>
    <row r="336" spans="2:37" s="53" customFormat="1" ht="17.25" customHeight="1" x14ac:dyDescent="0.25">
      <c r="B336" s="91" t="str">
        <f t="shared" si="118"/>
        <v/>
      </c>
      <c r="C336" s="81">
        <f>IF(Sheet3!A307="","",Sheet3!A307)</f>
        <v>39762</v>
      </c>
      <c r="D336" s="82">
        <f>IF(C336="","",Sheet3!E307)</f>
        <v>27.65</v>
      </c>
      <c r="E336" s="56">
        <f>_xlfn.XLOOKUP(WEEKNUM(C336)&amp;YEAR(C336),Sheet4!C:C,Sheet4!B:B,0)</f>
        <v>0</v>
      </c>
      <c r="F336" s="46">
        <f>IF(int=Weekly,-$D$5,IF(int=Bi_Weekly,0,IF(int=Monthly,0,IF(int=Quarterly,0,IF(int=Yearly,0,IF(int=None,0,0))))))</f>
        <v>0</v>
      </c>
      <c r="G336" s="46"/>
      <c r="H336" s="46">
        <f t="shared" si="127"/>
        <v>-7650</v>
      </c>
      <c r="I336" s="47"/>
      <c r="J336" s="38">
        <f t="shared" si="114"/>
        <v>0</v>
      </c>
      <c r="K336" s="48"/>
      <c r="L336" s="48">
        <f t="shared" si="119"/>
        <v>273.48098563568124</v>
      </c>
      <c r="M336" s="48"/>
      <c r="N336" s="38">
        <f t="shared" si="120"/>
        <v>0</v>
      </c>
      <c r="O336" s="36">
        <f t="shared" si="121"/>
        <v>0</v>
      </c>
      <c r="P336" s="84">
        <f t="shared" si="122"/>
        <v>-8883.1920110798856</v>
      </c>
      <c r="Q336" s="38">
        <f t="shared" si="123"/>
        <v>0</v>
      </c>
      <c r="R336" s="48">
        <f t="shared" si="124"/>
        <v>41.323372073068555</v>
      </c>
      <c r="S336" s="38">
        <f t="shared" si="115"/>
        <v>314.80435770874976</v>
      </c>
      <c r="T336" s="50">
        <f t="shared" si="128"/>
        <v>7650</v>
      </c>
      <c r="U336" s="40">
        <f t="shared" si="129"/>
        <v>7561.7492528265857</v>
      </c>
      <c r="V336" s="41">
        <f t="shared" si="130"/>
        <v>-1.1536045382145699E-2</v>
      </c>
      <c r="W336" s="39">
        <f t="shared" si="131"/>
        <v>-88.250747173414311</v>
      </c>
      <c r="X336" s="50">
        <f t="shared" si="125"/>
        <v>1233.6607610961619</v>
      </c>
      <c r="Y336" s="41">
        <f t="shared" si="132"/>
        <v>0.14972679920558796</v>
      </c>
      <c r="Z336" s="52"/>
      <c r="AA336" s="50">
        <f t="shared" si="138"/>
        <v>8883.6607610961619</v>
      </c>
      <c r="AB336" s="39">
        <f t="shared" si="139"/>
        <v>8704.3404906469314</v>
      </c>
      <c r="AC336" s="39">
        <f t="shared" si="133"/>
        <v>-179.32027044923052</v>
      </c>
      <c r="AD336" s="41">
        <f t="shared" si="134"/>
        <v>-2.0185402760371063E-2</v>
      </c>
      <c r="AF336" s="46">
        <f t="shared" si="116"/>
        <v>0</v>
      </c>
      <c r="AG336" s="46">
        <f t="shared" si="135"/>
        <v>0</v>
      </c>
      <c r="AH336" s="54">
        <f t="shared" si="117"/>
        <v>2135</v>
      </c>
      <c r="AI336" s="55">
        <f t="shared" si="126"/>
        <v>0.66035634743875282</v>
      </c>
      <c r="AJ336" s="55">
        <f t="shared" si="136"/>
        <v>0</v>
      </c>
      <c r="AK336" s="55">
        <f t="shared" si="137"/>
        <v>0</v>
      </c>
    </row>
    <row r="337" spans="2:37" s="53" customFormat="1" ht="17.25" customHeight="1" x14ac:dyDescent="0.25">
      <c r="B337" s="91" t="str">
        <f t="shared" si="118"/>
        <v/>
      </c>
      <c r="C337" s="81">
        <f>IF(Sheet3!A308="","",Sheet3!A308)</f>
        <v>39769</v>
      </c>
      <c r="D337" s="82">
        <f>IF(C337="","",Sheet3!E308)</f>
        <v>25.190000999999999</v>
      </c>
      <c r="E337" s="56">
        <f>_xlfn.XLOOKUP(WEEKNUM(C337)&amp;YEAR(C337),Sheet4!C:C,Sheet4!B:B,0)</f>
        <v>0</v>
      </c>
      <c r="F337" s="46">
        <f>IF(int=Weekly,-$D$5,IF(int=Bi_Weekly,-$D$5,IF(int=Monthly,0,IF(int=Quarterly,0,IF(int=Yearly,0,IF(int=None,0,0))))))</f>
        <v>0</v>
      </c>
      <c r="G337" s="46"/>
      <c r="H337" s="46">
        <f t="shared" si="127"/>
        <v>-7650</v>
      </c>
      <c r="I337" s="47"/>
      <c r="J337" s="38">
        <f t="shared" si="114"/>
        <v>0</v>
      </c>
      <c r="K337" s="48"/>
      <c r="L337" s="48">
        <f t="shared" si="119"/>
        <v>273.48098563568124</v>
      </c>
      <c r="M337" s="48"/>
      <c r="N337" s="38">
        <f t="shared" si="120"/>
        <v>0</v>
      </c>
      <c r="O337" s="36">
        <f t="shared" si="121"/>
        <v>0</v>
      </c>
      <c r="P337" s="84">
        <f t="shared" si="122"/>
        <v>-8883.1920110798856</v>
      </c>
      <c r="Q337" s="38">
        <f t="shared" si="123"/>
        <v>0</v>
      </c>
      <c r="R337" s="48">
        <f t="shared" si="124"/>
        <v>41.323372073068555</v>
      </c>
      <c r="S337" s="38">
        <f t="shared" si="115"/>
        <v>314.80435770874976</v>
      </c>
      <c r="T337" s="50">
        <f t="shared" si="128"/>
        <v>7650</v>
      </c>
      <c r="U337" s="40">
        <f t="shared" si="129"/>
        <v>6888.9863016437957</v>
      </c>
      <c r="V337" s="41">
        <f t="shared" si="130"/>
        <v>-9.9478914817804465E-2</v>
      </c>
      <c r="W337" s="39">
        <f t="shared" si="131"/>
        <v>-761.01369835620426</v>
      </c>
      <c r="X337" s="50">
        <f t="shared" si="125"/>
        <v>1233.6607610961619</v>
      </c>
      <c r="Y337" s="41">
        <f t="shared" si="132"/>
        <v>6.1783929769929191E-2</v>
      </c>
      <c r="Z337" s="52"/>
      <c r="AA337" s="50">
        <f t="shared" si="138"/>
        <v>8883.6607610961619</v>
      </c>
      <c r="AB337" s="39">
        <f t="shared" si="139"/>
        <v>7929.9220854877649</v>
      </c>
      <c r="AC337" s="39">
        <f t="shared" si="133"/>
        <v>-953.73867560839699</v>
      </c>
      <c r="AD337" s="41">
        <f t="shared" si="134"/>
        <v>-0.1073587455956293</v>
      </c>
      <c r="AF337" s="46">
        <f t="shared" si="116"/>
        <v>0</v>
      </c>
      <c r="AG337" s="46">
        <f t="shared" si="135"/>
        <v>0</v>
      </c>
      <c r="AH337" s="54">
        <f t="shared" si="117"/>
        <v>2142</v>
      </c>
      <c r="AI337" s="55">
        <f t="shared" si="126"/>
        <v>0.65924276169265028</v>
      </c>
      <c r="AJ337" s="55">
        <f t="shared" si="136"/>
        <v>0</v>
      </c>
      <c r="AK337" s="55">
        <f t="shared" si="137"/>
        <v>0</v>
      </c>
    </row>
    <row r="338" spans="2:37" s="53" customFormat="1" ht="17.25" customHeight="1" x14ac:dyDescent="0.25">
      <c r="B338" s="91" t="str">
        <f t="shared" si="118"/>
        <v/>
      </c>
      <c r="C338" s="81">
        <f>IF(Sheet3!A309="","",Sheet3!A309)</f>
        <v>39776</v>
      </c>
      <c r="D338" s="82">
        <f>IF(C338="","",Sheet3!E309)</f>
        <v>28.559999000000001</v>
      </c>
      <c r="E338" s="56">
        <f>_xlfn.XLOOKUP(WEEKNUM(C338)&amp;YEAR(C338),Sheet4!C:C,Sheet4!B:B,0)</f>
        <v>0</v>
      </c>
      <c r="F338" s="46">
        <f>IF(int=Weekly,-$D$5,IF(int=Bi_Weekly,0,IF(int=Monthly,0,IF(int=Quarterly,0,IF(int=Yearly,0,IF(int=None,0,0))))))</f>
        <v>0</v>
      </c>
      <c r="G338" s="46"/>
      <c r="H338" s="46">
        <f t="shared" si="127"/>
        <v>-7650</v>
      </c>
      <c r="I338" s="47"/>
      <c r="J338" s="38">
        <f t="shared" si="114"/>
        <v>0</v>
      </c>
      <c r="K338" s="48"/>
      <c r="L338" s="48">
        <f t="shared" si="119"/>
        <v>273.48098563568124</v>
      </c>
      <c r="M338" s="48"/>
      <c r="N338" s="38">
        <f t="shared" si="120"/>
        <v>0</v>
      </c>
      <c r="O338" s="36">
        <f t="shared" si="121"/>
        <v>0</v>
      </c>
      <c r="P338" s="84">
        <f t="shared" si="122"/>
        <v>-8883.1920110798856</v>
      </c>
      <c r="Q338" s="38">
        <f t="shared" si="123"/>
        <v>0</v>
      </c>
      <c r="R338" s="48">
        <f t="shared" si="124"/>
        <v>41.323372073068555</v>
      </c>
      <c r="S338" s="38">
        <f t="shared" si="115"/>
        <v>314.80435770874976</v>
      </c>
      <c r="T338" s="50">
        <f t="shared" si="128"/>
        <v>7650</v>
      </c>
      <c r="U338" s="40">
        <f t="shared" si="129"/>
        <v>7810.6166762740704</v>
      </c>
      <c r="V338" s="41">
        <f t="shared" si="130"/>
        <v>2.0995643957394838E-2</v>
      </c>
      <c r="W338" s="39">
        <f t="shared" si="131"/>
        <v>160.61667627407041</v>
      </c>
      <c r="X338" s="50">
        <f t="shared" si="125"/>
        <v>1233.6607610961619</v>
      </c>
      <c r="Y338" s="41">
        <f t="shared" si="132"/>
        <v>0.18225848854512838</v>
      </c>
      <c r="Z338" s="52"/>
      <c r="AA338" s="50">
        <f t="shared" si="138"/>
        <v>8883.6607610961619</v>
      </c>
      <c r="AB338" s="39">
        <f t="shared" si="139"/>
        <v>8990.8121413575354</v>
      </c>
      <c r="AC338" s="39">
        <f t="shared" si="133"/>
        <v>107.15138026137356</v>
      </c>
      <c r="AD338" s="41">
        <f t="shared" si="134"/>
        <v>1.2061624497258672E-2</v>
      </c>
      <c r="AF338" s="46">
        <f t="shared" si="116"/>
        <v>0</v>
      </c>
      <c r="AG338" s="46">
        <f t="shared" si="135"/>
        <v>0</v>
      </c>
      <c r="AH338" s="54">
        <f t="shared" si="117"/>
        <v>2149</v>
      </c>
      <c r="AI338" s="55">
        <f t="shared" si="126"/>
        <v>0.65812917594654785</v>
      </c>
      <c r="AJ338" s="55">
        <f t="shared" si="136"/>
        <v>0</v>
      </c>
      <c r="AK338" s="55">
        <f t="shared" si="137"/>
        <v>0</v>
      </c>
    </row>
    <row r="339" spans="2:37" s="53" customFormat="1" ht="17.25" customHeight="1" x14ac:dyDescent="0.25">
      <c r="B339" s="91" t="str">
        <f t="shared" si="118"/>
        <v/>
      </c>
      <c r="C339" s="81">
        <f>IF(Sheet3!A310="","",Sheet3!A310)</f>
        <v>39783</v>
      </c>
      <c r="D339" s="82">
        <f>IF(C339="","",Sheet3!E310)</f>
        <v>28.15</v>
      </c>
      <c r="E339" s="56">
        <f>_xlfn.XLOOKUP(WEEKNUM(C339)&amp;YEAR(C339),Sheet4!C:C,Sheet4!B:B,0)</f>
        <v>0</v>
      </c>
      <c r="F339" s="46">
        <f>IF(int=Weekly,-$D$5,IF(int=Bi_Weekly,-$D$5,IF(int=Monthly,-$D$5,IF(int=Quarterly,0,IF(int=Yearly,0,IF(int=None,0,0))))))</f>
        <v>-100</v>
      </c>
      <c r="G339" s="46"/>
      <c r="H339" s="46">
        <f t="shared" si="127"/>
        <v>-7750</v>
      </c>
      <c r="I339" s="47"/>
      <c r="J339" s="38">
        <f t="shared" si="114"/>
        <v>3.5523978685612789</v>
      </c>
      <c r="K339" s="48"/>
      <c r="L339" s="48">
        <f t="shared" si="119"/>
        <v>277.03338350424252</v>
      </c>
      <c r="M339" s="48"/>
      <c r="N339" s="38">
        <f t="shared" si="120"/>
        <v>0</v>
      </c>
      <c r="O339" s="36">
        <f t="shared" si="121"/>
        <v>0</v>
      </c>
      <c r="P339" s="84">
        <f t="shared" si="122"/>
        <v>-8983.1920110798856</v>
      </c>
      <c r="Q339" s="38">
        <f t="shared" si="123"/>
        <v>0</v>
      </c>
      <c r="R339" s="48">
        <f t="shared" si="124"/>
        <v>41.323372073068555</v>
      </c>
      <c r="S339" s="38">
        <f t="shared" si="115"/>
        <v>318.35675557731111</v>
      </c>
      <c r="T339" s="50">
        <f t="shared" si="128"/>
        <v>7750</v>
      </c>
      <c r="U339" s="40">
        <f t="shared" si="129"/>
        <v>7798.4897456444269</v>
      </c>
      <c r="V339" s="41">
        <f t="shared" si="130"/>
        <v>6.2567413734744282E-3</v>
      </c>
      <c r="W339" s="39">
        <f t="shared" si="131"/>
        <v>48.489745644426876</v>
      </c>
      <c r="X339" s="50">
        <f t="shared" si="125"/>
        <v>1233.6607610961619</v>
      </c>
      <c r="Y339" s="41">
        <f t="shared" si="132"/>
        <v>0.16543877506330174</v>
      </c>
      <c r="Z339" s="52"/>
      <c r="AA339" s="50">
        <f t="shared" si="138"/>
        <v>8983.6607610961619</v>
      </c>
      <c r="AB339" s="39">
        <f t="shared" si="139"/>
        <v>8961.7426695013073</v>
      </c>
      <c r="AC339" s="39">
        <f t="shared" si="133"/>
        <v>-21.918091594854559</v>
      </c>
      <c r="AD339" s="41">
        <f t="shared" si="134"/>
        <v>-2.4397728473642966E-3</v>
      </c>
      <c r="AF339" s="46">
        <f t="shared" si="116"/>
        <v>-100</v>
      </c>
      <c r="AG339" s="46">
        <f t="shared" si="135"/>
        <v>-100</v>
      </c>
      <c r="AH339" s="54">
        <f t="shared" si="117"/>
        <v>2156</v>
      </c>
      <c r="AI339" s="55">
        <f t="shared" si="126"/>
        <v>0.65701559020044542</v>
      </c>
      <c r="AJ339" s="55">
        <f t="shared" si="136"/>
        <v>-65.701559020044542</v>
      </c>
      <c r="AK339" s="55">
        <f t="shared" si="137"/>
        <v>-65.701559020044542</v>
      </c>
    </row>
    <row r="340" spans="2:37" s="53" customFormat="1" ht="17.25" customHeight="1" x14ac:dyDescent="0.25">
      <c r="B340" s="91" t="str">
        <f t="shared" si="118"/>
        <v/>
      </c>
      <c r="C340" s="81">
        <f>IF(Sheet3!A311="","",Sheet3!A311)</f>
        <v>39790</v>
      </c>
      <c r="D340" s="82">
        <f>IF(C340="","",Sheet3!E311)</f>
        <v>28.18</v>
      </c>
      <c r="E340" s="56">
        <f>_xlfn.XLOOKUP(WEEKNUM(C340)&amp;YEAR(C340),Sheet4!C:C,Sheet4!B:B,0)</f>
        <v>0</v>
      </c>
      <c r="F340" s="46">
        <f>IF(int=Weekly,-$D$5,IF(int=Bi_Weekly,0,IF(int=Monthly,0,IF(int=Quarterly,0,IF(int=Yearly,0,IF(int=None,0,0))))))</f>
        <v>0</v>
      </c>
      <c r="G340" s="46"/>
      <c r="H340" s="46">
        <f t="shared" si="127"/>
        <v>-7750</v>
      </c>
      <c r="I340" s="47"/>
      <c r="J340" s="38">
        <f t="shared" si="114"/>
        <v>0</v>
      </c>
      <c r="K340" s="48"/>
      <c r="L340" s="48">
        <f t="shared" si="119"/>
        <v>277.03338350424252</v>
      </c>
      <c r="M340" s="48"/>
      <c r="N340" s="38">
        <f t="shared" si="120"/>
        <v>0</v>
      </c>
      <c r="O340" s="36">
        <f t="shared" si="121"/>
        <v>0</v>
      </c>
      <c r="P340" s="84">
        <f t="shared" si="122"/>
        <v>-8983.1920110798856</v>
      </c>
      <c r="Q340" s="38">
        <f t="shared" si="123"/>
        <v>0</v>
      </c>
      <c r="R340" s="48">
        <f t="shared" si="124"/>
        <v>41.323372073068555</v>
      </c>
      <c r="S340" s="38">
        <f t="shared" si="115"/>
        <v>318.35675557731111</v>
      </c>
      <c r="T340" s="50">
        <f t="shared" si="128"/>
        <v>7750</v>
      </c>
      <c r="U340" s="40">
        <f t="shared" si="129"/>
        <v>7806.8007471495539</v>
      </c>
      <c r="V340" s="41">
        <f t="shared" si="130"/>
        <v>7.3291286644585618E-3</v>
      </c>
      <c r="W340" s="39">
        <f t="shared" si="131"/>
        <v>56.800747149553899</v>
      </c>
      <c r="X340" s="50">
        <f t="shared" si="125"/>
        <v>1233.6607610961619</v>
      </c>
      <c r="Y340" s="41">
        <f t="shared" si="132"/>
        <v>0.16651116235428609</v>
      </c>
      <c r="Z340" s="52"/>
      <c r="AA340" s="50">
        <f t="shared" si="138"/>
        <v>8983.6607610961619</v>
      </c>
      <c r="AB340" s="39">
        <f t="shared" si="139"/>
        <v>8971.2933721686259</v>
      </c>
      <c r="AC340" s="39">
        <f t="shared" si="133"/>
        <v>-12.367388927536012</v>
      </c>
      <c r="AD340" s="41">
        <f t="shared" si="134"/>
        <v>-1.376653599954869E-3</v>
      </c>
      <c r="AF340" s="46">
        <f t="shared" si="116"/>
        <v>0</v>
      </c>
      <c r="AG340" s="46">
        <f t="shared" si="135"/>
        <v>0</v>
      </c>
      <c r="AH340" s="54">
        <f t="shared" si="117"/>
        <v>2163</v>
      </c>
      <c r="AI340" s="55">
        <f t="shared" si="126"/>
        <v>0.65590200445434299</v>
      </c>
      <c r="AJ340" s="55">
        <f t="shared" si="136"/>
        <v>0</v>
      </c>
      <c r="AK340" s="55">
        <f t="shared" si="137"/>
        <v>0</v>
      </c>
    </row>
    <row r="341" spans="2:37" s="53" customFormat="1" ht="17.25" customHeight="1" x14ac:dyDescent="0.25">
      <c r="B341" s="91" t="str">
        <f t="shared" si="118"/>
        <v/>
      </c>
      <c r="C341" s="81">
        <f>IF(Sheet3!A312="","",Sheet3!A312)</f>
        <v>39797</v>
      </c>
      <c r="D341" s="82">
        <f>IF(C341="","",Sheet3!E312)</f>
        <v>28.120000999999998</v>
      </c>
      <c r="E341" s="56">
        <f>_xlfn.XLOOKUP(WEEKNUM(C341)&amp;YEAR(C341),Sheet4!C:C,Sheet4!B:B,0)</f>
        <v>0</v>
      </c>
      <c r="F341" s="46">
        <f>IF(int=Weekly,-$D$5,IF(int=Bi_Weekly,-$D$5,IF(int=Monthly,0,IF(int=Quarterly,0,IF(int=Yearly,0,IF(int=None,0,0))))))</f>
        <v>0</v>
      </c>
      <c r="G341" s="46"/>
      <c r="H341" s="46">
        <f t="shared" si="127"/>
        <v>-7750</v>
      </c>
      <c r="I341" s="47"/>
      <c r="J341" s="38">
        <f t="shared" si="114"/>
        <v>0</v>
      </c>
      <c r="K341" s="48"/>
      <c r="L341" s="48">
        <f t="shared" si="119"/>
        <v>277.03338350424252</v>
      </c>
      <c r="M341" s="48"/>
      <c r="N341" s="38">
        <f t="shared" si="120"/>
        <v>0</v>
      </c>
      <c r="O341" s="36">
        <f t="shared" si="121"/>
        <v>0</v>
      </c>
      <c r="P341" s="84">
        <f t="shared" si="122"/>
        <v>-8983.1920110798856</v>
      </c>
      <c r="Q341" s="38">
        <f t="shared" si="123"/>
        <v>0</v>
      </c>
      <c r="R341" s="48">
        <f t="shared" si="124"/>
        <v>41.323372073068555</v>
      </c>
      <c r="S341" s="38">
        <f t="shared" si="115"/>
        <v>318.35675557731111</v>
      </c>
      <c r="T341" s="50">
        <f t="shared" si="128"/>
        <v>7750</v>
      </c>
      <c r="U341" s="40">
        <f t="shared" si="129"/>
        <v>7790.179021172683</v>
      </c>
      <c r="V341" s="41">
        <f t="shared" si="130"/>
        <v>5.1843898287333712E-3</v>
      </c>
      <c r="W341" s="39">
        <f t="shared" si="131"/>
        <v>40.179021172682951</v>
      </c>
      <c r="X341" s="50">
        <f t="shared" si="125"/>
        <v>1233.6607610961619</v>
      </c>
      <c r="Y341" s="41">
        <f t="shared" si="132"/>
        <v>0.16436642351856068</v>
      </c>
      <c r="Z341" s="52"/>
      <c r="AA341" s="50">
        <f t="shared" si="138"/>
        <v>8983.6607610961619</v>
      </c>
      <c r="AB341" s="39">
        <f t="shared" si="139"/>
        <v>8952.192285190742</v>
      </c>
      <c r="AC341" s="39">
        <f t="shared" si="133"/>
        <v>-31.468475905419837</v>
      </c>
      <c r="AD341" s="41">
        <f t="shared" si="134"/>
        <v>-3.5028566574657471E-3</v>
      </c>
      <c r="AF341" s="46">
        <f t="shared" si="116"/>
        <v>0</v>
      </c>
      <c r="AG341" s="46">
        <f t="shared" si="135"/>
        <v>0</v>
      </c>
      <c r="AH341" s="54">
        <f t="shared" si="117"/>
        <v>2170</v>
      </c>
      <c r="AI341" s="55">
        <f t="shared" si="126"/>
        <v>0.65478841870824056</v>
      </c>
      <c r="AJ341" s="55">
        <f t="shared" si="136"/>
        <v>0</v>
      </c>
      <c r="AK341" s="55">
        <f t="shared" si="137"/>
        <v>0</v>
      </c>
    </row>
    <row r="342" spans="2:37" s="53" customFormat="1" ht="17.25" customHeight="1" x14ac:dyDescent="0.25">
      <c r="B342" s="91" t="str">
        <f t="shared" si="118"/>
        <v/>
      </c>
      <c r="C342" s="81">
        <f>IF(Sheet3!A313="","",Sheet3!A313)</f>
        <v>39804</v>
      </c>
      <c r="D342" s="82">
        <f>IF(C342="","",Sheet3!E313)</f>
        <v>27.940000999999999</v>
      </c>
      <c r="E342" s="56">
        <f>_xlfn.XLOOKUP(WEEKNUM(C342)&amp;YEAR(C342),Sheet4!C:C,Sheet4!B:B,0)</f>
        <v>0</v>
      </c>
      <c r="F342" s="46">
        <f>IF(int=Weekly,-$D$5,IF(int=Bi_Weekly,0,IF(int=Monthly,0,IF(int=Quarterly,0,IF(int=Yearly,0,IF(int=None,0,0))))))</f>
        <v>0</v>
      </c>
      <c r="G342" s="46"/>
      <c r="H342" s="46">
        <f t="shared" si="127"/>
        <v>-7750</v>
      </c>
      <c r="I342" s="47"/>
      <c r="J342" s="38">
        <f t="shared" si="114"/>
        <v>0</v>
      </c>
      <c r="K342" s="48"/>
      <c r="L342" s="48">
        <f t="shared" si="119"/>
        <v>277.03338350424252</v>
      </c>
      <c r="M342" s="48"/>
      <c r="N342" s="38">
        <f t="shared" si="120"/>
        <v>0</v>
      </c>
      <c r="O342" s="36">
        <f t="shared" si="121"/>
        <v>0</v>
      </c>
      <c r="P342" s="84">
        <f t="shared" si="122"/>
        <v>-8983.1920110798856</v>
      </c>
      <c r="Q342" s="38">
        <f t="shared" si="123"/>
        <v>0</v>
      </c>
      <c r="R342" s="48">
        <f t="shared" si="124"/>
        <v>41.323372073068555</v>
      </c>
      <c r="S342" s="38">
        <f t="shared" si="115"/>
        <v>318.35675557731111</v>
      </c>
      <c r="T342" s="50">
        <f t="shared" si="128"/>
        <v>7750</v>
      </c>
      <c r="U342" s="40">
        <f t="shared" si="129"/>
        <v>7740.313012141919</v>
      </c>
      <c r="V342" s="41">
        <f t="shared" si="130"/>
        <v>-1.2499339171717638E-3</v>
      </c>
      <c r="W342" s="39">
        <f t="shared" si="131"/>
        <v>-9.6869878580810109</v>
      </c>
      <c r="X342" s="50">
        <f t="shared" si="125"/>
        <v>1233.6607610961619</v>
      </c>
      <c r="Y342" s="41">
        <f t="shared" si="132"/>
        <v>0.15793209977265565</v>
      </c>
      <c r="Z342" s="52"/>
      <c r="AA342" s="50">
        <f t="shared" si="138"/>
        <v>8983.6607610961619</v>
      </c>
      <c r="AB342" s="39">
        <f t="shared" si="139"/>
        <v>8894.8880691868271</v>
      </c>
      <c r="AC342" s="39">
        <f t="shared" si="133"/>
        <v>-88.772691909334753</v>
      </c>
      <c r="AD342" s="41">
        <f t="shared" si="134"/>
        <v>-9.8815721419229785E-3</v>
      </c>
      <c r="AF342" s="46">
        <f t="shared" si="116"/>
        <v>0</v>
      </c>
      <c r="AG342" s="46">
        <f t="shared" si="135"/>
        <v>0</v>
      </c>
      <c r="AH342" s="54">
        <f t="shared" si="117"/>
        <v>2177</v>
      </c>
      <c r="AI342" s="55">
        <f t="shared" si="126"/>
        <v>0.65367483296213813</v>
      </c>
      <c r="AJ342" s="55">
        <f t="shared" si="136"/>
        <v>0</v>
      </c>
      <c r="AK342" s="55">
        <f t="shared" si="137"/>
        <v>0</v>
      </c>
    </row>
    <row r="343" spans="2:37" s="53" customFormat="1" ht="17.25" customHeight="1" x14ac:dyDescent="0.25">
      <c r="B343" s="91" t="str">
        <f t="shared" si="118"/>
        <v/>
      </c>
      <c r="C343" s="81">
        <f>IF(Sheet3!A314="","",Sheet3!A314)</f>
        <v>39811</v>
      </c>
      <c r="D343" s="82">
        <f>IF(C343="","",Sheet3!E314)</f>
        <v>29.42</v>
      </c>
      <c r="E343" s="56">
        <f>_xlfn.XLOOKUP(WEEKNUM(C343)&amp;YEAR(C343),Sheet4!C:C,Sheet4!B:B,0)</f>
        <v>0</v>
      </c>
      <c r="F343" s="46">
        <f>IF(int=Weekly,-$D$5,IF(int=Bi_Weekly,-$D$5,IF(int=Monthly,-$D$5,IF(int=Quarterly,-$D$5,IF(int=Yearly,-$D$5,IF(int=None,0,0))))))</f>
        <v>-100</v>
      </c>
      <c r="G343" s="46"/>
      <c r="H343" s="46">
        <f t="shared" si="127"/>
        <v>-7850</v>
      </c>
      <c r="I343" s="47"/>
      <c r="J343" s="38">
        <f t="shared" si="114"/>
        <v>3.3990482664853841</v>
      </c>
      <c r="K343" s="48"/>
      <c r="L343" s="48">
        <f t="shared" si="119"/>
        <v>280.43243177072793</v>
      </c>
      <c r="M343" s="48"/>
      <c r="N343" s="38">
        <f t="shared" si="120"/>
        <v>0</v>
      </c>
      <c r="O343" s="36">
        <f t="shared" si="121"/>
        <v>0</v>
      </c>
      <c r="P343" s="84">
        <f t="shared" si="122"/>
        <v>-9083.1920110798856</v>
      </c>
      <c r="Q343" s="38">
        <f t="shared" si="123"/>
        <v>0</v>
      </c>
      <c r="R343" s="48">
        <f t="shared" si="124"/>
        <v>41.323372073068555</v>
      </c>
      <c r="S343" s="38">
        <f t="shared" si="115"/>
        <v>321.75580384379646</v>
      </c>
      <c r="T343" s="50">
        <f t="shared" si="128"/>
        <v>7850</v>
      </c>
      <c r="U343" s="40">
        <f t="shared" si="129"/>
        <v>8250.3221426948166</v>
      </c>
      <c r="V343" s="41">
        <f t="shared" si="130"/>
        <v>5.0996451298702672E-2</v>
      </c>
      <c r="W343" s="39">
        <f t="shared" si="131"/>
        <v>400.32214269481665</v>
      </c>
      <c r="X343" s="50">
        <f t="shared" si="125"/>
        <v>1233.6607610961619</v>
      </c>
      <c r="Y343" s="41">
        <f t="shared" si="132"/>
        <v>0.20815068838101647</v>
      </c>
      <c r="Z343" s="52"/>
      <c r="AA343" s="50">
        <f t="shared" si="138"/>
        <v>9083.6607610961619</v>
      </c>
      <c r="AB343" s="39">
        <f t="shared" si="139"/>
        <v>9466.0557490844931</v>
      </c>
      <c r="AC343" s="39">
        <f t="shared" si="133"/>
        <v>382.3949879883312</v>
      </c>
      <c r="AD343" s="41">
        <f t="shared" si="134"/>
        <v>4.2097013312745846E-2</v>
      </c>
      <c r="AF343" s="46">
        <f t="shared" si="116"/>
        <v>-100</v>
      </c>
      <c r="AG343" s="46">
        <f t="shared" si="135"/>
        <v>-100</v>
      </c>
      <c r="AH343" s="54">
        <f t="shared" si="117"/>
        <v>2184</v>
      </c>
      <c r="AI343" s="55">
        <f t="shared" si="126"/>
        <v>0.65256124721603559</v>
      </c>
      <c r="AJ343" s="55">
        <f t="shared" si="136"/>
        <v>-65.256124721603555</v>
      </c>
      <c r="AK343" s="55">
        <f t="shared" si="137"/>
        <v>-65.256124721603555</v>
      </c>
    </row>
    <row r="344" spans="2:37" s="53" customFormat="1" ht="17.25" customHeight="1" x14ac:dyDescent="0.25">
      <c r="B344" s="91" t="str">
        <f t="shared" si="118"/>
        <v/>
      </c>
      <c r="C344" s="81">
        <f>IF(Sheet3!A315="","",Sheet3!A315)</f>
        <v>39818</v>
      </c>
      <c r="D344" s="82">
        <f>IF(C344="","",Sheet3!E315)</f>
        <v>26.68</v>
      </c>
      <c r="E344" s="56">
        <f>_xlfn.XLOOKUP(WEEKNUM(C344)&amp;YEAR(C344),Sheet4!C:C,Sheet4!B:B,0)</f>
        <v>0.41</v>
      </c>
      <c r="F344" s="46">
        <f>IF(int=Weekly,-$D$5,IF(int=Bi_Weekly,0,IF(int=Monthly,0,IF(int=Quarterly,0,IF(int=Yearly,0,IF(int=None,0,0))))))</f>
        <v>0</v>
      </c>
      <c r="G344" s="46"/>
      <c r="H344" s="46">
        <f t="shared" si="127"/>
        <v>-7850</v>
      </c>
      <c r="I344" s="47"/>
      <c r="J344" s="38">
        <f t="shared" si="114"/>
        <v>0</v>
      </c>
      <c r="K344" s="48"/>
      <c r="L344" s="48">
        <f t="shared" si="119"/>
        <v>280.43243177072793</v>
      </c>
      <c r="M344" s="48"/>
      <c r="N344" s="38">
        <f t="shared" si="120"/>
        <v>114.97729702599844</v>
      </c>
      <c r="O344" s="36">
        <f t="shared" si="121"/>
        <v>-114.97729702599844</v>
      </c>
      <c r="P344" s="84">
        <f t="shared" si="122"/>
        <v>-9198.1693081058838</v>
      </c>
      <c r="Q344" s="38">
        <f t="shared" si="123"/>
        <v>4.3094938915291765</v>
      </c>
      <c r="R344" s="48">
        <f t="shared" si="124"/>
        <v>45.632865964597734</v>
      </c>
      <c r="S344" s="38">
        <f t="shared" si="115"/>
        <v>326.06529773532566</v>
      </c>
      <c r="T344" s="50">
        <f t="shared" si="128"/>
        <v>7850</v>
      </c>
      <c r="U344" s="40">
        <f t="shared" si="129"/>
        <v>7481.9372796430207</v>
      </c>
      <c r="V344" s="41">
        <f t="shared" si="130"/>
        <v>-4.6886970746112033E-2</v>
      </c>
      <c r="W344" s="39">
        <f t="shared" si="131"/>
        <v>-368.0627203569793</v>
      </c>
      <c r="X344" s="50">
        <f t="shared" si="125"/>
        <v>1348.6380581221604</v>
      </c>
      <c r="Y344" s="41">
        <f t="shared" si="132"/>
        <v>0.12491405576626513</v>
      </c>
      <c r="Z344" s="52"/>
      <c r="AA344" s="50">
        <f t="shared" si="138"/>
        <v>9198.6380581221601</v>
      </c>
      <c r="AB344" s="39">
        <f t="shared" si="139"/>
        <v>8699.4221435784875</v>
      </c>
      <c r="AC344" s="39">
        <f t="shared" si="133"/>
        <v>-499.21591454367262</v>
      </c>
      <c r="AD344" s="41">
        <f t="shared" si="134"/>
        <v>-5.4270633477406793E-2</v>
      </c>
      <c r="AF344" s="46">
        <f t="shared" si="116"/>
        <v>114.97729702599844</v>
      </c>
      <c r="AG344" s="46">
        <f t="shared" si="135"/>
        <v>0</v>
      </c>
      <c r="AH344" s="54">
        <f t="shared" si="117"/>
        <v>2191</v>
      </c>
      <c r="AI344" s="55">
        <f t="shared" si="126"/>
        <v>0.65144766146993316</v>
      </c>
      <c r="AJ344" s="55">
        <f t="shared" si="136"/>
        <v>74.901691269720587</v>
      </c>
      <c r="AK344" s="55">
        <f t="shared" si="137"/>
        <v>0</v>
      </c>
    </row>
    <row r="345" spans="2:37" s="53" customFormat="1" ht="17.25" customHeight="1" x14ac:dyDescent="0.25">
      <c r="B345" s="91" t="str">
        <f t="shared" si="118"/>
        <v/>
      </c>
      <c r="C345" s="81">
        <f>IF(Sheet3!A316="","",Sheet3!A316)</f>
        <v>39825</v>
      </c>
      <c r="D345" s="82">
        <f>IF(C345="","",Sheet3!E316)</f>
        <v>25.23</v>
      </c>
      <c r="E345" s="56">
        <f>_xlfn.XLOOKUP(WEEKNUM(C345)&amp;YEAR(C345),Sheet4!C:C,Sheet4!B:B,0)</f>
        <v>0</v>
      </c>
      <c r="F345" s="46">
        <f>IF(int=Weekly,-$D$5,IF(int=Bi_Weekly,-$D$5,IF(int=Monthly,0,IF(int=Quarterly,0,IF(int=Yearly,0,IF(int=None,0,0))))))</f>
        <v>0</v>
      </c>
      <c r="G345" s="46"/>
      <c r="H345" s="46">
        <f t="shared" si="127"/>
        <v>-7850</v>
      </c>
      <c r="I345" s="47"/>
      <c r="J345" s="38">
        <f t="shared" si="114"/>
        <v>0</v>
      </c>
      <c r="K345" s="48"/>
      <c r="L345" s="48">
        <f t="shared" si="119"/>
        <v>280.43243177072793</v>
      </c>
      <c r="M345" s="48"/>
      <c r="N345" s="38">
        <f t="shared" si="120"/>
        <v>0</v>
      </c>
      <c r="O345" s="36">
        <f t="shared" si="121"/>
        <v>0</v>
      </c>
      <c r="P345" s="84">
        <f t="shared" si="122"/>
        <v>-9198.1693081058838</v>
      </c>
      <c r="Q345" s="38">
        <f t="shared" si="123"/>
        <v>0</v>
      </c>
      <c r="R345" s="48">
        <f t="shared" si="124"/>
        <v>45.632865964597734</v>
      </c>
      <c r="S345" s="38">
        <f t="shared" si="115"/>
        <v>326.06529773532566</v>
      </c>
      <c r="T345" s="50">
        <f t="shared" si="128"/>
        <v>7850</v>
      </c>
      <c r="U345" s="40">
        <f t="shared" si="129"/>
        <v>7075.310253575466</v>
      </c>
      <c r="V345" s="41">
        <f t="shared" si="130"/>
        <v>-9.8686591901214538E-2</v>
      </c>
      <c r="W345" s="39">
        <f t="shared" si="131"/>
        <v>-774.68974642453395</v>
      </c>
      <c r="X345" s="50">
        <f t="shared" si="125"/>
        <v>1348.6380581221604</v>
      </c>
      <c r="Y345" s="41">
        <f t="shared" si="132"/>
        <v>7.3114434611162515E-2</v>
      </c>
      <c r="Z345" s="52"/>
      <c r="AA345" s="50">
        <f t="shared" si="138"/>
        <v>9198.6380581221601</v>
      </c>
      <c r="AB345" s="39">
        <f t="shared" si="139"/>
        <v>8226.6274618622665</v>
      </c>
      <c r="AC345" s="39">
        <f t="shared" si="133"/>
        <v>-972.01059625989365</v>
      </c>
      <c r="AD345" s="41">
        <f t="shared" si="134"/>
        <v>-0.10566896861450414</v>
      </c>
      <c r="AF345" s="46">
        <f t="shared" si="116"/>
        <v>0</v>
      </c>
      <c r="AG345" s="46">
        <f t="shared" si="135"/>
        <v>0</v>
      </c>
      <c r="AH345" s="54">
        <f t="shared" si="117"/>
        <v>2198</v>
      </c>
      <c r="AI345" s="55">
        <f t="shared" si="126"/>
        <v>0.65033407572383073</v>
      </c>
      <c r="AJ345" s="55">
        <f t="shared" si="136"/>
        <v>0</v>
      </c>
      <c r="AK345" s="55">
        <f t="shared" si="137"/>
        <v>0</v>
      </c>
    </row>
    <row r="346" spans="2:37" s="53" customFormat="1" ht="17.25" customHeight="1" x14ac:dyDescent="0.25">
      <c r="B346" s="91" t="str">
        <f t="shared" si="118"/>
        <v/>
      </c>
      <c r="C346" s="81">
        <f>IF(Sheet3!A317="","",Sheet3!A317)</f>
        <v>39832</v>
      </c>
      <c r="D346" s="82">
        <f>IF(C346="","",Sheet3!E317)</f>
        <v>26.120000999999998</v>
      </c>
      <c r="E346" s="56">
        <f>_xlfn.XLOOKUP(WEEKNUM(C346)&amp;YEAR(C346),Sheet4!C:C,Sheet4!B:B,0)</f>
        <v>0</v>
      </c>
      <c r="F346" s="46">
        <f>IF(int=Weekly,-$D$5,IF(int=Bi_Weekly,0,IF(int=Monthly,0,IF(int=Quarterly,0,IF(int=Yearly,0,IF(int=None,0,0))))))</f>
        <v>0</v>
      </c>
      <c r="G346" s="46"/>
      <c r="H346" s="46">
        <f t="shared" si="127"/>
        <v>-7850</v>
      </c>
      <c r="I346" s="47"/>
      <c r="J346" s="38">
        <f t="shared" si="114"/>
        <v>0</v>
      </c>
      <c r="K346" s="48"/>
      <c r="L346" s="48">
        <f t="shared" si="119"/>
        <v>280.43243177072793</v>
      </c>
      <c r="M346" s="48"/>
      <c r="N346" s="38">
        <f t="shared" si="120"/>
        <v>0</v>
      </c>
      <c r="O346" s="36">
        <f t="shared" si="121"/>
        <v>0</v>
      </c>
      <c r="P346" s="84">
        <f t="shared" si="122"/>
        <v>-9198.1693081058838</v>
      </c>
      <c r="Q346" s="38">
        <f t="shared" si="123"/>
        <v>0</v>
      </c>
      <c r="R346" s="48">
        <f t="shared" si="124"/>
        <v>45.632865964597734</v>
      </c>
      <c r="S346" s="38">
        <f t="shared" si="115"/>
        <v>326.06529773532566</v>
      </c>
      <c r="T346" s="50">
        <f t="shared" si="128"/>
        <v>7850</v>
      </c>
      <c r="U346" s="40">
        <f t="shared" si="129"/>
        <v>7324.8953982838448</v>
      </c>
      <c r="V346" s="41">
        <f t="shared" si="130"/>
        <v>-6.6892305951102626E-2</v>
      </c>
      <c r="W346" s="39">
        <f t="shared" si="131"/>
        <v>-525.10460171615523</v>
      </c>
      <c r="X346" s="50">
        <f t="shared" si="125"/>
        <v>1348.6380581221604</v>
      </c>
      <c r="Y346" s="41">
        <f t="shared" si="132"/>
        <v>0.10490872056127443</v>
      </c>
      <c r="Z346" s="52"/>
      <c r="AA346" s="50">
        <f t="shared" si="138"/>
        <v>9198.6380581221601</v>
      </c>
      <c r="AB346" s="39">
        <f t="shared" si="139"/>
        <v>8516.8259029120036</v>
      </c>
      <c r="AC346" s="39">
        <f t="shared" si="133"/>
        <v>-681.81215521015656</v>
      </c>
      <c r="AD346" s="41">
        <f t="shared" si="134"/>
        <v>-7.4120989531502923E-2</v>
      </c>
      <c r="AF346" s="46">
        <f t="shared" si="116"/>
        <v>0</v>
      </c>
      <c r="AG346" s="46">
        <f t="shared" si="135"/>
        <v>0</v>
      </c>
      <c r="AH346" s="54">
        <f t="shared" si="117"/>
        <v>2205</v>
      </c>
      <c r="AI346" s="55">
        <f t="shared" si="126"/>
        <v>0.6492204899777283</v>
      </c>
      <c r="AJ346" s="55">
        <f t="shared" si="136"/>
        <v>0</v>
      </c>
      <c r="AK346" s="55">
        <f t="shared" si="137"/>
        <v>0</v>
      </c>
    </row>
    <row r="347" spans="2:37" s="53" customFormat="1" ht="17.25" customHeight="1" x14ac:dyDescent="0.25">
      <c r="B347" s="91" t="str">
        <f t="shared" si="118"/>
        <v/>
      </c>
      <c r="C347" s="81">
        <f>IF(Sheet3!A318="","",Sheet3!A318)</f>
        <v>39839</v>
      </c>
      <c r="D347" s="82">
        <f>IF(C347="","",Sheet3!E318)</f>
        <v>24.620000999999998</v>
      </c>
      <c r="E347" s="56">
        <f>_xlfn.XLOOKUP(WEEKNUM(C347)&amp;YEAR(C347),Sheet4!C:C,Sheet4!B:B,0)</f>
        <v>0</v>
      </c>
      <c r="F347" s="46">
        <f>IF(int=Weekly,-$D$5,IF(int=Bi_Weekly,-$D$5,IF(int=Monthly,-$D$5,IF(int=Quarterly,0,IF(int=Yearly,0,IF(int=None,0,0))))))</f>
        <v>-100</v>
      </c>
      <c r="G347" s="46"/>
      <c r="H347" s="46">
        <f t="shared" si="127"/>
        <v>-7950</v>
      </c>
      <c r="I347" s="47"/>
      <c r="J347" s="38">
        <f t="shared" si="114"/>
        <v>4.0617382590683082</v>
      </c>
      <c r="K347" s="48"/>
      <c r="L347" s="48">
        <f t="shared" si="119"/>
        <v>284.49417002979624</v>
      </c>
      <c r="M347" s="48"/>
      <c r="N347" s="38">
        <f t="shared" si="120"/>
        <v>0</v>
      </c>
      <c r="O347" s="36">
        <f t="shared" si="121"/>
        <v>0</v>
      </c>
      <c r="P347" s="84">
        <f t="shared" si="122"/>
        <v>-9298.1693081058838</v>
      </c>
      <c r="Q347" s="38">
        <f t="shared" si="123"/>
        <v>0</v>
      </c>
      <c r="R347" s="48">
        <f t="shared" si="124"/>
        <v>45.632865964597734</v>
      </c>
      <c r="S347" s="38">
        <f t="shared" si="115"/>
        <v>330.12703599439396</v>
      </c>
      <c r="T347" s="50">
        <f t="shared" si="128"/>
        <v>7950</v>
      </c>
      <c r="U347" s="40">
        <f t="shared" si="129"/>
        <v>7004.2467506277526</v>
      </c>
      <c r="V347" s="41">
        <f t="shared" si="130"/>
        <v>-0.11896267287701223</v>
      </c>
      <c r="W347" s="39">
        <f t="shared" si="131"/>
        <v>-945.75324937224741</v>
      </c>
      <c r="X347" s="50">
        <f t="shared" si="125"/>
        <v>1348.6380581221604</v>
      </c>
      <c r="Y347" s="41">
        <f t="shared" si="132"/>
        <v>5.0677334433951504E-2</v>
      </c>
      <c r="Z347" s="52"/>
      <c r="AA347" s="50">
        <f t="shared" si="138"/>
        <v>9298.6380581221601</v>
      </c>
      <c r="AB347" s="39">
        <f t="shared" si="139"/>
        <v>8127.7279563090142</v>
      </c>
      <c r="AC347" s="39">
        <f t="shared" si="133"/>
        <v>-1170.910101813146</v>
      </c>
      <c r="AD347" s="41">
        <f t="shared" si="134"/>
        <v>-0.12592275282619281</v>
      </c>
      <c r="AF347" s="46">
        <f t="shared" si="116"/>
        <v>-100</v>
      </c>
      <c r="AG347" s="46">
        <f t="shared" si="135"/>
        <v>-100</v>
      </c>
      <c r="AH347" s="54">
        <f t="shared" si="117"/>
        <v>2212</v>
      </c>
      <c r="AI347" s="55">
        <f t="shared" si="126"/>
        <v>0.64810690423162587</v>
      </c>
      <c r="AJ347" s="55">
        <f t="shared" si="136"/>
        <v>-64.810690423162583</v>
      </c>
      <c r="AK347" s="55">
        <f t="shared" si="137"/>
        <v>-64.810690423162583</v>
      </c>
    </row>
    <row r="348" spans="2:37" s="53" customFormat="1" ht="17.25" customHeight="1" x14ac:dyDescent="0.25">
      <c r="B348" s="91" t="str">
        <f t="shared" si="118"/>
        <v/>
      </c>
      <c r="C348" s="81">
        <f>IF(Sheet3!A319="","",Sheet3!A319)</f>
        <v>39846</v>
      </c>
      <c r="D348" s="82">
        <f>IF(C348="","",Sheet3!E319)</f>
        <v>26.08</v>
      </c>
      <c r="E348" s="56">
        <f>_xlfn.XLOOKUP(WEEKNUM(C348)&amp;YEAR(C348),Sheet4!C:C,Sheet4!B:B,0)</f>
        <v>0</v>
      </c>
      <c r="F348" s="46">
        <f>IF(int=Weekly,-$D$5,IF(int=Bi_Weekly,0,IF(int=Monthly,0,IF(int=Quarterly,0,IF(int=Yearly,0,IF(int=None,0,0))))))</f>
        <v>0</v>
      </c>
      <c r="G348" s="46"/>
      <c r="H348" s="46">
        <f t="shared" si="127"/>
        <v>-7950</v>
      </c>
      <c r="I348" s="47"/>
      <c r="J348" s="38">
        <f t="shared" si="114"/>
        <v>0</v>
      </c>
      <c r="K348" s="48"/>
      <c r="L348" s="48">
        <f t="shared" si="119"/>
        <v>284.49417002979624</v>
      </c>
      <c r="M348" s="48"/>
      <c r="N348" s="38">
        <f t="shared" si="120"/>
        <v>0</v>
      </c>
      <c r="O348" s="36">
        <f t="shared" si="121"/>
        <v>0</v>
      </c>
      <c r="P348" s="84">
        <f t="shared" si="122"/>
        <v>-9298.1693081058838</v>
      </c>
      <c r="Q348" s="38">
        <f t="shared" si="123"/>
        <v>0</v>
      </c>
      <c r="R348" s="48">
        <f t="shared" si="124"/>
        <v>45.632865964597734</v>
      </c>
      <c r="S348" s="38">
        <f t="shared" si="115"/>
        <v>330.12703599439396</v>
      </c>
      <c r="T348" s="50">
        <f t="shared" si="128"/>
        <v>7950</v>
      </c>
      <c r="U348" s="40">
        <f t="shared" si="129"/>
        <v>7419.6079543770857</v>
      </c>
      <c r="V348" s="41">
        <f t="shared" si="130"/>
        <v>-6.6715980581498635E-2</v>
      </c>
      <c r="W348" s="39">
        <f t="shared" si="131"/>
        <v>-530.39204562291434</v>
      </c>
      <c r="X348" s="50">
        <f t="shared" si="125"/>
        <v>1348.6380581221604</v>
      </c>
      <c r="Y348" s="41">
        <f t="shared" si="132"/>
        <v>0.1029240267294651</v>
      </c>
      <c r="Z348" s="52"/>
      <c r="AA348" s="50">
        <f t="shared" si="138"/>
        <v>9298.6380581221601</v>
      </c>
      <c r="AB348" s="39">
        <f t="shared" si="139"/>
        <v>8609.7130987337951</v>
      </c>
      <c r="AC348" s="39">
        <f t="shared" si="133"/>
        <v>-688.9249593883651</v>
      </c>
      <c r="AD348" s="41">
        <f t="shared" si="134"/>
        <v>-7.4088802584008961E-2</v>
      </c>
      <c r="AF348" s="46">
        <f t="shared" si="116"/>
        <v>0</v>
      </c>
      <c r="AG348" s="46">
        <f t="shared" si="135"/>
        <v>0</v>
      </c>
      <c r="AH348" s="54">
        <f t="shared" si="117"/>
        <v>2219</v>
      </c>
      <c r="AI348" s="55">
        <f t="shared" si="126"/>
        <v>0.64699331848552344</v>
      </c>
      <c r="AJ348" s="55">
        <f t="shared" si="136"/>
        <v>0</v>
      </c>
      <c r="AK348" s="55">
        <f t="shared" si="137"/>
        <v>0</v>
      </c>
    </row>
    <row r="349" spans="2:37" s="53" customFormat="1" ht="17.25" customHeight="1" x14ac:dyDescent="0.25">
      <c r="B349" s="91" t="str">
        <f t="shared" si="118"/>
        <v/>
      </c>
      <c r="C349" s="81">
        <f>IF(Sheet3!A320="","",Sheet3!A320)</f>
        <v>39853</v>
      </c>
      <c r="D349" s="82">
        <f>IF(C349="","",Sheet3!E320)</f>
        <v>24.190000999999999</v>
      </c>
      <c r="E349" s="56">
        <f>_xlfn.XLOOKUP(WEEKNUM(C349)&amp;YEAR(C349),Sheet4!C:C,Sheet4!B:B,0)</f>
        <v>0</v>
      </c>
      <c r="F349" s="46">
        <f>IF(int=Weekly,-$D$5,IF(int=Bi_Weekly,-$D$5,IF(int=Monthly,0,IF(int=Quarterly,0,IF(int=Yearly,0,IF(int=None,0,0))))))</f>
        <v>0</v>
      </c>
      <c r="G349" s="46"/>
      <c r="H349" s="46">
        <f t="shared" si="127"/>
        <v>-7950</v>
      </c>
      <c r="I349" s="47"/>
      <c r="J349" s="38">
        <f t="shared" si="114"/>
        <v>0</v>
      </c>
      <c r="K349" s="48"/>
      <c r="L349" s="48">
        <f t="shared" si="119"/>
        <v>284.49417002979624</v>
      </c>
      <c r="M349" s="48"/>
      <c r="N349" s="38">
        <f t="shared" si="120"/>
        <v>0</v>
      </c>
      <c r="O349" s="36">
        <f t="shared" si="121"/>
        <v>0</v>
      </c>
      <c r="P349" s="84">
        <f t="shared" si="122"/>
        <v>-9298.1693081058838</v>
      </c>
      <c r="Q349" s="38">
        <f t="shared" si="123"/>
        <v>0</v>
      </c>
      <c r="R349" s="48">
        <f t="shared" si="124"/>
        <v>45.632865964597734</v>
      </c>
      <c r="S349" s="38">
        <f t="shared" si="115"/>
        <v>330.12703599439396</v>
      </c>
      <c r="T349" s="50">
        <f t="shared" si="128"/>
        <v>7950</v>
      </c>
      <c r="U349" s="40">
        <f t="shared" si="129"/>
        <v>6881.9142575149408</v>
      </c>
      <c r="V349" s="41">
        <f t="shared" si="130"/>
        <v>-0.13435040785975583</v>
      </c>
      <c r="W349" s="39">
        <f t="shared" si="131"/>
        <v>-1068.0857424850592</v>
      </c>
      <c r="X349" s="50">
        <f t="shared" si="125"/>
        <v>1348.6380581221604</v>
      </c>
      <c r="Y349" s="41">
        <f t="shared" si="132"/>
        <v>3.5289599451207687E-2</v>
      </c>
      <c r="Z349" s="52"/>
      <c r="AA349" s="50">
        <f t="shared" si="138"/>
        <v>9298.6380581221601</v>
      </c>
      <c r="AB349" s="39">
        <f t="shared" si="139"/>
        <v>7985.7733308314255</v>
      </c>
      <c r="AC349" s="39">
        <f t="shared" si="133"/>
        <v>-1312.8647272907347</v>
      </c>
      <c r="AD349" s="41">
        <f t="shared" si="134"/>
        <v>-0.14118892670996863</v>
      </c>
      <c r="AF349" s="46">
        <f t="shared" si="116"/>
        <v>0</v>
      </c>
      <c r="AG349" s="46">
        <f t="shared" si="135"/>
        <v>0</v>
      </c>
      <c r="AH349" s="54">
        <f t="shared" si="117"/>
        <v>2226</v>
      </c>
      <c r="AI349" s="55">
        <f t="shared" si="126"/>
        <v>0.6458797327394209</v>
      </c>
      <c r="AJ349" s="55">
        <f t="shared" si="136"/>
        <v>0</v>
      </c>
      <c r="AK349" s="55">
        <f t="shared" si="137"/>
        <v>0</v>
      </c>
    </row>
    <row r="350" spans="2:37" s="53" customFormat="1" ht="17.25" customHeight="1" x14ac:dyDescent="0.25">
      <c r="B350" s="91" t="str">
        <f t="shared" si="118"/>
        <v/>
      </c>
      <c r="C350" s="81">
        <f>IF(Sheet3!A321="","",Sheet3!A321)</f>
        <v>39860</v>
      </c>
      <c r="D350" s="82">
        <f>IF(C350="","",Sheet3!E321)</f>
        <v>23.58</v>
      </c>
      <c r="E350" s="56">
        <f>_xlfn.XLOOKUP(WEEKNUM(C350)&amp;YEAR(C350),Sheet4!C:C,Sheet4!B:B,0)</f>
        <v>0</v>
      </c>
      <c r="F350" s="46">
        <f>IF(int=Weekly,-$D$5,IF(int=Bi_Weekly,0,IF(int=Monthly,0,IF(int=Quarterly,0,IF(int=Yearly,0,IF(int=None,0,0))))))</f>
        <v>0</v>
      </c>
      <c r="G350" s="46"/>
      <c r="H350" s="46">
        <f t="shared" si="127"/>
        <v>-7950</v>
      </c>
      <c r="I350" s="47"/>
      <c r="J350" s="38">
        <f t="shared" si="114"/>
        <v>0</v>
      </c>
      <c r="K350" s="48"/>
      <c r="L350" s="48">
        <f t="shared" si="119"/>
        <v>284.49417002979624</v>
      </c>
      <c r="M350" s="48"/>
      <c r="N350" s="38">
        <f t="shared" si="120"/>
        <v>0</v>
      </c>
      <c r="O350" s="36">
        <f t="shared" si="121"/>
        <v>0</v>
      </c>
      <c r="P350" s="84">
        <f t="shared" si="122"/>
        <v>-9298.1693081058838</v>
      </c>
      <c r="Q350" s="38">
        <f t="shared" si="123"/>
        <v>0</v>
      </c>
      <c r="R350" s="48">
        <f t="shared" si="124"/>
        <v>45.632865964597734</v>
      </c>
      <c r="S350" s="38">
        <f t="shared" si="115"/>
        <v>330.12703599439396</v>
      </c>
      <c r="T350" s="50">
        <f t="shared" si="128"/>
        <v>7950</v>
      </c>
      <c r="U350" s="40">
        <f t="shared" si="129"/>
        <v>6708.3725293025946</v>
      </c>
      <c r="V350" s="41">
        <f t="shared" si="130"/>
        <v>-0.15617955606256673</v>
      </c>
      <c r="W350" s="39">
        <f t="shared" si="131"/>
        <v>-1241.6274706974054</v>
      </c>
      <c r="X350" s="50">
        <f t="shared" si="125"/>
        <v>1348.6380581221604</v>
      </c>
      <c r="Y350" s="41">
        <f t="shared" si="132"/>
        <v>1.3460451248396899E-2</v>
      </c>
      <c r="Z350" s="52"/>
      <c r="AA350" s="50">
        <f t="shared" si="138"/>
        <v>9298.6380581221601</v>
      </c>
      <c r="AB350" s="39">
        <f t="shared" si="139"/>
        <v>7784.3955087478089</v>
      </c>
      <c r="AC350" s="39">
        <f t="shared" si="133"/>
        <v>-1514.2425493743513</v>
      </c>
      <c r="AD350" s="41">
        <f t="shared" si="134"/>
        <v>-0.16284562748968312</v>
      </c>
      <c r="AF350" s="46">
        <f t="shared" si="116"/>
        <v>0</v>
      </c>
      <c r="AG350" s="46">
        <f t="shared" si="135"/>
        <v>0</v>
      </c>
      <c r="AH350" s="54">
        <f t="shared" si="117"/>
        <v>2233</v>
      </c>
      <c r="AI350" s="55">
        <f t="shared" si="126"/>
        <v>0.64476614699331847</v>
      </c>
      <c r="AJ350" s="55">
        <f t="shared" si="136"/>
        <v>0</v>
      </c>
      <c r="AK350" s="55">
        <f t="shared" si="137"/>
        <v>0</v>
      </c>
    </row>
    <row r="351" spans="2:37" s="53" customFormat="1" ht="17.25" customHeight="1" x14ac:dyDescent="0.25">
      <c r="B351" s="91" t="str">
        <f t="shared" si="118"/>
        <v/>
      </c>
      <c r="C351" s="81">
        <f>IF(Sheet3!A322="","",Sheet3!A322)</f>
        <v>39867</v>
      </c>
      <c r="D351" s="82">
        <f>IF(C351="","",Sheet3!E322)</f>
        <v>23.77</v>
      </c>
      <c r="E351" s="56">
        <f>_xlfn.XLOOKUP(WEEKNUM(C351)&amp;YEAR(C351),Sheet4!C:C,Sheet4!B:B,0)</f>
        <v>0</v>
      </c>
      <c r="F351" s="46">
        <f>IF(int=Weekly,-$D$5,IF(int=Bi_Weekly,-$D$5,IF(int=Monthly,-$D$5,IF(int=Quarterly,0,IF(int=Yearly,0,IF(int=None,0,0))))))</f>
        <v>-100</v>
      </c>
      <c r="G351" s="46"/>
      <c r="H351" s="46">
        <f t="shared" si="127"/>
        <v>-8050</v>
      </c>
      <c r="I351" s="47"/>
      <c r="J351" s="38">
        <f t="shared" ref="J351:J414" si="140">IF(D$24=0,"",ABS($F351*D$24)/D351)</f>
        <v>4.2069835927639883</v>
      </c>
      <c r="K351" s="48"/>
      <c r="L351" s="48">
        <f t="shared" si="119"/>
        <v>288.70115362256024</v>
      </c>
      <c r="M351" s="48"/>
      <c r="N351" s="38">
        <f t="shared" si="120"/>
        <v>0</v>
      </c>
      <c r="O351" s="36">
        <f t="shared" si="121"/>
        <v>0</v>
      </c>
      <c r="P351" s="84">
        <f t="shared" si="122"/>
        <v>-9398.1693081058838</v>
      </c>
      <c r="Q351" s="38">
        <f t="shared" si="123"/>
        <v>0</v>
      </c>
      <c r="R351" s="48">
        <f t="shared" si="124"/>
        <v>45.632865964597734</v>
      </c>
      <c r="S351" s="38">
        <f t="shared" ref="S351:S414" si="141">IF(D351=0,"",L351+R351)</f>
        <v>334.33401958715797</v>
      </c>
      <c r="T351" s="50">
        <f t="shared" si="128"/>
        <v>8050</v>
      </c>
      <c r="U351" s="40">
        <f t="shared" si="129"/>
        <v>6862.4264216082565</v>
      </c>
      <c r="V351" s="41">
        <f t="shared" si="130"/>
        <v>-0.14752466812319798</v>
      </c>
      <c r="W351" s="39">
        <f t="shared" si="131"/>
        <v>-1187.5735783917435</v>
      </c>
      <c r="X351" s="50">
        <f t="shared" si="125"/>
        <v>1348.6380581221604</v>
      </c>
      <c r="Y351" s="41">
        <f t="shared" si="132"/>
        <v>2.0008009904399771E-2</v>
      </c>
      <c r="Z351" s="52"/>
      <c r="AA351" s="50">
        <f t="shared" si="138"/>
        <v>9398.6380581221601</v>
      </c>
      <c r="AB351" s="39">
        <f t="shared" si="139"/>
        <v>7947.1196455867448</v>
      </c>
      <c r="AC351" s="39">
        <f t="shared" si="133"/>
        <v>-1451.5184125354153</v>
      </c>
      <c r="AD351" s="41">
        <f t="shared" si="134"/>
        <v>-0.15443922870091109</v>
      </c>
      <c r="AF351" s="46">
        <f t="shared" ref="AF351:AF414" si="142">F351+ABS(O351)</f>
        <v>-100</v>
      </c>
      <c r="AG351" s="46">
        <f t="shared" si="135"/>
        <v>-100</v>
      </c>
      <c r="AH351" s="54">
        <f t="shared" ref="AH351:AH414" si="143">DATEDIF($C$31,C351,"d")</f>
        <v>2240</v>
      </c>
      <c r="AI351" s="55">
        <f t="shared" si="126"/>
        <v>0.64365256124721604</v>
      </c>
      <c r="AJ351" s="55">
        <f t="shared" si="136"/>
        <v>-64.365256124721597</v>
      </c>
      <c r="AK351" s="55">
        <f t="shared" si="137"/>
        <v>-64.365256124721597</v>
      </c>
    </row>
    <row r="352" spans="2:37" s="53" customFormat="1" ht="17.25" customHeight="1" x14ac:dyDescent="0.25">
      <c r="B352" s="91" t="str">
        <f t="shared" ref="B352:B415" si="144">IF(C351="","",IF(C$30&lt;C352,"",B351+1))</f>
        <v/>
      </c>
      <c r="C352" s="81">
        <f>IF(Sheet3!A323="","",Sheet3!A323)</f>
        <v>39874</v>
      </c>
      <c r="D352" s="82">
        <f>IF(C352="","",Sheet3!E323)</f>
        <v>22.58</v>
      </c>
      <c r="E352" s="56">
        <f>_xlfn.XLOOKUP(WEEKNUM(C352)&amp;YEAR(C352),Sheet4!C:C,Sheet4!B:B,0)</f>
        <v>0</v>
      </c>
      <c r="F352" s="46">
        <f>IF(int=Weekly,-$D$5,IF(int=Bi_Weekly,0,IF(int=Monthly,0,IF(int=Quarterly,0,IF(int=Yearly,0,IF(int=None,0,0))))))</f>
        <v>0</v>
      </c>
      <c r="G352" s="46"/>
      <c r="H352" s="46">
        <f t="shared" si="127"/>
        <v>-8050</v>
      </c>
      <c r="I352" s="47"/>
      <c r="J352" s="38">
        <f t="shared" si="140"/>
        <v>0</v>
      </c>
      <c r="K352" s="48"/>
      <c r="L352" s="48">
        <f t="shared" ref="L352:L415" si="145">IF(D352=0,"",L351+J352)</f>
        <v>288.70115362256024</v>
      </c>
      <c r="M352" s="48"/>
      <c r="N352" s="38">
        <f t="shared" ref="N352:N415" si="146">IF(D352=0,"",L352*E352)</f>
        <v>0</v>
      </c>
      <c r="O352" s="36">
        <f t="shared" ref="O352:O415" si="147">-(IF(D352=0,"",N352))</f>
        <v>0</v>
      </c>
      <c r="P352" s="84">
        <f t="shared" ref="P352:P415" si="148">P351+F352+O352</f>
        <v>-9398.1693081058838</v>
      </c>
      <c r="Q352" s="38">
        <f t="shared" ref="Q352:Q415" si="149">IF(D352=0,"",ABS($O352)/D352)</f>
        <v>0</v>
      </c>
      <c r="R352" s="48">
        <f t="shared" ref="R352:R415" si="150">IF(D352=0,"",Q352+R351)</f>
        <v>45.632865964597734</v>
      </c>
      <c r="S352" s="38">
        <f t="shared" si="141"/>
        <v>334.33401958715797</v>
      </c>
      <c r="T352" s="50">
        <f t="shared" si="128"/>
        <v>8050</v>
      </c>
      <c r="U352" s="40">
        <f t="shared" si="129"/>
        <v>6518.8720487974097</v>
      </c>
      <c r="V352" s="41">
        <f t="shared" si="130"/>
        <v>-0.19020222996305469</v>
      </c>
      <c r="W352" s="39">
        <f t="shared" si="131"/>
        <v>-1531.1279512025903</v>
      </c>
      <c r="X352" s="50">
        <f t="shared" ref="X352:X415" si="151">ABS(O352)+X351</f>
        <v>1348.6380581221604</v>
      </c>
      <c r="Y352" s="41">
        <f t="shared" si="132"/>
        <v>-2.2669551935457166E-2</v>
      </c>
      <c r="Z352" s="52"/>
      <c r="AA352" s="50">
        <f t="shared" si="138"/>
        <v>9398.6380581221601</v>
      </c>
      <c r="AB352" s="39">
        <f t="shared" si="139"/>
        <v>7549.2621622780262</v>
      </c>
      <c r="AC352" s="39">
        <f t="shared" si="133"/>
        <v>-1849.375895844134</v>
      </c>
      <c r="AD352" s="41">
        <f t="shared" si="134"/>
        <v>-0.19677062617023877</v>
      </c>
      <c r="AF352" s="46">
        <f t="shared" si="142"/>
        <v>0</v>
      </c>
      <c r="AG352" s="46">
        <f t="shared" si="135"/>
        <v>0</v>
      </c>
      <c r="AH352" s="54">
        <f t="shared" si="143"/>
        <v>2247</v>
      </c>
      <c r="AI352" s="55">
        <f t="shared" ref="AI352:AI415" si="152">(AH$30-AH352)/AH$30</f>
        <v>0.64253897550111361</v>
      </c>
      <c r="AJ352" s="55">
        <f t="shared" si="136"/>
        <v>0</v>
      </c>
      <c r="AK352" s="55">
        <f t="shared" si="137"/>
        <v>0</v>
      </c>
    </row>
    <row r="353" spans="2:37" s="53" customFormat="1" ht="17.25" customHeight="1" x14ac:dyDescent="0.25">
      <c r="B353" s="91" t="str">
        <f t="shared" si="144"/>
        <v/>
      </c>
      <c r="C353" s="81">
        <f>IF(Sheet3!A324="","",Sheet3!A324)</f>
        <v>39881</v>
      </c>
      <c r="D353" s="82">
        <f>IF(C353="","",Sheet3!E324)</f>
        <v>24.27</v>
      </c>
      <c r="E353" s="56">
        <f>_xlfn.XLOOKUP(WEEKNUM(C353)&amp;YEAR(C353),Sheet4!C:C,Sheet4!B:B,0)</f>
        <v>0</v>
      </c>
      <c r="F353" s="46">
        <f>IF(int=Weekly,-$D$5,IF(int=Bi_Weekly,-$D$5,IF(int=Monthly,0,IF(int=Quarterly,0,IF(int=Yearly,0,IF(int=None,0,0))))))</f>
        <v>0</v>
      </c>
      <c r="G353" s="46"/>
      <c r="H353" s="46">
        <f t="shared" ref="H353:H416" si="153">H352+F353</f>
        <v>-8050</v>
      </c>
      <c r="I353" s="47"/>
      <c r="J353" s="38">
        <f t="shared" si="140"/>
        <v>0</v>
      </c>
      <c r="K353" s="48"/>
      <c r="L353" s="48">
        <f t="shared" si="145"/>
        <v>288.70115362256024</v>
      </c>
      <c r="M353" s="48"/>
      <c r="N353" s="38">
        <f t="shared" si="146"/>
        <v>0</v>
      </c>
      <c r="O353" s="36">
        <f t="shared" si="147"/>
        <v>0</v>
      </c>
      <c r="P353" s="84">
        <f t="shared" si="148"/>
        <v>-9398.1693081058838</v>
      </c>
      <c r="Q353" s="38">
        <f t="shared" si="149"/>
        <v>0</v>
      </c>
      <c r="R353" s="48">
        <f t="shared" si="150"/>
        <v>45.632865964597734</v>
      </c>
      <c r="S353" s="38">
        <f t="shared" si="141"/>
        <v>334.33401958715797</v>
      </c>
      <c r="T353" s="50">
        <f t="shared" ref="T353:T416" si="154">IF(D353=0,"",D353*J353)+T352</f>
        <v>8050</v>
      </c>
      <c r="U353" s="40">
        <f t="shared" ref="U353:U416" si="155">IF(D353=0,"",L353*D353)</f>
        <v>7006.7769984195365</v>
      </c>
      <c r="V353" s="41">
        <f t="shared" ref="V353:V416" si="156">(U353/T353)-1</f>
        <v>-0.12959291945098927</v>
      </c>
      <c r="W353" s="39">
        <f t="shared" ref="W353:W416" si="157">U353-T353</f>
        <v>-1043.2230015804635</v>
      </c>
      <c r="X353" s="50">
        <f t="shared" si="151"/>
        <v>1348.6380581221604</v>
      </c>
      <c r="Y353" s="41">
        <f t="shared" ref="Y353:Y416" si="158">((U353+X353)/T353)-1</f>
        <v>3.7939758576608362E-2</v>
      </c>
      <c r="Z353" s="52"/>
      <c r="AA353" s="50">
        <f t="shared" si="138"/>
        <v>9398.6380581221601</v>
      </c>
      <c r="AB353" s="39">
        <f t="shared" si="139"/>
        <v>8114.2866553803233</v>
      </c>
      <c r="AC353" s="39">
        <f t="shared" ref="AC353:AC416" si="159">AB353-AA353</f>
        <v>-1284.3514027418369</v>
      </c>
      <c r="AD353" s="41">
        <f t="shared" ref="AD353:AD416" si="160">(AB353/AA353)-1</f>
        <v>-0.13665292724321054</v>
      </c>
      <c r="AF353" s="46">
        <f t="shared" si="142"/>
        <v>0</v>
      </c>
      <c r="AG353" s="46">
        <f t="shared" ref="AG353:AG416" si="161">F353</f>
        <v>0</v>
      </c>
      <c r="AH353" s="54">
        <f t="shared" si="143"/>
        <v>2254</v>
      </c>
      <c r="AI353" s="55">
        <f t="shared" si="152"/>
        <v>0.64142538975501118</v>
      </c>
      <c r="AJ353" s="55">
        <f t="shared" ref="AJ353:AJ416" si="162">AI353*AF353</f>
        <v>0</v>
      </c>
      <c r="AK353" s="55">
        <f t="shared" ref="AK353:AK416" si="163">$AI353*AG353</f>
        <v>0</v>
      </c>
    </row>
    <row r="354" spans="2:37" s="53" customFormat="1" ht="17.25" customHeight="1" x14ac:dyDescent="0.25">
      <c r="B354" s="91" t="str">
        <f t="shared" si="144"/>
        <v/>
      </c>
      <c r="C354" s="81">
        <f>IF(Sheet3!A325="","",Sheet3!A325)</f>
        <v>39888</v>
      </c>
      <c r="D354" s="82">
        <f>IF(C354="","",Sheet3!E325)</f>
        <v>25.33</v>
      </c>
      <c r="E354" s="56">
        <f>_xlfn.XLOOKUP(WEEKNUM(C354)&amp;YEAR(C354),Sheet4!C:C,Sheet4!B:B,0)</f>
        <v>0</v>
      </c>
      <c r="F354" s="46">
        <f>IF(int=Weekly,-$D$5,IF(int=Bi_Weekly,0,IF(int=Monthly,0,IF(int=Quarterly,0,IF(int=Yearly,0,IF(int=None,0,0))))))</f>
        <v>0</v>
      </c>
      <c r="G354" s="46"/>
      <c r="H354" s="46">
        <f t="shared" si="153"/>
        <v>-8050</v>
      </c>
      <c r="I354" s="47"/>
      <c r="J354" s="38">
        <f t="shared" si="140"/>
        <v>0</v>
      </c>
      <c r="K354" s="48"/>
      <c r="L354" s="48">
        <f t="shared" si="145"/>
        <v>288.70115362256024</v>
      </c>
      <c r="M354" s="48"/>
      <c r="N354" s="38">
        <f t="shared" si="146"/>
        <v>0</v>
      </c>
      <c r="O354" s="36">
        <f t="shared" si="147"/>
        <v>0</v>
      </c>
      <c r="P354" s="84">
        <f t="shared" si="148"/>
        <v>-9398.1693081058838</v>
      </c>
      <c r="Q354" s="38">
        <f t="shared" si="149"/>
        <v>0</v>
      </c>
      <c r="R354" s="48">
        <f t="shared" si="150"/>
        <v>45.632865964597734</v>
      </c>
      <c r="S354" s="38">
        <f t="shared" si="141"/>
        <v>334.33401958715797</v>
      </c>
      <c r="T354" s="50">
        <f t="shared" si="154"/>
        <v>8050</v>
      </c>
      <c r="U354" s="40">
        <f t="shared" si="155"/>
        <v>7312.8002212594502</v>
      </c>
      <c r="V354" s="41">
        <f t="shared" si="156"/>
        <v>-9.1577612265906772E-2</v>
      </c>
      <c r="W354" s="39">
        <f t="shared" si="157"/>
        <v>-737.19977874054985</v>
      </c>
      <c r="X354" s="50">
        <f t="shared" si="151"/>
        <v>1348.6380581221604</v>
      </c>
      <c r="Y354" s="41">
        <f t="shared" si="158"/>
        <v>7.5955065761690754E-2</v>
      </c>
      <c r="Z354" s="52"/>
      <c r="AA354" s="50">
        <f t="shared" si="138"/>
        <v>9398.6380581221601</v>
      </c>
      <c r="AB354" s="39">
        <f t="shared" si="139"/>
        <v>8468.6807161427114</v>
      </c>
      <c r="AC354" s="39">
        <f t="shared" si="159"/>
        <v>-929.95734197944876</v>
      </c>
      <c r="AD354" s="41">
        <f t="shared" si="160"/>
        <v>-9.8945968152885033E-2</v>
      </c>
      <c r="AF354" s="46">
        <f t="shared" si="142"/>
        <v>0</v>
      </c>
      <c r="AG354" s="46">
        <f t="shared" si="161"/>
        <v>0</v>
      </c>
      <c r="AH354" s="54">
        <f t="shared" si="143"/>
        <v>2261</v>
      </c>
      <c r="AI354" s="55">
        <f t="shared" si="152"/>
        <v>0.64031180400890864</v>
      </c>
      <c r="AJ354" s="55">
        <f t="shared" si="162"/>
        <v>0</v>
      </c>
      <c r="AK354" s="55">
        <f t="shared" si="163"/>
        <v>0</v>
      </c>
    </row>
    <row r="355" spans="2:37" s="53" customFormat="1" ht="17.25" customHeight="1" x14ac:dyDescent="0.25">
      <c r="B355" s="91" t="str">
        <f t="shared" si="144"/>
        <v/>
      </c>
      <c r="C355" s="81">
        <f>IF(Sheet3!A326="","",Sheet3!A326)</f>
        <v>39895</v>
      </c>
      <c r="D355" s="82">
        <f>IF(C355="","",Sheet3!E326)</f>
        <v>26</v>
      </c>
      <c r="E355" s="56">
        <f>_xlfn.XLOOKUP(WEEKNUM(C355)&amp;YEAR(C355),Sheet4!C:C,Sheet4!B:B,0)</f>
        <v>0</v>
      </c>
      <c r="F355" s="46">
        <f>IF(int=Weekly,-$D$5,IF(int=Bi_Weekly,-$D$5,IF(int=Monthly,-$D$5,IF(int=Quarterly,0,IF(int=Yearly,0,IF(int=None,0,0))))))</f>
        <v>-100</v>
      </c>
      <c r="G355" s="46"/>
      <c r="H355" s="46">
        <f t="shared" si="153"/>
        <v>-8150</v>
      </c>
      <c r="I355" s="47"/>
      <c r="J355" s="38">
        <f t="shared" si="140"/>
        <v>3.8461538461538463</v>
      </c>
      <c r="K355" s="48"/>
      <c r="L355" s="48">
        <f t="shared" si="145"/>
        <v>292.54730746871411</v>
      </c>
      <c r="M355" s="48"/>
      <c r="N355" s="38">
        <f t="shared" si="146"/>
        <v>0</v>
      </c>
      <c r="O355" s="36">
        <f t="shared" si="147"/>
        <v>0</v>
      </c>
      <c r="P355" s="84">
        <f t="shared" si="148"/>
        <v>-9498.1693081058838</v>
      </c>
      <c r="Q355" s="38">
        <f t="shared" si="149"/>
        <v>0</v>
      </c>
      <c r="R355" s="48">
        <f t="shared" si="150"/>
        <v>45.632865964597734</v>
      </c>
      <c r="S355" s="38">
        <f t="shared" si="141"/>
        <v>338.18017343331184</v>
      </c>
      <c r="T355" s="50">
        <f t="shared" si="154"/>
        <v>8150</v>
      </c>
      <c r="U355" s="40">
        <f t="shared" si="155"/>
        <v>7606.2299941865667</v>
      </c>
      <c r="V355" s="41">
        <f t="shared" si="156"/>
        <v>-6.6720246112077719E-2</v>
      </c>
      <c r="W355" s="39">
        <f t="shared" si="157"/>
        <v>-543.77000581343327</v>
      </c>
      <c r="X355" s="50">
        <f t="shared" si="151"/>
        <v>1348.6380581221604</v>
      </c>
      <c r="Y355" s="41">
        <f t="shared" si="158"/>
        <v>9.8756816234199629E-2</v>
      </c>
      <c r="Z355" s="52"/>
      <c r="AA355" s="50">
        <f t="shared" si="138"/>
        <v>9498.6380581221601</v>
      </c>
      <c r="AB355" s="39">
        <f t="shared" si="139"/>
        <v>8792.6845092661079</v>
      </c>
      <c r="AC355" s="39">
        <f t="shared" si="159"/>
        <v>-705.95354885605229</v>
      </c>
      <c r="AD355" s="41">
        <f t="shared" si="160"/>
        <v>-7.4321554788836397E-2</v>
      </c>
      <c r="AF355" s="46">
        <f t="shared" si="142"/>
        <v>-100</v>
      </c>
      <c r="AG355" s="46">
        <f t="shared" si="161"/>
        <v>-100</v>
      </c>
      <c r="AH355" s="54">
        <f t="shared" si="143"/>
        <v>2268</v>
      </c>
      <c r="AI355" s="55">
        <f t="shared" si="152"/>
        <v>0.63919821826280621</v>
      </c>
      <c r="AJ355" s="55">
        <f t="shared" si="162"/>
        <v>-63.919821826280618</v>
      </c>
      <c r="AK355" s="55">
        <f t="shared" si="163"/>
        <v>-63.919821826280618</v>
      </c>
    </row>
    <row r="356" spans="2:37" s="53" customFormat="1" ht="17.25" customHeight="1" x14ac:dyDescent="0.25">
      <c r="B356" s="91" t="str">
        <f t="shared" si="144"/>
        <v/>
      </c>
      <c r="C356" s="81">
        <f>IF(Sheet3!A327="","",Sheet3!A327)</f>
        <v>39902</v>
      </c>
      <c r="D356" s="82">
        <f>IF(C356="","",Sheet3!E327)</f>
        <v>26.83</v>
      </c>
      <c r="E356" s="56">
        <f>_xlfn.XLOOKUP(WEEKNUM(C356)&amp;YEAR(C356),Sheet4!C:C,Sheet4!B:B,0)</f>
        <v>0</v>
      </c>
      <c r="F356" s="46">
        <f>IF(int=Weekly,-$D$5,IF(int=Bi_Weekly,0,IF(int=Monthly,0,IF(int=Quarterly,-$D$5,IF(int=Yearly,0,IF(int=None,0,0))))))</f>
        <v>0</v>
      </c>
      <c r="G356" s="46"/>
      <c r="H356" s="46">
        <f t="shared" si="153"/>
        <v>-8150</v>
      </c>
      <c r="I356" s="47"/>
      <c r="J356" s="38">
        <f t="shared" si="140"/>
        <v>0</v>
      </c>
      <c r="K356" s="48"/>
      <c r="L356" s="48">
        <f t="shared" si="145"/>
        <v>292.54730746871411</v>
      </c>
      <c r="M356" s="48"/>
      <c r="N356" s="38">
        <f t="shared" si="146"/>
        <v>0</v>
      </c>
      <c r="O356" s="36">
        <f t="shared" si="147"/>
        <v>0</v>
      </c>
      <c r="P356" s="84">
        <f t="shared" si="148"/>
        <v>-9498.1693081058838</v>
      </c>
      <c r="Q356" s="38">
        <f t="shared" si="149"/>
        <v>0</v>
      </c>
      <c r="R356" s="48">
        <f t="shared" si="150"/>
        <v>45.632865964597734</v>
      </c>
      <c r="S356" s="38">
        <f t="shared" si="141"/>
        <v>338.18017343331184</v>
      </c>
      <c r="T356" s="50">
        <f t="shared" si="154"/>
        <v>8150</v>
      </c>
      <c r="U356" s="40">
        <f t="shared" si="155"/>
        <v>7849.0442593855987</v>
      </c>
      <c r="V356" s="41">
        <f t="shared" si="156"/>
        <v>-3.6927084737963356E-2</v>
      </c>
      <c r="W356" s="39">
        <f t="shared" si="157"/>
        <v>-300.95574061440129</v>
      </c>
      <c r="X356" s="50">
        <f t="shared" si="151"/>
        <v>1348.6380581221604</v>
      </c>
      <c r="Y356" s="41">
        <f t="shared" si="158"/>
        <v>0.12854997760831388</v>
      </c>
      <c r="Z356" s="52"/>
      <c r="AA356" s="50">
        <f t="shared" si="138"/>
        <v>9498.6380581221601</v>
      </c>
      <c r="AB356" s="39">
        <f t="shared" si="139"/>
        <v>9073.3740532157553</v>
      </c>
      <c r="AC356" s="39">
        <f t="shared" si="159"/>
        <v>-425.26400490640481</v>
      </c>
      <c r="AD356" s="41">
        <f t="shared" si="160"/>
        <v>-4.4771050576326243E-2</v>
      </c>
      <c r="AF356" s="46">
        <f t="shared" si="142"/>
        <v>0</v>
      </c>
      <c r="AG356" s="46">
        <f t="shared" si="161"/>
        <v>0</v>
      </c>
      <c r="AH356" s="54">
        <f t="shared" si="143"/>
        <v>2275</v>
      </c>
      <c r="AI356" s="55">
        <f t="shared" si="152"/>
        <v>0.63808463251670378</v>
      </c>
      <c r="AJ356" s="55">
        <f t="shared" si="162"/>
        <v>0</v>
      </c>
      <c r="AK356" s="55">
        <f t="shared" si="163"/>
        <v>0</v>
      </c>
    </row>
    <row r="357" spans="2:37" s="53" customFormat="1" ht="17.25" customHeight="1" x14ac:dyDescent="0.25">
      <c r="B357" s="91" t="str">
        <f t="shared" si="144"/>
        <v/>
      </c>
      <c r="C357" s="81">
        <f>IF(Sheet3!A328="","",Sheet3!A328)</f>
        <v>39909</v>
      </c>
      <c r="D357" s="82">
        <f>IF(C357="","",Sheet3!E328)</f>
        <v>26.1</v>
      </c>
      <c r="E357" s="56">
        <f>_xlfn.XLOOKUP(WEEKNUM(C357)&amp;YEAR(C357),Sheet4!C:C,Sheet4!B:B,0)</f>
        <v>0.41</v>
      </c>
      <c r="F357" s="46">
        <f>IF(int=Weekly,-$D$5,IF(int=Bi_Weekly,-$D$5,IF(int=Monthly,0,IF(int=Quarterly,0,IF(int=Yearly,0,IF(int=None,0,0))))))</f>
        <v>0</v>
      </c>
      <c r="G357" s="46"/>
      <c r="H357" s="46">
        <f t="shared" si="153"/>
        <v>-8150</v>
      </c>
      <c r="I357" s="47"/>
      <c r="J357" s="38">
        <f t="shared" si="140"/>
        <v>0</v>
      </c>
      <c r="K357" s="48"/>
      <c r="L357" s="48">
        <f t="shared" si="145"/>
        <v>292.54730746871411</v>
      </c>
      <c r="M357" s="48"/>
      <c r="N357" s="38">
        <f t="shared" si="146"/>
        <v>119.94439606217277</v>
      </c>
      <c r="O357" s="36">
        <f t="shared" si="147"/>
        <v>-119.94439606217277</v>
      </c>
      <c r="P357" s="84">
        <f t="shared" si="148"/>
        <v>-9618.1137041680558</v>
      </c>
      <c r="Q357" s="38">
        <f t="shared" si="149"/>
        <v>4.5955707303514473</v>
      </c>
      <c r="R357" s="48">
        <f t="shared" si="150"/>
        <v>50.228436694949181</v>
      </c>
      <c r="S357" s="38">
        <f t="shared" si="141"/>
        <v>342.77574416366326</v>
      </c>
      <c r="T357" s="50">
        <f t="shared" si="154"/>
        <v>8150</v>
      </c>
      <c r="U357" s="40">
        <f t="shared" si="155"/>
        <v>7635.4847249334389</v>
      </c>
      <c r="V357" s="41">
        <f t="shared" si="156"/>
        <v>-6.3130708597124108E-2</v>
      </c>
      <c r="W357" s="39">
        <f t="shared" si="157"/>
        <v>-514.51527506656112</v>
      </c>
      <c r="X357" s="50">
        <f t="shared" si="151"/>
        <v>1468.5824541843331</v>
      </c>
      <c r="Y357" s="41">
        <f t="shared" si="158"/>
        <v>0.11706345756046277</v>
      </c>
      <c r="Z357" s="52"/>
      <c r="AA357" s="50">
        <f t="shared" si="138"/>
        <v>9618.5824541843322</v>
      </c>
      <c r="AB357" s="39">
        <f t="shared" si="139"/>
        <v>8946.4469226716119</v>
      </c>
      <c r="AC357" s="39">
        <f t="shared" si="159"/>
        <v>-672.13553151272026</v>
      </c>
      <c r="AD357" s="41">
        <f t="shared" si="160"/>
        <v>-6.9878855300587905E-2</v>
      </c>
      <c r="AF357" s="46">
        <f t="shared" si="142"/>
        <v>119.94439606217277</v>
      </c>
      <c r="AG357" s="46">
        <f t="shared" si="161"/>
        <v>0</v>
      </c>
      <c r="AH357" s="54">
        <f t="shared" si="143"/>
        <v>2282</v>
      </c>
      <c r="AI357" s="55">
        <f t="shared" si="152"/>
        <v>0.63697104677060135</v>
      </c>
      <c r="AJ357" s="55">
        <f t="shared" si="162"/>
        <v>76.401107513989786</v>
      </c>
      <c r="AK357" s="55">
        <f t="shared" si="163"/>
        <v>0</v>
      </c>
    </row>
    <row r="358" spans="2:37" s="53" customFormat="1" ht="17.25" customHeight="1" x14ac:dyDescent="0.25">
      <c r="B358" s="91" t="str">
        <f t="shared" si="144"/>
        <v/>
      </c>
      <c r="C358" s="81">
        <f>IF(Sheet3!A329="","",Sheet3!A329)</f>
        <v>39916</v>
      </c>
      <c r="D358" s="82">
        <f>IF(C358="","",Sheet3!E329)</f>
        <v>25.950001</v>
      </c>
      <c r="E358" s="56">
        <f>_xlfn.XLOOKUP(WEEKNUM(C358)&amp;YEAR(C358),Sheet4!C:C,Sheet4!B:B,0)</f>
        <v>0</v>
      </c>
      <c r="F358" s="46">
        <f>IF(int=Weekly,-$D$5,IF(int=Bi_Weekly,0,IF(int=Monthly,0,IF(int=Quarterly,0,IF(int=Yearly,0,IF(int=None,0,0))))))</f>
        <v>0</v>
      </c>
      <c r="G358" s="46"/>
      <c r="H358" s="46">
        <f t="shared" si="153"/>
        <v>-8150</v>
      </c>
      <c r="I358" s="47"/>
      <c r="J358" s="38">
        <f t="shared" si="140"/>
        <v>0</v>
      </c>
      <c r="K358" s="48"/>
      <c r="L358" s="48">
        <f t="shared" si="145"/>
        <v>292.54730746871411</v>
      </c>
      <c r="M358" s="48"/>
      <c r="N358" s="38">
        <f t="shared" si="146"/>
        <v>0</v>
      </c>
      <c r="O358" s="36">
        <f t="shared" si="147"/>
        <v>0</v>
      </c>
      <c r="P358" s="84">
        <f t="shared" si="148"/>
        <v>-9618.1137041680558</v>
      </c>
      <c r="Q358" s="38">
        <f t="shared" si="149"/>
        <v>0</v>
      </c>
      <c r="R358" s="48">
        <f t="shared" si="150"/>
        <v>50.228436694949181</v>
      </c>
      <c r="S358" s="38">
        <f t="shared" si="141"/>
        <v>342.77574416366326</v>
      </c>
      <c r="T358" s="50">
        <f t="shared" si="154"/>
        <v>8150</v>
      </c>
      <c r="U358" s="40">
        <f t="shared" si="155"/>
        <v>7591.6029213604388</v>
      </c>
      <c r="V358" s="41">
        <f t="shared" si="156"/>
        <v>-6.8514978974179241E-2</v>
      </c>
      <c r="W358" s="39">
        <f t="shared" si="157"/>
        <v>-558.39707863956119</v>
      </c>
      <c r="X358" s="50">
        <f t="shared" si="151"/>
        <v>1468.5824541843331</v>
      </c>
      <c r="Y358" s="41">
        <f t="shared" si="158"/>
        <v>0.11167918718340752</v>
      </c>
      <c r="Z358" s="52"/>
      <c r="AA358" s="50">
        <f t="shared" si="138"/>
        <v>9618.5824541843322</v>
      </c>
      <c r="AB358" s="39">
        <f t="shared" si="139"/>
        <v>8895.0309038228061</v>
      </c>
      <c r="AC358" s="39">
        <f t="shared" si="159"/>
        <v>-723.5515503615261</v>
      </c>
      <c r="AD358" s="41">
        <f t="shared" si="160"/>
        <v>-7.5224343483873968E-2</v>
      </c>
      <c r="AF358" s="46">
        <f t="shared" si="142"/>
        <v>0</v>
      </c>
      <c r="AG358" s="46">
        <f t="shared" si="161"/>
        <v>0</v>
      </c>
      <c r="AH358" s="54">
        <f t="shared" si="143"/>
        <v>2289</v>
      </c>
      <c r="AI358" s="55">
        <f t="shared" si="152"/>
        <v>0.63585746102449892</v>
      </c>
      <c r="AJ358" s="55">
        <f t="shared" si="162"/>
        <v>0</v>
      </c>
      <c r="AK358" s="55">
        <f t="shared" si="163"/>
        <v>0</v>
      </c>
    </row>
    <row r="359" spans="2:37" s="53" customFormat="1" ht="17.25" customHeight="1" x14ac:dyDescent="0.25">
      <c r="B359" s="91" t="str">
        <f t="shared" si="144"/>
        <v/>
      </c>
      <c r="C359" s="81">
        <f>IF(Sheet3!A330="","",Sheet3!A330)</f>
        <v>39923</v>
      </c>
      <c r="D359" s="82">
        <f>IF(C359="","",Sheet3!E330)</f>
        <v>25.16</v>
      </c>
      <c r="E359" s="56">
        <f>_xlfn.XLOOKUP(WEEKNUM(C359)&amp;YEAR(C359),Sheet4!C:C,Sheet4!B:B,0)</f>
        <v>0</v>
      </c>
      <c r="F359" s="46">
        <f>IF(int=Weekly,-$D$5,IF(int=Bi_Weekly,-$D$5,IF(int=Monthly,-$D$5,IF(int=Quarterly,0,IF(int=Yearly,0,IF(int=None,0,0))))))</f>
        <v>-100</v>
      </c>
      <c r="G359" s="46"/>
      <c r="H359" s="46">
        <f t="shared" si="153"/>
        <v>-8250</v>
      </c>
      <c r="I359" s="47"/>
      <c r="J359" s="38">
        <f t="shared" si="140"/>
        <v>3.9745627980922098</v>
      </c>
      <c r="K359" s="48"/>
      <c r="L359" s="48">
        <f t="shared" si="145"/>
        <v>296.52187026680633</v>
      </c>
      <c r="M359" s="48"/>
      <c r="N359" s="38">
        <f t="shared" si="146"/>
        <v>0</v>
      </c>
      <c r="O359" s="36">
        <f t="shared" si="147"/>
        <v>0</v>
      </c>
      <c r="P359" s="84">
        <f t="shared" si="148"/>
        <v>-9718.1137041680558</v>
      </c>
      <c r="Q359" s="38">
        <f t="shared" si="149"/>
        <v>0</v>
      </c>
      <c r="R359" s="48">
        <f t="shared" si="150"/>
        <v>50.228436694949181</v>
      </c>
      <c r="S359" s="38">
        <f t="shared" si="141"/>
        <v>346.75030696175554</v>
      </c>
      <c r="T359" s="50">
        <f t="shared" si="154"/>
        <v>8250</v>
      </c>
      <c r="U359" s="40">
        <f t="shared" si="155"/>
        <v>7460.4902559128477</v>
      </c>
      <c r="V359" s="41">
        <f t="shared" si="156"/>
        <v>-9.5698150798442683E-2</v>
      </c>
      <c r="W359" s="39">
        <f t="shared" si="157"/>
        <v>-789.50974408715228</v>
      </c>
      <c r="X359" s="50">
        <f t="shared" si="151"/>
        <v>1468.5824541843331</v>
      </c>
      <c r="Y359" s="41">
        <f t="shared" si="158"/>
        <v>8.2311843648143146E-2</v>
      </c>
      <c r="Z359" s="52"/>
      <c r="AA359" s="50">
        <f t="shared" si="138"/>
        <v>9718.5824541843322</v>
      </c>
      <c r="AB359" s="39">
        <f t="shared" si="139"/>
        <v>8724.2377231577684</v>
      </c>
      <c r="AC359" s="39">
        <f t="shared" si="159"/>
        <v>-994.34473102656375</v>
      </c>
      <c r="AD359" s="41">
        <f t="shared" si="160"/>
        <v>-0.10231376187979446</v>
      </c>
      <c r="AF359" s="46">
        <f t="shared" si="142"/>
        <v>-100</v>
      </c>
      <c r="AG359" s="46">
        <f t="shared" si="161"/>
        <v>-100</v>
      </c>
      <c r="AH359" s="54">
        <f t="shared" si="143"/>
        <v>2296</v>
      </c>
      <c r="AI359" s="55">
        <f t="shared" si="152"/>
        <v>0.63474387527839649</v>
      </c>
      <c r="AJ359" s="55">
        <f t="shared" si="162"/>
        <v>-63.474387527839646</v>
      </c>
      <c r="AK359" s="55">
        <f t="shared" si="163"/>
        <v>-63.474387527839646</v>
      </c>
    </row>
    <row r="360" spans="2:37" s="53" customFormat="1" ht="17.25" customHeight="1" x14ac:dyDescent="0.25">
      <c r="B360" s="91" t="str">
        <f t="shared" si="144"/>
        <v/>
      </c>
      <c r="C360" s="81">
        <f>IF(Sheet3!A331="","",Sheet3!A331)</f>
        <v>39930</v>
      </c>
      <c r="D360" s="82">
        <f>IF(C360="","",Sheet3!E331)</f>
        <v>26.01</v>
      </c>
      <c r="E360" s="56">
        <f>_xlfn.XLOOKUP(WEEKNUM(C360)&amp;YEAR(C360),Sheet4!C:C,Sheet4!B:B,0)</f>
        <v>0</v>
      </c>
      <c r="F360" s="46">
        <f>IF(int=Weekly,-$D$5,IF(int=Bi_Weekly,0,IF(int=Monthly,0,IF(int=Quarterly,0,IF(int=Yearly,0,IF(int=None,0,0))))))</f>
        <v>0</v>
      </c>
      <c r="G360" s="46"/>
      <c r="H360" s="46">
        <f t="shared" si="153"/>
        <v>-8250</v>
      </c>
      <c r="I360" s="47"/>
      <c r="J360" s="38">
        <f t="shared" si="140"/>
        <v>0</v>
      </c>
      <c r="K360" s="48"/>
      <c r="L360" s="48">
        <f t="shared" si="145"/>
        <v>296.52187026680633</v>
      </c>
      <c r="M360" s="48"/>
      <c r="N360" s="38">
        <f t="shared" si="146"/>
        <v>0</v>
      </c>
      <c r="O360" s="36">
        <f t="shared" si="147"/>
        <v>0</v>
      </c>
      <c r="P360" s="84">
        <f t="shared" si="148"/>
        <v>-9718.1137041680558</v>
      </c>
      <c r="Q360" s="38">
        <f t="shared" si="149"/>
        <v>0</v>
      </c>
      <c r="R360" s="48">
        <f t="shared" si="150"/>
        <v>50.228436694949181</v>
      </c>
      <c r="S360" s="38">
        <f t="shared" si="141"/>
        <v>346.75030696175554</v>
      </c>
      <c r="T360" s="50">
        <f t="shared" si="154"/>
        <v>8250</v>
      </c>
      <c r="U360" s="40">
        <f t="shared" si="155"/>
        <v>7712.533845639633</v>
      </c>
      <c r="V360" s="41">
        <f t="shared" si="156"/>
        <v>-6.5147412649741443E-2</v>
      </c>
      <c r="W360" s="39">
        <f t="shared" si="157"/>
        <v>-537.466154360367</v>
      </c>
      <c r="X360" s="50">
        <f t="shared" si="151"/>
        <v>1468.5824541843331</v>
      </c>
      <c r="Y360" s="41">
        <f t="shared" si="158"/>
        <v>0.1128625817968445</v>
      </c>
      <c r="Z360" s="52"/>
      <c r="AA360" s="50">
        <f t="shared" si="138"/>
        <v>9718.5824541843322</v>
      </c>
      <c r="AB360" s="39">
        <f t="shared" si="139"/>
        <v>9018.9754840752612</v>
      </c>
      <c r="AC360" s="39">
        <f t="shared" si="159"/>
        <v>-699.60697010907097</v>
      </c>
      <c r="AD360" s="41">
        <f t="shared" si="160"/>
        <v>-7.1986524105463134E-2</v>
      </c>
      <c r="AF360" s="46">
        <f t="shared" si="142"/>
        <v>0</v>
      </c>
      <c r="AG360" s="46">
        <f t="shared" si="161"/>
        <v>0</v>
      </c>
      <c r="AH360" s="54">
        <f t="shared" si="143"/>
        <v>2303</v>
      </c>
      <c r="AI360" s="55">
        <f t="shared" si="152"/>
        <v>0.63363028953229394</v>
      </c>
      <c r="AJ360" s="55">
        <f t="shared" si="162"/>
        <v>0</v>
      </c>
      <c r="AK360" s="55">
        <f t="shared" si="163"/>
        <v>0</v>
      </c>
    </row>
    <row r="361" spans="2:37" s="53" customFormat="1" ht="17.25" customHeight="1" x14ac:dyDescent="0.25">
      <c r="B361" s="91" t="str">
        <f t="shared" si="144"/>
        <v/>
      </c>
      <c r="C361" s="81">
        <f>IF(Sheet3!A332="","",Sheet3!A332)</f>
        <v>39937</v>
      </c>
      <c r="D361" s="82">
        <f>IF(C361="","",Sheet3!E332)</f>
        <v>25.25</v>
      </c>
      <c r="E361" s="56">
        <f>_xlfn.XLOOKUP(WEEKNUM(C361)&amp;YEAR(C361),Sheet4!C:C,Sheet4!B:B,0)</f>
        <v>0</v>
      </c>
      <c r="F361" s="46">
        <f>IF(int=Weekly,-$D$5,IF(int=Bi_Weekly,-$D$5,IF(int=Monthly,0,IF(int=Quarterly,0,IF(int=Yearly,0,IF(int=None,0,0))))))</f>
        <v>0</v>
      </c>
      <c r="G361" s="46"/>
      <c r="H361" s="46">
        <f t="shared" si="153"/>
        <v>-8250</v>
      </c>
      <c r="I361" s="47"/>
      <c r="J361" s="38">
        <f t="shared" si="140"/>
        <v>0</v>
      </c>
      <c r="K361" s="48"/>
      <c r="L361" s="48">
        <f t="shared" si="145"/>
        <v>296.52187026680633</v>
      </c>
      <c r="M361" s="48"/>
      <c r="N361" s="38">
        <f t="shared" si="146"/>
        <v>0</v>
      </c>
      <c r="O361" s="36">
        <f t="shared" si="147"/>
        <v>0</v>
      </c>
      <c r="P361" s="84">
        <f t="shared" si="148"/>
        <v>-9718.1137041680558</v>
      </c>
      <c r="Q361" s="38">
        <f t="shared" si="149"/>
        <v>0</v>
      </c>
      <c r="R361" s="48">
        <f t="shared" si="150"/>
        <v>50.228436694949181</v>
      </c>
      <c r="S361" s="38">
        <f t="shared" si="141"/>
        <v>346.75030696175554</v>
      </c>
      <c r="T361" s="50">
        <f t="shared" si="154"/>
        <v>8250</v>
      </c>
      <c r="U361" s="40">
        <f t="shared" si="155"/>
        <v>7487.1772242368597</v>
      </c>
      <c r="V361" s="41">
        <f t="shared" si="156"/>
        <v>-9.2463366759168553E-2</v>
      </c>
      <c r="W361" s="39">
        <f t="shared" si="157"/>
        <v>-762.82277576314027</v>
      </c>
      <c r="X361" s="50">
        <f t="shared" si="151"/>
        <v>1468.5824541843331</v>
      </c>
      <c r="Y361" s="41">
        <f t="shared" si="158"/>
        <v>8.5546627687417276E-2</v>
      </c>
      <c r="Z361" s="52"/>
      <c r="AA361" s="50">
        <f t="shared" si="138"/>
        <v>9718.5824541843322</v>
      </c>
      <c r="AB361" s="39">
        <f t="shared" si="139"/>
        <v>8755.4452507843271</v>
      </c>
      <c r="AC361" s="39">
        <f t="shared" si="159"/>
        <v>-963.13720340000509</v>
      </c>
      <c r="AD361" s="41">
        <f t="shared" si="160"/>
        <v>-9.9102642586041623E-2</v>
      </c>
      <c r="AF361" s="46">
        <f t="shared" si="142"/>
        <v>0</v>
      </c>
      <c r="AG361" s="46">
        <f t="shared" si="161"/>
        <v>0</v>
      </c>
      <c r="AH361" s="54">
        <f t="shared" si="143"/>
        <v>2310</v>
      </c>
      <c r="AI361" s="55">
        <f t="shared" si="152"/>
        <v>0.63251670378619151</v>
      </c>
      <c r="AJ361" s="55">
        <f t="shared" si="162"/>
        <v>0</v>
      </c>
      <c r="AK361" s="55">
        <f t="shared" si="163"/>
        <v>0</v>
      </c>
    </row>
    <row r="362" spans="2:37" s="53" customFormat="1" ht="17.25" customHeight="1" x14ac:dyDescent="0.25">
      <c r="B362" s="91" t="str">
        <f t="shared" si="144"/>
        <v/>
      </c>
      <c r="C362" s="81">
        <f>IF(Sheet3!A333="","",Sheet3!A333)</f>
        <v>39944</v>
      </c>
      <c r="D362" s="82">
        <f>IF(C362="","",Sheet3!E333)</f>
        <v>24.879999000000002</v>
      </c>
      <c r="E362" s="56">
        <f>_xlfn.XLOOKUP(WEEKNUM(C362)&amp;YEAR(C362),Sheet4!C:C,Sheet4!B:B,0)</f>
        <v>0</v>
      </c>
      <c r="F362" s="46">
        <f>IF(int=Weekly,-$D$5,IF(int=Bi_Weekly,0,IF(int=Monthly,0,IF(int=Quarterly,0,IF(int=Yearly,0,IF(int=None,0,0))))))</f>
        <v>0</v>
      </c>
      <c r="G362" s="46"/>
      <c r="H362" s="46">
        <f t="shared" si="153"/>
        <v>-8250</v>
      </c>
      <c r="I362" s="47"/>
      <c r="J362" s="38">
        <f t="shared" si="140"/>
        <v>0</v>
      </c>
      <c r="K362" s="48"/>
      <c r="L362" s="48">
        <f t="shared" si="145"/>
        <v>296.52187026680633</v>
      </c>
      <c r="M362" s="48"/>
      <c r="N362" s="38">
        <f t="shared" si="146"/>
        <v>0</v>
      </c>
      <c r="O362" s="36">
        <f t="shared" si="147"/>
        <v>0</v>
      </c>
      <c r="P362" s="84">
        <f t="shared" si="148"/>
        <v>-9718.1137041680558</v>
      </c>
      <c r="Q362" s="38">
        <f t="shared" si="149"/>
        <v>0</v>
      </c>
      <c r="R362" s="48">
        <f t="shared" si="150"/>
        <v>50.228436694949181</v>
      </c>
      <c r="S362" s="38">
        <f t="shared" si="141"/>
        <v>346.75030696175554</v>
      </c>
      <c r="T362" s="50">
        <f t="shared" si="154"/>
        <v>8250</v>
      </c>
      <c r="U362" s="40">
        <f t="shared" si="155"/>
        <v>7377.4638357162721</v>
      </c>
      <c r="V362" s="41">
        <f t="shared" si="156"/>
        <v>-0.10576195930711851</v>
      </c>
      <c r="W362" s="39">
        <f t="shared" si="157"/>
        <v>-872.53616428372789</v>
      </c>
      <c r="X362" s="50">
        <f t="shared" si="151"/>
        <v>1468.5824541843331</v>
      </c>
      <c r="Y362" s="41">
        <f t="shared" si="158"/>
        <v>7.2248035139467204E-2</v>
      </c>
      <c r="Z362" s="52"/>
      <c r="AA362" s="50">
        <f t="shared" si="138"/>
        <v>9718.5824541843322</v>
      </c>
      <c r="AB362" s="39">
        <f t="shared" si="139"/>
        <v>8627.1472904581715</v>
      </c>
      <c r="AC362" s="39">
        <f t="shared" si="159"/>
        <v>-1091.4351637261607</v>
      </c>
      <c r="AD362" s="41">
        <f t="shared" si="160"/>
        <v>-0.11230394647279485</v>
      </c>
      <c r="AF362" s="46">
        <f t="shared" si="142"/>
        <v>0</v>
      </c>
      <c r="AG362" s="46">
        <f t="shared" si="161"/>
        <v>0</v>
      </c>
      <c r="AH362" s="54">
        <f t="shared" si="143"/>
        <v>2317</v>
      </c>
      <c r="AI362" s="55">
        <f t="shared" si="152"/>
        <v>0.63140311804008908</v>
      </c>
      <c r="AJ362" s="55">
        <f t="shared" si="162"/>
        <v>0</v>
      </c>
      <c r="AK362" s="55">
        <f t="shared" si="163"/>
        <v>0</v>
      </c>
    </row>
    <row r="363" spans="2:37" s="53" customFormat="1" ht="17.25" customHeight="1" x14ac:dyDescent="0.25">
      <c r="B363" s="91" t="str">
        <f t="shared" si="144"/>
        <v/>
      </c>
      <c r="C363" s="81">
        <f>IF(Sheet3!A334="","",Sheet3!A334)</f>
        <v>39951</v>
      </c>
      <c r="D363" s="82">
        <f>IF(C363="","",Sheet3!E334)</f>
        <v>23.68</v>
      </c>
      <c r="E363" s="56">
        <f>_xlfn.XLOOKUP(WEEKNUM(C363)&amp;YEAR(C363),Sheet4!C:C,Sheet4!B:B,0)</f>
        <v>0</v>
      </c>
      <c r="F363" s="46">
        <f>IF(int=Weekly,-$D$5,IF(int=Bi_Weekly,-$D$5,IF(int=Monthly,-$D$5,IF(int=Quarterly,0,IF(int=Yearly,0,IF(int=None,0,0))))))</f>
        <v>-100</v>
      </c>
      <c r="G363" s="46"/>
      <c r="H363" s="46">
        <f t="shared" si="153"/>
        <v>-8350</v>
      </c>
      <c r="I363" s="47"/>
      <c r="J363" s="38">
        <f t="shared" si="140"/>
        <v>4.2229729729729728</v>
      </c>
      <c r="K363" s="48"/>
      <c r="L363" s="48">
        <f t="shared" si="145"/>
        <v>300.7448432397793</v>
      </c>
      <c r="M363" s="48"/>
      <c r="N363" s="38">
        <f t="shared" si="146"/>
        <v>0</v>
      </c>
      <c r="O363" s="36">
        <f t="shared" si="147"/>
        <v>0</v>
      </c>
      <c r="P363" s="84">
        <f t="shared" si="148"/>
        <v>-9818.1137041680558</v>
      </c>
      <c r="Q363" s="38">
        <f t="shared" si="149"/>
        <v>0</v>
      </c>
      <c r="R363" s="48">
        <f t="shared" si="150"/>
        <v>50.228436694949181</v>
      </c>
      <c r="S363" s="38">
        <f t="shared" si="141"/>
        <v>350.97327993472845</v>
      </c>
      <c r="T363" s="50">
        <f t="shared" si="154"/>
        <v>8350</v>
      </c>
      <c r="U363" s="40">
        <f t="shared" si="155"/>
        <v>7121.6378879179738</v>
      </c>
      <c r="V363" s="41">
        <f t="shared" si="156"/>
        <v>-0.14710923497988337</v>
      </c>
      <c r="W363" s="39">
        <f t="shared" si="157"/>
        <v>-1228.3621120820262</v>
      </c>
      <c r="X363" s="50">
        <f t="shared" si="151"/>
        <v>1468.5824541843331</v>
      </c>
      <c r="Y363" s="41">
        <f t="shared" si="158"/>
        <v>2.8768903245785404E-2</v>
      </c>
      <c r="Z363" s="52"/>
      <c r="AA363" s="50">
        <f t="shared" si="138"/>
        <v>9818.5824541843322</v>
      </c>
      <c r="AB363" s="39">
        <f t="shared" si="139"/>
        <v>8311.0472688543705</v>
      </c>
      <c r="AC363" s="39">
        <f t="shared" si="159"/>
        <v>-1507.5351853299617</v>
      </c>
      <c r="AD363" s="41">
        <f t="shared" si="160"/>
        <v>-0.1535389851197414</v>
      </c>
      <c r="AF363" s="46">
        <f t="shared" si="142"/>
        <v>-100</v>
      </c>
      <c r="AG363" s="46">
        <f t="shared" si="161"/>
        <v>-100</v>
      </c>
      <c r="AH363" s="54">
        <f t="shared" si="143"/>
        <v>2324</v>
      </c>
      <c r="AI363" s="55">
        <f t="shared" si="152"/>
        <v>0.63028953229398665</v>
      </c>
      <c r="AJ363" s="55">
        <f t="shared" si="162"/>
        <v>-63.028953229398667</v>
      </c>
      <c r="AK363" s="55">
        <f t="shared" si="163"/>
        <v>-63.028953229398667</v>
      </c>
    </row>
    <row r="364" spans="2:37" s="53" customFormat="1" ht="17.25" customHeight="1" x14ac:dyDescent="0.25">
      <c r="B364" s="91" t="str">
        <f t="shared" si="144"/>
        <v/>
      </c>
      <c r="C364" s="81">
        <f>IF(Sheet3!A335="","",Sheet3!A335)</f>
        <v>39958</v>
      </c>
      <c r="D364" s="82">
        <f>IF(C364="","",Sheet3!E335)</f>
        <v>24.790001</v>
      </c>
      <c r="E364" s="56">
        <f>_xlfn.XLOOKUP(WEEKNUM(C364)&amp;YEAR(C364),Sheet4!C:C,Sheet4!B:B,0)</f>
        <v>0</v>
      </c>
      <c r="F364" s="46">
        <f>IF(int=Weekly,-$D$5,IF(int=Bi_Weekly,0,IF(int=Monthly,0,IF(int=Quarterly,0,IF(int=Yearly,0,IF(int=None,0,0))))))</f>
        <v>0</v>
      </c>
      <c r="G364" s="46"/>
      <c r="H364" s="46">
        <f t="shared" si="153"/>
        <v>-8350</v>
      </c>
      <c r="I364" s="47"/>
      <c r="J364" s="38">
        <f t="shared" si="140"/>
        <v>0</v>
      </c>
      <c r="K364" s="48"/>
      <c r="L364" s="48">
        <f t="shared" si="145"/>
        <v>300.7448432397793</v>
      </c>
      <c r="M364" s="48"/>
      <c r="N364" s="38">
        <f t="shared" si="146"/>
        <v>0</v>
      </c>
      <c r="O364" s="36">
        <f t="shared" si="147"/>
        <v>0</v>
      </c>
      <c r="P364" s="84">
        <f t="shared" si="148"/>
        <v>-9818.1137041680558</v>
      </c>
      <c r="Q364" s="38">
        <f t="shared" si="149"/>
        <v>0</v>
      </c>
      <c r="R364" s="48">
        <f t="shared" si="150"/>
        <v>50.228436694949181</v>
      </c>
      <c r="S364" s="38">
        <f t="shared" si="141"/>
        <v>350.97327993472845</v>
      </c>
      <c r="T364" s="50">
        <f t="shared" si="154"/>
        <v>8350</v>
      </c>
      <c r="U364" s="40">
        <f t="shared" si="155"/>
        <v>7455.4649646589723</v>
      </c>
      <c r="V364" s="41">
        <f t="shared" si="156"/>
        <v>-0.1071299443522189</v>
      </c>
      <c r="W364" s="39">
        <f t="shared" si="157"/>
        <v>-894.53503534102765</v>
      </c>
      <c r="X364" s="50">
        <f t="shared" si="151"/>
        <v>1468.5824541843331</v>
      </c>
      <c r="Y364" s="41">
        <f t="shared" si="158"/>
        <v>6.874819387344977E-2</v>
      </c>
      <c r="Z364" s="52"/>
      <c r="AA364" s="50">
        <f t="shared" si="138"/>
        <v>9818.5824541843322</v>
      </c>
      <c r="AB364" s="39">
        <f t="shared" si="139"/>
        <v>8700.627960555199</v>
      </c>
      <c r="AC364" s="39">
        <f t="shared" si="159"/>
        <v>-1117.9544936291331</v>
      </c>
      <c r="AD364" s="41">
        <f t="shared" si="160"/>
        <v>-0.11386108930140937</v>
      </c>
      <c r="AF364" s="46">
        <f t="shared" si="142"/>
        <v>0</v>
      </c>
      <c r="AG364" s="46">
        <f t="shared" si="161"/>
        <v>0</v>
      </c>
      <c r="AH364" s="54">
        <f t="shared" si="143"/>
        <v>2331</v>
      </c>
      <c r="AI364" s="55">
        <f t="shared" si="152"/>
        <v>0.62917594654788422</v>
      </c>
      <c r="AJ364" s="55">
        <f t="shared" si="162"/>
        <v>0</v>
      </c>
      <c r="AK364" s="55">
        <f t="shared" si="163"/>
        <v>0</v>
      </c>
    </row>
    <row r="365" spans="2:37" s="53" customFormat="1" ht="17.25" customHeight="1" x14ac:dyDescent="0.25">
      <c r="B365" s="91" t="str">
        <f t="shared" si="144"/>
        <v/>
      </c>
      <c r="C365" s="81">
        <f>IF(Sheet3!A336="","",Sheet3!A336)</f>
        <v>39965</v>
      </c>
      <c r="D365" s="82">
        <f>IF(C365="","",Sheet3!E336)</f>
        <v>24.559999000000001</v>
      </c>
      <c r="E365" s="56">
        <f>_xlfn.XLOOKUP(WEEKNUM(C365)&amp;YEAR(C365),Sheet4!C:C,Sheet4!B:B,0)</f>
        <v>0</v>
      </c>
      <c r="F365" s="46">
        <f>IF(int=Weekly,-$D$5,IF(int=Bi_Weekly,-$D$5,IF(int=Monthly,0,IF(int=Quarterly,0,IF(int=Yearly,0,IF(int=None,0,0))))))</f>
        <v>0</v>
      </c>
      <c r="G365" s="46"/>
      <c r="H365" s="46">
        <f t="shared" si="153"/>
        <v>-8350</v>
      </c>
      <c r="I365" s="47"/>
      <c r="J365" s="38">
        <f t="shared" si="140"/>
        <v>0</v>
      </c>
      <c r="K365" s="48"/>
      <c r="L365" s="48">
        <f t="shared" si="145"/>
        <v>300.7448432397793</v>
      </c>
      <c r="M365" s="48"/>
      <c r="N365" s="38">
        <f t="shared" si="146"/>
        <v>0</v>
      </c>
      <c r="O365" s="36">
        <f t="shared" si="147"/>
        <v>0</v>
      </c>
      <c r="P365" s="84">
        <f t="shared" si="148"/>
        <v>-9818.1137041680558</v>
      </c>
      <c r="Q365" s="38">
        <f t="shared" si="149"/>
        <v>0</v>
      </c>
      <c r="R365" s="48">
        <f t="shared" si="150"/>
        <v>50.228436694949181</v>
      </c>
      <c r="S365" s="38">
        <f t="shared" si="141"/>
        <v>350.97327993472845</v>
      </c>
      <c r="T365" s="50">
        <f t="shared" si="154"/>
        <v>8350</v>
      </c>
      <c r="U365" s="40">
        <f t="shared" si="155"/>
        <v>7386.2930492241367</v>
      </c>
      <c r="V365" s="41">
        <f t="shared" si="156"/>
        <v>-0.11541400608094177</v>
      </c>
      <c r="W365" s="39">
        <f t="shared" si="157"/>
        <v>-963.70695077586333</v>
      </c>
      <c r="X365" s="50">
        <f t="shared" si="151"/>
        <v>1468.5824541843331</v>
      </c>
      <c r="Y365" s="41">
        <f t="shared" si="158"/>
        <v>6.0464132144727012E-2</v>
      </c>
      <c r="Z365" s="52"/>
      <c r="AA365" s="50">
        <f t="shared" si="138"/>
        <v>9818.5824541843322</v>
      </c>
      <c r="AB365" s="39">
        <f t="shared" si="139"/>
        <v>8619.9034042236526</v>
      </c>
      <c r="AC365" s="39">
        <f t="shared" si="159"/>
        <v>-1198.6790499606795</v>
      </c>
      <c r="AD365" s="41">
        <f t="shared" si="160"/>
        <v>-0.12208269936663263</v>
      </c>
      <c r="AF365" s="46">
        <f t="shared" si="142"/>
        <v>0</v>
      </c>
      <c r="AG365" s="46">
        <f t="shared" si="161"/>
        <v>0</v>
      </c>
      <c r="AH365" s="54">
        <f t="shared" si="143"/>
        <v>2338</v>
      </c>
      <c r="AI365" s="55">
        <f t="shared" si="152"/>
        <v>0.62806236080178168</v>
      </c>
      <c r="AJ365" s="55">
        <f t="shared" si="162"/>
        <v>0</v>
      </c>
      <c r="AK365" s="55">
        <f t="shared" si="163"/>
        <v>0</v>
      </c>
    </row>
    <row r="366" spans="2:37" s="53" customFormat="1" ht="17.25" customHeight="1" x14ac:dyDescent="0.25">
      <c r="B366" s="91" t="str">
        <f t="shared" si="144"/>
        <v/>
      </c>
      <c r="C366" s="81">
        <f>IF(Sheet3!A337="","",Sheet3!A337)</f>
        <v>39972</v>
      </c>
      <c r="D366" s="82">
        <f>IF(C366="","",Sheet3!E337)</f>
        <v>25.01</v>
      </c>
      <c r="E366" s="56">
        <f>_xlfn.XLOOKUP(WEEKNUM(C366)&amp;YEAR(C366),Sheet4!C:C,Sheet4!B:B,0)</f>
        <v>0</v>
      </c>
      <c r="F366" s="46">
        <f>IF(int=Weekly,-$D$5,IF(int=Bi_Weekly,0,IF(int=Monthly,0,IF(int=Quarterly,0,IF(int=Yearly,0,IF(int=None,0,0))))))</f>
        <v>0</v>
      </c>
      <c r="G366" s="46"/>
      <c r="H366" s="46">
        <f t="shared" si="153"/>
        <v>-8350</v>
      </c>
      <c r="I366" s="47"/>
      <c r="J366" s="38">
        <f t="shared" si="140"/>
        <v>0</v>
      </c>
      <c r="K366" s="48"/>
      <c r="L366" s="48">
        <f t="shared" si="145"/>
        <v>300.7448432397793</v>
      </c>
      <c r="M366" s="48"/>
      <c r="N366" s="38">
        <f t="shared" si="146"/>
        <v>0</v>
      </c>
      <c r="O366" s="36">
        <f t="shared" si="147"/>
        <v>0</v>
      </c>
      <c r="P366" s="84">
        <f t="shared" si="148"/>
        <v>-9818.1137041680558</v>
      </c>
      <c r="Q366" s="38">
        <f t="shared" si="149"/>
        <v>0</v>
      </c>
      <c r="R366" s="48">
        <f t="shared" si="150"/>
        <v>50.228436694949181</v>
      </c>
      <c r="S366" s="38">
        <f t="shared" si="141"/>
        <v>350.97327993472845</v>
      </c>
      <c r="T366" s="50">
        <f t="shared" si="154"/>
        <v>8350</v>
      </c>
      <c r="U366" s="40">
        <f t="shared" si="155"/>
        <v>7521.628529426881</v>
      </c>
      <c r="V366" s="41">
        <f t="shared" si="156"/>
        <v>-9.9206164140493325E-2</v>
      </c>
      <c r="W366" s="39">
        <f t="shared" si="157"/>
        <v>-828.37147057311904</v>
      </c>
      <c r="X366" s="50">
        <f t="shared" si="151"/>
        <v>1468.5824541843331</v>
      </c>
      <c r="Y366" s="41">
        <f t="shared" si="158"/>
        <v>7.6671974085175343E-2</v>
      </c>
      <c r="Z366" s="52"/>
      <c r="AA366" s="50">
        <f t="shared" si="138"/>
        <v>9818.5824541843322</v>
      </c>
      <c r="AB366" s="39">
        <f t="shared" si="139"/>
        <v>8777.8417311675603</v>
      </c>
      <c r="AC366" s="39">
        <f t="shared" si="159"/>
        <v>-1040.7407230167719</v>
      </c>
      <c r="AD366" s="41">
        <f t="shared" si="160"/>
        <v>-0.10599704467249704</v>
      </c>
      <c r="AF366" s="46">
        <f t="shared" si="142"/>
        <v>0</v>
      </c>
      <c r="AG366" s="46">
        <f t="shared" si="161"/>
        <v>0</v>
      </c>
      <c r="AH366" s="54">
        <f t="shared" si="143"/>
        <v>2345</v>
      </c>
      <c r="AI366" s="55">
        <f t="shared" si="152"/>
        <v>0.62694877505567925</v>
      </c>
      <c r="AJ366" s="55">
        <f t="shared" si="162"/>
        <v>0</v>
      </c>
      <c r="AK366" s="55">
        <f t="shared" si="163"/>
        <v>0</v>
      </c>
    </row>
    <row r="367" spans="2:37" s="53" customFormat="1" ht="17.25" customHeight="1" x14ac:dyDescent="0.25">
      <c r="B367" s="91" t="str">
        <f t="shared" si="144"/>
        <v/>
      </c>
      <c r="C367" s="81">
        <f>IF(Sheet3!A338="","",Sheet3!A338)</f>
        <v>39979</v>
      </c>
      <c r="D367" s="82">
        <f>IF(C367="","",Sheet3!E338)</f>
        <v>24.040001</v>
      </c>
      <c r="E367" s="56">
        <f>_xlfn.XLOOKUP(WEEKNUM(C367)&amp;YEAR(C367),Sheet4!C:C,Sheet4!B:B,0)</f>
        <v>0</v>
      </c>
      <c r="F367" s="46">
        <f>IF(int=Weekly,-$D$5,IF(int=Bi_Weekly,-$D$5,IF(int=Monthly,-$D$5,IF(int=Quarterly,0,IF(int=Yearly,0,IF(int=None,0,0))))))</f>
        <v>-100</v>
      </c>
      <c r="G367" s="46"/>
      <c r="H367" s="46">
        <f t="shared" si="153"/>
        <v>-8450</v>
      </c>
      <c r="I367" s="47"/>
      <c r="J367" s="38">
        <f t="shared" si="140"/>
        <v>4.1597336040044262</v>
      </c>
      <c r="K367" s="48"/>
      <c r="L367" s="48">
        <f t="shared" si="145"/>
        <v>304.90457684378373</v>
      </c>
      <c r="M367" s="48"/>
      <c r="N367" s="38">
        <f t="shared" si="146"/>
        <v>0</v>
      </c>
      <c r="O367" s="36">
        <f t="shared" si="147"/>
        <v>0</v>
      </c>
      <c r="P367" s="84">
        <f t="shared" si="148"/>
        <v>-9918.1137041680558</v>
      </c>
      <c r="Q367" s="38">
        <f t="shared" si="149"/>
        <v>0</v>
      </c>
      <c r="R367" s="48">
        <f t="shared" si="150"/>
        <v>50.228436694949181</v>
      </c>
      <c r="S367" s="38">
        <f t="shared" si="141"/>
        <v>355.13301353873294</v>
      </c>
      <c r="T367" s="50">
        <f t="shared" si="154"/>
        <v>8450</v>
      </c>
      <c r="U367" s="40">
        <f t="shared" si="155"/>
        <v>7329.9063322291377</v>
      </c>
      <c r="V367" s="41">
        <f t="shared" si="156"/>
        <v>-0.13255546364152215</v>
      </c>
      <c r="W367" s="39">
        <f t="shared" si="157"/>
        <v>-1120.0936677708623</v>
      </c>
      <c r="X367" s="50">
        <f t="shared" si="151"/>
        <v>1468.5824541843331</v>
      </c>
      <c r="Y367" s="41">
        <f t="shared" si="158"/>
        <v>4.1241276498635626E-2</v>
      </c>
      <c r="Z367" s="52"/>
      <c r="AA367" s="50">
        <f t="shared" si="138"/>
        <v>9918.5824541843322</v>
      </c>
      <c r="AB367" s="39">
        <f t="shared" si="139"/>
        <v>8537.3980006041529</v>
      </c>
      <c r="AC367" s="39">
        <f t="shared" si="159"/>
        <v>-1381.1844535801793</v>
      </c>
      <c r="AD367" s="41">
        <f t="shared" si="160"/>
        <v>-0.13925220261666538</v>
      </c>
      <c r="AF367" s="46">
        <f t="shared" si="142"/>
        <v>-100</v>
      </c>
      <c r="AG367" s="46">
        <f t="shared" si="161"/>
        <v>-100</v>
      </c>
      <c r="AH367" s="54">
        <f t="shared" si="143"/>
        <v>2352</v>
      </c>
      <c r="AI367" s="55">
        <f t="shared" si="152"/>
        <v>0.62583518930957682</v>
      </c>
      <c r="AJ367" s="55">
        <f t="shared" si="162"/>
        <v>-62.58351893095768</v>
      </c>
      <c r="AK367" s="55">
        <f t="shared" si="163"/>
        <v>-62.58351893095768</v>
      </c>
    </row>
    <row r="368" spans="2:37" s="53" customFormat="1" ht="17.25" customHeight="1" x14ac:dyDescent="0.25">
      <c r="B368" s="91" t="str">
        <f t="shared" si="144"/>
        <v/>
      </c>
      <c r="C368" s="81">
        <f>IF(Sheet3!A339="","",Sheet3!A339)</f>
        <v>39986</v>
      </c>
      <c r="D368" s="82">
        <f>IF(C368="","",Sheet3!E339)</f>
        <v>24.82</v>
      </c>
      <c r="E368" s="56">
        <f>_xlfn.XLOOKUP(WEEKNUM(C368)&amp;YEAR(C368),Sheet4!C:C,Sheet4!B:B,0)</f>
        <v>0</v>
      </c>
      <c r="F368" s="46">
        <f>IF(int=Weekly,-$D$5,IF(int=Bi_Weekly,0,IF(int=Monthly,0,IF(int=Quarterly,0,IF(int=Yearly,0,IF(int=None,0,0))))))</f>
        <v>0</v>
      </c>
      <c r="G368" s="46"/>
      <c r="H368" s="46">
        <f t="shared" si="153"/>
        <v>-8450</v>
      </c>
      <c r="I368" s="47"/>
      <c r="J368" s="38">
        <f t="shared" si="140"/>
        <v>0</v>
      </c>
      <c r="K368" s="48"/>
      <c r="L368" s="48">
        <f t="shared" si="145"/>
        <v>304.90457684378373</v>
      </c>
      <c r="M368" s="48"/>
      <c r="N368" s="38">
        <f t="shared" si="146"/>
        <v>0</v>
      </c>
      <c r="O368" s="36">
        <f t="shared" si="147"/>
        <v>0</v>
      </c>
      <c r="P368" s="84">
        <f t="shared" si="148"/>
        <v>-9918.1137041680558</v>
      </c>
      <c r="Q368" s="38">
        <f t="shared" si="149"/>
        <v>0</v>
      </c>
      <c r="R368" s="48">
        <f t="shared" si="150"/>
        <v>50.228436694949181</v>
      </c>
      <c r="S368" s="38">
        <f t="shared" si="141"/>
        <v>355.13301353873294</v>
      </c>
      <c r="T368" s="50">
        <f t="shared" si="154"/>
        <v>8450</v>
      </c>
      <c r="U368" s="40">
        <f t="shared" si="155"/>
        <v>7567.7315972627121</v>
      </c>
      <c r="V368" s="41">
        <f t="shared" si="156"/>
        <v>-0.10441046186240099</v>
      </c>
      <c r="W368" s="39">
        <f t="shared" si="157"/>
        <v>-882.26840273728794</v>
      </c>
      <c r="X368" s="50">
        <f t="shared" si="151"/>
        <v>1468.5824541843331</v>
      </c>
      <c r="Y368" s="41">
        <f t="shared" si="158"/>
        <v>6.9386278277756785E-2</v>
      </c>
      <c r="Z368" s="52"/>
      <c r="AA368" s="50">
        <f t="shared" si="138"/>
        <v>9918.5824541843322</v>
      </c>
      <c r="AB368" s="39">
        <f t="shared" si="139"/>
        <v>8814.4013960313514</v>
      </c>
      <c r="AC368" s="39">
        <f t="shared" si="159"/>
        <v>-1104.1810581529808</v>
      </c>
      <c r="AD368" s="41">
        <f t="shared" si="160"/>
        <v>-0.11132448243016446</v>
      </c>
      <c r="AF368" s="46">
        <f t="shared" si="142"/>
        <v>0</v>
      </c>
      <c r="AG368" s="46">
        <f t="shared" si="161"/>
        <v>0</v>
      </c>
      <c r="AH368" s="54">
        <f t="shared" si="143"/>
        <v>2359</v>
      </c>
      <c r="AI368" s="55">
        <f t="shared" si="152"/>
        <v>0.62472160356347439</v>
      </c>
      <c r="AJ368" s="55">
        <f t="shared" si="162"/>
        <v>0</v>
      </c>
      <c r="AK368" s="55">
        <f t="shared" si="163"/>
        <v>0</v>
      </c>
    </row>
    <row r="369" spans="2:37" s="53" customFormat="1" ht="17.25" customHeight="1" x14ac:dyDescent="0.25">
      <c r="B369" s="91" t="str">
        <f t="shared" si="144"/>
        <v/>
      </c>
      <c r="C369" s="81">
        <f>IF(Sheet3!A340="","",Sheet3!A340)</f>
        <v>39993</v>
      </c>
      <c r="D369" s="82">
        <f>IF(C369="","",Sheet3!E340)</f>
        <v>24.59</v>
      </c>
      <c r="E369" s="56">
        <f>_xlfn.XLOOKUP(WEEKNUM(C369)&amp;YEAR(C369),Sheet4!C:C,Sheet4!B:B,0)</f>
        <v>0</v>
      </c>
      <c r="F369" s="46">
        <f>IF(int=Weekly,-$D$5,IF(int=Bi_Weekly,-$D$5,IF(int=Monthly,0,IF(int=Quarterly,-$D$5,IF(int=Yearly,0,IF(int=None,0,0))))))</f>
        <v>0</v>
      </c>
      <c r="G369" s="46"/>
      <c r="H369" s="46">
        <f t="shared" si="153"/>
        <v>-8450</v>
      </c>
      <c r="I369" s="47"/>
      <c r="J369" s="38">
        <f t="shared" si="140"/>
        <v>0</v>
      </c>
      <c r="K369" s="48"/>
      <c r="L369" s="48">
        <f t="shared" si="145"/>
        <v>304.90457684378373</v>
      </c>
      <c r="M369" s="48"/>
      <c r="N369" s="38">
        <f t="shared" si="146"/>
        <v>0</v>
      </c>
      <c r="O369" s="36">
        <f t="shared" si="147"/>
        <v>0</v>
      </c>
      <c r="P369" s="84">
        <f t="shared" si="148"/>
        <v>-9918.1137041680558</v>
      </c>
      <c r="Q369" s="38">
        <f t="shared" si="149"/>
        <v>0</v>
      </c>
      <c r="R369" s="48">
        <f t="shared" si="150"/>
        <v>50.228436694949181</v>
      </c>
      <c r="S369" s="38">
        <f t="shared" si="141"/>
        <v>355.13301353873294</v>
      </c>
      <c r="T369" s="50">
        <f t="shared" si="154"/>
        <v>8450</v>
      </c>
      <c r="U369" s="40">
        <f t="shared" si="155"/>
        <v>7497.6035445886419</v>
      </c>
      <c r="V369" s="41">
        <f t="shared" si="156"/>
        <v>-0.11270963969365189</v>
      </c>
      <c r="W369" s="39">
        <f t="shared" si="157"/>
        <v>-952.39645541135815</v>
      </c>
      <c r="X369" s="50">
        <f t="shared" si="151"/>
        <v>1468.5824541843331</v>
      </c>
      <c r="Y369" s="41">
        <f t="shared" si="158"/>
        <v>6.1087100446505893E-2</v>
      </c>
      <c r="Z369" s="52"/>
      <c r="AA369" s="50">
        <f t="shared" ref="AA369:AA432" si="164">(D369*Q369)+(D369*J369)+AA368</f>
        <v>9918.5824541843322</v>
      </c>
      <c r="AB369" s="39">
        <f t="shared" ref="AB369:AB432" si="165">(L369*D369)+(D369*R369)</f>
        <v>8732.7208029174417</v>
      </c>
      <c r="AC369" s="39">
        <f t="shared" si="159"/>
        <v>-1185.8616512668905</v>
      </c>
      <c r="AD369" s="41">
        <f t="shared" si="160"/>
        <v>-0.11955958996606553</v>
      </c>
      <c r="AF369" s="46">
        <f t="shared" si="142"/>
        <v>0</v>
      </c>
      <c r="AG369" s="46">
        <f t="shared" si="161"/>
        <v>0</v>
      </c>
      <c r="AH369" s="54">
        <f t="shared" si="143"/>
        <v>2366</v>
      </c>
      <c r="AI369" s="55">
        <f t="shared" si="152"/>
        <v>0.62360801781737196</v>
      </c>
      <c r="AJ369" s="55">
        <f t="shared" si="162"/>
        <v>0</v>
      </c>
      <c r="AK369" s="55">
        <f t="shared" si="163"/>
        <v>0</v>
      </c>
    </row>
    <row r="370" spans="2:37" s="53" customFormat="1" ht="17.25" customHeight="1" x14ac:dyDescent="0.25">
      <c r="B370" s="91" t="str">
        <f t="shared" si="144"/>
        <v/>
      </c>
      <c r="C370" s="81">
        <f>IF(Sheet3!A341="","",Sheet3!A341)</f>
        <v>40000</v>
      </c>
      <c r="D370" s="82">
        <f>IF(C370="","",Sheet3!E341)</f>
        <v>23.440000999999999</v>
      </c>
      <c r="E370" s="56">
        <f>_xlfn.XLOOKUP(WEEKNUM(C370)&amp;YEAR(C370),Sheet4!C:C,Sheet4!B:B,0)</f>
        <v>0.41</v>
      </c>
      <c r="F370" s="46">
        <f>IF(int=Weekly,-$D$5,IF(int=Bi_Weekly,0,IF(int=Monthly,0,IF(int=Quarterly,0,IF(int=Yearly,0,IF(int=None,0,0))))))</f>
        <v>0</v>
      </c>
      <c r="G370" s="46"/>
      <c r="H370" s="46">
        <f t="shared" si="153"/>
        <v>-8450</v>
      </c>
      <c r="I370" s="47"/>
      <c r="J370" s="38">
        <f t="shared" si="140"/>
        <v>0</v>
      </c>
      <c r="K370" s="48"/>
      <c r="L370" s="48">
        <f t="shared" si="145"/>
        <v>304.90457684378373</v>
      </c>
      <c r="M370" s="48"/>
      <c r="N370" s="38">
        <f t="shared" si="146"/>
        <v>125.01087650595132</v>
      </c>
      <c r="O370" s="36">
        <f t="shared" si="147"/>
        <v>-125.01087650595132</v>
      </c>
      <c r="P370" s="84">
        <f t="shared" si="148"/>
        <v>-10043.124580674008</v>
      </c>
      <c r="Q370" s="38">
        <f t="shared" si="149"/>
        <v>5.3332282923516647</v>
      </c>
      <c r="R370" s="48">
        <f t="shared" si="150"/>
        <v>55.561664987300844</v>
      </c>
      <c r="S370" s="38">
        <f t="shared" si="141"/>
        <v>360.46624183108457</v>
      </c>
      <c r="T370" s="50">
        <f t="shared" si="154"/>
        <v>8450</v>
      </c>
      <c r="U370" s="40">
        <f t="shared" si="155"/>
        <v>7146.9635861228671</v>
      </c>
      <c r="V370" s="41">
        <f t="shared" si="156"/>
        <v>-0.15420549276652462</v>
      </c>
      <c r="W370" s="39">
        <f t="shared" si="157"/>
        <v>-1303.0364138771329</v>
      </c>
      <c r="X370" s="50">
        <f t="shared" si="151"/>
        <v>1593.5933306902843</v>
      </c>
      <c r="Y370" s="41">
        <f t="shared" si="158"/>
        <v>3.4385433942384802E-2</v>
      </c>
      <c r="Z370" s="52"/>
      <c r="AA370" s="50">
        <f t="shared" si="164"/>
        <v>10043.593330690284</v>
      </c>
      <c r="AB370" s="39">
        <f t="shared" si="165"/>
        <v>8449.3290689868645</v>
      </c>
      <c r="AC370" s="39">
        <f t="shared" si="159"/>
        <v>-1594.2642617034198</v>
      </c>
      <c r="AD370" s="41">
        <f t="shared" si="160"/>
        <v>-0.15873444983398666</v>
      </c>
      <c r="AF370" s="46">
        <f t="shared" si="142"/>
        <v>125.01087650595132</v>
      </c>
      <c r="AG370" s="46">
        <f t="shared" si="161"/>
        <v>0</v>
      </c>
      <c r="AH370" s="54">
        <f t="shared" si="143"/>
        <v>2373</v>
      </c>
      <c r="AI370" s="55">
        <f t="shared" si="152"/>
        <v>0.62249443207126953</v>
      </c>
      <c r="AJ370" s="55">
        <f t="shared" si="162"/>
        <v>77.818574573303778</v>
      </c>
      <c r="AK370" s="55">
        <f t="shared" si="163"/>
        <v>0</v>
      </c>
    </row>
    <row r="371" spans="2:37" s="53" customFormat="1" ht="17.25" customHeight="1" x14ac:dyDescent="0.25">
      <c r="B371" s="91" t="str">
        <f t="shared" si="144"/>
        <v/>
      </c>
      <c r="C371" s="81">
        <f>IF(Sheet3!A342="","",Sheet3!A342)</f>
        <v>40007</v>
      </c>
      <c r="D371" s="82">
        <f>IF(C371="","",Sheet3!E342)</f>
        <v>23.98</v>
      </c>
      <c r="E371" s="56">
        <f>_xlfn.XLOOKUP(WEEKNUM(C371)&amp;YEAR(C371),Sheet4!C:C,Sheet4!B:B,0)</f>
        <v>0</v>
      </c>
      <c r="F371" s="46">
        <f>IF(int=Weekly,-$D$5,IF(int=Bi_Weekly,-$D$5,IF(int=Monthly,-$D$5,IF(int=Quarterly,0,IF(int=Yearly,0,IF(int=None,0,0))))))</f>
        <v>-100</v>
      </c>
      <c r="G371" s="46"/>
      <c r="H371" s="46">
        <f t="shared" si="153"/>
        <v>-8550</v>
      </c>
      <c r="I371" s="47"/>
      <c r="J371" s="38">
        <f t="shared" si="140"/>
        <v>4.1701417848206841</v>
      </c>
      <c r="K371" s="48"/>
      <c r="L371" s="48">
        <f t="shared" si="145"/>
        <v>309.07471862860439</v>
      </c>
      <c r="M371" s="48"/>
      <c r="N371" s="38">
        <f t="shared" si="146"/>
        <v>0</v>
      </c>
      <c r="O371" s="36">
        <f t="shared" si="147"/>
        <v>0</v>
      </c>
      <c r="P371" s="84">
        <f t="shared" si="148"/>
        <v>-10143.124580674008</v>
      </c>
      <c r="Q371" s="38">
        <f t="shared" si="149"/>
        <v>0</v>
      </c>
      <c r="R371" s="48">
        <f t="shared" si="150"/>
        <v>55.561664987300844</v>
      </c>
      <c r="S371" s="38">
        <f t="shared" si="141"/>
        <v>364.63638361590523</v>
      </c>
      <c r="T371" s="50">
        <f t="shared" si="154"/>
        <v>8550</v>
      </c>
      <c r="U371" s="40">
        <f t="shared" si="155"/>
        <v>7411.6117527139331</v>
      </c>
      <c r="V371" s="41">
        <f t="shared" si="156"/>
        <v>-0.13314482424398444</v>
      </c>
      <c r="W371" s="39">
        <f t="shared" si="157"/>
        <v>-1138.3882472860669</v>
      </c>
      <c r="X371" s="50">
        <f t="shared" si="151"/>
        <v>1593.5933306902843</v>
      </c>
      <c r="Y371" s="41">
        <f t="shared" si="158"/>
        <v>5.3240360632072159E-2</v>
      </c>
      <c r="Z371" s="52"/>
      <c r="AA371" s="50">
        <f t="shared" si="164"/>
        <v>10143.593330690284</v>
      </c>
      <c r="AB371" s="39">
        <f t="shared" si="165"/>
        <v>8743.9804791094066</v>
      </c>
      <c r="AC371" s="39">
        <f t="shared" si="159"/>
        <v>-1399.6128515808778</v>
      </c>
      <c r="AD371" s="41">
        <f t="shared" si="160"/>
        <v>-0.13797998460232364</v>
      </c>
      <c r="AF371" s="46">
        <f t="shared" si="142"/>
        <v>-100</v>
      </c>
      <c r="AG371" s="46">
        <f t="shared" si="161"/>
        <v>-100</v>
      </c>
      <c r="AH371" s="54">
        <f t="shared" si="143"/>
        <v>2380</v>
      </c>
      <c r="AI371" s="55">
        <f t="shared" si="152"/>
        <v>0.62138084632516699</v>
      </c>
      <c r="AJ371" s="55">
        <f t="shared" si="162"/>
        <v>-62.138084632516701</v>
      </c>
      <c r="AK371" s="55">
        <f t="shared" si="163"/>
        <v>-62.138084632516701</v>
      </c>
    </row>
    <row r="372" spans="2:37" s="53" customFormat="1" ht="17.25" customHeight="1" x14ac:dyDescent="0.25">
      <c r="B372" s="91" t="str">
        <f t="shared" si="144"/>
        <v/>
      </c>
      <c r="C372" s="81">
        <f>IF(Sheet3!A343="","",Sheet3!A343)</f>
        <v>40014</v>
      </c>
      <c r="D372" s="82">
        <f>IF(C372="","",Sheet3!E343)</f>
        <v>25.450001</v>
      </c>
      <c r="E372" s="56">
        <f>_xlfn.XLOOKUP(WEEKNUM(C372)&amp;YEAR(C372),Sheet4!C:C,Sheet4!B:B,0)</f>
        <v>0</v>
      </c>
      <c r="F372" s="46">
        <f>IF(int=Weekly,-$D$5,IF(int=Bi_Weekly,0,IF(int=Monthly,0,IF(int=Quarterly,0,IF(int=Yearly,0,IF(int=None,0,0))))))</f>
        <v>0</v>
      </c>
      <c r="G372" s="46"/>
      <c r="H372" s="46">
        <f t="shared" si="153"/>
        <v>-8550</v>
      </c>
      <c r="I372" s="47"/>
      <c r="J372" s="38">
        <f t="shared" si="140"/>
        <v>0</v>
      </c>
      <c r="K372" s="48"/>
      <c r="L372" s="48">
        <f t="shared" si="145"/>
        <v>309.07471862860439</v>
      </c>
      <c r="M372" s="48"/>
      <c r="N372" s="38">
        <f t="shared" si="146"/>
        <v>0</v>
      </c>
      <c r="O372" s="36">
        <f t="shared" si="147"/>
        <v>0</v>
      </c>
      <c r="P372" s="84">
        <f t="shared" si="148"/>
        <v>-10143.124580674008</v>
      </c>
      <c r="Q372" s="38">
        <f t="shared" si="149"/>
        <v>0</v>
      </c>
      <c r="R372" s="48">
        <f t="shared" si="150"/>
        <v>55.561664987300844</v>
      </c>
      <c r="S372" s="38">
        <f t="shared" si="141"/>
        <v>364.63638361590523</v>
      </c>
      <c r="T372" s="50">
        <f t="shared" si="154"/>
        <v>8550</v>
      </c>
      <c r="U372" s="40">
        <f t="shared" si="155"/>
        <v>7865.9518981727006</v>
      </c>
      <c r="V372" s="41">
        <f t="shared" si="156"/>
        <v>-8.0005625944713388E-2</v>
      </c>
      <c r="W372" s="39">
        <f t="shared" si="157"/>
        <v>-684.04810182729943</v>
      </c>
      <c r="X372" s="50">
        <f t="shared" si="151"/>
        <v>1593.5933306902843</v>
      </c>
      <c r="Y372" s="41">
        <f t="shared" si="158"/>
        <v>0.10637955893134343</v>
      </c>
      <c r="Z372" s="52"/>
      <c r="AA372" s="50">
        <f t="shared" si="164"/>
        <v>10143.593330690284</v>
      </c>
      <c r="AB372" s="39">
        <f t="shared" si="165"/>
        <v>9279.9963276611725</v>
      </c>
      <c r="AC372" s="39">
        <f t="shared" si="159"/>
        <v>-863.59700302911187</v>
      </c>
      <c r="AD372" s="41">
        <f t="shared" si="160"/>
        <v>-8.5137187077110821E-2</v>
      </c>
      <c r="AF372" s="46">
        <f t="shared" si="142"/>
        <v>0</v>
      </c>
      <c r="AG372" s="46">
        <f t="shared" si="161"/>
        <v>0</v>
      </c>
      <c r="AH372" s="54">
        <f t="shared" si="143"/>
        <v>2387</v>
      </c>
      <c r="AI372" s="55">
        <f t="shared" si="152"/>
        <v>0.62026726057906456</v>
      </c>
      <c r="AJ372" s="55">
        <f t="shared" si="162"/>
        <v>0</v>
      </c>
      <c r="AK372" s="55">
        <f t="shared" si="163"/>
        <v>0</v>
      </c>
    </row>
    <row r="373" spans="2:37" s="53" customFormat="1" ht="17.25" customHeight="1" x14ac:dyDescent="0.25">
      <c r="B373" s="91" t="str">
        <f t="shared" si="144"/>
        <v/>
      </c>
      <c r="C373" s="81">
        <f>IF(Sheet3!A344="","",Sheet3!A344)</f>
        <v>40021</v>
      </c>
      <c r="D373" s="82">
        <f>IF(C373="","",Sheet3!E344)</f>
        <v>26.23</v>
      </c>
      <c r="E373" s="56">
        <f>_xlfn.XLOOKUP(WEEKNUM(C373)&amp;YEAR(C373),Sheet4!C:C,Sheet4!B:B,0)</f>
        <v>0</v>
      </c>
      <c r="F373" s="46">
        <f>IF(int=Weekly,-$D$5,IF(int=Bi_Weekly,-$D$5,IF(int=Monthly,0,IF(int=Quarterly,0,IF(int=Yearly,0,IF(int=None,0,0))))))</f>
        <v>0</v>
      </c>
      <c r="G373" s="46"/>
      <c r="H373" s="46">
        <f t="shared" si="153"/>
        <v>-8550</v>
      </c>
      <c r="I373" s="47"/>
      <c r="J373" s="38">
        <f t="shared" si="140"/>
        <v>0</v>
      </c>
      <c r="K373" s="48"/>
      <c r="L373" s="48">
        <f t="shared" si="145"/>
        <v>309.07471862860439</v>
      </c>
      <c r="M373" s="48"/>
      <c r="N373" s="38">
        <f t="shared" si="146"/>
        <v>0</v>
      </c>
      <c r="O373" s="36">
        <f t="shared" si="147"/>
        <v>0</v>
      </c>
      <c r="P373" s="84">
        <f t="shared" si="148"/>
        <v>-10143.124580674008</v>
      </c>
      <c r="Q373" s="38">
        <f t="shared" si="149"/>
        <v>0</v>
      </c>
      <c r="R373" s="48">
        <f t="shared" si="150"/>
        <v>55.561664987300844</v>
      </c>
      <c r="S373" s="38">
        <f t="shared" si="141"/>
        <v>364.63638361590523</v>
      </c>
      <c r="T373" s="50">
        <f t="shared" si="154"/>
        <v>8550</v>
      </c>
      <c r="U373" s="40">
        <f t="shared" si="155"/>
        <v>8107.0298696282935</v>
      </c>
      <c r="V373" s="41">
        <f t="shared" si="156"/>
        <v>-5.1809371973299045E-2</v>
      </c>
      <c r="W373" s="39">
        <f t="shared" si="157"/>
        <v>-442.97013037170655</v>
      </c>
      <c r="X373" s="50">
        <f t="shared" si="151"/>
        <v>1593.5933306902843</v>
      </c>
      <c r="Y373" s="41">
        <f t="shared" si="158"/>
        <v>0.13457581290275766</v>
      </c>
      <c r="Z373" s="52"/>
      <c r="AA373" s="50">
        <f t="shared" si="164"/>
        <v>10143.593330690284</v>
      </c>
      <c r="AB373" s="39">
        <f t="shared" si="165"/>
        <v>9564.4123422451939</v>
      </c>
      <c r="AC373" s="39">
        <f t="shared" si="159"/>
        <v>-579.18098844509041</v>
      </c>
      <c r="AD373" s="41">
        <f t="shared" si="160"/>
        <v>-5.7098206677187124E-2</v>
      </c>
      <c r="AF373" s="46">
        <f t="shared" si="142"/>
        <v>0</v>
      </c>
      <c r="AG373" s="46">
        <f t="shared" si="161"/>
        <v>0</v>
      </c>
      <c r="AH373" s="54">
        <f t="shared" si="143"/>
        <v>2394</v>
      </c>
      <c r="AI373" s="55">
        <f t="shared" si="152"/>
        <v>0.61915367483296213</v>
      </c>
      <c r="AJ373" s="55">
        <f t="shared" si="162"/>
        <v>0</v>
      </c>
      <c r="AK373" s="55">
        <f t="shared" si="163"/>
        <v>0</v>
      </c>
    </row>
    <row r="374" spans="2:37" s="53" customFormat="1" ht="17.25" customHeight="1" x14ac:dyDescent="0.25">
      <c r="B374" s="91" t="str">
        <f t="shared" si="144"/>
        <v/>
      </c>
      <c r="C374" s="81">
        <f>IF(Sheet3!A345="","",Sheet3!A345)</f>
        <v>40028</v>
      </c>
      <c r="D374" s="82">
        <f>IF(C374="","",Sheet3!E345)</f>
        <v>25.620000999999998</v>
      </c>
      <c r="E374" s="56">
        <f>_xlfn.XLOOKUP(WEEKNUM(C374)&amp;YEAR(C374),Sheet4!C:C,Sheet4!B:B,0)</f>
        <v>0</v>
      </c>
      <c r="F374" s="46">
        <f>IF(int=Weekly,-$D$5,IF(int=Bi_Weekly,0,IF(int=Monthly,0,IF(int=Quarterly,0,IF(int=Yearly,0,IF(int=None,0,0))))))</f>
        <v>0</v>
      </c>
      <c r="G374" s="46"/>
      <c r="H374" s="46">
        <f t="shared" si="153"/>
        <v>-8550</v>
      </c>
      <c r="I374" s="47"/>
      <c r="J374" s="38">
        <f t="shared" si="140"/>
        <v>0</v>
      </c>
      <c r="K374" s="48"/>
      <c r="L374" s="48">
        <f t="shared" si="145"/>
        <v>309.07471862860439</v>
      </c>
      <c r="M374" s="48"/>
      <c r="N374" s="38">
        <f t="shared" si="146"/>
        <v>0</v>
      </c>
      <c r="O374" s="36">
        <f t="shared" si="147"/>
        <v>0</v>
      </c>
      <c r="P374" s="84">
        <f t="shared" si="148"/>
        <v>-10143.124580674008</v>
      </c>
      <c r="Q374" s="38">
        <f t="shared" si="149"/>
        <v>0</v>
      </c>
      <c r="R374" s="48">
        <f t="shared" si="150"/>
        <v>55.561664987300844</v>
      </c>
      <c r="S374" s="38">
        <f t="shared" si="141"/>
        <v>364.63638361590523</v>
      </c>
      <c r="T374" s="50">
        <f t="shared" si="154"/>
        <v>8550</v>
      </c>
      <c r="U374" s="40">
        <f t="shared" si="155"/>
        <v>7918.4946003395626</v>
      </c>
      <c r="V374" s="41">
        <f t="shared" si="156"/>
        <v>-7.3860280662039424E-2</v>
      </c>
      <c r="W374" s="39">
        <f t="shared" si="157"/>
        <v>-631.50539966043743</v>
      </c>
      <c r="X374" s="50">
        <f t="shared" si="151"/>
        <v>1593.5933306902843</v>
      </c>
      <c r="Y374" s="41">
        <f t="shared" si="158"/>
        <v>0.11252490421401729</v>
      </c>
      <c r="Z374" s="52"/>
      <c r="AA374" s="50">
        <f t="shared" si="164"/>
        <v>10143.593330690284</v>
      </c>
      <c r="AB374" s="39">
        <f t="shared" si="165"/>
        <v>9341.9845128758752</v>
      </c>
      <c r="AC374" s="39">
        <f t="shared" si="159"/>
        <v>-801.60881781440912</v>
      </c>
      <c r="AD374" s="41">
        <f t="shared" si="160"/>
        <v>-7.9026119411656159E-2</v>
      </c>
      <c r="AF374" s="46">
        <f t="shared" si="142"/>
        <v>0</v>
      </c>
      <c r="AG374" s="46">
        <f t="shared" si="161"/>
        <v>0</v>
      </c>
      <c r="AH374" s="54">
        <f t="shared" si="143"/>
        <v>2401</v>
      </c>
      <c r="AI374" s="55">
        <f t="shared" si="152"/>
        <v>0.6180400890868597</v>
      </c>
      <c r="AJ374" s="55">
        <f t="shared" si="162"/>
        <v>0</v>
      </c>
      <c r="AK374" s="55">
        <f t="shared" si="163"/>
        <v>0</v>
      </c>
    </row>
    <row r="375" spans="2:37" s="53" customFormat="1" ht="17.25" customHeight="1" x14ac:dyDescent="0.25">
      <c r="B375" s="91" t="str">
        <f t="shared" si="144"/>
        <v/>
      </c>
      <c r="C375" s="81">
        <f>IF(Sheet3!A346="","",Sheet3!A346)</f>
        <v>40035</v>
      </c>
      <c r="D375" s="82">
        <f>IF(C375="","",Sheet3!E346)</f>
        <v>25.450001</v>
      </c>
      <c r="E375" s="56">
        <f>_xlfn.XLOOKUP(WEEKNUM(C375)&amp;YEAR(C375),Sheet4!C:C,Sheet4!B:B,0)</f>
        <v>0</v>
      </c>
      <c r="F375" s="46">
        <f>IF(int=Weekly,-$D$5,IF(int=Bi_Weekly,-$D$5,IF(int=Monthly,-$D$5,IF(int=Quarterly,0,IF(int=Yearly,0,IF(int=None,0,0))))))</f>
        <v>-100</v>
      </c>
      <c r="G375" s="46"/>
      <c r="H375" s="46">
        <f t="shared" si="153"/>
        <v>-8650</v>
      </c>
      <c r="I375" s="47"/>
      <c r="J375" s="38">
        <f t="shared" si="140"/>
        <v>3.9292729300875076</v>
      </c>
      <c r="K375" s="48"/>
      <c r="L375" s="48">
        <f t="shared" si="145"/>
        <v>313.00399155869189</v>
      </c>
      <c r="M375" s="48"/>
      <c r="N375" s="38">
        <f t="shared" si="146"/>
        <v>0</v>
      </c>
      <c r="O375" s="36">
        <f t="shared" si="147"/>
        <v>0</v>
      </c>
      <c r="P375" s="84">
        <f t="shared" si="148"/>
        <v>-10243.124580674008</v>
      </c>
      <c r="Q375" s="38">
        <f t="shared" si="149"/>
        <v>0</v>
      </c>
      <c r="R375" s="48">
        <f t="shared" si="150"/>
        <v>55.561664987300844</v>
      </c>
      <c r="S375" s="38">
        <f t="shared" si="141"/>
        <v>368.56565654599274</v>
      </c>
      <c r="T375" s="50">
        <f t="shared" si="154"/>
        <v>8650</v>
      </c>
      <c r="U375" s="40">
        <f t="shared" si="155"/>
        <v>7965.9518981727006</v>
      </c>
      <c r="V375" s="41">
        <f t="shared" si="156"/>
        <v>-7.9080705413560604E-2</v>
      </c>
      <c r="W375" s="39">
        <f t="shared" si="157"/>
        <v>-684.04810182729943</v>
      </c>
      <c r="X375" s="50">
        <f t="shared" si="151"/>
        <v>1593.5933306902843</v>
      </c>
      <c r="Y375" s="41">
        <f t="shared" si="158"/>
        <v>0.10514973744080769</v>
      </c>
      <c r="Z375" s="52"/>
      <c r="AA375" s="50">
        <f t="shared" si="164"/>
        <v>10243.593330690284</v>
      </c>
      <c r="AB375" s="39">
        <f t="shared" si="165"/>
        <v>9379.9963276611725</v>
      </c>
      <c r="AC375" s="39">
        <f t="shared" si="159"/>
        <v>-863.59700302911187</v>
      </c>
      <c r="AD375" s="41">
        <f t="shared" si="160"/>
        <v>-8.4306060886050083E-2</v>
      </c>
      <c r="AF375" s="46">
        <f t="shared" si="142"/>
        <v>-100</v>
      </c>
      <c r="AG375" s="46">
        <f t="shared" si="161"/>
        <v>-100</v>
      </c>
      <c r="AH375" s="54">
        <f t="shared" si="143"/>
        <v>2408</v>
      </c>
      <c r="AI375" s="55">
        <f t="shared" si="152"/>
        <v>0.61692650334075727</v>
      </c>
      <c r="AJ375" s="55">
        <f t="shared" si="162"/>
        <v>-61.692650334075729</v>
      </c>
      <c r="AK375" s="55">
        <f t="shared" si="163"/>
        <v>-61.692650334075729</v>
      </c>
    </row>
    <row r="376" spans="2:37" s="53" customFormat="1" ht="17.25" customHeight="1" x14ac:dyDescent="0.25">
      <c r="B376" s="91" t="str">
        <f t="shared" si="144"/>
        <v/>
      </c>
      <c r="C376" s="81">
        <f>IF(Sheet3!A347="","",Sheet3!A347)</f>
        <v>40042</v>
      </c>
      <c r="D376" s="82">
        <f>IF(C376="","",Sheet3!E347)</f>
        <v>26</v>
      </c>
      <c r="E376" s="56">
        <f>_xlfn.XLOOKUP(WEEKNUM(C376)&amp;YEAR(C376),Sheet4!C:C,Sheet4!B:B,0)</f>
        <v>0</v>
      </c>
      <c r="F376" s="46">
        <f>IF(int=Weekly,-$D$5,IF(int=Bi_Weekly,0,IF(int=Monthly,0,IF(int=Quarterly,0,IF(int=Yearly,0,IF(int=None,0,0))))))</f>
        <v>0</v>
      </c>
      <c r="G376" s="46"/>
      <c r="H376" s="46">
        <f t="shared" si="153"/>
        <v>-8650</v>
      </c>
      <c r="I376" s="47"/>
      <c r="J376" s="38">
        <f t="shared" si="140"/>
        <v>0</v>
      </c>
      <c r="K376" s="48"/>
      <c r="L376" s="48">
        <f t="shared" si="145"/>
        <v>313.00399155869189</v>
      </c>
      <c r="M376" s="48"/>
      <c r="N376" s="38">
        <f t="shared" si="146"/>
        <v>0</v>
      </c>
      <c r="O376" s="36">
        <f t="shared" si="147"/>
        <v>0</v>
      </c>
      <c r="P376" s="84">
        <f t="shared" si="148"/>
        <v>-10243.124580674008</v>
      </c>
      <c r="Q376" s="38">
        <f t="shared" si="149"/>
        <v>0</v>
      </c>
      <c r="R376" s="48">
        <f t="shared" si="150"/>
        <v>55.561664987300844</v>
      </c>
      <c r="S376" s="38">
        <f t="shared" si="141"/>
        <v>368.56565654599274</v>
      </c>
      <c r="T376" s="50">
        <f t="shared" si="154"/>
        <v>8650</v>
      </c>
      <c r="U376" s="40">
        <f t="shared" si="155"/>
        <v>8138.1037805259894</v>
      </c>
      <c r="V376" s="41">
        <f t="shared" si="156"/>
        <v>-5.9178753696417452E-2</v>
      </c>
      <c r="W376" s="39">
        <f t="shared" si="157"/>
        <v>-511.89621947401065</v>
      </c>
      <c r="X376" s="50">
        <f t="shared" si="151"/>
        <v>1593.5933306902843</v>
      </c>
      <c r="Y376" s="41">
        <f t="shared" si="158"/>
        <v>0.12505168915795073</v>
      </c>
      <c r="Z376" s="52"/>
      <c r="AA376" s="50">
        <f t="shared" si="164"/>
        <v>10243.593330690284</v>
      </c>
      <c r="AB376" s="39">
        <f t="shared" si="165"/>
        <v>9582.707070195811</v>
      </c>
      <c r="AC376" s="39">
        <f t="shared" si="159"/>
        <v>-660.88626049447339</v>
      </c>
      <c r="AD376" s="41">
        <f t="shared" si="160"/>
        <v>-6.4517034126533201E-2</v>
      </c>
      <c r="AF376" s="46">
        <f t="shared" si="142"/>
        <v>0</v>
      </c>
      <c r="AG376" s="46">
        <f t="shared" si="161"/>
        <v>0</v>
      </c>
      <c r="AH376" s="54">
        <f t="shared" si="143"/>
        <v>2415</v>
      </c>
      <c r="AI376" s="55">
        <f t="shared" si="152"/>
        <v>0.61581291759465484</v>
      </c>
      <c r="AJ376" s="55">
        <f t="shared" si="162"/>
        <v>0</v>
      </c>
      <c r="AK376" s="55">
        <f t="shared" si="163"/>
        <v>0</v>
      </c>
    </row>
    <row r="377" spans="2:37" s="53" customFormat="1" ht="17.25" customHeight="1" x14ac:dyDescent="0.25">
      <c r="B377" s="91" t="str">
        <f t="shared" si="144"/>
        <v/>
      </c>
      <c r="C377" s="81">
        <f>IF(Sheet3!A348="","",Sheet3!A348)</f>
        <v>40049</v>
      </c>
      <c r="D377" s="82">
        <f>IF(C377="","",Sheet3!E348)</f>
        <v>26.209999</v>
      </c>
      <c r="E377" s="56">
        <f>_xlfn.XLOOKUP(WEEKNUM(C377)&amp;YEAR(C377),Sheet4!C:C,Sheet4!B:B,0)</f>
        <v>0</v>
      </c>
      <c r="F377" s="46">
        <f>IF(int=Weekly,-$D$5,IF(int=Bi_Weekly,-$D$5,IF(int=Monthly,0,IF(int=Quarterly,0,IF(int=Yearly,0,IF(int=None,0,0))))))</f>
        <v>0</v>
      </c>
      <c r="G377" s="46"/>
      <c r="H377" s="46">
        <f t="shared" si="153"/>
        <v>-8650</v>
      </c>
      <c r="I377" s="47"/>
      <c r="J377" s="38">
        <f t="shared" si="140"/>
        <v>0</v>
      </c>
      <c r="K377" s="48"/>
      <c r="L377" s="48">
        <f t="shared" si="145"/>
        <v>313.00399155869189</v>
      </c>
      <c r="M377" s="48"/>
      <c r="N377" s="38">
        <f t="shared" si="146"/>
        <v>0</v>
      </c>
      <c r="O377" s="36">
        <f t="shared" si="147"/>
        <v>0</v>
      </c>
      <c r="P377" s="84">
        <f t="shared" si="148"/>
        <v>-10243.124580674008</v>
      </c>
      <c r="Q377" s="38">
        <f t="shared" si="149"/>
        <v>0</v>
      </c>
      <c r="R377" s="48">
        <f t="shared" si="150"/>
        <v>55.561664987300844</v>
      </c>
      <c r="S377" s="38">
        <f t="shared" si="141"/>
        <v>368.56565654599274</v>
      </c>
      <c r="T377" s="50">
        <f t="shared" si="154"/>
        <v>8650</v>
      </c>
      <c r="U377" s="40">
        <f t="shared" si="155"/>
        <v>8203.8343057493221</v>
      </c>
      <c r="V377" s="41">
        <f t="shared" si="156"/>
        <v>-5.157984904632118E-2</v>
      </c>
      <c r="W377" s="39">
        <f t="shared" si="157"/>
        <v>-446.16569425067792</v>
      </c>
      <c r="X377" s="50">
        <f t="shared" si="151"/>
        <v>1593.5933306902843</v>
      </c>
      <c r="Y377" s="41">
        <f t="shared" si="158"/>
        <v>0.13265059380804689</v>
      </c>
      <c r="Z377" s="52"/>
      <c r="AA377" s="50">
        <f t="shared" si="164"/>
        <v>10243.593330690284</v>
      </c>
      <c r="AB377" s="39">
        <f t="shared" si="165"/>
        <v>9660.1054895048128</v>
      </c>
      <c r="AC377" s="39">
        <f t="shared" si="159"/>
        <v>-583.48784118547155</v>
      </c>
      <c r="AD377" s="41">
        <f t="shared" si="160"/>
        <v>-5.6961246151515432E-2</v>
      </c>
      <c r="AF377" s="46">
        <f t="shared" si="142"/>
        <v>0</v>
      </c>
      <c r="AG377" s="46">
        <f t="shared" si="161"/>
        <v>0</v>
      </c>
      <c r="AH377" s="54">
        <f t="shared" si="143"/>
        <v>2422</v>
      </c>
      <c r="AI377" s="55">
        <f t="shared" si="152"/>
        <v>0.6146993318485523</v>
      </c>
      <c r="AJ377" s="55">
        <f t="shared" si="162"/>
        <v>0</v>
      </c>
      <c r="AK377" s="55">
        <f t="shared" si="163"/>
        <v>0</v>
      </c>
    </row>
    <row r="378" spans="2:37" s="53" customFormat="1" ht="17.25" customHeight="1" x14ac:dyDescent="0.25">
      <c r="B378" s="91" t="str">
        <f t="shared" si="144"/>
        <v/>
      </c>
      <c r="C378" s="81">
        <f>IF(Sheet3!A349="","",Sheet3!A349)</f>
        <v>40056</v>
      </c>
      <c r="D378" s="82">
        <f>IF(C378="","",Sheet3!E349)</f>
        <v>25.51</v>
      </c>
      <c r="E378" s="56">
        <f>_xlfn.XLOOKUP(WEEKNUM(C378)&amp;YEAR(C378),Sheet4!C:C,Sheet4!B:B,0)</f>
        <v>0</v>
      </c>
      <c r="F378" s="46">
        <f>IF(int=Weekly,-$D$5,IF(int=Bi_Weekly,0,IF(int=Monthly,0,IF(int=Quarterly,0,IF(int=Yearly,0,IF(int=None,0,0))))))</f>
        <v>0</v>
      </c>
      <c r="G378" s="46"/>
      <c r="H378" s="46">
        <f t="shared" si="153"/>
        <v>-8650</v>
      </c>
      <c r="I378" s="47"/>
      <c r="J378" s="38">
        <f t="shared" si="140"/>
        <v>0</v>
      </c>
      <c r="K378" s="48"/>
      <c r="L378" s="48">
        <f t="shared" si="145"/>
        <v>313.00399155869189</v>
      </c>
      <c r="M378" s="48"/>
      <c r="N378" s="38">
        <f t="shared" si="146"/>
        <v>0</v>
      </c>
      <c r="O378" s="36">
        <f t="shared" si="147"/>
        <v>0</v>
      </c>
      <c r="P378" s="84">
        <f t="shared" si="148"/>
        <v>-10243.124580674008</v>
      </c>
      <c r="Q378" s="38">
        <f t="shared" si="149"/>
        <v>0</v>
      </c>
      <c r="R378" s="48">
        <f t="shared" si="150"/>
        <v>55.561664987300844</v>
      </c>
      <c r="S378" s="38">
        <f t="shared" si="141"/>
        <v>368.56565654599274</v>
      </c>
      <c r="T378" s="50">
        <f t="shared" si="154"/>
        <v>8650</v>
      </c>
      <c r="U378" s="40">
        <f t="shared" si="155"/>
        <v>7984.7318246622308</v>
      </c>
      <c r="V378" s="41">
        <f t="shared" si="156"/>
        <v>-7.6909615645984863E-2</v>
      </c>
      <c r="W378" s="39">
        <f t="shared" si="157"/>
        <v>-665.26817533776921</v>
      </c>
      <c r="X378" s="50">
        <f t="shared" si="151"/>
        <v>1593.5933306902843</v>
      </c>
      <c r="Y378" s="41">
        <f t="shared" si="158"/>
        <v>0.10732082720838321</v>
      </c>
      <c r="Z378" s="52"/>
      <c r="AA378" s="50">
        <f t="shared" si="164"/>
        <v>10243.593330690284</v>
      </c>
      <c r="AB378" s="39">
        <f t="shared" si="165"/>
        <v>9402.1098984882756</v>
      </c>
      <c r="AC378" s="39">
        <f t="shared" si="159"/>
        <v>-841.48343220200877</v>
      </c>
      <c r="AD378" s="41">
        <f t="shared" si="160"/>
        <v>-8.2147290021840735E-2</v>
      </c>
      <c r="AF378" s="46">
        <f t="shared" si="142"/>
        <v>0</v>
      </c>
      <c r="AG378" s="46">
        <f t="shared" si="161"/>
        <v>0</v>
      </c>
      <c r="AH378" s="54">
        <f t="shared" si="143"/>
        <v>2429</v>
      </c>
      <c r="AI378" s="55">
        <f t="shared" si="152"/>
        <v>0.61358574610244987</v>
      </c>
      <c r="AJ378" s="55">
        <f t="shared" si="162"/>
        <v>0</v>
      </c>
      <c r="AK378" s="55">
        <f t="shared" si="163"/>
        <v>0</v>
      </c>
    </row>
    <row r="379" spans="2:37" s="53" customFormat="1" ht="17.25" customHeight="1" x14ac:dyDescent="0.25">
      <c r="B379" s="91" t="str">
        <f t="shared" si="144"/>
        <v/>
      </c>
      <c r="C379" s="81">
        <f>IF(Sheet3!A350="","",Sheet3!A350)</f>
        <v>40063</v>
      </c>
      <c r="D379" s="82">
        <f>IF(C379="","",Sheet3!E350)</f>
        <v>26.66</v>
      </c>
      <c r="E379" s="56">
        <f>_xlfn.XLOOKUP(WEEKNUM(C379)&amp;YEAR(C379),Sheet4!C:C,Sheet4!B:B,0)</f>
        <v>0</v>
      </c>
      <c r="F379" s="46">
        <f>IF(int=Weekly,-$D$5,IF(int=Bi_Weekly,-$D$5,IF(int=Monthly,-$D$5,IF(int=Quarterly,0,IF(int=Yearly,0,IF(int=None,0,0))))))</f>
        <v>-100</v>
      </c>
      <c r="G379" s="46"/>
      <c r="H379" s="46">
        <f t="shared" si="153"/>
        <v>-8750</v>
      </c>
      <c r="I379" s="47"/>
      <c r="J379" s="38">
        <f t="shared" si="140"/>
        <v>3.7509377344336086</v>
      </c>
      <c r="K379" s="48"/>
      <c r="L379" s="48">
        <f t="shared" si="145"/>
        <v>316.75492929312549</v>
      </c>
      <c r="M379" s="48"/>
      <c r="N379" s="38">
        <f t="shared" si="146"/>
        <v>0</v>
      </c>
      <c r="O379" s="36">
        <f t="shared" si="147"/>
        <v>0</v>
      </c>
      <c r="P379" s="84">
        <f t="shared" si="148"/>
        <v>-10343.124580674008</v>
      </c>
      <c r="Q379" s="38">
        <f t="shared" si="149"/>
        <v>0</v>
      </c>
      <c r="R379" s="48">
        <f t="shared" si="150"/>
        <v>55.561664987300844</v>
      </c>
      <c r="S379" s="38">
        <f t="shared" si="141"/>
        <v>372.31659428042633</v>
      </c>
      <c r="T379" s="50">
        <f t="shared" si="154"/>
        <v>8750</v>
      </c>
      <c r="U379" s="40">
        <f t="shared" si="155"/>
        <v>8444.6864149547255</v>
      </c>
      <c r="V379" s="41">
        <f t="shared" si="156"/>
        <v>-3.489298114803141E-2</v>
      </c>
      <c r="W379" s="39">
        <f t="shared" si="157"/>
        <v>-305.31358504527452</v>
      </c>
      <c r="X379" s="50">
        <f t="shared" si="151"/>
        <v>1593.5933306902843</v>
      </c>
      <c r="Y379" s="41">
        <f t="shared" si="158"/>
        <v>0.14723197093085827</v>
      </c>
      <c r="Z379" s="52"/>
      <c r="AA379" s="50">
        <f t="shared" si="164"/>
        <v>10343.593330690284</v>
      </c>
      <c r="AB379" s="39">
        <f t="shared" si="165"/>
        <v>9925.9604035161665</v>
      </c>
      <c r="AC379" s="39">
        <f t="shared" si="159"/>
        <v>-417.63292717411787</v>
      </c>
      <c r="AD379" s="41">
        <f t="shared" si="160"/>
        <v>-4.0376000275935686E-2</v>
      </c>
      <c r="AF379" s="46">
        <f t="shared" si="142"/>
        <v>-100</v>
      </c>
      <c r="AG379" s="46">
        <f t="shared" si="161"/>
        <v>-100</v>
      </c>
      <c r="AH379" s="54">
        <f t="shared" si="143"/>
        <v>2436</v>
      </c>
      <c r="AI379" s="55">
        <f t="shared" si="152"/>
        <v>0.61247216035634744</v>
      </c>
      <c r="AJ379" s="55">
        <f t="shared" si="162"/>
        <v>-61.247216035634743</v>
      </c>
      <c r="AK379" s="55">
        <f t="shared" si="163"/>
        <v>-61.247216035634743</v>
      </c>
    </row>
    <row r="380" spans="2:37" s="53" customFormat="1" ht="17.25" customHeight="1" x14ac:dyDescent="0.25">
      <c r="B380" s="91" t="str">
        <f t="shared" si="144"/>
        <v/>
      </c>
      <c r="C380" s="81">
        <f>IF(Sheet3!A351="","",Sheet3!A351)</f>
        <v>40070</v>
      </c>
      <c r="D380" s="82">
        <f>IF(C380="","",Sheet3!E351)</f>
        <v>27.049999</v>
      </c>
      <c r="E380" s="56">
        <f>_xlfn.XLOOKUP(WEEKNUM(C380)&amp;YEAR(C380),Sheet4!C:C,Sheet4!B:B,0)</f>
        <v>0</v>
      </c>
      <c r="F380" s="46">
        <f>IF(int=Weekly,-$D$5,IF(int=Bi_Weekly,0,IF(int=Monthly,0,IF(int=Quarterly,0,IF(int=Yearly,0,IF(int=None,0,0))))))</f>
        <v>0</v>
      </c>
      <c r="G380" s="46"/>
      <c r="H380" s="46">
        <f t="shared" si="153"/>
        <v>-8750</v>
      </c>
      <c r="I380" s="47"/>
      <c r="J380" s="38">
        <f t="shared" si="140"/>
        <v>0</v>
      </c>
      <c r="K380" s="48"/>
      <c r="L380" s="48">
        <f t="shared" si="145"/>
        <v>316.75492929312549</v>
      </c>
      <c r="M380" s="48"/>
      <c r="N380" s="38">
        <f t="shared" si="146"/>
        <v>0</v>
      </c>
      <c r="O380" s="36">
        <f t="shared" si="147"/>
        <v>0</v>
      </c>
      <c r="P380" s="84">
        <f t="shared" si="148"/>
        <v>-10343.124580674008</v>
      </c>
      <c r="Q380" s="38">
        <f t="shared" si="149"/>
        <v>0</v>
      </c>
      <c r="R380" s="48">
        <f t="shared" si="150"/>
        <v>55.561664987300844</v>
      </c>
      <c r="S380" s="38">
        <f t="shared" si="141"/>
        <v>372.31659428042633</v>
      </c>
      <c r="T380" s="50">
        <f t="shared" si="154"/>
        <v>8750</v>
      </c>
      <c r="U380" s="40">
        <f t="shared" si="155"/>
        <v>8568.2205206241142</v>
      </c>
      <c r="V380" s="41">
        <f t="shared" si="156"/>
        <v>-2.077479764295842E-2</v>
      </c>
      <c r="W380" s="39">
        <f t="shared" si="157"/>
        <v>-181.77947937588578</v>
      </c>
      <c r="X380" s="50">
        <f t="shared" si="151"/>
        <v>1593.5933306902843</v>
      </c>
      <c r="Y380" s="41">
        <f t="shared" si="158"/>
        <v>0.16135015443593126</v>
      </c>
      <c r="Z380" s="52"/>
      <c r="AA380" s="50">
        <f t="shared" si="164"/>
        <v>10343.593330690284</v>
      </c>
      <c r="AB380" s="39">
        <f t="shared" si="165"/>
        <v>10071.163502968937</v>
      </c>
      <c r="AC380" s="39">
        <f t="shared" si="159"/>
        <v>-272.42982772134746</v>
      </c>
      <c r="AD380" s="41">
        <f t="shared" si="160"/>
        <v>-2.6338025772245532E-2</v>
      </c>
      <c r="AF380" s="46">
        <f t="shared" si="142"/>
        <v>0</v>
      </c>
      <c r="AG380" s="46">
        <f t="shared" si="161"/>
        <v>0</v>
      </c>
      <c r="AH380" s="54">
        <f t="shared" si="143"/>
        <v>2443</v>
      </c>
      <c r="AI380" s="55">
        <f t="shared" si="152"/>
        <v>0.61135857461024501</v>
      </c>
      <c r="AJ380" s="55">
        <f t="shared" si="162"/>
        <v>0</v>
      </c>
      <c r="AK380" s="55">
        <f t="shared" si="163"/>
        <v>0</v>
      </c>
    </row>
    <row r="381" spans="2:37" s="53" customFormat="1" ht="17.25" customHeight="1" x14ac:dyDescent="0.25">
      <c r="B381" s="91" t="str">
        <f t="shared" si="144"/>
        <v/>
      </c>
      <c r="C381" s="81">
        <f>IF(Sheet3!A352="","",Sheet3!A352)</f>
        <v>40077</v>
      </c>
      <c r="D381" s="82">
        <f>IF(C381="","",Sheet3!E352)</f>
        <v>26.959999</v>
      </c>
      <c r="E381" s="56">
        <f>_xlfn.XLOOKUP(WEEKNUM(C381)&amp;YEAR(C381),Sheet4!C:C,Sheet4!B:B,0)</f>
        <v>0</v>
      </c>
      <c r="F381" s="46">
        <f>IF(int=Weekly,-$D$5,IF(int=Bi_Weekly,-$D$5,IF(int=Monthly,0,IF(int=Quarterly,0,IF(int=Yearly,0,IF(int=None,0,0))))))</f>
        <v>0</v>
      </c>
      <c r="G381" s="46"/>
      <c r="H381" s="46">
        <f t="shared" si="153"/>
        <v>-8750</v>
      </c>
      <c r="I381" s="47"/>
      <c r="J381" s="38">
        <f t="shared" si="140"/>
        <v>0</v>
      </c>
      <c r="K381" s="48"/>
      <c r="L381" s="48">
        <f t="shared" si="145"/>
        <v>316.75492929312549</v>
      </c>
      <c r="M381" s="48"/>
      <c r="N381" s="38">
        <f t="shared" si="146"/>
        <v>0</v>
      </c>
      <c r="O381" s="36">
        <f t="shared" si="147"/>
        <v>0</v>
      </c>
      <c r="P381" s="84">
        <f t="shared" si="148"/>
        <v>-10343.124580674008</v>
      </c>
      <c r="Q381" s="38">
        <f t="shared" si="149"/>
        <v>0</v>
      </c>
      <c r="R381" s="48">
        <f t="shared" si="150"/>
        <v>55.561664987300844</v>
      </c>
      <c r="S381" s="38">
        <f t="shared" si="141"/>
        <v>372.31659428042633</v>
      </c>
      <c r="T381" s="50">
        <f t="shared" si="154"/>
        <v>8750</v>
      </c>
      <c r="U381" s="40">
        <f t="shared" si="155"/>
        <v>8539.712576987733</v>
      </c>
      <c r="V381" s="41">
        <f t="shared" si="156"/>
        <v>-2.4032848344259117E-2</v>
      </c>
      <c r="W381" s="39">
        <f t="shared" si="157"/>
        <v>-210.28742301226703</v>
      </c>
      <c r="X381" s="50">
        <f t="shared" si="151"/>
        <v>1593.5933306902843</v>
      </c>
      <c r="Y381" s="41">
        <f t="shared" si="158"/>
        <v>0.15809210373463056</v>
      </c>
      <c r="Z381" s="52"/>
      <c r="AA381" s="50">
        <f t="shared" si="164"/>
        <v>10343.593330690284</v>
      </c>
      <c r="AB381" s="39">
        <f t="shared" si="165"/>
        <v>10037.655009483698</v>
      </c>
      <c r="AC381" s="39">
        <f t="shared" si="159"/>
        <v>-305.9383212065859</v>
      </c>
      <c r="AD381" s="41">
        <f t="shared" si="160"/>
        <v>-2.9577566656535326E-2</v>
      </c>
      <c r="AF381" s="46">
        <f t="shared" si="142"/>
        <v>0</v>
      </c>
      <c r="AG381" s="46">
        <f t="shared" si="161"/>
        <v>0</v>
      </c>
      <c r="AH381" s="54">
        <f t="shared" si="143"/>
        <v>2450</v>
      </c>
      <c r="AI381" s="55">
        <f t="shared" si="152"/>
        <v>0.61024498886414258</v>
      </c>
      <c r="AJ381" s="55">
        <f t="shared" si="162"/>
        <v>0</v>
      </c>
      <c r="AK381" s="55">
        <f t="shared" si="163"/>
        <v>0</v>
      </c>
    </row>
    <row r="382" spans="2:37" s="53" customFormat="1" ht="17.25" customHeight="1" x14ac:dyDescent="0.25">
      <c r="B382" s="91" t="str">
        <f t="shared" si="144"/>
        <v/>
      </c>
      <c r="C382" s="81">
        <f>IF(Sheet3!A353="","",Sheet3!A353)</f>
        <v>40084</v>
      </c>
      <c r="D382" s="82">
        <f>IF(C382="","",Sheet3!E353)</f>
        <v>26.52</v>
      </c>
      <c r="E382" s="56">
        <f>_xlfn.XLOOKUP(WEEKNUM(C382)&amp;YEAR(C382),Sheet4!C:C,Sheet4!B:B,0)</f>
        <v>0</v>
      </c>
      <c r="F382" s="46">
        <f>IF(int=Weekly,-$D$5,IF(int=Bi_Weekly,0,IF(int=Monthly,0,IF(int=Quarterly,-$D$5,IF(int=Yearly,0,IF(int=None,0,0))))))</f>
        <v>0</v>
      </c>
      <c r="G382" s="46"/>
      <c r="H382" s="46">
        <f t="shared" si="153"/>
        <v>-8750</v>
      </c>
      <c r="I382" s="47"/>
      <c r="J382" s="38">
        <f t="shared" si="140"/>
        <v>0</v>
      </c>
      <c r="K382" s="48"/>
      <c r="L382" s="48">
        <f t="shared" si="145"/>
        <v>316.75492929312549</v>
      </c>
      <c r="M382" s="48"/>
      <c r="N382" s="38">
        <f t="shared" si="146"/>
        <v>0</v>
      </c>
      <c r="O382" s="36">
        <f t="shared" si="147"/>
        <v>0</v>
      </c>
      <c r="P382" s="84">
        <f t="shared" si="148"/>
        <v>-10343.124580674008</v>
      </c>
      <c r="Q382" s="38">
        <f t="shared" si="149"/>
        <v>0</v>
      </c>
      <c r="R382" s="48">
        <f t="shared" si="150"/>
        <v>55.561664987300844</v>
      </c>
      <c r="S382" s="38">
        <f t="shared" si="141"/>
        <v>372.31659428042633</v>
      </c>
      <c r="T382" s="50">
        <f t="shared" si="154"/>
        <v>8750</v>
      </c>
      <c r="U382" s="40">
        <f t="shared" si="155"/>
        <v>8400.3407248536878</v>
      </c>
      <c r="V382" s="41">
        <f t="shared" si="156"/>
        <v>-3.9961060016721395E-2</v>
      </c>
      <c r="W382" s="39">
        <f t="shared" si="157"/>
        <v>-349.65927514631221</v>
      </c>
      <c r="X382" s="50">
        <f t="shared" si="151"/>
        <v>1593.5933306902843</v>
      </c>
      <c r="Y382" s="41">
        <f t="shared" si="158"/>
        <v>0.14216389206216817</v>
      </c>
      <c r="Z382" s="52"/>
      <c r="AA382" s="50">
        <f t="shared" si="164"/>
        <v>10343.593330690284</v>
      </c>
      <c r="AB382" s="39">
        <f t="shared" si="165"/>
        <v>9873.8360803169053</v>
      </c>
      <c r="AC382" s="39">
        <f t="shared" si="159"/>
        <v>-469.75725037337907</v>
      </c>
      <c r="AD382" s="41">
        <f t="shared" si="160"/>
        <v>-4.5415286095942253E-2</v>
      </c>
      <c r="AF382" s="46">
        <f t="shared" si="142"/>
        <v>0</v>
      </c>
      <c r="AG382" s="46">
        <f t="shared" si="161"/>
        <v>0</v>
      </c>
      <c r="AH382" s="54">
        <f t="shared" si="143"/>
        <v>2457</v>
      </c>
      <c r="AI382" s="55">
        <f t="shared" si="152"/>
        <v>0.60913140311804004</v>
      </c>
      <c r="AJ382" s="55">
        <f t="shared" si="162"/>
        <v>0</v>
      </c>
      <c r="AK382" s="55">
        <f t="shared" si="163"/>
        <v>0</v>
      </c>
    </row>
    <row r="383" spans="2:37" s="53" customFormat="1" ht="17.25" customHeight="1" x14ac:dyDescent="0.25">
      <c r="B383" s="91" t="str">
        <f t="shared" si="144"/>
        <v/>
      </c>
      <c r="C383" s="81">
        <f>IF(Sheet3!A354="","",Sheet3!A354)</f>
        <v>40091</v>
      </c>
      <c r="D383" s="82">
        <f>IF(C383="","",Sheet3!E354)</f>
        <v>25.66</v>
      </c>
      <c r="E383" s="56">
        <f>_xlfn.XLOOKUP(WEEKNUM(C383)&amp;YEAR(C383),Sheet4!C:C,Sheet4!B:B,0)</f>
        <v>0.41</v>
      </c>
      <c r="F383" s="46">
        <f>IF(int=Weekly,-$D$5,IF(int=Bi_Weekly,-$D$5,IF(int=Monthly,-$D$5,IF(int=Quarterly,0,IF(int=Yearly,0,IF(int=None,0,0))))))</f>
        <v>-100</v>
      </c>
      <c r="G383" s="46"/>
      <c r="H383" s="46">
        <f t="shared" si="153"/>
        <v>-8850</v>
      </c>
      <c r="I383" s="47"/>
      <c r="J383" s="38">
        <f t="shared" si="140"/>
        <v>3.8971161340607949</v>
      </c>
      <c r="K383" s="48"/>
      <c r="L383" s="48">
        <f t="shared" si="145"/>
        <v>320.65204542718629</v>
      </c>
      <c r="M383" s="48"/>
      <c r="N383" s="38">
        <f t="shared" si="146"/>
        <v>131.46733862514637</v>
      </c>
      <c r="O383" s="36">
        <f t="shared" si="147"/>
        <v>-131.46733862514637</v>
      </c>
      <c r="P383" s="84">
        <f t="shared" si="148"/>
        <v>-10574.591919299155</v>
      </c>
      <c r="Q383" s="38">
        <f t="shared" si="149"/>
        <v>5.1234348645809185</v>
      </c>
      <c r="R383" s="48">
        <f t="shared" si="150"/>
        <v>60.685099851881759</v>
      </c>
      <c r="S383" s="38">
        <f t="shared" si="141"/>
        <v>381.33714527906807</v>
      </c>
      <c r="T383" s="50">
        <f t="shared" si="154"/>
        <v>8850</v>
      </c>
      <c r="U383" s="40">
        <f t="shared" si="155"/>
        <v>8227.9314856616002</v>
      </c>
      <c r="V383" s="41">
        <f t="shared" si="156"/>
        <v>-7.0290227608858724E-2</v>
      </c>
      <c r="W383" s="39">
        <f t="shared" si="157"/>
        <v>-622.06851433839984</v>
      </c>
      <c r="X383" s="50">
        <f t="shared" si="151"/>
        <v>1725.0606693154307</v>
      </c>
      <c r="Y383" s="41">
        <f t="shared" si="158"/>
        <v>0.12463188191830854</v>
      </c>
      <c r="Z383" s="52"/>
      <c r="AA383" s="50">
        <f t="shared" si="164"/>
        <v>10575.060669315431</v>
      </c>
      <c r="AB383" s="39">
        <f t="shared" si="165"/>
        <v>9785.1111478608855</v>
      </c>
      <c r="AC383" s="39">
        <f t="shared" si="159"/>
        <v>-789.9495214545459</v>
      </c>
      <c r="AD383" s="41">
        <f t="shared" si="160"/>
        <v>-7.4699289787212408E-2</v>
      </c>
      <c r="AF383" s="46">
        <f t="shared" si="142"/>
        <v>31.467338625146368</v>
      </c>
      <c r="AG383" s="46">
        <f t="shared" si="161"/>
        <v>-100</v>
      </c>
      <c r="AH383" s="54">
        <f t="shared" si="143"/>
        <v>2464</v>
      </c>
      <c r="AI383" s="55">
        <f t="shared" si="152"/>
        <v>0.60801781737193761</v>
      </c>
      <c r="AJ383" s="55">
        <f t="shared" si="162"/>
        <v>19.132702549365163</v>
      </c>
      <c r="AK383" s="55">
        <f t="shared" si="163"/>
        <v>-60.801781737193764</v>
      </c>
    </row>
    <row r="384" spans="2:37" s="53" customFormat="1" ht="17.25" customHeight="1" x14ac:dyDescent="0.25">
      <c r="B384" s="91" t="str">
        <f t="shared" si="144"/>
        <v/>
      </c>
      <c r="C384" s="81">
        <f>IF(Sheet3!A355="","",Sheet3!A355)</f>
        <v>40098</v>
      </c>
      <c r="D384" s="82">
        <f>IF(C384="","",Sheet3!E355)</f>
        <v>25.700001</v>
      </c>
      <c r="E384" s="56">
        <f>_xlfn.XLOOKUP(WEEKNUM(C384)&amp;YEAR(C384),Sheet4!C:C,Sheet4!B:B,0)</f>
        <v>0</v>
      </c>
      <c r="F384" s="46">
        <f>IF(int=Weekly,-$D$5,IF(int=Bi_Weekly,0,IF(int=Monthly,0,IF(int=Quarterly,0,IF(int=Yearly,0,IF(int=None,0,0))))))</f>
        <v>0</v>
      </c>
      <c r="G384" s="46"/>
      <c r="H384" s="46">
        <f t="shared" si="153"/>
        <v>-8850</v>
      </c>
      <c r="I384" s="47"/>
      <c r="J384" s="38">
        <f t="shared" si="140"/>
        <v>0</v>
      </c>
      <c r="K384" s="48"/>
      <c r="L384" s="48">
        <f t="shared" si="145"/>
        <v>320.65204542718629</v>
      </c>
      <c r="M384" s="48"/>
      <c r="N384" s="38">
        <f t="shared" si="146"/>
        <v>0</v>
      </c>
      <c r="O384" s="36">
        <f t="shared" si="147"/>
        <v>0</v>
      </c>
      <c r="P384" s="84">
        <f t="shared" si="148"/>
        <v>-10574.591919299155</v>
      </c>
      <c r="Q384" s="38">
        <f t="shared" si="149"/>
        <v>0</v>
      </c>
      <c r="R384" s="48">
        <f t="shared" si="150"/>
        <v>60.685099851881759</v>
      </c>
      <c r="S384" s="38">
        <f t="shared" si="141"/>
        <v>381.33714527906807</v>
      </c>
      <c r="T384" s="50">
        <f t="shared" si="154"/>
        <v>8850</v>
      </c>
      <c r="U384" s="40">
        <f t="shared" si="155"/>
        <v>8240.7578881307327</v>
      </c>
      <c r="V384" s="41">
        <f t="shared" si="156"/>
        <v>-6.8840916595397483E-2</v>
      </c>
      <c r="W384" s="39">
        <f t="shared" si="157"/>
        <v>-609.24211186926732</v>
      </c>
      <c r="X384" s="50">
        <f t="shared" si="151"/>
        <v>1725.0606693154307</v>
      </c>
      <c r="Y384" s="41">
        <f t="shared" si="158"/>
        <v>0.12608119293177</v>
      </c>
      <c r="Z384" s="52"/>
      <c r="AA384" s="50">
        <f t="shared" si="164"/>
        <v>10575.060669315431</v>
      </c>
      <c r="AB384" s="39">
        <f t="shared" si="165"/>
        <v>9800.3650150091944</v>
      </c>
      <c r="AC384" s="39">
        <f t="shared" si="159"/>
        <v>-774.69565430623697</v>
      </c>
      <c r="AD384" s="41">
        <f t="shared" si="160"/>
        <v>-7.3256851996517769E-2</v>
      </c>
      <c r="AF384" s="46">
        <f t="shared" si="142"/>
        <v>0</v>
      </c>
      <c r="AG384" s="46">
        <f t="shared" si="161"/>
        <v>0</v>
      </c>
      <c r="AH384" s="54">
        <f t="shared" si="143"/>
        <v>2471</v>
      </c>
      <c r="AI384" s="55">
        <f t="shared" si="152"/>
        <v>0.60690423162583518</v>
      </c>
      <c r="AJ384" s="55">
        <f t="shared" si="162"/>
        <v>0</v>
      </c>
      <c r="AK384" s="55">
        <f t="shared" si="163"/>
        <v>0</v>
      </c>
    </row>
    <row r="385" spans="2:37" s="53" customFormat="1" ht="17.25" customHeight="1" x14ac:dyDescent="0.25">
      <c r="B385" s="91" t="str">
        <f t="shared" si="144"/>
        <v/>
      </c>
      <c r="C385" s="81">
        <f>IF(Sheet3!A356="","",Sheet3!A356)</f>
        <v>40105</v>
      </c>
      <c r="D385" s="82">
        <f>IF(C385="","",Sheet3!E356)</f>
        <v>25.73</v>
      </c>
      <c r="E385" s="56">
        <f>_xlfn.XLOOKUP(WEEKNUM(C385)&amp;YEAR(C385),Sheet4!C:C,Sheet4!B:B,0)</f>
        <v>0</v>
      </c>
      <c r="F385" s="46">
        <f>IF(int=Weekly,-$D$5,IF(int=Bi_Weekly,-$D$5,IF(int=Monthly,0,IF(int=Quarterly,0,IF(int=Yearly,0,IF(int=None,0,0))))))</f>
        <v>0</v>
      </c>
      <c r="G385" s="46"/>
      <c r="H385" s="46">
        <f t="shared" si="153"/>
        <v>-8850</v>
      </c>
      <c r="I385" s="47"/>
      <c r="J385" s="38">
        <f t="shared" si="140"/>
        <v>0</v>
      </c>
      <c r="K385" s="48"/>
      <c r="L385" s="48">
        <f t="shared" si="145"/>
        <v>320.65204542718629</v>
      </c>
      <c r="M385" s="48"/>
      <c r="N385" s="38">
        <f t="shared" si="146"/>
        <v>0</v>
      </c>
      <c r="O385" s="36">
        <f t="shared" si="147"/>
        <v>0</v>
      </c>
      <c r="P385" s="84">
        <f t="shared" si="148"/>
        <v>-10574.591919299155</v>
      </c>
      <c r="Q385" s="38">
        <f t="shared" si="149"/>
        <v>0</v>
      </c>
      <c r="R385" s="48">
        <f t="shared" si="150"/>
        <v>60.685099851881759</v>
      </c>
      <c r="S385" s="38">
        <f t="shared" si="141"/>
        <v>381.33714527906807</v>
      </c>
      <c r="T385" s="50">
        <f t="shared" si="154"/>
        <v>8850</v>
      </c>
      <c r="U385" s="40">
        <f t="shared" si="155"/>
        <v>8250.3771288415028</v>
      </c>
      <c r="V385" s="41">
        <f t="shared" si="156"/>
        <v>-6.7753996741073186E-2</v>
      </c>
      <c r="W385" s="39">
        <f t="shared" si="157"/>
        <v>-599.62287115849722</v>
      </c>
      <c r="X385" s="50">
        <f t="shared" si="151"/>
        <v>1725.0606693154307</v>
      </c>
      <c r="Y385" s="41">
        <f t="shared" si="158"/>
        <v>0.12716811278609419</v>
      </c>
      <c r="Z385" s="52"/>
      <c r="AA385" s="50">
        <f t="shared" si="164"/>
        <v>10575.060669315431</v>
      </c>
      <c r="AB385" s="39">
        <f t="shared" si="165"/>
        <v>9811.8047480304213</v>
      </c>
      <c r="AC385" s="39">
        <f t="shared" si="159"/>
        <v>-763.25592128501012</v>
      </c>
      <c r="AD385" s="41">
        <f t="shared" si="160"/>
        <v>-7.2175086758572649E-2</v>
      </c>
      <c r="AF385" s="46">
        <f t="shared" si="142"/>
        <v>0</v>
      </c>
      <c r="AG385" s="46">
        <f t="shared" si="161"/>
        <v>0</v>
      </c>
      <c r="AH385" s="54">
        <f t="shared" si="143"/>
        <v>2478</v>
      </c>
      <c r="AI385" s="55">
        <f t="shared" si="152"/>
        <v>0.60579064587973275</v>
      </c>
      <c r="AJ385" s="55">
        <f t="shared" si="162"/>
        <v>0</v>
      </c>
      <c r="AK385" s="55">
        <f t="shared" si="163"/>
        <v>0</v>
      </c>
    </row>
    <row r="386" spans="2:37" s="53" customFormat="1" ht="17.25" customHeight="1" x14ac:dyDescent="0.25">
      <c r="B386" s="91" t="str">
        <f t="shared" si="144"/>
        <v/>
      </c>
      <c r="C386" s="81">
        <f>IF(Sheet3!A357="","",Sheet3!A357)</f>
        <v>40112</v>
      </c>
      <c r="D386" s="82">
        <f>IF(C386="","",Sheet3!E357)</f>
        <v>25.67</v>
      </c>
      <c r="E386" s="56">
        <f>_xlfn.XLOOKUP(WEEKNUM(C386)&amp;YEAR(C386),Sheet4!C:C,Sheet4!B:B,0)</f>
        <v>0</v>
      </c>
      <c r="F386" s="46">
        <f>IF(int=Weekly,-$D$5,IF(int=Bi_Weekly,0,IF(int=Monthly,0,IF(int=Quarterly,0,IF(int=Yearly,0,IF(int=None,0,0))))))</f>
        <v>0</v>
      </c>
      <c r="G386" s="46"/>
      <c r="H386" s="46">
        <f t="shared" si="153"/>
        <v>-8850</v>
      </c>
      <c r="I386" s="47"/>
      <c r="J386" s="38">
        <f t="shared" si="140"/>
        <v>0</v>
      </c>
      <c r="K386" s="48"/>
      <c r="L386" s="48">
        <f t="shared" si="145"/>
        <v>320.65204542718629</v>
      </c>
      <c r="M386" s="48"/>
      <c r="N386" s="38">
        <f t="shared" si="146"/>
        <v>0</v>
      </c>
      <c r="O386" s="36">
        <f t="shared" si="147"/>
        <v>0</v>
      </c>
      <c r="P386" s="84">
        <f t="shared" si="148"/>
        <v>-10574.591919299155</v>
      </c>
      <c r="Q386" s="38">
        <f t="shared" si="149"/>
        <v>0</v>
      </c>
      <c r="R386" s="48">
        <f t="shared" si="150"/>
        <v>60.685099851881759</v>
      </c>
      <c r="S386" s="38">
        <f t="shared" si="141"/>
        <v>381.33714527906807</v>
      </c>
      <c r="T386" s="50">
        <f t="shared" si="154"/>
        <v>8850</v>
      </c>
      <c r="U386" s="40">
        <f t="shared" si="155"/>
        <v>8231.1380061158725</v>
      </c>
      <c r="V386" s="41">
        <f t="shared" si="156"/>
        <v>-6.992790891346079E-2</v>
      </c>
      <c r="W386" s="39">
        <f t="shared" si="157"/>
        <v>-618.86199388412751</v>
      </c>
      <c r="X386" s="50">
        <f t="shared" si="151"/>
        <v>1725.0606693154307</v>
      </c>
      <c r="Y386" s="41">
        <f t="shared" si="158"/>
        <v>0.12499420061370659</v>
      </c>
      <c r="Z386" s="52"/>
      <c r="AA386" s="50">
        <f t="shared" si="164"/>
        <v>10575.060669315431</v>
      </c>
      <c r="AB386" s="39">
        <f t="shared" si="165"/>
        <v>9788.9245193136776</v>
      </c>
      <c r="AC386" s="39">
        <f t="shared" si="159"/>
        <v>-786.13615000175378</v>
      </c>
      <c r="AD386" s="41">
        <f t="shared" si="160"/>
        <v>-7.4338689354549459E-2</v>
      </c>
      <c r="AF386" s="46">
        <f t="shared" si="142"/>
        <v>0</v>
      </c>
      <c r="AG386" s="46">
        <f t="shared" si="161"/>
        <v>0</v>
      </c>
      <c r="AH386" s="54">
        <f t="shared" si="143"/>
        <v>2485</v>
      </c>
      <c r="AI386" s="55">
        <f t="shared" si="152"/>
        <v>0.60467706013363032</v>
      </c>
      <c r="AJ386" s="55">
        <f t="shared" si="162"/>
        <v>0</v>
      </c>
      <c r="AK386" s="55">
        <f t="shared" si="163"/>
        <v>0</v>
      </c>
    </row>
    <row r="387" spans="2:37" s="53" customFormat="1" ht="17.25" customHeight="1" x14ac:dyDescent="0.25">
      <c r="B387" s="91" t="str">
        <f t="shared" si="144"/>
        <v/>
      </c>
      <c r="C387" s="81">
        <f>IF(Sheet3!A358="","",Sheet3!A358)</f>
        <v>40119</v>
      </c>
      <c r="D387" s="82">
        <f>IF(C387="","",Sheet3!E358)</f>
        <v>25.93</v>
      </c>
      <c r="E387" s="56">
        <f>_xlfn.XLOOKUP(WEEKNUM(C387)&amp;YEAR(C387),Sheet4!C:C,Sheet4!B:B,0)</f>
        <v>0</v>
      </c>
      <c r="F387" s="46">
        <f>IF(int=Weekly,-$D$5,IF(int=Bi_Weekly,-$D$5,IF(int=Monthly,-$D$5,IF(int=Quarterly,0,IF(int=Yearly,0,IF(int=None,0,0))))))</f>
        <v>-100</v>
      </c>
      <c r="G387" s="46"/>
      <c r="H387" s="46">
        <f t="shared" si="153"/>
        <v>-8950</v>
      </c>
      <c r="I387" s="47"/>
      <c r="J387" s="38">
        <f t="shared" si="140"/>
        <v>3.8565368299267258</v>
      </c>
      <c r="K387" s="48"/>
      <c r="L387" s="48">
        <f t="shared" si="145"/>
        <v>324.50858225711301</v>
      </c>
      <c r="M387" s="48"/>
      <c r="N387" s="38">
        <f t="shared" si="146"/>
        <v>0</v>
      </c>
      <c r="O387" s="36">
        <f t="shared" si="147"/>
        <v>0</v>
      </c>
      <c r="P387" s="84">
        <f t="shared" si="148"/>
        <v>-10674.591919299155</v>
      </c>
      <c r="Q387" s="38">
        <f t="shared" si="149"/>
        <v>0</v>
      </c>
      <c r="R387" s="48">
        <f t="shared" si="150"/>
        <v>60.685099851881759</v>
      </c>
      <c r="S387" s="38">
        <f t="shared" si="141"/>
        <v>385.19368210899478</v>
      </c>
      <c r="T387" s="50">
        <f t="shared" si="154"/>
        <v>8950</v>
      </c>
      <c r="U387" s="40">
        <f t="shared" si="155"/>
        <v>8414.5075379269401</v>
      </c>
      <c r="V387" s="41">
        <f t="shared" si="156"/>
        <v>-5.9831560008163143E-2</v>
      </c>
      <c r="W387" s="39">
        <f t="shared" si="157"/>
        <v>-535.49246207305987</v>
      </c>
      <c r="X387" s="50">
        <f t="shared" si="151"/>
        <v>1725.0606693154307</v>
      </c>
      <c r="Y387" s="41">
        <f t="shared" si="158"/>
        <v>0.13291264885389631</v>
      </c>
      <c r="Z387" s="52"/>
      <c r="AA387" s="50">
        <f t="shared" si="164"/>
        <v>10675.060669315431</v>
      </c>
      <c r="AB387" s="39">
        <f t="shared" si="165"/>
        <v>9988.0721770862347</v>
      </c>
      <c r="AC387" s="39">
        <f t="shared" si="159"/>
        <v>-686.98849222919671</v>
      </c>
      <c r="AD387" s="41">
        <f t="shared" si="160"/>
        <v>-6.4354528139019207E-2</v>
      </c>
      <c r="AF387" s="46">
        <f t="shared" si="142"/>
        <v>-100</v>
      </c>
      <c r="AG387" s="46">
        <f t="shared" si="161"/>
        <v>-100</v>
      </c>
      <c r="AH387" s="54">
        <f t="shared" si="143"/>
        <v>2492</v>
      </c>
      <c r="AI387" s="55">
        <f t="shared" si="152"/>
        <v>0.60356347438752789</v>
      </c>
      <c r="AJ387" s="55">
        <f t="shared" si="162"/>
        <v>-60.356347438752792</v>
      </c>
      <c r="AK387" s="55">
        <f t="shared" si="163"/>
        <v>-60.356347438752792</v>
      </c>
    </row>
    <row r="388" spans="2:37" s="53" customFormat="1" ht="17.25" customHeight="1" x14ac:dyDescent="0.25">
      <c r="B388" s="91" t="str">
        <f t="shared" si="144"/>
        <v/>
      </c>
      <c r="C388" s="81">
        <f>IF(Sheet3!A359="","",Sheet3!A359)</f>
        <v>40126</v>
      </c>
      <c r="D388" s="82">
        <f>IF(C388="","",Sheet3!E359)</f>
        <v>26.25</v>
      </c>
      <c r="E388" s="56">
        <f>_xlfn.XLOOKUP(WEEKNUM(C388)&amp;YEAR(C388),Sheet4!C:C,Sheet4!B:B,0)</f>
        <v>0</v>
      </c>
      <c r="F388" s="46">
        <f>IF(int=Weekly,-$D$5,IF(int=Bi_Weekly,0,IF(int=Monthly,0,IF(int=Quarterly,0,IF(int=Yearly,0,IF(int=None,0,0))))))</f>
        <v>0</v>
      </c>
      <c r="G388" s="46"/>
      <c r="H388" s="46">
        <f t="shared" si="153"/>
        <v>-8950</v>
      </c>
      <c r="I388" s="47"/>
      <c r="J388" s="38">
        <f t="shared" si="140"/>
        <v>0</v>
      </c>
      <c r="K388" s="48"/>
      <c r="L388" s="48">
        <f t="shared" si="145"/>
        <v>324.50858225711301</v>
      </c>
      <c r="M388" s="48"/>
      <c r="N388" s="38">
        <f t="shared" si="146"/>
        <v>0</v>
      </c>
      <c r="O388" s="36">
        <f t="shared" si="147"/>
        <v>0</v>
      </c>
      <c r="P388" s="84">
        <f t="shared" si="148"/>
        <v>-10674.591919299155</v>
      </c>
      <c r="Q388" s="38">
        <f t="shared" si="149"/>
        <v>0</v>
      </c>
      <c r="R388" s="48">
        <f t="shared" si="150"/>
        <v>60.685099851881759</v>
      </c>
      <c r="S388" s="38">
        <f t="shared" si="141"/>
        <v>385.19368210899478</v>
      </c>
      <c r="T388" s="50">
        <f t="shared" si="154"/>
        <v>8950</v>
      </c>
      <c r="U388" s="40">
        <f t="shared" si="155"/>
        <v>8518.3502842492162</v>
      </c>
      <c r="V388" s="41">
        <f t="shared" si="156"/>
        <v>-4.8229018519640676E-2</v>
      </c>
      <c r="W388" s="39">
        <f t="shared" si="157"/>
        <v>-431.6497157507838</v>
      </c>
      <c r="X388" s="50">
        <f t="shared" si="151"/>
        <v>1725.0606693154307</v>
      </c>
      <c r="Y388" s="41">
        <f t="shared" si="158"/>
        <v>0.14451519034241866</v>
      </c>
      <c r="Z388" s="52"/>
      <c r="AA388" s="50">
        <f t="shared" si="164"/>
        <v>10675.060669315431</v>
      </c>
      <c r="AB388" s="39">
        <f t="shared" si="165"/>
        <v>10111.334155361112</v>
      </c>
      <c r="AC388" s="39">
        <f t="shared" si="159"/>
        <v>-563.72651395431967</v>
      </c>
      <c r="AD388" s="41">
        <f t="shared" si="160"/>
        <v>-5.2807804228663935E-2</v>
      </c>
      <c r="AF388" s="46">
        <f t="shared" si="142"/>
        <v>0</v>
      </c>
      <c r="AG388" s="46">
        <f t="shared" si="161"/>
        <v>0</v>
      </c>
      <c r="AH388" s="54">
        <f t="shared" si="143"/>
        <v>2499</v>
      </c>
      <c r="AI388" s="55">
        <f t="shared" si="152"/>
        <v>0.60244988864142535</v>
      </c>
      <c r="AJ388" s="55">
        <f t="shared" si="162"/>
        <v>0</v>
      </c>
      <c r="AK388" s="55">
        <f t="shared" si="163"/>
        <v>0</v>
      </c>
    </row>
    <row r="389" spans="2:37" s="53" customFormat="1" ht="17.25" customHeight="1" x14ac:dyDescent="0.25">
      <c r="B389" s="91" t="str">
        <f t="shared" si="144"/>
        <v/>
      </c>
      <c r="C389" s="81">
        <f>IF(Sheet3!A360="","",Sheet3!A360)</f>
        <v>40133</v>
      </c>
      <c r="D389" s="82">
        <f>IF(C389="","",Sheet3!E360)</f>
        <v>26.02</v>
      </c>
      <c r="E389" s="56">
        <f>_xlfn.XLOOKUP(WEEKNUM(C389)&amp;YEAR(C389),Sheet4!C:C,Sheet4!B:B,0)</f>
        <v>0</v>
      </c>
      <c r="F389" s="46">
        <f>IF(int=Weekly,-$D$5,IF(int=Bi_Weekly,-$D$5,IF(int=Monthly,0,IF(int=Quarterly,0,IF(int=Yearly,0,IF(int=None,0,0))))))</f>
        <v>0</v>
      </c>
      <c r="G389" s="46"/>
      <c r="H389" s="46">
        <f t="shared" si="153"/>
        <v>-8950</v>
      </c>
      <c r="I389" s="47"/>
      <c r="J389" s="38">
        <f t="shared" si="140"/>
        <v>0</v>
      </c>
      <c r="K389" s="48"/>
      <c r="L389" s="48">
        <f t="shared" si="145"/>
        <v>324.50858225711301</v>
      </c>
      <c r="M389" s="48"/>
      <c r="N389" s="38">
        <f t="shared" si="146"/>
        <v>0</v>
      </c>
      <c r="O389" s="36">
        <f t="shared" si="147"/>
        <v>0</v>
      </c>
      <c r="P389" s="84">
        <f t="shared" si="148"/>
        <v>-10674.591919299155</v>
      </c>
      <c r="Q389" s="38">
        <f t="shared" si="149"/>
        <v>0</v>
      </c>
      <c r="R389" s="48">
        <f t="shared" si="150"/>
        <v>60.685099851881759</v>
      </c>
      <c r="S389" s="38">
        <f t="shared" si="141"/>
        <v>385.19368210899478</v>
      </c>
      <c r="T389" s="50">
        <f t="shared" si="154"/>
        <v>8950</v>
      </c>
      <c r="U389" s="40">
        <f t="shared" si="155"/>
        <v>8443.7133103300803</v>
      </c>
      <c r="V389" s="41">
        <f t="shared" si="156"/>
        <v>-5.6568345214516147E-2</v>
      </c>
      <c r="W389" s="39">
        <f t="shared" si="157"/>
        <v>-506.28668966991972</v>
      </c>
      <c r="X389" s="50">
        <f t="shared" si="151"/>
        <v>1725.0606693154307</v>
      </c>
      <c r="Y389" s="41">
        <f t="shared" si="158"/>
        <v>0.13617586364754319</v>
      </c>
      <c r="Z389" s="52"/>
      <c r="AA389" s="50">
        <f t="shared" si="164"/>
        <v>10675.060669315431</v>
      </c>
      <c r="AB389" s="39">
        <f t="shared" si="165"/>
        <v>10022.739608476044</v>
      </c>
      <c r="AC389" s="39">
        <f t="shared" si="159"/>
        <v>-652.32106083938743</v>
      </c>
      <c r="AD389" s="41">
        <f t="shared" si="160"/>
        <v>-6.1107012039231745E-2</v>
      </c>
      <c r="AF389" s="46">
        <f t="shared" si="142"/>
        <v>0</v>
      </c>
      <c r="AG389" s="46">
        <f t="shared" si="161"/>
        <v>0</v>
      </c>
      <c r="AH389" s="54">
        <f t="shared" si="143"/>
        <v>2506</v>
      </c>
      <c r="AI389" s="55">
        <f t="shared" si="152"/>
        <v>0.60133630289532292</v>
      </c>
      <c r="AJ389" s="55">
        <f t="shared" si="162"/>
        <v>0</v>
      </c>
      <c r="AK389" s="55">
        <f t="shared" si="163"/>
        <v>0</v>
      </c>
    </row>
    <row r="390" spans="2:37" s="53" customFormat="1" ht="17.25" customHeight="1" x14ac:dyDescent="0.25">
      <c r="B390" s="91" t="str">
        <f t="shared" si="144"/>
        <v/>
      </c>
      <c r="C390" s="81">
        <f>IF(Sheet3!A361="","",Sheet3!A361)</f>
        <v>40140</v>
      </c>
      <c r="D390" s="82">
        <f>IF(C390="","",Sheet3!E361)</f>
        <v>26.99</v>
      </c>
      <c r="E390" s="56">
        <f>_xlfn.XLOOKUP(WEEKNUM(C390)&amp;YEAR(C390),Sheet4!C:C,Sheet4!B:B,0)</f>
        <v>0</v>
      </c>
      <c r="F390" s="46">
        <f>IF(int=Weekly,-$D$5,IF(int=Bi_Weekly,0,IF(int=Monthly,0,IF(int=Quarterly,0,IF(int=Yearly,0,IF(int=None,0,0))))))</f>
        <v>0</v>
      </c>
      <c r="G390" s="46"/>
      <c r="H390" s="46">
        <f t="shared" si="153"/>
        <v>-8950</v>
      </c>
      <c r="I390" s="47"/>
      <c r="J390" s="38">
        <f t="shared" si="140"/>
        <v>0</v>
      </c>
      <c r="K390" s="48"/>
      <c r="L390" s="48">
        <f t="shared" si="145"/>
        <v>324.50858225711301</v>
      </c>
      <c r="M390" s="48"/>
      <c r="N390" s="38">
        <f t="shared" si="146"/>
        <v>0</v>
      </c>
      <c r="O390" s="36">
        <f t="shared" si="147"/>
        <v>0</v>
      </c>
      <c r="P390" s="84">
        <f t="shared" si="148"/>
        <v>-10674.591919299155</v>
      </c>
      <c r="Q390" s="38">
        <f t="shared" si="149"/>
        <v>0</v>
      </c>
      <c r="R390" s="48">
        <f t="shared" si="150"/>
        <v>60.685099851881759</v>
      </c>
      <c r="S390" s="38">
        <f t="shared" si="141"/>
        <v>385.19368210899478</v>
      </c>
      <c r="T390" s="50">
        <f t="shared" si="154"/>
        <v>8950</v>
      </c>
      <c r="U390" s="40">
        <f t="shared" si="155"/>
        <v>8758.4866351194796</v>
      </c>
      <c r="V390" s="41">
        <f t="shared" si="156"/>
        <v>-2.1398141327432452E-2</v>
      </c>
      <c r="W390" s="39">
        <f t="shared" si="157"/>
        <v>-191.51336488052038</v>
      </c>
      <c r="X390" s="50">
        <f t="shared" si="151"/>
        <v>1725.0606693154307</v>
      </c>
      <c r="Y390" s="41">
        <f t="shared" si="158"/>
        <v>0.171346067534627</v>
      </c>
      <c r="Z390" s="52"/>
      <c r="AA390" s="50">
        <f t="shared" si="164"/>
        <v>10675.060669315431</v>
      </c>
      <c r="AB390" s="39">
        <f t="shared" si="165"/>
        <v>10396.377480121768</v>
      </c>
      <c r="AC390" s="39">
        <f t="shared" si="159"/>
        <v>-278.68318919366357</v>
      </c>
      <c r="AD390" s="41">
        <f t="shared" si="160"/>
        <v>-2.6106005185967285E-2</v>
      </c>
      <c r="AF390" s="46">
        <f t="shared" si="142"/>
        <v>0</v>
      </c>
      <c r="AG390" s="46">
        <f t="shared" si="161"/>
        <v>0</v>
      </c>
      <c r="AH390" s="54">
        <f t="shared" si="143"/>
        <v>2513</v>
      </c>
      <c r="AI390" s="55">
        <f t="shared" si="152"/>
        <v>0.60022271714922049</v>
      </c>
      <c r="AJ390" s="55">
        <f t="shared" si="162"/>
        <v>0</v>
      </c>
      <c r="AK390" s="55">
        <f t="shared" si="163"/>
        <v>0</v>
      </c>
    </row>
    <row r="391" spans="2:37" s="53" customFormat="1" ht="17.25" customHeight="1" x14ac:dyDescent="0.25">
      <c r="B391" s="91" t="str">
        <f t="shared" si="144"/>
        <v/>
      </c>
      <c r="C391" s="81">
        <f>IF(Sheet3!A362="","",Sheet3!A362)</f>
        <v>40147</v>
      </c>
      <c r="D391" s="82">
        <f>IF(C391="","",Sheet3!E362)</f>
        <v>27.6</v>
      </c>
      <c r="E391" s="56">
        <f>_xlfn.XLOOKUP(WEEKNUM(C391)&amp;YEAR(C391),Sheet4!C:C,Sheet4!B:B,0)</f>
        <v>0</v>
      </c>
      <c r="F391" s="46">
        <f>IF(int=Weekly,-$D$5,IF(int=Bi_Weekly,-$D$5,IF(int=Monthly,-$D$5,IF(int=Quarterly,0,IF(int=Yearly,0,IF(int=None,0,0))))))</f>
        <v>-100</v>
      </c>
      <c r="G391" s="46"/>
      <c r="H391" s="46">
        <f t="shared" si="153"/>
        <v>-9050</v>
      </c>
      <c r="I391" s="47"/>
      <c r="J391" s="38">
        <f t="shared" si="140"/>
        <v>3.6231884057971011</v>
      </c>
      <c r="K391" s="48"/>
      <c r="L391" s="48">
        <f t="shared" si="145"/>
        <v>328.13177066291013</v>
      </c>
      <c r="M391" s="48"/>
      <c r="N391" s="38">
        <f t="shared" si="146"/>
        <v>0</v>
      </c>
      <c r="O391" s="36">
        <f t="shared" si="147"/>
        <v>0</v>
      </c>
      <c r="P391" s="84">
        <f t="shared" si="148"/>
        <v>-10774.591919299155</v>
      </c>
      <c r="Q391" s="38">
        <f t="shared" si="149"/>
        <v>0</v>
      </c>
      <c r="R391" s="48">
        <f t="shared" si="150"/>
        <v>60.685099851881759</v>
      </c>
      <c r="S391" s="38">
        <f t="shared" si="141"/>
        <v>388.8168705147919</v>
      </c>
      <c r="T391" s="50">
        <f t="shared" si="154"/>
        <v>9050</v>
      </c>
      <c r="U391" s="40">
        <f t="shared" si="155"/>
        <v>9056.4368702963202</v>
      </c>
      <c r="V391" s="41">
        <f t="shared" si="156"/>
        <v>7.112563863336252E-4</v>
      </c>
      <c r="W391" s="39">
        <f t="shared" si="157"/>
        <v>6.436870296320194</v>
      </c>
      <c r="X391" s="50">
        <f t="shared" si="151"/>
        <v>1725.0606693154307</v>
      </c>
      <c r="Y391" s="41">
        <f t="shared" si="158"/>
        <v>0.19132569498472396</v>
      </c>
      <c r="Z391" s="52"/>
      <c r="AA391" s="50">
        <f t="shared" si="164"/>
        <v>10775.060669315431</v>
      </c>
      <c r="AB391" s="39">
        <f t="shared" si="165"/>
        <v>10731.345626208256</v>
      </c>
      <c r="AC391" s="39">
        <f t="shared" si="159"/>
        <v>-43.715043107175006</v>
      </c>
      <c r="AD391" s="41">
        <f t="shared" si="160"/>
        <v>-4.0570577232723615E-3</v>
      </c>
      <c r="AF391" s="46">
        <f t="shared" si="142"/>
        <v>-100</v>
      </c>
      <c r="AG391" s="46">
        <f t="shared" si="161"/>
        <v>-100</v>
      </c>
      <c r="AH391" s="54">
        <f t="shared" si="143"/>
        <v>2520</v>
      </c>
      <c r="AI391" s="55">
        <f t="shared" si="152"/>
        <v>0.59910913140311806</v>
      </c>
      <c r="AJ391" s="55">
        <f t="shared" si="162"/>
        <v>-59.910913140311806</v>
      </c>
      <c r="AK391" s="55">
        <f t="shared" si="163"/>
        <v>-59.910913140311806</v>
      </c>
    </row>
    <row r="392" spans="2:37" s="53" customFormat="1" ht="17.25" customHeight="1" x14ac:dyDescent="0.25">
      <c r="B392" s="91" t="str">
        <f t="shared" si="144"/>
        <v/>
      </c>
      <c r="C392" s="81">
        <f>IF(Sheet3!A363="","",Sheet3!A363)</f>
        <v>40154</v>
      </c>
      <c r="D392" s="82">
        <f>IF(C392="","",Sheet3!E363)</f>
        <v>28.01</v>
      </c>
      <c r="E392" s="56">
        <f>_xlfn.XLOOKUP(WEEKNUM(C392)&amp;YEAR(C392),Sheet4!C:C,Sheet4!B:B,0)</f>
        <v>0</v>
      </c>
      <c r="F392" s="46">
        <f>IF(int=Weekly,-$D$5,IF(int=Bi_Weekly,0,IF(int=Monthly,0,IF(int=Quarterly,0,IF(int=Yearly,0,IF(int=None,0,0))))))</f>
        <v>0</v>
      </c>
      <c r="G392" s="46"/>
      <c r="H392" s="46">
        <f t="shared" si="153"/>
        <v>-9050</v>
      </c>
      <c r="I392" s="47"/>
      <c r="J392" s="38">
        <f t="shared" si="140"/>
        <v>0</v>
      </c>
      <c r="K392" s="48"/>
      <c r="L392" s="48">
        <f t="shared" si="145"/>
        <v>328.13177066291013</v>
      </c>
      <c r="M392" s="48"/>
      <c r="N392" s="38">
        <f t="shared" si="146"/>
        <v>0</v>
      </c>
      <c r="O392" s="36">
        <f t="shared" si="147"/>
        <v>0</v>
      </c>
      <c r="P392" s="84">
        <f t="shared" si="148"/>
        <v>-10774.591919299155</v>
      </c>
      <c r="Q392" s="38">
        <f t="shared" si="149"/>
        <v>0</v>
      </c>
      <c r="R392" s="48">
        <f t="shared" si="150"/>
        <v>60.685099851881759</v>
      </c>
      <c r="S392" s="38">
        <f t="shared" si="141"/>
        <v>388.8168705147919</v>
      </c>
      <c r="T392" s="50">
        <f t="shared" si="154"/>
        <v>9050</v>
      </c>
      <c r="U392" s="40">
        <f t="shared" si="155"/>
        <v>9190.9708962681125</v>
      </c>
      <c r="V392" s="41">
        <f t="shared" si="156"/>
        <v>1.5576894615261017E-2</v>
      </c>
      <c r="W392" s="39">
        <f t="shared" si="157"/>
        <v>140.97089626811248</v>
      </c>
      <c r="X392" s="50">
        <f t="shared" si="151"/>
        <v>1725.0606693154307</v>
      </c>
      <c r="Y392" s="41">
        <f t="shared" si="158"/>
        <v>0.20619133321365135</v>
      </c>
      <c r="Z392" s="52"/>
      <c r="AA392" s="50">
        <f t="shared" si="164"/>
        <v>10775.060669315431</v>
      </c>
      <c r="AB392" s="39">
        <f t="shared" si="165"/>
        <v>10890.760543119321</v>
      </c>
      <c r="AC392" s="39">
        <f t="shared" si="159"/>
        <v>115.6998738038892</v>
      </c>
      <c r="AD392" s="41">
        <f t="shared" si="160"/>
        <v>1.0737746854026842E-2</v>
      </c>
      <c r="AF392" s="46">
        <f t="shared" si="142"/>
        <v>0</v>
      </c>
      <c r="AG392" s="46">
        <f t="shared" si="161"/>
        <v>0</v>
      </c>
      <c r="AH392" s="54">
        <f t="shared" si="143"/>
        <v>2527</v>
      </c>
      <c r="AI392" s="55">
        <f t="shared" si="152"/>
        <v>0.59799554565701563</v>
      </c>
      <c r="AJ392" s="55">
        <f t="shared" si="162"/>
        <v>0</v>
      </c>
      <c r="AK392" s="55">
        <f t="shared" si="163"/>
        <v>0</v>
      </c>
    </row>
    <row r="393" spans="2:37" s="53" customFormat="1" ht="17.25" customHeight="1" x14ac:dyDescent="0.25">
      <c r="B393" s="91" t="str">
        <f t="shared" si="144"/>
        <v/>
      </c>
      <c r="C393" s="81">
        <f>IF(Sheet3!A364="","",Sheet3!A364)</f>
        <v>40161</v>
      </c>
      <c r="D393" s="82">
        <f>IF(C393="","",Sheet3!E364)</f>
        <v>27.32</v>
      </c>
      <c r="E393" s="56">
        <f>_xlfn.XLOOKUP(WEEKNUM(C393)&amp;YEAR(C393),Sheet4!C:C,Sheet4!B:B,0)</f>
        <v>0</v>
      </c>
      <c r="F393" s="46">
        <f>IF(int=Weekly,-$D$5,IF(int=Bi_Weekly,-$D$5,IF(int=Monthly,0,IF(int=Quarterly,0,IF(int=Yearly,0,IF(int=None,0,0))))))</f>
        <v>0</v>
      </c>
      <c r="G393" s="46"/>
      <c r="H393" s="46">
        <f t="shared" si="153"/>
        <v>-9050</v>
      </c>
      <c r="I393" s="47"/>
      <c r="J393" s="38">
        <f t="shared" si="140"/>
        <v>0</v>
      </c>
      <c r="K393" s="48"/>
      <c r="L393" s="48">
        <f t="shared" si="145"/>
        <v>328.13177066291013</v>
      </c>
      <c r="M393" s="48"/>
      <c r="N393" s="38">
        <f t="shared" si="146"/>
        <v>0</v>
      </c>
      <c r="O393" s="36">
        <f t="shared" si="147"/>
        <v>0</v>
      </c>
      <c r="P393" s="84">
        <f t="shared" si="148"/>
        <v>-10774.591919299155</v>
      </c>
      <c r="Q393" s="38">
        <f t="shared" si="149"/>
        <v>0</v>
      </c>
      <c r="R393" s="48">
        <f t="shared" si="150"/>
        <v>60.685099851881759</v>
      </c>
      <c r="S393" s="38">
        <f t="shared" si="141"/>
        <v>388.8168705147919</v>
      </c>
      <c r="T393" s="50">
        <f t="shared" si="154"/>
        <v>9050</v>
      </c>
      <c r="U393" s="40">
        <f t="shared" si="155"/>
        <v>8964.5599745107047</v>
      </c>
      <c r="V393" s="41">
        <f t="shared" si="156"/>
        <v>-9.4408867943972519E-3</v>
      </c>
      <c r="W393" s="39">
        <f t="shared" si="157"/>
        <v>-85.440025489295294</v>
      </c>
      <c r="X393" s="50">
        <f t="shared" si="151"/>
        <v>1725.0606693154307</v>
      </c>
      <c r="Y393" s="41">
        <f t="shared" si="158"/>
        <v>0.18117355180399297</v>
      </c>
      <c r="Z393" s="52"/>
      <c r="AA393" s="50">
        <f t="shared" si="164"/>
        <v>10775.060669315431</v>
      </c>
      <c r="AB393" s="39">
        <f t="shared" si="165"/>
        <v>10622.476902464114</v>
      </c>
      <c r="AC393" s="39">
        <f t="shared" si="159"/>
        <v>-152.58376685131771</v>
      </c>
      <c r="AD393" s="41">
        <f t="shared" si="160"/>
        <v>-1.4160826702891427E-2</v>
      </c>
      <c r="AF393" s="46">
        <f t="shared" si="142"/>
        <v>0</v>
      </c>
      <c r="AG393" s="46">
        <f t="shared" si="161"/>
        <v>0</v>
      </c>
      <c r="AH393" s="54">
        <f t="shared" si="143"/>
        <v>2534</v>
      </c>
      <c r="AI393" s="55">
        <f t="shared" si="152"/>
        <v>0.5968819599109132</v>
      </c>
      <c r="AJ393" s="55">
        <f t="shared" si="162"/>
        <v>0</v>
      </c>
      <c r="AK393" s="55">
        <f t="shared" si="163"/>
        <v>0</v>
      </c>
    </row>
    <row r="394" spans="2:37" s="53" customFormat="1" ht="17.25" customHeight="1" x14ac:dyDescent="0.25">
      <c r="B394" s="91" t="str">
        <f t="shared" si="144"/>
        <v/>
      </c>
      <c r="C394" s="81">
        <f>IF(Sheet3!A365="","",Sheet3!A365)</f>
        <v>40168</v>
      </c>
      <c r="D394" s="82">
        <f>IF(C394="","",Sheet3!E365)</f>
        <v>28.1</v>
      </c>
      <c r="E394" s="56">
        <f>_xlfn.XLOOKUP(WEEKNUM(C394)&amp;YEAR(C394),Sheet4!C:C,Sheet4!B:B,0)</f>
        <v>0</v>
      </c>
      <c r="F394" s="46">
        <f>IF(int=Weekly,-$D$5,IF(int=Bi_Weekly,0,IF(int=Monthly,0,IF(int=Quarterly,0,IF(int=Yearly,0,IF(int=None,0,0))))))</f>
        <v>0</v>
      </c>
      <c r="G394" s="46"/>
      <c r="H394" s="46">
        <f t="shared" si="153"/>
        <v>-9050</v>
      </c>
      <c r="I394" s="47"/>
      <c r="J394" s="38">
        <f t="shared" si="140"/>
        <v>0</v>
      </c>
      <c r="K394" s="48"/>
      <c r="L394" s="48">
        <f t="shared" si="145"/>
        <v>328.13177066291013</v>
      </c>
      <c r="M394" s="48"/>
      <c r="N394" s="38">
        <f t="shared" si="146"/>
        <v>0</v>
      </c>
      <c r="O394" s="36">
        <f t="shared" si="147"/>
        <v>0</v>
      </c>
      <c r="P394" s="84">
        <f t="shared" si="148"/>
        <v>-10774.591919299155</v>
      </c>
      <c r="Q394" s="38">
        <f t="shared" si="149"/>
        <v>0</v>
      </c>
      <c r="R394" s="48">
        <f t="shared" si="150"/>
        <v>60.685099851881759</v>
      </c>
      <c r="S394" s="38">
        <f t="shared" si="141"/>
        <v>388.8168705147919</v>
      </c>
      <c r="T394" s="50">
        <f t="shared" si="154"/>
        <v>9050</v>
      </c>
      <c r="U394" s="40">
        <f t="shared" si="155"/>
        <v>9220.5027556277746</v>
      </c>
      <c r="V394" s="41">
        <f t="shared" si="156"/>
        <v>1.8840083494781723E-2</v>
      </c>
      <c r="W394" s="39">
        <f t="shared" si="157"/>
        <v>170.5027556277746</v>
      </c>
      <c r="X394" s="50">
        <f t="shared" si="151"/>
        <v>1725.0606693154307</v>
      </c>
      <c r="Y394" s="41">
        <f t="shared" si="158"/>
        <v>0.20945452209317184</v>
      </c>
      <c r="Z394" s="52"/>
      <c r="AA394" s="50">
        <f t="shared" si="164"/>
        <v>10775.060669315431</v>
      </c>
      <c r="AB394" s="39">
        <f t="shared" si="165"/>
        <v>10925.754061465652</v>
      </c>
      <c r="AC394" s="39">
        <f t="shared" si="159"/>
        <v>150.69339215022046</v>
      </c>
      <c r="AD394" s="41">
        <f t="shared" si="160"/>
        <v>1.3985386883190065E-2</v>
      </c>
      <c r="AF394" s="46">
        <f t="shared" si="142"/>
        <v>0</v>
      </c>
      <c r="AG394" s="46">
        <f t="shared" si="161"/>
        <v>0</v>
      </c>
      <c r="AH394" s="54">
        <f t="shared" si="143"/>
        <v>2541</v>
      </c>
      <c r="AI394" s="55">
        <f t="shared" si="152"/>
        <v>0.59576837416481065</v>
      </c>
      <c r="AJ394" s="55">
        <f t="shared" si="162"/>
        <v>0</v>
      </c>
      <c r="AK394" s="55">
        <f t="shared" si="163"/>
        <v>0</v>
      </c>
    </row>
    <row r="395" spans="2:37" s="53" customFormat="1" ht="17.25" customHeight="1" x14ac:dyDescent="0.25">
      <c r="B395" s="91" t="str">
        <f t="shared" si="144"/>
        <v/>
      </c>
      <c r="C395" s="81">
        <f>IF(Sheet3!A366="","",Sheet3!A366)</f>
        <v>40175</v>
      </c>
      <c r="D395" s="82">
        <f>IF(C395="","",Sheet3!E366)</f>
        <v>28.030000999999999</v>
      </c>
      <c r="E395" s="56">
        <f>_xlfn.XLOOKUP(WEEKNUM(C395)&amp;YEAR(C395),Sheet4!C:C,Sheet4!B:B,0)</f>
        <v>0</v>
      </c>
      <c r="F395" s="46">
        <f>IF(int=Weekly,-$D$5,IF(int=Bi_Weekly,-$D$5,IF(int=Monthly,-$D$5,IF(int=Quarterly,-$D$5,IF(int=Yearly,-$D$5,IF(int=None,0,0))))))</f>
        <v>-100</v>
      </c>
      <c r="G395" s="46"/>
      <c r="H395" s="46">
        <f t="shared" si="153"/>
        <v>-9150</v>
      </c>
      <c r="I395" s="47"/>
      <c r="J395" s="38">
        <f t="shared" si="140"/>
        <v>3.5676060090044235</v>
      </c>
      <c r="K395" s="48"/>
      <c r="L395" s="48">
        <f t="shared" si="145"/>
        <v>331.69937667191454</v>
      </c>
      <c r="M395" s="48"/>
      <c r="N395" s="38">
        <f t="shared" si="146"/>
        <v>0</v>
      </c>
      <c r="O395" s="36">
        <f t="shared" si="147"/>
        <v>0</v>
      </c>
      <c r="P395" s="84">
        <f t="shared" si="148"/>
        <v>-10874.591919299155</v>
      </c>
      <c r="Q395" s="38">
        <f t="shared" si="149"/>
        <v>0</v>
      </c>
      <c r="R395" s="48">
        <f t="shared" si="150"/>
        <v>60.685099851881759</v>
      </c>
      <c r="S395" s="38">
        <f t="shared" si="141"/>
        <v>392.38447652379631</v>
      </c>
      <c r="T395" s="50">
        <f t="shared" si="154"/>
        <v>9150</v>
      </c>
      <c r="U395" s="40">
        <f t="shared" si="155"/>
        <v>9297.5338598131402</v>
      </c>
      <c r="V395" s="41">
        <f t="shared" si="156"/>
        <v>1.612391910526112E-2</v>
      </c>
      <c r="W395" s="39">
        <f t="shared" si="157"/>
        <v>147.53385981314023</v>
      </c>
      <c r="X395" s="50">
        <f t="shared" si="151"/>
        <v>1725.0606693154307</v>
      </c>
      <c r="Y395" s="41">
        <f t="shared" si="158"/>
        <v>0.20465513979547234</v>
      </c>
      <c r="Z395" s="52"/>
      <c r="AA395" s="50">
        <f t="shared" si="164"/>
        <v>10875.060669315431</v>
      </c>
      <c r="AB395" s="39">
        <f t="shared" si="165"/>
        <v>10998.537269346485</v>
      </c>
      <c r="AC395" s="39">
        <f t="shared" si="159"/>
        <v>123.47660003105375</v>
      </c>
      <c r="AD395" s="41">
        <f t="shared" si="160"/>
        <v>1.1354106775647743E-2</v>
      </c>
      <c r="AF395" s="46">
        <f t="shared" si="142"/>
        <v>-100</v>
      </c>
      <c r="AG395" s="46">
        <f t="shared" si="161"/>
        <v>-100</v>
      </c>
      <c r="AH395" s="54">
        <f t="shared" si="143"/>
        <v>2548</v>
      </c>
      <c r="AI395" s="55">
        <f t="shared" si="152"/>
        <v>0.59465478841870822</v>
      </c>
      <c r="AJ395" s="55">
        <f t="shared" si="162"/>
        <v>-59.465478841870819</v>
      </c>
      <c r="AK395" s="55">
        <f t="shared" si="163"/>
        <v>-59.465478841870819</v>
      </c>
    </row>
    <row r="396" spans="2:37" s="53" customFormat="1" ht="17.25" customHeight="1" x14ac:dyDescent="0.25">
      <c r="B396" s="91" t="str">
        <f t="shared" si="144"/>
        <v/>
      </c>
      <c r="C396" s="81">
        <f>IF(Sheet3!A367="","",Sheet3!A367)</f>
        <v>40182</v>
      </c>
      <c r="D396" s="82">
        <f>IF(C396="","",Sheet3!E367)</f>
        <v>27.1</v>
      </c>
      <c r="E396" s="56">
        <f>_xlfn.XLOOKUP(WEEKNUM(C396)&amp;YEAR(C396),Sheet4!C:C,Sheet4!B:B,0)</f>
        <v>0.42</v>
      </c>
      <c r="F396" s="46">
        <f>IF(int=Weekly,-$D$5,IF(int=Bi_Weekly,0,IF(int=Monthly,0,IF(int=Quarterly,0,IF(int=Yearly,0,IF(int=None,0,0))))))</f>
        <v>0</v>
      </c>
      <c r="G396" s="46"/>
      <c r="H396" s="46">
        <f t="shared" si="153"/>
        <v>-9150</v>
      </c>
      <c r="I396" s="47"/>
      <c r="J396" s="38">
        <f t="shared" si="140"/>
        <v>0</v>
      </c>
      <c r="K396" s="48"/>
      <c r="L396" s="48">
        <f t="shared" si="145"/>
        <v>331.69937667191454</v>
      </c>
      <c r="M396" s="48"/>
      <c r="N396" s="38">
        <f t="shared" si="146"/>
        <v>139.31373820220409</v>
      </c>
      <c r="O396" s="36">
        <f t="shared" si="147"/>
        <v>-139.31373820220409</v>
      </c>
      <c r="P396" s="84">
        <f t="shared" si="148"/>
        <v>-11013.905657501358</v>
      </c>
      <c r="Q396" s="38">
        <f t="shared" si="149"/>
        <v>5.1407283469448002</v>
      </c>
      <c r="R396" s="48">
        <f t="shared" si="150"/>
        <v>65.825828198826557</v>
      </c>
      <c r="S396" s="38">
        <f t="shared" si="141"/>
        <v>397.52520487074111</v>
      </c>
      <c r="T396" s="50">
        <f t="shared" si="154"/>
        <v>9150</v>
      </c>
      <c r="U396" s="40">
        <f t="shared" si="155"/>
        <v>8989.0531078088843</v>
      </c>
      <c r="V396" s="41">
        <f t="shared" si="156"/>
        <v>-1.758982428318201E-2</v>
      </c>
      <c r="W396" s="39">
        <f t="shared" si="157"/>
        <v>-160.94689219111569</v>
      </c>
      <c r="X396" s="50">
        <f t="shared" si="151"/>
        <v>1864.3744075176348</v>
      </c>
      <c r="Y396" s="41">
        <f t="shared" si="158"/>
        <v>0.18616694156573987</v>
      </c>
      <c r="Z396" s="52"/>
      <c r="AA396" s="50">
        <f t="shared" si="164"/>
        <v>11014.374407517635</v>
      </c>
      <c r="AB396" s="39">
        <f t="shared" si="165"/>
        <v>10772.933051997084</v>
      </c>
      <c r="AC396" s="39">
        <f t="shared" si="159"/>
        <v>-241.44135552055013</v>
      </c>
      <c r="AD396" s="41">
        <f t="shared" si="160"/>
        <v>-2.1920569120635558E-2</v>
      </c>
      <c r="AF396" s="46">
        <f t="shared" si="142"/>
        <v>139.31373820220409</v>
      </c>
      <c r="AG396" s="46">
        <f t="shared" si="161"/>
        <v>0</v>
      </c>
      <c r="AH396" s="54">
        <f t="shared" si="143"/>
        <v>2555</v>
      </c>
      <c r="AI396" s="55">
        <f t="shared" si="152"/>
        <v>0.59354120267260579</v>
      </c>
      <c r="AJ396" s="55">
        <f t="shared" si="162"/>
        <v>82.688443721352769</v>
      </c>
      <c r="AK396" s="55">
        <f t="shared" si="163"/>
        <v>0</v>
      </c>
    </row>
    <row r="397" spans="2:37" s="53" customFormat="1" ht="17.25" customHeight="1" x14ac:dyDescent="0.25">
      <c r="B397" s="91" t="str">
        <f t="shared" si="144"/>
        <v/>
      </c>
      <c r="C397" s="81">
        <f>IF(Sheet3!A368="","",Sheet3!A368)</f>
        <v>40189</v>
      </c>
      <c r="D397" s="82">
        <f>IF(C397="","",Sheet3!E368)</f>
        <v>25.790001</v>
      </c>
      <c r="E397" s="56">
        <f>_xlfn.XLOOKUP(WEEKNUM(C397)&amp;YEAR(C397),Sheet4!C:C,Sheet4!B:B,0)</f>
        <v>0</v>
      </c>
      <c r="F397" s="46">
        <f>IF(int=Weekly,-$D$5,IF(int=Bi_Weekly,-$D$5,IF(int=Monthly,0,IF(int=Quarterly,0,IF(int=Yearly,0,IF(int=None,0,0))))))</f>
        <v>0</v>
      </c>
      <c r="G397" s="46"/>
      <c r="H397" s="46">
        <f t="shared" si="153"/>
        <v>-9150</v>
      </c>
      <c r="I397" s="47"/>
      <c r="J397" s="38">
        <f t="shared" si="140"/>
        <v>0</v>
      </c>
      <c r="K397" s="48"/>
      <c r="L397" s="48">
        <f t="shared" si="145"/>
        <v>331.69937667191454</v>
      </c>
      <c r="M397" s="48"/>
      <c r="N397" s="38">
        <f t="shared" si="146"/>
        <v>0</v>
      </c>
      <c r="O397" s="36">
        <f t="shared" si="147"/>
        <v>0</v>
      </c>
      <c r="P397" s="84">
        <f t="shared" si="148"/>
        <v>-11013.905657501358</v>
      </c>
      <c r="Q397" s="38">
        <f t="shared" si="149"/>
        <v>0</v>
      </c>
      <c r="R397" s="48">
        <f t="shared" si="150"/>
        <v>65.825828198826557</v>
      </c>
      <c r="S397" s="38">
        <f t="shared" si="141"/>
        <v>397.52520487074111</v>
      </c>
      <c r="T397" s="50">
        <f t="shared" si="154"/>
        <v>9150</v>
      </c>
      <c r="U397" s="40">
        <f t="shared" si="155"/>
        <v>8554.5272560680532</v>
      </c>
      <c r="V397" s="41">
        <f t="shared" si="156"/>
        <v>-6.5078988407863081E-2</v>
      </c>
      <c r="W397" s="39">
        <f t="shared" si="157"/>
        <v>-595.47274393194675</v>
      </c>
      <c r="X397" s="50">
        <f t="shared" si="151"/>
        <v>1864.3744075176348</v>
      </c>
      <c r="Y397" s="41">
        <f t="shared" si="158"/>
        <v>0.1386777774410588</v>
      </c>
      <c r="Z397" s="52"/>
      <c r="AA397" s="50">
        <f t="shared" si="164"/>
        <v>11014.374407517635</v>
      </c>
      <c r="AB397" s="39">
        <f t="shared" si="165"/>
        <v>10252.175431141619</v>
      </c>
      <c r="AC397" s="39">
        <f t="shared" si="159"/>
        <v>-762.19897637601571</v>
      </c>
      <c r="AD397" s="41">
        <f t="shared" si="160"/>
        <v>-6.9200387436965327E-2</v>
      </c>
      <c r="AF397" s="46">
        <f t="shared" si="142"/>
        <v>0</v>
      </c>
      <c r="AG397" s="46">
        <f t="shared" si="161"/>
        <v>0</v>
      </c>
      <c r="AH397" s="54">
        <f t="shared" si="143"/>
        <v>2562</v>
      </c>
      <c r="AI397" s="55">
        <f t="shared" si="152"/>
        <v>0.59242761692650336</v>
      </c>
      <c r="AJ397" s="55">
        <f t="shared" si="162"/>
        <v>0</v>
      </c>
      <c r="AK397" s="55">
        <f t="shared" si="163"/>
        <v>0</v>
      </c>
    </row>
    <row r="398" spans="2:37" s="53" customFormat="1" ht="17.25" customHeight="1" x14ac:dyDescent="0.25">
      <c r="B398" s="91" t="str">
        <f t="shared" si="144"/>
        <v/>
      </c>
      <c r="C398" s="81">
        <f>IF(Sheet3!A369="","",Sheet3!A369)</f>
        <v>40196</v>
      </c>
      <c r="D398" s="82">
        <f>IF(C398="","",Sheet3!E369)</f>
        <v>25.389999</v>
      </c>
      <c r="E398" s="56">
        <f>_xlfn.XLOOKUP(WEEKNUM(C398)&amp;YEAR(C398),Sheet4!C:C,Sheet4!B:B,0)</f>
        <v>0</v>
      </c>
      <c r="F398" s="46">
        <f>IF(int=Weekly,-$D$5,IF(int=Bi_Weekly,0,IF(int=Monthly,0,IF(int=Quarterly,0,IF(int=Yearly,0,IF(int=None,0,0))))))</f>
        <v>0</v>
      </c>
      <c r="G398" s="46"/>
      <c r="H398" s="46">
        <f t="shared" si="153"/>
        <v>-9150</v>
      </c>
      <c r="I398" s="47"/>
      <c r="J398" s="38">
        <f t="shared" si="140"/>
        <v>0</v>
      </c>
      <c r="K398" s="48"/>
      <c r="L398" s="48">
        <f t="shared" si="145"/>
        <v>331.69937667191454</v>
      </c>
      <c r="M398" s="48"/>
      <c r="N398" s="38">
        <f t="shared" si="146"/>
        <v>0</v>
      </c>
      <c r="O398" s="36">
        <f t="shared" si="147"/>
        <v>0</v>
      </c>
      <c r="P398" s="84">
        <f t="shared" si="148"/>
        <v>-11013.905657501358</v>
      </c>
      <c r="Q398" s="38">
        <f t="shared" si="149"/>
        <v>0</v>
      </c>
      <c r="R398" s="48">
        <f t="shared" si="150"/>
        <v>65.825828198826557</v>
      </c>
      <c r="S398" s="38">
        <f t="shared" si="141"/>
        <v>397.52520487074111</v>
      </c>
      <c r="T398" s="50">
        <f t="shared" si="154"/>
        <v>9150</v>
      </c>
      <c r="U398" s="40">
        <f t="shared" si="155"/>
        <v>8421.8468420005338</v>
      </c>
      <c r="V398" s="41">
        <f t="shared" si="156"/>
        <v>-7.9579580109231274E-2</v>
      </c>
      <c r="W398" s="39">
        <f t="shared" si="157"/>
        <v>-728.1531579994662</v>
      </c>
      <c r="X398" s="50">
        <f t="shared" si="151"/>
        <v>1864.3744075176348</v>
      </c>
      <c r="Y398" s="41">
        <f t="shared" si="158"/>
        <v>0.1241771857396905</v>
      </c>
      <c r="Z398" s="52"/>
      <c r="AA398" s="50">
        <f t="shared" si="164"/>
        <v>11014.374407517635</v>
      </c>
      <c r="AB398" s="39">
        <f t="shared" si="165"/>
        <v>10093.164554142912</v>
      </c>
      <c r="AC398" s="39">
        <f t="shared" si="159"/>
        <v>-921.20985337472302</v>
      </c>
      <c r="AD398" s="41">
        <f t="shared" si="160"/>
        <v>-8.3637056385696296E-2</v>
      </c>
      <c r="AF398" s="46">
        <f t="shared" si="142"/>
        <v>0</v>
      </c>
      <c r="AG398" s="46">
        <f t="shared" si="161"/>
        <v>0</v>
      </c>
      <c r="AH398" s="54">
        <f t="shared" si="143"/>
        <v>2569</v>
      </c>
      <c r="AI398" s="55">
        <f t="shared" si="152"/>
        <v>0.59131403118040093</v>
      </c>
      <c r="AJ398" s="55">
        <f t="shared" si="162"/>
        <v>0</v>
      </c>
      <c r="AK398" s="55">
        <f t="shared" si="163"/>
        <v>0</v>
      </c>
    </row>
    <row r="399" spans="2:37" s="53" customFormat="1" ht="17.25" customHeight="1" x14ac:dyDescent="0.25">
      <c r="B399" s="91" t="str">
        <f t="shared" si="144"/>
        <v/>
      </c>
      <c r="C399" s="81">
        <f>IF(Sheet3!A370="","",Sheet3!A370)</f>
        <v>40203</v>
      </c>
      <c r="D399" s="82">
        <f>IF(C399="","",Sheet3!E370)</f>
        <v>25.360001</v>
      </c>
      <c r="E399" s="56">
        <f>_xlfn.XLOOKUP(WEEKNUM(C399)&amp;YEAR(C399),Sheet4!C:C,Sheet4!B:B,0)</f>
        <v>0</v>
      </c>
      <c r="F399" s="46">
        <f>IF(int=Weekly,-$D$5,IF(int=Bi_Weekly,-$D$5,IF(int=Monthly,-$D$5,IF(int=Quarterly,0,IF(int=Yearly,0,IF(int=None,0,0))))))</f>
        <v>-100</v>
      </c>
      <c r="G399" s="46"/>
      <c r="H399" s="46">
        <f t="shared" si="153"/>
        <v>-9250</v>
      </c>
      <c r="I399" s="47"/>
      <c r="J399" s="38">
        <f t="shared" si="140"/>
        <v>3.9432175101254923</v>
      </c>
      <c r="K399" s="48"/>
      <c r="L399" s="48">
        <f t="shared" si="145"/>
        <v>335.64259418204</v>
      </c>
      <c r="M399" s="48"/>
      <c r="N399" s="38">
        <f t="shared" si="146"/>
        <v>0</v>
      </c>
      <c r="O399" s="36">
        <f t="shared" si="147"/>
        <v>0</v>
      </c>
      <c r="P399" s="84">
        <f t="shared" si="148"/>
        <v>-11113.905657501358</v>
      </c>
      <c r="Q399" s="38">
        <f t="shared" si="149"/>
        <v>0</v>
      </c>
      <c r="R399" s="48">
        <f t="shared" si="150"/>
        <v>65.825828198826557</v>
      </c>
      <c r="S399" s="38">
        <f t="shared" si="141"/>
        <v>401.46842238086657</v>
      </c>
      <c r="T399" s="50">
        <f t="shared" si="154"/>
        <v>9250</v>
      </c>
      <c r="U399" s="40">
        <f t="shared" si="155"/>
        <v>8511.8965240991292</v>
      </c>
      <c r="V399" s="41">
        <f t="shared" si="156"/>
        <v>-7.9794970367661699E-2</v>
      </c>
      <c r="W399" s="39">
        <f t="shared" si="157"/>
        <v>-738.10347590087076</v>
      </c>
      <c r="X399" s="50">
        <f t="shared" si="151"/>
        <v>1864.3744075176348</v>
      </c>
      <c r="Y399" s="41">
        <f t="shared" si="158"/>
        <v>0.12175901963424485</v>
      </c>
      <c r="Z399" s="52"/>
      <c r="AA399" s="50">
        <f t="shared" si="164"/>
        <v>11114.374407517635</v>
      </c>
      <c r="AB399" s="39">
        <f t="shared" si="165"/>
        <v>10181.239593047199</v>
      </c>
      <c r="AC399" s="39">
        <f t="shared" si="159"/>
        <v>-933.13481447043523</v>
      </c>
      <c r="AD399" s="41">
        <f t="shared" si="160"/>
        <v>-8.3957475270877491E-2</v>
      </c>
      <c r="AF399" s="46">
        <f t="shared" si="142"/>
        <v>-100</v>
      </c>
      <c r="AG399" s="46">
        <f t="shared" si="161"/>
        <v>-100</v>
      </c>
      <c r="AH399" s="54">
        <f t="shared" si="143"/>
        <v>2576</v>
      </c>
      <c r="AI399" s="55">
        <f t="shared" si="152"/>
        <v>0.59020044543429839</v>
      </c>
      <c r="AJ399" s="55">
        <f t="shared" si="162"/>
        <v>-59.02004454342984</v>
      </c>
      <c r="AK399" s="55">
        <f t="shared" si="163"/>
        <v>-59.02004454342984</v>
      </c>
    </row>
    <row r="400" spans="2:37" s="53" customFormat="1" ht="17.25" customHeight="1" x14ac:dyDescent="0.25">
      <c r="B400" s="91" t="str">
        <f t="shared" si="144"/>
        <v/>
      </c>
      <c r="C400" s="81">
        <f>IF(Sheet3!A371="","",Sheet3!A371)</f>
        <v>40210</v>
      </c>
      <c r="D400" s="82">
        <f>IF(C400="","",Sheet3!E371)</f>
        <v>25.24</v>
      </c>
      <c r="E400" s="56">
        <f>_xlfn.XLOOKUP(WEEKNUM(C400)&amp;YEAR(C400),Sheet4!C:C,Sheet4!B:B,0)</f>
        <v>0</v>
      </c>
      <c r="F400" s="46">
        <f>IF(int=Weekly,-$D$5,IF(int=Bi_Weekly,0,IF(int=Monthly,0,IF(int=Quarterly,0,IF(int=Yearly,0,IF(int=None,0,0))))))</f>
        <v>0</v>
      </c>
      <c r="G400" s="46"/>
      <c r="H400" s="46">
        <f t="shared" si="153"/>
        <v>-9250</v>
      </c>
      <c r="I400" s="47"/>
      <c r="J400" s="38">
        <f t="shared" si="140"/>
        <v>0</v>
      </c>
      <c r="K400" s="48"/>
      <c r="L400" s="48">
        <f t="shared" si="145"/>
        <v>335.64259418204</v>
      </c>
      <c r="M400" s="48"/>
      <c r="N400" s="38">
        <f t="shared" si="146"/>
        <v>0</v>
      </c>
      <c r="O400" s="36">
        <f t="shared" si="147"/>
        <v>0</v>
      </c>
      <c r="P400" s="84">
        <f t="shared" si="148"/>
        <v>-11113.905657501358</v>
      </c>
      <c r="Q400" s="38">
        <f t="shared" si="149"/>
        <v>0</v>
      </c>
      <c r="R400" s="48">
        <f t="shared" si="150"/>
        <v>65.825828198826557</v>
      </c>
      <c r="S400" s="38">
        <f t="shared" si="141"/>
        <v>401.46842238086657</v>
      </c>
      <c r="T400" s="50">
        <f t="shared" si="154"/>
        <v>9250</v>
      </c>
      <c r="U400" s="40">
        <f t="shared" si="155"/>
        <v>8471.6190771546899</v>
      </c>
      <c r="V400" s="41">
        <f t="shared" si="156"/>
        <v>-8.4149288956249735E-2</v>
      </c>
      <c r="W400" s="39">
        <f t="shared" si="157"/>
        <v>-778.38092284531012</v>
      </c>
      <c r="X400" s="50">
        <f t="shared" si="151"/>
        <v>1864.3744075176348</v>
      </c>
      <c r="Y400" s="41">
        <f t="shared" si="158"/>
        <v>0.1174047010456567</v>
      </c>
      <c r="Z400" s="52"/>
      <c r="AA400" s="50">
        <f t="shared" si="164"/>
        <v>11114.374407517635</v>
      </c>
      <c r="AB400" s="39">
        <f t="shared" si="165"/>
        <v>10133.062980893072</v>
      </c>
      <c r="AC400" s="39">
        <f t="shared" si="159"/>
        <v>-981.31142662456296</v>
      </c>
      <c r="AD400" s="41">
        <f t="shared" si="160"/>
        <v>-8.8292097300664563E-2</v>
      </c>
      <c r="AF400" s="46">
        <f t="shared" si="142"/>
        <v>0</v>
      </c>
      <c r="AG400" s="46">
        <f t="shared" si="161"/>
        <v>0</v>
      </c>
      <c r="AH400" s="54">
        <f t="shared" si="143"/>
        <v>2583</v>
      </c>
      <c r="AI400" s="55">
        <f t="shared" si="152"/>
        <v>0.58908685968819596</v>
      </c>
      <c r="AJ400" s="55">
        <f t="shared" si="162"/>
        <v>0</v>
      </c>
      <c r="AK400" s="55">
        <f t="shared" si="163"/>
        <v>0</v>
      </c>
    </row>
    <row r="401" spans="2:37" s="53" customFormat="1" ht="17.25" customHeight="1" x14ac:dyDescent="0.25">
      <c r="B401" s="91" t="str">
        <f t="shared" si="144"/>
        <v/>
      </c>
      <c r="C401" s="81">
        <f>IF(Sheet3!A372="","",Sheet3!A372)</f>
        <v>40217</v>
      </c>
      <c r="D401" s="82">
        <f>IF(C401="","",Sheet3!E372)</f>
        <v>25.07</v>
      </c>
      <c r="E401" s="56">
        <f>_xlfn.XLOOKUP(WEEKNUM(C401)&amp;YEAR(C401),Sheet4!C:C,Sheet4!B:B,0)</f>
        <v>0</v>
      </c>
      <c r="F401" s="46">
        <f>IF(int=Weekly,-$D$5,IF(int=Bi_Weekly,-$D$5,IF(int=Monthly,0,IF(int=Quarterly,0,IF(int=Yearly,0,IF(int=None,0,0))))))</f>
        <v>0</v>
      </c>
      <c r="G401" s="46"/>
      <c r="H401" s="46">
        <f t="shared" si="153"/>
        <v>-9250</v>
      </c>
      <c r="I401" s="47"/>
      <c r="J401" s="38">
        <f t="shared" si="140"/>
        <v>0</v>
      </c>
      <c r="K401" s="48"/>
      <c r="L401" s="48">
        <f t="shared" si="145"/>
        <v>335.64259418204</v>
      </c>
      <c r="M401" s="48"/>
      <c r="N401" s="38">
        <f t="shared" si="146"/>
        <v>0</v>
      </c>
      <c r="O401" s="36">
        <f t="shared" si="147"/>
        <v>0</v>
      </c>
      <c r="P401" s="84">
        <f t="shared" si="148"/>
        <v>-11113.905657501358</v>
      </c>
      <c r="Q401" s="38">
        <f t="shared" si="149"/>
        <v>0</v>
      </c>
      <c r="R401" s="48">
        <f t="shared" si="150"/>
        <v>65.825828198826557</v>
      </c>
      <c r="S401" s="38">
        <f t="shared" si="141"/>
        <v>401.46842238086657</v>
      </c>
      <c r="T401" s="50">
        <f t="shared" si="154"/>
        <v>9250</v>
      </c>
      <c r="U401" s="40">
        <f t="shared" si="155"/>
        <v>8414.5598361437424</v>
      </c>
      <c r="V401" s="41">
        <f t="shared" si="156"/>
        <v>-9.031785555202787E-2</v>
      </c>
      <c r="W401" s="39">
        <f t="shared" si="157"/>
        <v>-835.44016385625764</v>
      </c>
      <c r="X401" s="50">
        <f t="shared" si="151"/>
        <v>1864.3744075176348</v>
      </c>
      <c r="Y401" s="41">
        <f t="shared" si="158"/>
        <v>0.11123613444987868</v>
      </c>
      <c r="Z401" s="52"/>
      <c r="AA401" s="50">
        <f t="shared" si="164"/>
        <v>11114.374407517635</v>
      </c>
      <c r="AB401" s="39">
        <f t="shared" si="165"/>
        <v>10064.813349088325</v>
      </c>
      <c r="AC401" s="39">
        <f t="shared" si="159"/>
        <v>-1049.5610584293099</v>
      </c>
      <c r="AD401" s="41">
        <f t="shared" si="160"/>
        <v>-9.443276067066797E-2</v>
      </c>
      <c r="AF401" s="46">
        <f t="shared" si="142"/>
        <v>0</v>
      </c>
      <c r="AG401" s="46">
        <f t="shared" si="161"/>
        <v>0</v>
      </c>
      <c r="AH401" s="54">
        <f t="shared" si="143"/>
        <v>2590</v>
      </c>
      <c r="AI401" s="55">
        <f t="shared" si="152"/>
        <v>0.58797327394209353</v>
      </c>
      <c r="AJ401" s="55">
        <f t="shared" si="162"/>
        <v>0</v>
      </c>
      <c r="AK401" s="55">
        <f t="shared" si="163"/>
        <v>0</v>
      </c>
    </row>
    <row r="402" spans="2:37" s="53" customFormat="1" ht="17.25" customHeight="1" x14ac:dyDescent="0.25">
      <c r="B402" s="91" t="str">
        <f t="shared" si="144"/>
        <v/>
      </c>
      <c r="C402" s="81">
        <f>IF(Sheet3!A373="","",Sheet3!A373)</f>
        <v>40224</v>
      </c>
      <c r="D402" s="82">
        <f>IF(C402="","",Sheet3!E373)</f>
        <v>25.1</v>
      </c>
      <c r="E402" s="56">
        <f>_xlfn.XLOOKUP(WEEKNUM(C402)&amp;YEAR(C402),Sheet4!C:C,Sheet4!B:B,0)</f>
        <v>0</v>
      </c>
      <c r="F402" s="46">
        <f>IF(int=Weekly,-$D$5,IF(int=Bi_Weekly,0,IF(int=Monthly,0,IF(int=Quarterly,0,IF(int=Yearly,0,IF(int=None,0,0))))))</f>
        <v>0</v>
      </c>
      <c r="G402" s="46"/>
      <c r="H402" s="46">
        <f t="shared" si="153"/>
        <v>-9250</v>
      </c>
      <c r="I402" s="47"/>
      <c r="J402" s="38">
        <f t="shared" si="140"/>
        <v>0</v>
      </c>
      <c r="K402" s="48"/>
      <c r="L402" s="48">
        <f t="shared" si="145"/>
        <v>335.64259418204</v>
      </c>
      <c r="M402" s="48"/>
      <c r="N402" s="38">
        <f t="shared" si="146"/>
        <v>0</v>
      </c>
      <c r="O402" s="36">
        <f t="shared" si="147"/>
        <v>0</v>
      </c>
      <c r="P402" s="84">
        <f t="shared" si="148"/>
        <v>-11113.905657501358</v>
      </c>
      <c r="Q402" s="38">
        <f t="shared" si="149"/>
        <v>0</v>
      </c>
      <c r="R402" s="48">
        <f t="shared" si="150"/>
        <v>65.825828198826557</v>
      </c>
      <c r="S402" s="38">
        <f t="shared" si="141"/>
        <v>401.46842238086657</v>
      </c>
      <c r="T402" s="50">
        <f t="shared" si="154"/>
        <v>9250</v>
      </c>
      <c r="U402" s="40">
        <f t="shared" si="155"/>
        <v>8424.6291139692039</v>
      </c>
      <c r="V402" s="41">
        <f t="shared" si="156"/>
        <v>-8.9229284976302337E-2</v>
      </c>
      <c r="W402" s="39">
        <f t="shared" si="157"/>
        <v>-825.3708860307961</v>
      </c>
      <c r="X402" s="50">
        <f t="shared" si="151"/>
        <v>1864.3744075176348</v>
      </c>
      <c r="Y402" s="41">
        <f t="shared" si="158"/>
        <v>0.11232470502560421</v>
      </c>
      <c r="Z402" s="52"/>
      <c r="AA402" s="50">
        <f t="shared" si="164"/>
        <v>11114.374407517635</v>
      </c>
      <c r="AB402" s="39">
        <f t="shared" si="165"/>
        <v>10076.857401759751</v>
      </c>
      <c r="AC402" s="39">
        <f t="shared" si="159"/>
        <v>-1037.5170057578835</v>
      </c>
      <c r="AD402" s="41">
        <f t="shared" si="160"/>
        <v>-9.3349114193608473E-2</v>
      </c>
      <c r="AF402" s="46">
        <f t="shared" si="142"/>
        <v>0</v>
      </c>
      <c r="AG402" s="46">
        <f t="shared" si="161"/>
        <v>0</v>
      </c>
      <c r="AH402" s="54">
        <f t="shared" si="143"/>
        <v>2597</v>
      </c>
      <c r="AI402" s="55">
        <f t="shared" si="152"/>
        <v>0.5868596881959911</v>
      </c>
      <c r="AJ402" s="55">
        <f t="shared" si="162"/>
        <v>0</v>
      </c>
      <c r="AK402" s="55">
        <f t="shared" si="163"/>
        <v>0</v>
      </c>
    </row>
    <row r="403" spans="2:37" s="53" customFormat="1" ht="17.25" customHeight="1" x14ac:dyDescent="0.25">
      <c r="B403" s="91" t="str">
        <f t="shared" si="144"/>
        <v/>
      </c>
      <c r="C403" s="81">
        <f>IF(Sheet3!A374="","",Sheet3!A374)</f>
        <v>40231</v>
      </c>
      <c r="D403" s="82">
        <f>IF(C403="","",Sheet3!E374)</f>
        <v>24.809999000000001</v>
      </c>
      <c r="E403" s="56">
        <f>_xlfn.XLOOKUP(WEEKNUM(C403)&amp;YEAR(C403),Sheet4!C:C,Sheet4!B:B,0)</f>
        <v>0</v>
      </c>
      <c r="F403" s="46">
        <f>IF(int=Weekly,-$D$5,IF(int=Bi_Weekly,-$D$5,IF(int=Monthly,-$D$5,IF(int=Quarterly,0,IF(int=Yearly,0,IF(int=None,0,0))))))</f>
        <v>-100</v>
      </c>
      <c r="G403" s="46"/>
      <c r="H403" s="46">
        <f t="shared" si="153"/>
        <v>-9350</v>
      </c>
      <c r="I403" s="47"/>
      <c r="J403" s="38">
        <f t="shared" si="140"/>
        <v>4.0306329718110829</v>
      </c>
      <c r="K403" s="48"/>
      <c r="L403" s="48">
        <f t="shared" si="145"/>
        <v>339.67322715385109</v>
      </c>
      <c r="M403" s="48"/>
      <c r="N403" s="38">
        <f t="shared" si="146"/>
        <v>0</v>
      </c>
      <c r="O403" s="36">
        <f t="shared" si="147"/>
        <v>0</v>
      </c>
      <c r="P403" s="84">
        <f t="shared" si="148"/>
        <v>-11213.905657501358</v>
      </c>
      <c r="Q403" s="38">
        <f t="shared" si="149"/>
        <v>0</v>
      </c>
      <c r="R403" s="48">
        <f t="shared" si="150"/>
        <v>65.825828198826557</v>
      </c>
      <c r="S403" s="38">
        <f t="shared" si="141"/>
        <v>405.49905535267766</v>
      </c>
      <c r="T403" s="50">
        <f t="shared" si="154"/>
        <v>9350</v>
      </c>
      <c r="U403" s="40">
        <f t="shared" si="155"/>
        <v>8427.2924260138188</v>
      </c>
      <c r="V403" s="41">
        <f t="shared" si="156"/>
        <v>-9.8685302030607658E-2</v>
      </c>
      <c r="W403" s="39">
        <f t="shared" si="157"/>
        <v>-922.70757398618116</v>
      </c>
      <c r="X403" s="50">
        <f t="shared" si="151"/>
        <v>1864.3744075176348</v>
      </c>
      <c r="Y403" s="41">
        <f t="shared" si="158"/>
        <v>0.10071303032421963</v>
      </c>
      <c r="Z403" s="52"/>
      <c r="AA403" s="50">
        <f t="shared" si="164"/>
        <v>11214.374407517635</v>
      </c>
      <c r="AB403" s="39">
        <f t="shared" si="165"/>
        <v>10060.431157800878</v>
      </c>
      <c r="AC403" s="39">
        <f t="shared" si="159"/>
        <v>-1153.9432497167563</v>
      </c>
      <c r="AD403" s="41">
        <f t="shared" si="160"/>
        <v>-0.10289858424409326</v>
      </c>
      <c r="AF403" s="46">
        <f t="shared" si="142"/>
        <v>-100</v>
      </c>
      <c r="AG403" s="46">
        <f t="shared" si="161"/>
        <v>-100</v>
      </c>
      <c r="AH403" s="54">
        <f t="shared" si="143"/>
        <v>2604</v>
      </c>
      <c r="AI403" s="55">
        <f t="shared" si="152"/>
        <v>0.58574610244988867</v>
      </c>
      <c r="AJ403" s="55">
        <f t="shared" si="162"/>
        <v>-58.574610244988868</v>
      </c>
      <c r="AK403" s="55">
        <f t="shared" si="163"/>
        <v>-58.574610244988868</v>
      </c>
    </row>
    <row r="404" spans="2:37" s="53" customFormat="1" ht="17.25" customHeight="1" x14ac:dyDescent="0.25">
      <c r="B404" s="91" t="str">
        <f t="shared" si="144"/>
        <v/>
      </c>
      <c r="C404" s="81">
        <f>IF(Sheet3!A375="","",Sheet3!A375)</f>
        <v>40238</v>
      </c>
      <c r="D404" s="82">
        <f>IF(C404="","",Sheet3!E375)</f>
        <v>24.99</v>
      </c>
      <c r="E404" s="56">
        <f>_xlfn.XLOOKUP(WEEKNUM(C404)&amp;YEAR(C404),Sheet4!C:C,Sheet4!B:B,0)</f>
        <v>0</v>
      </c>
      <c r="F404" s="46">
        <f>IF(int=Weekly,-$D$5,IF(int=Bi_Weekly,0,IF(int=Monthly,0,IF(int=Quarterly,0,IF(int=Yearly,0,IF(int=None,0,0))))))</f>
        <v>0</v>
      </c>
      <c r="G404" s="46"/>
      <c r="H404" s="46">
        <f t="shared" si="153"/>
        <v>-9350</v>
      </c>
      <c r="I404" s="47"/>
      <c r="J404" s="38">
        <f t="shared" si="140"/>
        <v>0</v>
      </c>
      <c r="K404" s="48"/>
      <c r="L404" s="48">
        <f t="shared" si="145"/>
        <v>339.67322715385109</v>
      </c>
      <c r="M404" s="48"/>
      <c r="N404" s="38">
        <f t="shared" si="146"/>
        <v>0</v>
      </c>
      <c r="O404" s="36">
        <f t="shared" si="147"/>
        <v>0</v>
      </c>
      <c r="P404" s="84">
        <f t="shared" si="148"/>
        <v>-11213.905657501358</v>
      </c>
      <c r="Q404" s="38">
        <f t="shared" si="149"/>
        <v>0</v>
      </c>
      <c r="R404" s="48">
        <f t="shared" si="150"/>
        <v>65.825828198826557</v>
      </c>
      <c r="S404" s="38">
        <f t="shared" si="141"/>
        <v>405.49905535267766</v>
      </c>
      <c r="T404" s="50">
        <f t="shared" si="154"/>
        <v>9350</v>
      </c>
      <c r="U404" s="40">
        <f t="shared" si="155"/>
        <v>8488.433946574738</v>
      </c>
      <c r="V404" s="41">
        <f t="shared" si="156"/>
        <v>-9.2146101970616234E-2</v>
      </c>
      <c r="W404" s="39">
        <f t="shared" si="157"/>
        <v>-861.566053425262</v>
      </c>
      <c r="X404" s="50">
        <f t="shared" si="151"/>
        <v>1864.3744075176348</v>
      </c>
      <c r="Y404" s="41">
        <f t="shared" si="158"/>
        <v>0.10725223038421094</v>
      </c>
      <c r="Z404" s="52"/>
      <c r="AA404" s="50">
        <f t="shared" si="164"/>
        <v>11214.374407517635</v>
      </c>
      <c r="AB404" s="39">
        <f t="shared" si="165"/>
        <v>10133.421393263414</v>
      </c>
      <c r="AC404" s="39">
        <f t="shared" si="159"/>
        <v>-1080.9530142542208</v>
      </c>
      <c r="AD404" s="41">
        <f t="shared" si="160"/>
        <v>-9.6389952303500448E-2</v>
      </c>
      <c r="AF404" s="46">
        <f t="shared" si="142"/>
        <v>0</v>
      </c>
      <c r="AG404" s="46">
        <f t="shared" si="161"/>
        <v>0</v>
      </c>
      <c r="AH404" s="54">
        <f t="shared" si="143"/>
        <v>2611</v>
      </c>
      <c r="AI404" s="55">
        <f t="shared" si="152"/>
        <v>0.58463251670378624</v>
      </c>
      <c r="AJ404" s="55">
        <f t="shared" si="162"/>
        <v>0</v>
      </c>
      <c r="AK404" s="55">
        <f t="shared" si="163"/>
        <v>0</v>
      </c>
    </row>
    <row r="405" spans="2:37" s="53" customFormat="1" ht="17.25" customHeight="1" x14ac:dyDescent="0.25">
      <c r="B405" s="91" t="str">
        <f t="shared" si="144"/>
        <v/>
      </c>
      <c r="C405" s="81">
        <f>IF(Sheet3!A376="","",Sheet3!A376)</f>
        <v>40245</v>
      </c>
      <c r="D405" s="82">
        <f>IF(C405="","",Sheet3!E376)</f>
        <v>25.620000999999998</v>
      </c>
      <c r="E405" s="56">
        <f>_xlfn.XLOOKUP(WEEKNUM(C405)&amp;YEAR(C405),Sheet4!C:C,Sheet4!B:B,0)</f>
        <v>0</v>
      </c>
      <c r="F405" s="46">
        <f>IF(int=Weekly,-$D$5,IF(int=Bi_Weekly,-$D$5,IF(int=Monthly,0,IF(int=Quarterly,0,IF(int=Yearly,0,IF(int=None,0,0))))))</f>
        <v>0</v>
      </c>
      <c r="G405" s="46"/>
      <c r="H405" s="46">
        <f t="shared" si="153"/>
        <v>-9350</v>
      </c>
      <c r="I405" s="47"/>
      <c r="J405" s="38">
        <f t="shared" si="140"/>
        <v>0</v>
      </c>
      <c r="K405" s="48"/>
      <c r="L405" s="48">
        <f t="shared" si="145"/>
        <v>339.67322715385109</v>
      </c>
      <c r="M405" s="48"/>
      <c r="N405" s="38">
        <f t="shared" si="146"/>
        <v>0</v>
      </c>
      <c r="O405" s="36">
        <f t="shared" si="147"/>
        <v>0</v>
      </c>
      <c r="P405" s="84">
        <f t="shared" si="148"/>
        <v>-11213.905657501358</v>
      </c>
      <c r="Q405" s="38">
        <f t="shared" si="149"/>
        <v>0</v>
      </c>
      <c r="R405" s="48">
        <f t="shared" si="150"/>
        <v>65.825828198826557</v>
      </c>
      <c r="S405" s="38">
        <f t="shared" si="141"/>
        <v>405.49905535267766</v>
      </c>
      <c r="T405" s="50">
        <f t="shared" si="154"/>
        <v>9350</v>
      </c>
      <c r="U405" s="40">
        <f t="shared" si="155"/>
        <v>8702.428419354892</v>
      </c>
      <c r="V405" s="41">
        <f t="shared" si="156"/>
        <v>-6.9258992582364454E-2</v>
      </c>
      <c r="W405" s="39">
        <f t="shared" si="157"/>
        <v>-647.57158064510804</v>
      </c>
      <c r="X405" s="50">
        <f t="shared" si="151"/>
        <v>1864.3744075176348</v>
      </c>
      <c r="Y405" s="41">
        <f t="shared" si="158"/>
        <v>0.13013933977246284</v>
      </c>
      <c r="Z405" s="52"/>
      <c r="AA405" s="50">
        <f t="shared" si="164"/>
        <v>11214.374407517635</v>
      </c>
      <c r="AB405" s="39">
        <f t="shared" si="165"/>
        <v>10388.886203634656</v>
      </c>
      <c r="AC405" s="39">
        <f t="shared" si="159"/>
        <v>-825.48820388297827</v>
      </c>
      <c r="AD405" s="41">
        <f t="shared" si="160"/>
        <v>-7.3609830908588747E-2</v>
      </c>
      <c r="AF405" s="46">
        <f t="shared" si="142"/>
        <v>0</v>
      </c>
      <c r="AG405" s="46">
        <f t="shared" si="161"/>
        <v>0</v>
      </c>
      <c r="AH405" s="54">
        <f t="shared" si="143"/>
        <v>2618</v>
      </c>
      <c r="AI405" s="55">
        <f t="shared" si="152"/>
        <v>0.5835189309576837</v>
      </c>
      <c r="AJ405" s="55">
        <f t="shared" si="162"/>
        <v>0</v>
      </c>
      <c r="AK405" s="55">
        <f t="shared" si="163"/>
        <v>0</v>
      </c>
    </row>
    <row r="406" spans="2:37" s="53" customFormat="1" ht="17.25" customHeight="1" x14ac:dyDescent="0.25">
      <c r="B406" s="91" t="str">
        <f t="shared" si="144"/>
        <v/>
      </c>
      <c r="C406" s="81">
        <f>IF(Sheet3!A377="","",Sheet3!A377)</f>
        <v>40252</v>
      </c>
      <c r="D406" s="82">
        <f>IF(C406="","",Sheet3!E377)</f>
        <v>26.24</v>
      </c>
      <c r="E406" s="56">
        <f>_xlfn.XLOOKUP(WEEKNUM(C406)&amp;YEAR(C406),Sheet4!C:C,Sheet4!B:B,0)</f>
        <v>0</v>
      </c>
      <c r="F406" s="46">
        <f>IF(int=Weekly,-$D$5,IF(int=Bi_Weekly,0,IF(int=Monthly,0,IF(int=Quarterly,0,IF(int=Yearly,0,IF(int=None,0,0))))))</f>
        <v>0</v>
      </c>
      <c r="G406" s="46"/>
      <c r="H406" s="46">
        <f t="shared" si="153"/>
        <v>-9350</v>
      </c>
      <c r="I406" s="47"/>
      <c r="J406" s="38">
        <f t="shared" si="140"/>
        <v>0</v>
      </c>
      <c r="K406" s="48"/>
      <c r="L406" s="48">
        <f t="shared" si="145"/>
        <v>339.67322715385109</v>
      </c>
      <c r="M406" s="48"/>
      <c r="N406" s="38">
        <f t="shared" si="146"/>
        <v>0</v>
      </c>
      <c r="O406" s="36">
        <f t="shared" si="147"/>
        <v>0</v>
      </c>
      <c r="P406" s="84">
        <f t="shared" si="148"/>
        <v>-11213.905657501358</v>
      </c>
      <c r="Q406" s="38">
        <f t="shared" si="149"/>
        <v>0</v>
      </c>
      <c r="R406" s="48">
        <f t="shared" si="150"/>
        <v>65.825828198826557</v>
      </c>
      <c r="S406" s="38">
        <f t="shared" si="141"/>
        <v>405.49905535267766</v>
      </c>
      <c r="T406" s="50">
        <f t="shared" si="154"/>
        <v>9350</v>
      </c>
      <c r="U406" s="40">
        <f t="shared" si="155"/>
        <v>8913.0254805170516</v>
      </c>
      <c r="V406" s="41">
        <f t="shared" si="156"/>
        <v>-4.6735242725449044E-2</v>
      </c>
      <c r="W406" s="39">
        <f t="shared" si="157"/>
        <v>-436.97451948294838</v>
      </c>
      <c r="X406" s="50">
        <f t="shared" si="151"/>
        <v>1864.3744075176348</v>
      </c>
      <c r="Y406" s="41">
        <f t="shared" si="158"/>
        <v>0.15266308962937813</v>
      </c>
      <c r="Z406" s="52"/>
      <c r="AA406" s="50">
        <f t="shared" si="164"/>
        <v>11214.374407517635</v>
      </c>
      <c r="AB406" s="39">
        <f t="shared" si="165"/>
        <v>10640.295212454261</v>
      </c>
      <c r="AC406" s="39">
        <f t="shared" si="159"/>
        <v>-574.07919506337385</v>
      </c>
      <c r="AD406" s="41">
        <f t="shared" si="160"/>
        <v>-5.1191370485948462E-2</v>
      </c>
      <c r="AF406" s="46">
        <f t="shared" si="142"/>
        <v>0</v>
      </c>
      <c r="AG406" s="46">
        <f t="shared" si="161"/>
        <v>0</v>
      </c>
      <c r="AH406" s="54">
        <f t="shared" si="143"/>
        <v>2625</v>
      </c>
      <c r="AI406" s="55">
        <f t="shared" si="152"/>
        <v>0.58240534521158127</v>
      </c>
      <c r="AJ406" s="55">
        <f t="shared" si="162"/>
        <v>0</v>
      </c>
      <c r="AK406" s="55">
        <f t="shared" si="163"/>
        <v>0</v>
      </c>
    </row>
    <row r="407" spans="2:37" s="53" customFormat="1" ht="17.25" customHeight="1" x14ac:dyDescent="0.25">
      <c r="B407" s="91" t="str">
        <f t="shared" si="144"/>
        <v/>
      </c>
      <c r="C407" s="81">
        <f>IF(Sheet3!A378="","",Sheet3!A378)</f>
        <v>40259</v>
      </c>
      <c r="D407" s="82">
        <f>IF(C407="","",Sheet3!E378)</f>
        <v>26.24</v>
      </c>
      <c r="E407" s="56">
        <f>_xlfn.XLOOKUP(WEEKNUM(C407)&amp;YEAR(C407),Sheet4!C:C,Sheet4!B:B,0)</f>
        <v>0</v>
      </c>
      <c r="F407" s="46">
        <f>IF(int=Weekly,-$D$5,IF(int=Bi_Weekly,-$D$5,IF(int=Monthly,-$D$5,IF(int=Quarterly,0,IF(int=Yearly,0,IF(int=None,0,0))))))</f>
        <v>-100</v>
      </c>
      <c r="G407" s="46"/>
      <c r="H407" s="46">
        <f t="shared" si="153"/>
        <v>-9450</v>
      </c>
      <c r="I407" s="47"/>
      <c r="J407" s="38">
        <f t="shared" si="140"/>
        <v>3.8109756097560976</v>
      </c>
      <c r="K407" s="48"/>
      <c r="L407" s="48">
        <f t="shared" si="145"/>
        <v>343.48420276360719</v>
      </c>
      <c r="M407" s="48"/>
      <c r="N407" s="38">
        <f t="shared" si="146"/>
        <v>0</v>
      </c>
      <c r="O407" s="36">
        <f t="shared" si="147"/>
        <v>0</v>
      </c>
      <c r="P407" s="84">
        <f t="shared" si="148"/>
        <v>-11313.905657501358</v>
      </c>
      <c r="Q407" s="38">
        <f t="shared" si="149"/>
        <v>0</v>
      </c>
      <c r="R407" s="48">
        <f t="shared" si="150"/>
        <v>65.825828198826557</v>
      </c>
      <c r="S407" s="38">
        <f t="shared" si="141"/>
        <v>409.31003096243376</v>
      </c>
      <c r="T407" s="50">
        <f t="shared" si="154"/>
        <v>9450</v>
      </c>
      <c r="U407" s="40">
        <f t="shared" si="155"/>
        <v>9013.0254805170516</v>
      </c>
      <c r="V407" s="41">
        <f t="shared" si="156"/>
        <v>-4.6240689892375508E-2</v>
      </c>
      <c r="W407" s="39">
        <f t="shared" si="157"/>
        <v>-436.97451948294838</v>
      </c>
      <c r="X407" s="50">
        <f t="shared" si="151"/>
        <v>1864.3744075176348</v>
      </c>
      <c r="Y407" s="41">
        <f t="shared" si="158"/>
        <v>0.15104760719943777</v>
      </c>
      <c r="Z407" s="52"/>
      <c r="AA407" s="50">
        <f t="shared" si="164"/>
        <v>11314.374407517635</v>
      </c>
      <c r="AB407" s="39">
        <f t="shared" si="165"/>
        <v>10740.295212454261</v>
      </c>
      <c r="AC407" s="39">
        <f t="shared" si="159"/>
        <v>-574.07919506337385</v>
      </c>
      <c r="AD407" s="41">
        <f t="shared" si="160"/>
        <v>-5.0738925051122319E-2</v>
      </c>
      <c r="AF407" s="46">
        <f t="shared" si="142"/>
        <v>-100</v>
      </c>
      <c r="AG407" s="46">
        <f t="shared" si="161"/>
        <v>-100</v>
      </c>
      <c r="AH407" s="54">
        <f t="shared" si="143"/>
        <v>2632</v>
      </c>
      <c r="AI407" s="55">
        <f t="shared" si="152"/>
        <v>0.58129175946547884</v>
      </c>
      <c r="AJ407" s="55">
        <f t="shared" si="162"/>
        <v>-58.129175946547882</v>
      </c>
      <c r="AK407" s="55">
        <f t="shared" si="163"/>
        <v>-58.129175946547882</v>
      </c>
    </row>
    <row r="408" spans="2:37" s="53" customFormat="1" ht="17.25" customHeight="1" x14ac:dyDescent="0.25">
      <c r="B408" s="91" t="str">
        <f t="shared" si="144"/>
        <v/>
      </c>
      <c r="C408" s="81">
        <f>IF(Sheet3!A379="","",Sheet3!A379)</f>
        <v>40266</v>
      </c>
      <c r="D408" s="82">
        <f>IF(C408="","",Sheet3!E379)</f>
        <v>26.110001</v>
      </c>
      <c r="E408" s="56">
        <f>_xlfn.XLOOKUP(WEEKNUM(C408)&amp;YEAR(C408),Sheet4!C:C,Sheet4!B:B,0)</f>
        <v>0</v>
      </c>
      <c r="F408" s="46">
        <f>IF(int=Weekly,-$D$5,IF(int=Bi_Weekly,0,IF(int=Monthly,0,IF(int=Quarterly,-$D$5,IF(int=Yearly,0,IF(int=None,0,0))))))</f>
        <v>0</v>
      </c>
      <c r="G408" s="46"/>
      <c r="H408" s="46">
        <f t="shared" si="153"/>
        <v>-9450</v>
      </c>
      <c r="I408" s="47"/>
      <c r="J408" s="38">
        <f t="shared" si="140"/>
        <v>0</v>
      </c>
      <c r="K408" s="48"/>
      <c r="L408" s="48">
        <f t="shared" si="145"/>
        <v>343.48420276360719</v>
      </c>
      <c r="M408" s="48"/>
      <c r="N408" s="38">
        <f t="shared" si="146"/>
        <v>0</v>
      </c>
      <c r="O408" s="36">
        <f t="shared" si="147"/>
        <v>0</v>
      </c>
      <c r="P408" s="84">
        <f t="shared" si="148"/>
        <v>-11313.905657501358</v>
      </c>
      <c r="Q408" s="38">
        <f t="shared" si="149"/>
        <v>0</v>
      </c>
      <c r="R408" s="48">
        <f t="shared" si="150"/>
        <v>65.825828198826557</v>
      </c>
      <c r="S408" s="38">
        <f t="shared" si="141"/>
        <v>409.31003096243376</v>
      </c>
      <c r="T408" s="50">
        <f t="shared" si="154"/>
        <v>9450</v>
      </c>
      <c r="U408" s="40">
        <f t="shared" si="155"/>
        <v>8968.3728776419866</v>
      </c>
      <c r="V408" s="41">
        <f t="shared" si="156"/>
        <v>-5.0965833053758014E-2</v>
      </c>
      <c r="W408" s="39">
        <f t="shared" si="157"/>
        <v>-481.62712235801337</v>
      </c>
      <c r="X408" s="50">
        <f t="shared" si="151"/>
        <v>1864.3744075176348</v>
      </c>
      <c r="Y408" s="41">
        <f t="shared" si="158"/>
        <v>0.14632246403805516</v>
      </c>
      <c r="Z408" s="52"/>
      <c r="AA408" s="50">
        <f t="shared" si="164"/>
        <v>11314.374407517635</v>
      </c>
      <c r="AB408" s="39">
        <f t="shared" si="165"/>
        <v>10687.085317739176</v>
      </c>
      <c r="AC408" s="39">
        <f t="shared" si="159"/>
        <v>-627.28908977845822</v>
      </c>
      <c r="AD408" s="41">
        <f t="shared" si="160"/>
        <v>-5.5441782920111482E-2</v>
      </c>
      <c r="AF408" s="46">
        <f t="shared" si="142"/>
        <v>0</v>
      </c>
      <c r="AG408" s="46">
        <f t="shared" si="161"/>
        <v>0</v>
      </c>
      <c r="AH408" s="54">
        <f t="shared" si="143"/>
        <v>2639</v>
      </c>
      <c r="AI408" s="55">
        <f t="shared" si="152"/>
        <v>0.58017817371937641</v>
      </c>
      <c r="AJ408" s="55">
        <f t="shared" si="162"/>
        <v>0</v>
      </c>
      <c r="AK408" s="55">
        <f t="shared" si="163"/>
        <v>0</v>
      </c>
    </row>
    <row r="409" spans="2:37" s="53" customFormat="1" ht="17.25" customHeight="1" x14ac:dyDescent="0.25">
      <c r="B409" s="91" t="str">
        <f t="shared" si="144"/>
        <v/>
      </c>
      <c r="C409" s="81">
        <f>IF(Sheet3!A380="","",Sheet3!A380)</f>
        <v>40273</v>
      </c>
      <c r="D409" s="82">
        <f>IF(C409="","",Sheet3!E380)</f>
        <v>26.440000999999999</v>
      </c>
      <c r="E409" s="56">
        <f>_xlfn.XLOOKUP(WEEKNUM(C409)&amp;YEAR(C409),Sheet4!C:C,Sheet4!B:B,0)</f>
        <v>0.42</v>
      </c>
      <c r="F409" s="46">
        <f>IF(int=Weekly,-$D$5,IF(int=Bi_Weekly,-$D$5,IF(int=Monthly,0,IF(int=Quarterly,0,IF(int=Yearly,0,IF(int=None,0,0))))))</f>
        <v>0</v>
      </c>
      <c r="G409" s="46"/>
      <c r="H409" s="46">
        <f t="shared" si="153"/>
        <v>-9450</v>
      </c>
      <c r="I409" s="47"/>
      <c r="J409" s="38">
        <f t="shared" si="140"/>
        <v>0</v>
      </c>
      <c r="K409" s="48"/>
      <c r="L409" s="48">
        <f t="shared" si="145"/>
        <v>343.48420276360719</v>
      </c>
      <c r="M409" s="48"/>
      <c r="N409" s="38">
        <f t="shared" si="146"/>
        <v>144.26336516071501</v>
      </c>
      <c r="O409" s="36">
        <f t="shared" si="147"/>
        <v>-144.26336516071501</v>
      </c>
      <c r="P409" s="84">
        <f t="shared" si="148"/>
        <v>-11458.169022662074</v>
      </c>
      <c r="Q409" s="38">
        <f t="shared" si="149"/>
        <v>5.4562541491853578</v>
      </c>
      <c r="R409" s="48">
        <f t="shared" si="150"/>
        <v>71.282082348011912</v>
      </c>
      <c r="S409" s="38">
        <f t="shared" si="141"/>
        <v>414.76628511161908</v>
      </c>
      <c r="T409" s="50">
        <f t="shared" si="154"/>
        <v>9450</v>
      </c>
      <c r="U409" s="40">
        <f t="shared" si="155"/>
        <v>9081.7226645539758</v>
      </c>
      <c r="V409" s="41">
        <f t="shared" si="156"/>
        <v>-3.8971146608044904E-2</v>
      </c>
      <c r="W409" s="39">
        <f t="shared" si="157"/>
        <v>-368.27733544602415</v>
      </c>
      <c r="X409" s="50">
        <f t="shared" si="151"/>
        <v>2008.6377726783498</v>
      </c>
      <c r="Y409" s="41">
        <f t="shared" si="158"/>
        <v>0.17358311505103985</v>
      </c>
      <c r="Z409" s="52"/>
      <c r="AA409" s="50">
        <f t="shared" si="164"/>
        <v>11458.63777267835</v>
      </c>
      <c r="AB409" s="39">
        <f t="shared" si="165"/>
        <v>10966.420993117494</v>
      </c>
      <c r="AC409" s="39">
        <f t="shared" si="159"/>
        <v>-492.21677956085659</v>
      </c>
      <c r="AD409" s="41">
        <f t="shared" si="160"/>
        <v>-4.295595945396613E-2</v>
      </c>
      <c r="AF409" s="46">
        <f t="shared" si="142"/>
        <v>144.26336516071501</v>
      </c>
      <c r="AG409" s="46">
        <f t="shared" si="161"/>
        <v>0</v>
      </c>
      <c r="AH409" s="54">
        <f t="shared" si="143"/>
        <v>2646</v>
      </c>
      <c r="AI409" s="55">
        <f t="shared" si="152"/>
        <v>0.57906458797327398</v>
      </c>
      <c r="AJ409" s="55">
        <f t="shared" si="162"/>
        <v>83.537806106427411</v>
      </c>
      <c r="AK409" s="55">
        <f t="shared" si="163"/>
        <v>0</v>
      </c>
    </row>
    <row r="410" spans="2:37" s="53" customFormat="1" ht="17.25" customHeight="1" x14ac:dyDescent="0.25">
      <c r="B410" s="91" t="str">
        <f t="shared" si="144"/>
        <v/>
      </c>
      <c r="C410" s="81">
        <f>IF(Sheet3!A381="","",Sheet3!A381)</f>
        <v>40280</v>
      </c>
      <c r="D410" s="82">
        <f>IF(C410="","",Sheet3!E381)</f>
        <v>25.93</v>
      </c>
      <c r="E410" s="56">
        <f>_xlfn.XLOOKUP(WEEKNUM(C410)&amp;YEAR(C410),Sheet4!C:C,Sheet4!B:B,0)</f>
        <v>0</v>
      </c>
      <c r="F410" s="46">
        <f>IF(int=Weekly,-$D$5,IF(int=Bi_Weekly,0,IF(int=Monthly,0,IF(int=Quarterly,0,IF(int=Yearly,0,IF(int=None,0,0))))))</f>
        <v>0</v>
      </c>
      <c r="G410" s="46"/>
      <c r="H410" s="46">
        <f t="shared" si="153"/>
        <v>-9450</v>
      </c>
      <c r="I410" s="47"/>
      <c r="J410" s="38">
        <f t="shared" si="140"/>
        <v>0</v>
      </c>
      <c r="K410" s="48"/>
      <c r="L410" s="48">
        <f t="shared" si="145"/>
        <v>343.48420276360719</v>
      </c>
      <c r="M410" s="48"/>
      <c r="N410" s="38">
        <f t="shared" si="146"/>
        <v>0</v>
      </c>
      <c r="O410" s="36">
        <f t="shared" si="147"/>
        <v>0</v>
      </c>
      <c r="P410" s="84">
        <f t="shared" si="148"/>
        <v>-11458.169022662074</v>
      </c>
      <c r="Q410" s="38">
        <f t="shared" si="149"/>
        <v>0</v>
      </c>
      <c r="R410" s="48">
        <f t="shared" si="150"/>
        <v>71.282082348011912</v>
      </c>
      <c r="S410" s="38">
        <f t="shared" si="141"/>
        <v>414.76628511161908</v>
      </c>
      <c r="T410" s="50">
        <f t="shared" si="154"/>
        <v>9450</v>
      </c>
      <c r="U410" s="40">
        <f t="shared" si="155"/>
        <v>8906.5453776603335</v>
      </c>
      <c r="V410" s="41">
        <f t="shared" si="156"/>
        <v>-5.7508425644409167E-2</v>
      </c>
      <c r="W410" s="39">
        <f t="shared" si="157"/>
        <v>-543.45462233966646</v>
      </c>
      <c r="X410" s="50">
        <f t="shared" si="151"/>
        <v>2008.6377726783498</v>
      </c>
      <c r="Y410" s="41">
        <f t="shared" si="158"/>
        <v>0.15504583601467559</v>
      </c>
      <c r="Z410" s="52"/>
      <c r="AA410" s="50">
        <f t="shared" si="164"/>
        <v>11458.63777267835</v>
      </c>
      <c r="AB410" s="39">
        <f t="shared" si="165"/>
        <v>10754.889772944283</v>
      </c>
      <c r="AC410" s="39">
        <f t="shared" si="159"/>
        <v>-703.74799973406698</v>
      </c>
      <c r="AD410" s="41">
        <f t="shared" si="160"/>
        <v>-6.1416375462366335E-2</v>
      </c>
      <c r="AF410" s="46">
        <f t="shared" si="142"/>
        <v>0</v>
      </c>
      <c r="AG410" s="46">
        <f t="shared" si="161"/>
        <v>0</v>
      </c>
      <c r="AH410" s="54">
        <f t="shared" si="143"/>
        <v>2653</v>
      </c>
      <c r="AI410" s="55">
        <f t="shared" si="152"/>
        <v>0.57795100222717144</v>
      </c>
      <c r="AJ410" s="55">
        <f t="shared" si="162"/>
        <v>0</v>
      </c>
      <c r="AK410" s="55">
        <f t="shared" si="163"/>
        <v>0</v>
      </c>
    </row>
    <row r="411" spans="2:37" s="53" customFormat="1" ht="17.25" customHeight="1" x14ac:dyDescent="0.25">
      <c r="B411" s="91" t="str">
        <f t="shared" si="144"/>
        <v/>
      </c>
      <c r="C411" s="81">
        <f>IF(Sheet3!A382="","",Sheet3!A382)</f>
        <v>40287</v>
      </c>
      <c r="D411" s="82">
        <f>IF(C411="","",Sheet3!E382)</f>
        <v>26.25</v>
      </c>
      <c r="E411" s="56">
        <f>_xlfn.XLOOKUP(WEEKNUM(C411)&amp;YEAR(C411),Sheet4!C:C,Sheet4!B:B,0)</f>
        <v>0</v>
      </c>
      <c r="F411" s="46">
        <f>IF(int=Weekly,-$D$5,IF(int=Bi_Weekly,-$D$5,IF(int=Monthly,-$D$5,IF(int=Quarterly,0,IF(int=Yearly,0,IF(int=None,0,0))))))</f>
        <v>-100</v>
      </c>
      <c r="G411" s="46"/>
      <c r="H411" s="46">
        <f t="shared" si="153"/>
        <v>-9550</v>
      </c>
      <c r="I411" s="47"/>
      <c r="J411" s="38">
        <f t="shared" si="140"/>
        <v>3.8095238095238093</v>
      </c>
      <c r="K411" s="48"/>
      <c r="L411" s="48">
        <f t="shared" si="145"/>
        <v>347.29372657313098</v>
      </c>
      <c r="M411" s="48"/>
      <c r="N411" s="38">
        <f t="shared" si="146"/>
        <v>0</v>
      </c>
      <c r="O411" s="36">
        <f t="shared" si="147"/>
        <v>0</v>
      </c>
      <c r="P411" s="84">
        <f t="shared" si="148"/>
        <v>-11558.169022662074</v>
      </c>
      <c r="Q411" s="38">
        <f t="shared" si="149"/>
        <v>0</v>
      </c>
      <c r="R411" s="48">
        <f t="shared" si="150"/>
        <v>71.282082348011912</v>
      </c>
      <c r="S411" s="38">
        <f t="shared" si="141"/>
        <v>418.57580892114288</v>
      </c>
      <c r="T411" s="50">
        <f t="shared" si="154"/>
        <v>9550</v>
      </c>
      <c r="U411" s="40">
        <f t="shared" si="155"/>
        <v>9116.4603225446881</v>
      </c>
      <c r="V411" s="41">
        <f t="shared" si="156"/>
        <v>-4.5396824864430529E-2</v>
      </c>
      <c r="W411" s="39">
        <f t="shared" si="157"/>
        <v>-433.5396774553119</v>
      </c>
      <c r="X411" s="50">
        <f t="shared" si="151"/>
        <v>2008.6377726783498</v>
      </c>
      <c r="Y411" s="41">
        <f t="shared" si="158"/>
        <v>0.16493173771968994</v>
      </c>
      <c r="Z411" s="52"/>
      <c r="AA411" s="50">
        <f t="shared" si="164"/>
        <v>11558.63777267835</v>
      </c>
      <c r="AB411" s="39">
        <f t="shared" si="165"/>
        <v>10987.614984180002</v>
      </c>
      <c r="AC411" s="39">
        <f t="shared" si="159"/>
        <v>-571.02278849834875</v>
      </c>
      <c r="AD411" s="41">
        <f t="shared" si="160"/>
        <v>-4.9402256539961775E-2</v>
      </c>
      <c r="AF411" s="46">
        <f t="shared" si="142"/>
        <v>-100</v>
      </c>
      <c r="AG411" s="46">
        <f t="shared" si="161"/>
        <v>-100</v>
      </c>
      <c r="AH411" s="54">
        <f t="shared" si="143"/>
        <v>2660</v>
      </c>
      <c r="AI411" s="55">
        <f t="shared" si="152"/>
        <v>0.57683741648106901</v>
      </c>
      <c r="AJ411" s="55">
        <f t="shared" si="162"/>
        <v>-57.683741648106903</v>
      </c>
      <c r="AK411" s="55">
        <f t="shared" si="163"/>
        <v>-57.683741648106903</v>
      </c>
    </row>
    <row r="412" spans="2:37" s="53" customFormat="1" ht="17.25" customHeight="1" x14ac:dyDescent="0.25">
      <c r="B412" s="91" t="str">
        <f t="shared" si="144"/>
        <v/>
      </c>
      <c r="C412" s="81">
        <f>IF(Sheet3!A383="","",Sheet3!A383)</f>
        <v>40294</v>
      </c>
      <c r="D412" s="82">
        <f>IF(C412="","",Sheet3!E383)</f>
        <v>26.059999000000001</v>
      </c>
      <c r="E412" s="56">
        <f>_xlfn.XLOOKUP(WEEKNUM(C412)&amp;YEAR(C412),Sheet4!C:C,Sheet4!B:B,0)</f>
        <v>0</v>
      </c>
      <c r="F412" s="46">
        <f>IF(int=Weekly,-$D$5,IF(int=Bi_Weekly,0,IF(int=Monthly,0,IF(int=Quarterly,0,IF(int=Yearly,0,IF(int=None,0,0))))))</f>
        <v>0</v>
      </c>
      <c r="G412" s="46"/>
      <c r="H412" s="46">
        <f t="shared" si="153"/>
        <v>-9550</v>
      </c>
      <c r="I412" s="47"/>
      <c r="J412" s="38">
        <f t="shared" si="140"/>
        <v>0</v>
      </c>
      <c r="K412" s="48"/>
      <c r="L412" s="48">
        <f t="shared" si="145"/>
        <v>347.29372657313098</v>
      </c>
      <c r="M412" s="48"/>
      <c r="N412" s="38">
        <f t="shared" si="146"/>
        <v>0</v>
      </c>
      <c r="O412" s="36">
        <f t="shared" si="147"/>
        <v>0</v>
      </c>
      <c r="P412" s="84">
        <f t="shared" si="148"/>
        <v>-11558.169022662074</v>
      </c>
      <c r="Q412" s="38">
        <f t="shared" si="149"/>
        <v>0</v>
      </c>
      <c r="R412" s="48">
        <f t="shared" si="150"/>
        <v>71.282082348011912</v>
      </c>
      <c r="S412" s="38">
        <f t="shared" si="141"/>
        <v>418.57580892114288</v>
      </c>
      <c r="T412" s="50">
        <f t="shared" si="154"/>
        <v>9550</v>
      </c>
      <c r="U412" s="40">
        <f t="shared" si="155"/>
        <v>9050.4741672020664</v>
      </c>
      <c r="V412" s="41">
        <f t="shared" si="156"/>
        <v>-5.2306369926485186E-2</v>
      </c>
      <c r="W412" s="39">
        <f t="shared" si="157"/>
        <v>-499.52583279793362</v>
      </c>
      <c r="X412" s="50">
        <f t="shared" si="151"/>
        <v>2008.6377726783498</v>
      </c>
      <c r="Y412" s="41">
        <f t="shared" si="158"/>
        <v>0.15802219265763529</v>
      </c>
      <c r="Z412" s="52"/>
      <c r="AA412" s="50">
        <f t="shared" si="164"/>
        <v>11558.63777267835</v>
      </c>
      <c r="AB412" s="39">
        <f t="shared" si="165"/>
        <v>10908.085161909174</v>
      </c>
      <c r="AC412" s="39">
        <f t="shared" si="159"/>
        <v>-650.55261076917668</v>
      </c>
      <c r="AD412" s="41">
        <f t="shared" si="160"/>
        <v>-5.6282809753491536E-2</v>
      </c>
      <c r="AF412" s="46">
        <f t="shared" si="142"/>
        <v>0</v>
      </c>
      <c r="AG412" s="46">
        <f t="shared" si="161"/>
        <v>0</v>
      </c>
      <c r="AH412" s="54">
        <f t="shared" si="143"/>
        <v>2667</v>
      </c>
      <c r="AI412" s="55">
        <f t="shared" si="152"/>
        <v>0.57572383073496658</v>
      </c>
      <c r="AJ412" s="55">
        <f t="shared" si="162"/>
        <v>0</v>
      </c>
      <c r="AK412" s="55">
        <f t="shared" si="163"/>
        <v>0</v>
      </c>
    </row>
    <row r="413" spans="2:37" s="53" customFormat="1" ht="17.25" customHeight="1" x14ac:dyDescent="0.25">
      <c r="B413" s="91" t="str">
        <f t="shared" si="144"/>
        <v/>
      </c>
      <c r="C413" s="81">
        <f>IF(Sheet3!A384="","",Sheet3!A384)</f>
        <v>40301</v>
      </c>
      <c r="D413" s="82">
        <f>IF(C413="","",Sheet3!E384)</f>
        <v>25.1</v>
      </c>
      <c r="E413" s="56">
        <f>_xlfn.XLOOKUP(WEEKNUM(C413)&amp;YEAR(C413),Sheet4!C:C,Sheet4!B:B,0)</f>
        <v>0</v>
      </c>
      <c r="F413" s="46">
        <f>IF(int=Weekly,-$D$5,IF(int=Bi_Weekly,-$D$5,IF(int=Monthly,0,IF(int=Quarterly,0,IF(int=Yearly,0,IF(int=None,0,0))))))</f>
        <v>0</v>
      </c>
      <c r="G413" s="46"/>
      <c r="H413" s="46">
        <f t="shared" si="153"/>
        <v>-9550</v>
      </c>
      <c r="I413" s="47"/>
      <c r="J413" s="38">
        <f t="shared" si="140"/>
        <v>0</v>
      </c>
      <c r="K413" s="48"/>
      <c r="L413" s="48">
        <f t="shared" si="145"/>
        <v>347.29372657313098</v>
      </c>
      <c r="M413" s="48"/>
      <c r="N413" s="38">
        <f t="shared" si="146"/>
        <v>0</v>
      </c>
      <c r="O413" s="36">
        <f t="shared" si="147"/>
        <v>0</v>
      </c>
      <c r="P413" s="84">
        <f t="shared" si="148"/>
        <v>-11558.169022662074</v>
      </c>
      <c r="Q413" s="38">
        <f t="shared" si="149"/>
        <v>0</v>
      </c>
      <c r="R413" s="48">
        <f t="shared" si="150"/>
        <v>71.282082348011912</v>
      </c>
      <c r="S413" s="38">
        <f t="shared" si="141"/>
        <v>418.57580892114288</v>
      </c>
      <c r="T413" s="50">
        <f t="shared" si="154"/>
        <v>9550</v>
      </c>
      <c r="U413" s="40">
        <f t="shared" si="155"/>
        <v>8717.0725369855882</v>
      </c>
      <c r="V413" s="41">
        <f t="shared" si="156"/>
        <v>-8.7217535394179202E-2</v>
      </c>
      <c r="W413" s="39">
        <f t="shared" si="157"/>
        <v>-832.92746301441184</v>
      </c>
      <c r="X413" s="50">
        <f t="shared" si="151"/>
        <v>2008.6377726783498</v>
      </c>
      <c r="Y413" s="41">
        <f t="shared" si="158"/>
        <v>0.12311102718994116</v>
      </c>
      <c r="Z413" s="52"/>
      <c r="AA413" s="50">
        <f t="shared" si="164"/>
        <v>11558.63777267835</v>
      </c>
      <c r="AB413" s="39">
        <f t="shared" si="165"/>
        <v>10506.252803920688</v>
      </c>
      <c r="AC413" s="39">
        <f t="shared" si="159"/>
        <v>-1052.3849687576621</v>
      </c>
      <c r="AD413" s="41">
        <f t="shared" si="160"/>
        <v>-9.1047491015353921E-2</v>
      </c>
      <c r="AF413" s="46">
        <f t="shared" si="142"/>
        <v>0</v>
      </c>
      <c r="AG413" s="46">
        <f t="shared" si="161"/>
        <v>0</v>
      </c>
      <c r="AH413" s="54">
        <f t="shared" si="143"/>
        <v>2674</v>
      </c>
      <c r="AI413" s="55">
        <f t="shared" si="152"/>
        <v>0.57461024498886415</v>
      </c>
      <c r="AJ413" s="55">
        <f t="shared" si="162"/>
        <v>0</v>
      </c>
      <c r="AK413" s="55">
        <f t="shared" si="163"/>
        <v>0</v>
      </c>
    </row>
    <row r="414" spans="2:37" s="53" customFormat="1" ht="17.25" customHeight="1" x14ac:dyDescent="0.25">
      <c r="B414" s="91" t="str">
        <f t="shared" si="144"/>
        <v/>
      </c>
      <c r="C414" s="81">
        <f>IF(Sheet3!A385="","",Sheet3!A385)</f>
        <v>40308</v>
      </c>
      <c r="D414" s="82">
        <f>IF(C414="","",Sheet3!E385)</f>
        <v>25.4</v>
      </c>
      <c r="E414" s="56">
        <f>_xlfn.XLOOKUP(WEEKNUM(C414)&amp;YEAR(C414),Sheet4!C:C,Sheet4!B:B,0)</f>
        <v>0</v>
      </c>
      <c r="F414" s="46">
        <f>IF(int=Weekly,-$D$5,IF(int=Bi_Weekly,0,IF(int=Monthly,0,IF(int=Quarterly,0,IF(int=Yearly,0,IF(int=None,0,0))))))</f>
        <v>0</v>
      </c>
      <c r="G414" s="46"/>
      <c r="H414" s="46">
        <f t="shared" si="153"/>
        <v>-9550</v>
      </c>
      <c r="I414" s="47"/>
      <c r="J414" s="38">
        <f t="shared" si="140"/>
        <v>0</v>
      </c>
      <c r="K414" s="48"/>
      <c r="L414" s="48">
        <f t="shared" si="145"/>
        <v>347.29372657313098</v>
      </c>
      <c r="M414" s="48"/>
      <c r="N414" s="38">
        <f t="shared" si="146"/>
        <v>0</v>
      </c>
      <c r="O414" s="36">
        <f t="shared" si="147"/>
        <v>0</v>
      </c>
      <c r="P414" s="84">
        <f t="shared" si="148"/>
        <v>-11558.169022662074</v>
      </c>
      <c r="Q414" s="38">
        <f t="shared" si="149"/>
        <v>0</v>
      </c>
      <c r="R414" s="48">
        <f t="shared" si="150"/>
        <v>71.282082348011912</v>
      </c>
      <c r="S414" s="38">
        <f t="shared" si="141"/>
        <v>418.57580892114288</v>
      </c>
      <c r="T414" s="50">
        <f t="shared" si="154"/>
        <v>9550</v>
      </c>
      <c r="U414" s="40">
        <f t="shared" si="155"/>
        <v>8821.2606549575266</v>
      </c>
      <c r="V414" s="41">
        <f t="shared" si="156"/>
        <v>-7.6307784821201374E-2</v>
      </c>
      <c r="W414" s="39">
        <f t="shared" si="157"/>
        <v>-728.73934504247336</v>
      </c>
      <c r="X414" s="50">
        <f t="shared" si="151"/>
        <v>2008.6377726783498</v>
      </c>
      <c r="Y414" s="41">
        <f t="shared" si="158"/>
        <v>0.13402077776291899</v>
      </c>
      <c r="Z414" s="52"/>
      <c r="AA414" s="50">
        <f t="shared" si="164"/>
        <v>11558.63777267835</v>
      </c>
      <c r="AB414" s="39">
        <f t="shared" si="165"/>
        <v>10631.825546597029</v>
      </c>
      <c r="AC414" s="39">
        <f t="shared" si="159"/>
        <v>-926.81222608132157</v>
      </c>
      <c r="AD414" s="41">
        <f t="shared" si="160"/>
        <v>-8.0183516804382182E-2</v>
      </c>
      <c r="AF414" s="46">
        <f t="shared" si="142"/>
        <v>0</v>
      </c>
      <c r="AG414" s="46">
        <f t="shared" si="161"/>
        <v>0</v>
      </c>
      <c r="AH414" s="54">
        <f t="shared" si="143"/>
        <v>2681</v>
      </c>
      <c r="AI414" s="55">
        <f t="shared" si="152"/>
        <v>0.57349665924276172</v>
      </c>
      <c r="AJ414" s="55">
        <f t="shared" si="162"/>
        <v>0</v>
      </c>
      <c r="AK414" s="55">
        <f t="shared" si="163"/>
        <v>0</v>
      </c>
    </row>
    <row r="415" spans="2:37" s="53" customFormat="1" ht="17.25" customHeight="1" x14ac:dyDescent="0.25">
      <c r="B415" s="91" t="str">
        <f t="shared" si="144"/>
        <v/>
      </c>
      <c r="C415" s="81">
        <f>IF(Sheet3!A386="","",Sheet3!A386)</f>
        <v>40315</v>
      </c>
      <c r="D415" s="82">
        <f>IF(C415="","",Sheet3!E386)</f>
        <v>24.85</v>
      </c>
      <c r="E415" s="56">
        <f>_xlfn.XLOOKUP(WEEKNUM(C415)&amp;YEAR(C415),Sheet4!C:C,Sheet4!B:B,0)</f>
        <v>0</v>
      </c>
      <c r="F415" s="46">
        <f>IF(int=Weekly,-$D$5,IF(int=Bi_Weekly,-$D$5,IF(int=Monthly,-$D$5,IF(int=Quarterly,0,IF(int=Yearly,0,IF(int=None,0,0))))))</f>
        <v>-100</v>
      </c>
      <c r="G415" s="46"/>
      <c r="H415" s="46">
        <f t="shared" si="153"/>
        <v>-9650</v>
      </c>
      <c r="I415" s="47"/>
      <c r="J415" s="38">
        <f t="shared" ref="J415:J478" si="166">IF(D$24=0,"",ABS($F415*D$24)/D415)</f>
        <v>4.0241448692152915</v>
      </c>
      <c r="K415" s="48"/>
      <c r="L415" s="48">
        <f t="shared" si="145"/>
        <v>351.31787144234625</v>
      </c>
      <c r="M415" s="48"/>
      <c r="N415" s="38">
        <f t="shared" si="146"/>
        <v>0</v>
      </c>
      <c r="O415" s="36">
        <f t="shared" si="147"/>
        <v>0</v>
      </c>
      <c r="P415" s="84">
        <f t="shared" si="148"/>
        <v>-11658.169022662074</v>
      </c>
      <c r="Q415" s="38">
        <f t="shared" si="149"/>
        <v>0</v>
      </c>
      <c r="R415" s="48">
        <f t="shared" si="150"/>
        <v>71.282082348011912</v>
      </c>
      <c r="S415" s="38">
        <f t="shared" ref="S415:S478" si="167">IF(D415=0,"",L415+R415)</f>
        <v>422.59995379035814</v>
      </c>
      <c r="T415" s="50">
        <f t="shared" si="154"/>
        <v>9650</v>
      </c>
      <c r="U415" s="40">
        <f t="shared" si="155"/>
        <v>8730.2491053423055</v>
      </c>
      <c r="V415" s="41">
        <f t="shared" si="156"/>
        <v>-9.5310973539657451E-2</v>
      </c>
      <c r="W415" s="39">
        <f t="shared" si="157"/>
        <v>-919.75089465769452</v>
      </c>
      <c r="X415" s="50">
        <f t="shared" si="151"/>
        <v>2008.6377726783498</v>
      </c>
      <c r="Y415" s="41">
        <f t="shared" si="158"/>
        <v>0.11283801844773644</v>
      </c>
      <c r="Z415" s="52"/>
      <c r="AA415" s="50">
        <f t="shared" si="164"/>
        <v>11658.63777267835</v>
      </c>
      <c r="AB415" s="39">
        <f t="shared" si="165"/>
        <v>10501.608851690402</v>
      </c>
      <c r="AC415" s="39">
        <f t="shared" si="159"/>
        <v>-1157.0289209879484</v>
      </c>
      <c r="AD415" s="41">
        <f t="shared" si="160"/>
        <v>-9.9242205097014757E-2</v>
      </c>
      <c r="AF415" s="46">
        <f t="shared" ref="AF415:AF478" si="168">F415+ABS(O415)</f>
        <v>-100</v>
      </c>
      <c r="AG415" s="46">
        <f t="shared" si="161"/>
        <v>-100</v>
      </c>
      <c r="AH415" s="54">
        <f t="shared" ref="AH415:AH478" si="169">DATEDIF($C$31,C415,"d")</f>
        <v>2688</v>
      </c>
      <c r="AI415" s="55">
        <f t="shared" si="152"/>
        <v>0.57238307349665929</v>
      </c>
      <c r="AJ415" s="55">
        <f t="shared" si="162"/>
        <v>-57.238307349665931</v>
      </c>
      <c r="AK415" s="55">
        <f t="shared" si="163"/>
        <v>-57.238307349665931</v>
      </c>
    </row>
    <row r="416" spans="2:37" s="53" customFormat="1" ht="17.25" customHeight="1" x14ac:dyDescent="0.25">
      <c r="B416" s="91" t="str">
        <f t="shared" ref="B416:B479" si="170">IF(C415="","",IF(C$30&lt;C416,"",B415+1))</f>
        <v/>
      </c>
      <c r="C416" s="81">
        <f>IF(Sheet3!A387="","",Sheet3!A387)</f>
        <v>40322</v>
      </c>
      <c r="D416" s="82">
        <f>IF(C416="","",Sheet3!E387)</f>
        <v>24.299999</v>
      </c>
      <c r="E416" s="56">
        <f>_xlfn.XLOOKUP(WEEKNUM(C416)&amp;YEAR(C416),Sheet4!C:C,Sheet4!B:B,0)</f>
        <v>0</v>
      </c>
      <c r="F416" s="46">
        <f>IF(int=Weekly,-$D$5,IF(int=Bi_Weekly,0,IF(int=Monthly,0,IF(int=Quarterly,0,IF(int=Yearly,0,IF(int=None,0,0))))))</f>
        <v>0</v>
      </c>
      <c r="G416" s="46"/>
      <c r="H416" s="46">
        <f t="shared" si="153"/>
        <v>-9650</v>
      </c>
      <c r="I416" s="47"/>
      <c r="J416" s="38">
        <f t="shared" si="166"/>
        <v>0</v>
      </c>
      <c r="K416" s="48"/>
      <c r="L416" s="48">
        <f t="shared" ref="L416:L479" si="171">IF(D416=0,"",L415+J416)</f>
        <v>351.31787144234625</v>
      </c>
      <c r="M416" s="48"/>
      <c r="N416" s="38">
        <f t="shared" ref="N416:N479" si="172">IF(D416=0,"",L416*E416)</f>
        <v>0</v>
      </c>
      <c r="O416" s="36">
        <f t="shared" ref="O416:O479" si="173">-(IF(D416=0,"",N416))</f>
        <v>0</v>
      </c>
      <c r="P416" s="84">
        <f t="shared" ref="P416:P479" si="174">P415+F416+O416</f>
        <v>-11658.169022662074</v>
      </c>
      <c r="Q416" s="38">
        <f t="shared" ref="Q416:Q479" si="175">IF(D416=0,"",ABS($O416)/D416)</f>
        <v>0</v>
      </c>
      <c r="R416" s="48">
        <f t="shared" ref="R416:R479" si="176">IF(D416=0,"",Q416+R415)</f>
        <v>71.282082348011912</v>
      </c>
      <c r="S416" s="38">
        <f t="shared" si="167"/>
        <v>422.59995379035814</v>
      </c>
      <c r="T416" s="50">
        <f t="shared" si="154"/>
        <v>9650</v>
      </c>
      <c r="U416" s="40">
        <f t="shared" si="155"/>
        <v>8537.023924731142</v>
      </c>
      <c r="V416" s="41">
        <f t="shared" si="156"/>
        <v>-0.11533430831801639</v>
      </c>
      <c r="W416" s="39">
        <f t="shared" si="157"/>
        <v>-1112.976075268858</v>
      </c>
      <c r="X416" s="50">
        <f t="shared" ref="X416:X479" si="177">ABS(O416)+X415</f>
        <v>2008.6377726783498</v>
      </c>
      <c r="Y416" s="41">
        <f t="shared" si="158"/>
        <v>9.2814683669377507E-2</v>
      </c>
      <c r="Z416" s="52"/>
      <c r="AA416" s="50">
        <f t="shared" si="164"/>
        <v>11658.63777267835</v>
      </c>
      <c r="AB416" s="39">
        <f t="shared" si="165"/>
        <v>10269.178454505749</v>
      </c>
      <c r="AC416" s="39">
        <f t="shared" si="159"/>
        <v>-1389.4593181726013</v>
      </c>
      <c r="AD416" s="41">
        <f t="shared" si="160"/>
        <v>-0.11917853056801841</v>
      </c>
      <c r="AF416" s="46">
        <f t="shared" si="168"/>
        <v>0</v>
      </c>
      <c r="AG416" s="46">
        <f t="shared" si="161"/>
        <v>0</v>
      </c>
      <c r="AH416" s="54">
        <f t="shared" si="169"/>
        <v>2695</v>
      </c>
      <c r="AI416" s="55">
        <f t="shared" ref="AI416:AI479" si="178">(AH$30-AH416)/AH$30</f>
        <v>0.57126948775055675</v>
      </c>
      <c r="AJ416" s="55">
        <f t="shared" si="162"/>
        <v>0</v>
      </c>
      <c r="AK416" s="55">
        <f t="shared" si="163"/>
        <v>0</v>
      </c>
    </row>
    <row r="417" spans="2:37" s="53" customFormat="1" ht="17.25" customHeight="1" x14ac:dyDescent="0.25">
      <c r="B417" s="91" t="str">
        <f t="shared" si="170"/>
        <v/>
      </c>
      <c r="C417" s="81">
        <f>IF(Sheet3!A388="","",Sheet3!A388)</f>
        <v>40329</v>
      </c>
      <c r="D417" s="82">
        <f>IF(C417="","",Sheet3!E388)</f>
        <v>24.17</v>
      </c>
      <c r="E417" s="56">
        <f>_xlfn.XLOOKUP(WEEKNUM(C417)&amp;YEAR(C417),Sheet4!C:C,Sheet4!B:B,0)</f>
        <v>0</v>
      </c>
      <c r="F417" s="46">
        <f>IF(int=Weekly,-$D$5,IF(int=Bi_Weekly,-$D$5,IF(int=Monthly,0,IF(int=Quarterly,0,IF(int=Yearly,0,IF(int=None,0,0))))))</f>
        <v>0</v>
      </c>
      <c r="G417" s="46"/>
      <c r="H417" s="46">
        <f t="shared" ref="H417:H480" si="179">H416+F417</f>
        <v>-9650</v>
      </c>
      <c r="I417" s="47"/>
      <c r="J417" s="38">
        <f t="shared" si="166"/>
        <v>0</v>
      </c>
      <c r="K417" s="48"/>
      <c r="L417" s="48">
        <f t="shared" si="171"/>
        <v>351.31787144234625</v>
      </c>
      <c r="M417" s="48"/>
      <c r="N417" s="38">
        <f t="shared" si="172"/>
        <v>0</v>
      </c>
      <c r="O417" s="36">
        <f t="shared" si="173"/>
        <v>0</v>
      </c>
      <c r="P417" s="84">
        <f t="shared" si="174"/>
        <v>-11658.169022662074</v>
      </c>
      <c r="Q417" s="38">
        <f t="shared" si="175"/>
        <v>0</v>
      </c>
      <c r="R417" s="48">
        <f t="shared" si="176"/>
        <v>71.282082348011912</v>
      </c>
      <c r="S417" s="38">
        <f t="shared" si="167"/>
        <v>422.59995379035814</v>
      </c>
      <c r="T417" s="50">
        <f t="shared" ref="T417:T480" si="180">IF(D417=0,"",D417*J417)+T416</f>
        <v>9650</v>
      </c>
      <c r="U417" s="40">
        <f t="shared" ref="U417:U480" si="181">IF(D417=0,"",L417*D417)</f>
        <v>8491.3529527615101</v>
      </c>
      <c r="V417" s="41">
        <f t="shared" ref="V417:V480" si="182">(U417/T417)-1</f>
        <v>-0.12006705152730468</v>
      </c>
      <c r="W417" s="39">
        <f t="shared" ref="W417:W480" si="183">U417-T417</f>
        <v>-1158.6470472384899</v>
      </c>
      <c r="X417" s="50">
        <f t="shared" si="177"/>
        <v>2008.6377726783498</v>
      </c>
      <c r="Y417" s="41">
        <f t="shared" ref="Y417:Y480" si="184">((U417+X417)/T417)-1</f>
        <v>8.8081940460089214E-2</v>
      </c>
      <c r="Z417" s="52"/>
      <c r="AA417" s="50">
        <f t="shared" si="164"/>
        <v>11658.63777267835</v>
      </c>
      <c r="AB417" s="39">
        <f t="shared" si="165"/>
        <v>10214.240883112958</v>
      </c>
      <c r="AC417" s="39">
        <f t="shared" ref="AC417:AC480" si="185">AB417-AA417</f>
        <v>-1444.3968895653925</v>
      </c>
      <c r="AD417" s="41">
        <f t="shared" ref="AD417:AD480" si="186">(AB417/AA417)-1</f>
        <v>-0.12389070813661363</v>
      </c>
      <c r="AF417" s="46">
        <f t="shared" si="168"/>
        <v>0</v>
      </c>
      <c r="AG417" s="46">
        <f t="shared" ref="AG417:AG480" si="187">F417</f>
        <v>0</v>
      </c>
      <c r="AH417" s="54">
        <f t="shared" si="169"/>
        <v>2702</v>
      </c>
      <c r="AI417" s="55">
        <f t="shared" si="178"/>
        <v>0.57015590200445432</v>
      </c>
      <c r="AJ417" s="55">
        <f t="shared" ref="AJ417:AJ480" si="188">AI417*AF417</f>
        <v>0</v>
      </c>
      <c r="AK417" s="55">
        <f t="shared" ref="AK417:AK480" si="189">$AI417*AG417</f>
        <v>0</v>
      </c>
    </row>
    <row r="418" spans="2:37" s="53" customFormat="1" ht="17.25" customHeight="1" x14ac:dyDescent="0.25">
      <c r="B418" s="91" t="str">
        <f t="shared" si="170"/>
        <v/>
      </c>
      <c r="C418" s="81">
        <f>IF(Sheet3!A389="","",Sheet3!A389)</f>
        <v>40336</v>
      </c>
      <c r="D418" s="82">
        <f>IF(C418="","",Sheet3!E389)</f>
        <v>25.290001</v>
      </c>
      <c r="E418" s="56">
        <f>_xlfn.XLOOKUP(WEEKNUM(C418)&amp;YEAR(C418),Sheet4!C:C,Sheet4!B:B,0)</f>
        <v>0</v>
      </c>
      <c r="F418" s="46">
        <f>IF(int=Weekly,-$D$5,IF(int=Bi_Weekly,0,IF(int=Monthly,0,IF(int=Quarterly,0,IF(int=Yearly,0,IF(int=None,0,0))))))</f>
        <v>0</v>
      </c>
      <c r="G418" s="46"/>
      <c r="H418" s="46">
        <f t="shared" si="179"/>
        <v>-9650</v>
      </c>
      <c r="I418" s="47"/>
      <c r="J418" s="38">
        <f t="shared" si="166"/>
        <v>0</v>
      </c>
      <c r="K418" s="48"/>
      <c r="L418" s="48">
        <f t="shared" si="171"/>
        <v>351.31787144234625</v>
      </c>
      <c r="M418" s="48"/>
      <c r="N418" s="38">
        <f t="shared" si="172"/>
        <v>0</v>
      </c>
      <c r="O418" s="36">
        <f t="shared" si="173"/>
        <v>0</v>
      </c>
      <c r="P418" s="84">
        <f t="shared" si="174"/>
        <v>-11658.169022662074</v>
      </c>
      <c r="Q418" s="38">
        <f t="shared" si="175"/>
        <v>0</v>
      </c>
      <c r="R418" s="48">
        <f t="shared" si="176"/>
        <v>71.282082348011912</v>
      </c>
      <c r="S418" s="38">
        <f t="shared" si="167"/>
        <v>422.59995379035814</v>
      </c>
      <c r="T418" s="50">
        <f t="shared" si="180"/>
        <v>9650</v>
      </c>
      <c r="U418" s="40">
        <f t="shared" si="181"/>
        <v>8884.8293200948083</v>
      </c>
      <c r="V418" s="41">
        <f t="shared" si="182"/>
        <v>-7.9292298435771125E-2</v>
      </c>
      <c r="W418" s="39">
        <f t="shared" si="183"/>
        <v>-765.17067990519172</v>
      </c>
      <c r="X418" s="50">
        <f t="shared" si="177"/>
        <v>2008.6377726783498</v>
      </c>
      <c r="Y418" s="41">
        <f t="shared" si="184"/>
        <v>0.12885669355162266</v>
      </c>
      <c r="Z418" s="52"/>
      <c r="AA418" s="50">
        <f t="shared" si="164"/>
        <v>11658.63777267835</v>
      </c>
      <c r="AB418" s="39">
        <f t="shared" si="165"/>
        <v>10687.553253958111</v>
      </c>
      <c r="AC418" s="39">
        <f t="shared" si="185"/>
        <v>-971.08451872023943</v>
      </c>
      <c r="AD418" s="41">
        <f t="shared" si="186"/>
        <v>-8.3293137470652479E-2</v>
      </c>
      <c r="AF418" s="46">
        <f t="shared" si="168"/>
        <v>0</v>
      </c>
      <c r="AG418" s="46">
        <f t="shared" si="187"/>
        <v>0</v>
      </c>
      <c r="AH418" s="54">
        <f t="shared" si="169"/>
        <v>2709</v>
      </c>
      <c r="AI418" s="55">
        <f t="shared" si="178"/>
        <v>0.56904231625835189</v>
      </c>
      <c r="AJ418" s="55">
        <f t="shared" si="188"/>
        <v>0</v>
      </c>
      <c r="AK418" s="55">
        <f t="shared" si="189"/>
        <v>0</v>
      </c>
    </row>
    <row r="419" spans="2:37" s="53" customFormat="1" ht="17.25" customHeight="1" x14ac:dyDescent="0.25">
      <c r="B419" s="91" t="str">
        <f t="shared" si="170"/>
        <v/>
      </c>
      <c r="C419" s="81">
        <f>IF(Sheet3!A390="","",Sheet3!A390)</f>
        <v>40343</v>
      </c>
      <c r="D419" s="82">
        <f>IF(C419="","",Sheet3!E390)</f>
        <v>25.43</v>
      </c>
      <c r="E419" s="56">
        <f>_xlfn.XLOOKUP(WEEKNUM(C419)&amp;YEAR(C419),Sheet4!C:C,Sheet4!B:B,0)</f>
        <v>0</v>
      </c>
      <c r="F419" s="46">
        <f>IF(int=Weekly,-$D$5,IF(int=Bi_Weekly,-$D$5,IF(int=Monthly,-$D$5,IF(int=Quarterly,0,IF(int=Yearly,0,IF(int=None,0,0))))))</f>
        <v>-100</v>
      </c>
      <c r="G419" s="46"/>
      <c r="H419" s="46">
        <f t="shared" si="179"/>
        <v>-9750</v>
      </c>
      <c r="I419" s="47"/>
      <c r="J419" s="38">
        <f t="shared" si="166"/>
        <v>3.9323633503735747</v>
      </c>
      <c r="K419" s="48"/>
      <c r="L419" s="48">
        <f t="shared" si="171"/>
        <v>355.25023479271982</v>
      </c>
      <c r="M419" s="48"/>
      <c r="N419" s="38">
        <f t="shared" si="172"/>
        <v>0</v>
      </c>
      <c r="O419" s="36">
        <f t="shared" si="173"/>
        <v>0</v>
      </c>
      <c r="P419" s="84">
        <f t="shared" si="174"/>
        <v>-11758.169022662074</v>
      </c>
      <c r="Q419" s="38">
        <f t="shared" si="175"/>
        <v>0</v>
      </c>
      <c r="R419" s="48">
        <f t="shared" si="176"/>
        <v>71.282082348011912</v>
      </c>
      <c r="S419" s="38">
        <f t="shared" si="167"/>
        <v>426.53231714073172</v>
      </c>
      <c r="T419" s="50">
        <f t="shared" si="180"/>
        <v>9750</v>
      </c>
      <c r="U419" s="40">
        <f t="shared" si="181"/>
        <v>9034.0134707788657</v>
      </c>
      <c r="V419" s="41">
        <f t="shared" si="182"/>
        <v>-7.3434515817552226E-2</v>
      </c>
      <c r="W419" s="39">
        <f t="shared" si="183"/>
        <v>-715.98652922113433</v>
      </c>
      <c r="X419" s="50">
        <f t="shared" si="177"/>
        <v>2008.6377726783498</v>
      </c>
      <c r="Y419" s="41">
        <f t="shared" si="184"/>
        <v>0.13257961471356072</v>
      </c>
      <c r="Z419" s="52"/>
      <c r="AA419" s="50">
        <f t="shared" si="164"/>
        <v>11758.63777267835</v>
      </c>
      <c r="AB419" s="39">
        <f t="shared" si="165"/>
        <v>10846.716824888808</v>
      </c>
      <c r="AC419" s="39">
        <f t="shared" si="185"/>
        <v>-911.92094778954197</v>
      </c>
      <c r="AD419" s="41">
        <f t="shared" si="186"/>
        <v>-7.7553281716733036E-2</v>
      </c>
      <c r="AF419" s="46">
        <f t="shared" si="168"/>
        <v>-100</v>
      </c>
      <c r="AG419" s="46">
        <f t="shared" si="187"/>
        <v>-100</v>
      </c>
      <c r="AH419" s="54">
        <f t="shared" si="169"/>
        <v>2716</v>
      </c>
      <c r="AI419" s="55">
        <f t="shared" si="178"/>
        <v>0.56792873051224946</v>
      </c>
      <c r="AJ419" s="55">
        <f t="shared" si="188"/>
        <v>-56.792873051224944</v>
      </c>
      <c r="AK419" s="55">
        <f t="shared" si="189"/>
        <v>-56.792873051224944</v>
      </c>
    </row>
    <row r="420" spans="2:37" s="53" customFormat="1" ht="17.25" customHeight="1" x14ac:dyDescent="0.25">
      <c r="B420" s="91" t="str">
        <f t="shared" si="170"/>
        <v/>
      </c>
      <c r="C420" s="81">
        <f>IF(Sheet3!A391="","",Sheet3!A391)</f>
        <v>40350</v>
      </c>
      <c r="D420" s="82">
        <f>IF(C420="","",Sheet3!E391)</f>
        <v>24.790001</v>
      </c>
      <c r="E420" s="56">
        <f>_xlfn.XLOOKUP(WEEKNUM(C420)&amp;YEAR(C420),Sheet4!C:C,Sheet4!B:B,0)</f>
        <v>0</v>
      </c>
      <c r="F420" s="46">
        <f>IF(int=Weekly,-$D$5,IF(int=Bi_Weekly,0,IF(int=Monthly,0,IF(int=Quarterly,0,IF(int=Yearly,0,IF(int=None,0,0))))))</f>
        <v>0</v>
      </c>
      <c r="G420" s="46"/>
      <c r="H420" s="46">
        <f t="shared" si="179"/>
        <v>-9750</v>
      </c>
      <c r="I420" s="47"/>
      <c r="J420" s="38">
        <f t="shared" si="166"/>
        <v>0</v>
      </c>
      <c r="K420" s="48"/>
      <c r="L420" s="48">
        <f t="shared" si="171"/>
        <v>355.25023479271982</v>
      </c>
      <c r="M420" s="48"/>
      <c r="N420" s="38">
        <f t="shared" si="172"/>
        <v>0</v>
      </c>
      <c r="O420" s="36">
        <f t="shared" si="173"/>
        <v>0</v>
      </c>
      <c r="P420" s="84">
        <f t="shared" si="174"/>
        <v>-11758.169022662074</v>
      </c>
      <c r="Q420" s="38">
        <f t="shared" si="175"/>
        <v>0</v>
      </c>
      <c r="R420" s="48">
        <f t="shared" si="176"/>
        <v>71.282082348011912</v>
      </c>
      <c r="S420" s="38">
        <f t="shared" si="167"/>
        <v>426.53231714073172</v>
      </c>
      <c r="T420" s="50">
        <f t="shared" si="180"/>
        <v>9750</v>
      </c>
      <c r="U420" s="40">
        <f t="shared" si="181"/>
        <v>8806.6536757617596</v>
      </c>
      <c r="V420" s="41">
        <f t="shared" si="182"/>
        <v>-9.6753469152640048E-2</v>
      </c>
      <c r="W420" s="39">
        <f t="shared" si="183"/>
        <v>-943.34632423824041</v>
      </c>
      <c r="X420" s="50">
        <f t="shared" si="177"/>
        <v>2008.6377726783498</v>
      </c>
      <c r="Y420" s="41">
        <f t="shared" si="184"/>
        <v>0.10926066137847279</v>
      </c>
      <c r="Z420" s="52"/>
      <c r="AA420" s="50">
        <f t="shared" si="164"/>
        <v>11758.63777267835</v>
      </c>
      <c r="AB420" s="39">
        <f t="shared" si="165"/>
        <v>10573.736568451057</v>
      </c>
      <c r="AC420" s="39">
        <f t="shared" si="185"/>
        <v>-1184.9012042272934</v>
      </c>
      <c r="AD420" s="41">
        <f t="shared" si="186"/>
        <v>-0.10076857771573311</v>
      </c>
      <c r="AF420" s="46">
        <f t="shared" si="168"/>
        <v>0</v>
      </c>
      <c r="AG420" s="46">
        <f t="shared" si="187"/>
        <v>0</v>
      </c>
      <c r="AH420" s="54">
        <f t="shared" si="169"/>
        <v>2723</v>
      </c>
      <c r="AI420" s="55">
        <f t="shared" si="178"/>
        <v>0.56681514476614703</v>
      </c>
      <c r="AJ420" s="55">
        <f t="shared" si="188"/>
        <v>0</v>
      </c>
      <c r="AK420" s="55">
        <f t="shared" si="189"/>
        <v>0</v>
      </c>
    </row>
    <row r="421" spans="2:37" s="53" customFormat="1" ht="17.25" customHeight="1" x14ac:dyDescent="0.25">
      <c r="B421" s="91" t="str">
        <f t="shared" si="170"/>
        <v/>
      </c>
      <c r="C421" s="81">
        <f>IF(Sheet3!A392="","",Sheet3!A392)</f>
        <v>40357</v>
      </c>
      <c r="D421" s="82">
        <f>IF(C421="","",Sheet3!E392)</f>
        <v>24.290001</v>
      </c>
      <c r="E421" s="56">
        <f>_xlfn.XLOOKUP(WEEKNUM(C421)&amp;YEAR(C421),Sheet4!C:C,Sheet4!B:B,0)</f>
        <v>0</v>
      </c>
      <c r="F421" s="46">
        <f>IF(int=Weekly,-$D$5,IF(int=Bi_Weekly,-$D$5,IF(int=Monthly,0,IF(int=Quarterly,-$D$5,IF(int=Yearly,0,IF(int=None,0,0))))))</f>
        <v>0</v>
      </c>
      <c r="G421" s="46"/>
      <c r="H421" s="46">
        <f t="shared" si="179"/>
        <v>-9750</v>
      </c>
      <c r="I421" s="47"/>
      <c r="J421" s="38">
        <f t="shared" si="166"/>
        <v>0</v>
      </c>
      <c r="K421" s="48"/>
      <c r="L421" s="48">
        <f t="shared" si="171"/>
        <v>355.25023479271982</v>
      </c>
      <c r="M421" s="48"/>
      <c r="N421" s="38">
        <f t="shared" si="172"/>
        <v>0</v>
      </c>
      <c r="O421" s="36">
        <f t="shared" si="173"/>
        <v>0</v>
      </c>
      <c r="P421" s="84">
        <f t="shared" si="174"/>
        <v>-11758.169022662074</v>
      </c>
      <c r="Q421" s="38">
        <f t="shared" si="175"/>
        <v>0</v>
      </c>
      <c r="R421" s="48">
        <f t="shared" si="176"/>
        <v>71.282082348011912</v>
      </c>
      <c r="S421" s="38">
        <f t="shared" si="167"/>
        <v>426.53231714073172</v>
      </c>
      <c r="T421" s="50">
        <f t="shared" si="180"/>
        <v>9750</v>
      </c>
      <c r="U421" s="40">
        <f t="shared" si="181"/>
        <v>8629.0285583653986</v>
      </c>
      <c r="V421" s="41">
        <f t="shared" si="182"/>
        <v>-0.11497142991124121</v>
      </c>
      <c r="W421" s="39">
        <f t="shared" si="183"/>
        <v>-1120.9714416346014</v>
      </c>
      <c r="X421" s="50">
        <f t="shared" si="177"/>
        <v>2008.6377726783498</v>
      </c>
      <c r="Y421" s="41">
        <f t="shared" si="184"/>
        <v>9.1042700619871741E-2</v>
      </c>
      <c r="Z421" s="52"/>
      <c r="AA421" s="50">
        <f t="shared" si="164"/>
        <v>11758.63777267835</v>
      </c>
      <c r="AB421" s="39">
        <f t="shared" si="165"/>
        <v>10360.470409880691</v>
      </c>
      <c r="AC421" s="39">
        <f t="shared" si="185"/>
        <v>-1398.1673627976597</v>
      </c>
      <c r="AD421" s="41">
        <f t="shared" si="186"/>
        <v>-0.11890555605398068</v>
      </c>
      <c r="AF421" s="46">
        <f t="shared" si="168"/>
        <v>0</v>
      </c>
      <c r="AG421" s="46">
        <f t="shared" si="187"/>
        <v>0</v>
      </c>
      <c r="AH421" s="54">
        <f t="shared" si="169"/>
        <v>2730</v>
      </c>
      <c r="AI421" s="55">
        <f t="shared" si="178"/>
        <v>0.5657015590200446</v>
      </c>
      <c r="AJ421" s="55">
        <f t="shared" si="188"/>
        <v>0</v>
      </c>
      <c r="AK421" s="55">
        <f t="shared" si="189"/>
        <v>0</v>
      </c>
    </row>
    <row r="422" spans="2:37" s="53" customFormat="1" ht="17.25" customHeight="1" x14ac:dyDescent="0.25">
      <c r="B422" s="91" t="str">
        <f t="shared" si="170"/>
        <v/>
      </c>
      <c r="C422" s="81">
        <f>IF(Sheet3!A393="","",Sheet3!A393)</f>
        <v>40364</v>
      </c>
      <c r="D422" s="82">
        <f>IF(C422="","",Sheet3!E393)</f>
        <v>24.83</v>
      </c>
      <c r="E422" s="56">
        <f>_xlfn.XLOOKUP(WEEKNUM(C422)&amp;YEAR(C422),Sheet4!C:C,Sheet4!B:B,0)</f>
        <v>0.42</v>
      </c>
      <c r="F422" s="46">
        <f>IF(int=Weekly,-$D$5,IF(int=Bi_Weekly,0,IF(int=Monthly,0,IF(int=Quarterly,0,IF(int=Yearly,0,IF(int=None,0,0))))))</f>
        <v>0</v>
      </c>
      <c r="G422" s="46"/>
      <c r="H422" s="46">
        <f t="shared" si="179"/>
        <v>-9750</v>
      </c>
      <c r="I422" s="47"/>
      <c r="J422" s="38">
        <f t="shared" si="166"/>
        <v>0</v>
      </c>
      <c r="K422" s="48"/>
      <c r="L422" s="48">
        <f t="shared" si="171"/>
        <v>355.25023479271982</v>
      </c>
      <c r="M422" s="48"/>
      <c r="N422" s="38">
        <f t="shared" si="172"/>
        <v>149.20509861294232</v>
      </c>
      <c r="O422" s="36">
        <f t="shared" si="173"/>
        <v>-149.20509861294232</v>
      </c>
      <c r="P422" s="84">
        <f t="shared" si="174"/>
        <v>-11907.374121275016</v>
      </c>
      <c r="Q422" s="38">
        <f t="shared" si="175"/>
        <v>6.0090655905333197</v>
      </c>
      <c r="R422" s="48">
        <f t="shared" si="176"/>
        <v>77.291147938545237</v>
      </c>
      <c r="S422" s="38">
        <f t="shared" si="167"/>
        <v>432.54138273126506</v>
      </c>
      <c r="T422" s="50">
        <f t="shared" si="180"/>
        <v>9750</v>
      </c>
      <c r="U422" s="40">
        <f t="shared" si="181"/>
        <v>8820.8633299032317</v>
      </c>
      <c r="V422" s="41">
        <f t="shared" si="182"/>
        <v>-9.5296068727873662E-2</v>
      </c>
      <c r="W422" s="39">
        <f t="shared" si="183"/>
        <v>-929.13667009676828</v>
      </c>
      <c r="X422" s="50">
        <f t="shared" si="177"/>
        <v>2157.8428712912923</v>
      </c>
      <c r="Y422" s="41">
        <f t="shared" si="184"/>
        <v>0.12602114884046389</v>
      </c>
      <c r="Z422" s="52"/>
      <c r="AA422" s="50">
        <f t="shared" si="164"/>
        <v>11907.842871291292</v>
      </c>
      <c r="AB422" s="39">
        <f t="shared" si="165"/>
        <v>10740.00253321731</v>
      </c>
      <c r="AC422" s="39">
        <f t="shared" si="185"/>
        <v>-1167.8403380739819</v>
      </c>
      <c r="AD422" s="41">
        <f t="shared" si="186"/>
        <v>-9.807320693570265E-2</v>
      </c>
      <c r="AF422" s="46">
        <f t="shared" si="168"/>
        <v>149.20509861294232</v>
      </c>
      <c r="AG422" s="46">
        <f t="shared" si="187"/>
        <v>0</v>
      </c>
      <c r="AH422" s="54">
        <f t="shared" si="169"/>
        <v>2737</v>
      </c>
      <c r="AI422" s="55">
        <f t="shared" si="178"/>
        <v>0.56458797327394206</v>
      </c>
      <c r="AJ422" s="55">
        <f t="shared" si="188"/>
        <v>84.239404228019765</v>
      </c>
      <c r="AK422" s="55">
        <f t="shared" si="189"/>
        <v>0</v>
      </c>
    </row>
    <row r="423" spans="2:37" s="53" customFormat="1" ht="17.25" customHeight="1" x14ac:dyDescent="0.25">
      <c r="B423" s="91" t="str">
        <f t="shared" si="170"/>
        <v/>
      </c>
      <c r="C423" s="81">
        <f>IF(Sheet3!A394="","",Sheet3!A394)</f>
        <v>40371</v>
      </c>
      <c r="D423" s="82">
        <f>IF(C423="","",Sheet3!E394)</f>
        <v>24.690000999999999</v>
      </c>
      <c r="E423" s="56">
        <f>_xlfn.XLOOKUP(WEEKNUM(C423)&amp;YEAR(C423),Sheet4!C:C,Sheet4!B:B,0)</f>
        <v>0</v>
      </c>
      <c r="F423" s="46">
        <f>IF(int=Weekly,-$D$5,IF(int=Bi_Weekly,-$D$5,IF(int=Monthly,-$D$5,IF(int=Quarterly,0,IF(int=Yearly,0,IF(int=None,0,0))))))</f>
        <v>-100</v>
      </c>
      <c r="G423" s="46"/>
      <c r="H423" s="46">
        <f t="shared" si="179"/>
        <v>-9850</v>
      </c>
      <c r="I423" s="47"/>
      <c r="J423" s="38">
        <f t="shared" si="166"/>
        <v>4.0502225982088866</v>
      </c>
      <c r="K423" s="48"/>
      <c r="L423" s="48">
        <f t="shared" si="171"/>
        <v>359.30045739092873</v>
      </c>
      <c r="M423" s="48"/>
      <c r="N423" s="38">
        <f t="shared" si="172"/>
        <v>0</v>
      </c>
      <c r="O423" s="36">
        <f t="shared" si="173"/>
        <v>0</v>
      </c>
      <c r="P423" s="84">
        <f t="shared" si="174"/>
        <v>-12007.374121275016</v>
      </c>
      <c r="Q423" s="38">
        <f t="shared" si="175"/>
        <v>0</v>
      </c>
      <c r="R423" s="48">
        <f t="shared" si="176"/>
        <v>77.291147938545237</v>
      </c>
      <c r="S423" s="38">
        <f t="shared" si="167"/>
        <v>436.59160532947396</v>
      </c>
      <c r="T423" s="50">
        <f t="shared" si="180"/>
        <v>9850</v>
      </c>
      <c r="U423" s="40">
        <f t="shared" si="181"/>
        <v>8871.1286522824867</v>
      </c>
      <c r="V423" s="41">
        <f t="shared" si="182"/>
        <v>-9.9377801798732346E-2</v>
      </c>
      <c r="W423" s="39">
        <f t="shared" si="183"/>
        <v>-978.87134771751334</v>
      </c>
      <c r="X423" s="50">
        <f t="shared" si="177"/>
        <v>2157.8428712912923</v>
      </c>
      <c r="Y423" s="41">
        <f t="shared" si="184"/>
        <v>0.11969254046434297</v>
      </c>
      <c r="Z423" s="52"/>
      <c r="AA423" s="50">
        <f t="shared" si="164"/>
        <v>12007.842871291292</v>
      </c>
      <c r="AB423" s="39">
        <f t="shared" si="165"/>
        <v>10779.447172176317</v>
      </c>
      <c r="AC423" s="39">
        <f t="shared" si="185"/>
        <v>-1228.3956991149753</v>
      </c>
      <c r="AD423" s="41">
        <f t="shared" si="186"/>
        <v>-0.10229944814250191</v>
      </c>
      <c r="AF423" s="46">
        <f t="shared" si="168"/>
        <v>-100</v>
      </c>
      <c r="AG423" s="46">
        <f t="shared" si="187"/>
        <v>-100</v>
      </c>
      <c r="AH423" s="54">
        <f t="shared" si="169"/>
        <v>2744</v>
      </c>
      <c r="AI423" s="55">
        <f t="shared" si="178"/>
        <v>0.56347438752783963</v>
      </c>
      <c r="AJ423" s="55">
        <f t="shared" si="188"/>
        <v>-56.347438752783965</v>
      </c>
      <c r="AK423" s="55">
        <f t="shared" si="189"/>
        <v>-56.347438752783965</v>
      </c>
    </row>
    <row r="424" spans="2:37" s="53" customFormat="1" ht="17.25" customHeight="1" x14ac:dyDescent="0.25">
      <c r="B424" s="91" t="str">
        <f t="shared" si="170"/>
        <v/>
      </c>
      <c r="C424" s="81">
        <f>IF(Sheet3!A395="","",Sheet3!A395)</f>
        <v>40378</v>
      </c>
      <c r="D424" s="82">
        <f>IF(C424="","",Sheet3!E395)</f>
        <v>25.540001</v>
      </c>
      <c r="E424" s="56">
        <f>_xlfn.XLOOKUP(WEEKNUM(C424)&amp;YEAR(C424),Sheet4!C:C,Sheet4!B:B,0)</f>
        <v>0</v>
      </c>
      <c r="F424" s="46">
        <f>IF(int=Weekly,-$D$5,IF(int=Bi_Weekly,0,IF(int=Monthly,0,IF(int=Quarterly,0,IF(int=Yearly,0,IF(int=None,0,0))))))</f>
        <v>0</v>
      </c>
      <c r="G424" s="46"/>
      <c r="H424" s="46">
        <f t="shared" si="179"/>
        <v>-9850</v>
      </c>
      <c r="I424" s="47"/>
      <c r="J424" s="38">
        <f t="shared" si="166"/>
        <v>0</v>
      </c>
      <c r="K424" s="48"/>
      <c r="L424" s="48">
        <f t="shared" si="171"/>
        <v>359.30045739092873</v>
      </c>
      <c r="M424" s="48"/>
      <c r="N424" s="38">
        <f t="shared" si="172"/>
        <v>0</v>
      </c>
      <c r="O424" s="36">
        <f t="shared" si="173"/>
        <v>0</v>
      </c>
      <c r="P424" s="84">
        <f t="shared" si="174"/>
        <v>-12007.374121275016</v>
      </c>
      <c r="Q424" s="38">
        <f t="shared" si="175"/>
        <v>0</v>
      </c>
      <c r="R424" s="48">
        <f t="shared" si="176"/>
        <v>77.291147938545237</v>
      </c>
      <c r="S424" s="38">
        <f t="shared" si="167"/>
        <v>436.59160532947396</v>
      </c>
      <c r="T424" s="50">
        <f t="shared" si="180"/>
        <v>9850</v>
      </c>
      <c r="U424" s="40">
        <f t="shared" si="181"/>
        <v>9176.5340410647768</v>
      </c>
      <c r="V424" s="41">
        <f t="shared" si="182"/>
        <v>-6.837217857210387E-2</v>
      </c>
      <c r="W424" s="39">
        <f t="shared" si="183"/>
        <v>-673.46595893522317</v>
      </c>
      <c r="X424" s="50">
        <f t="shared" si="177"/>
        <v>2157.8428712912923</v>
      </c>
      <c r="Y424" s="41">
        <f t="shared" si="184"/>
        <v>0.15069816369097144</v>
      </c>
      <c r="Z424" s="52"/>
      <c r="AA424" s="50">
        <f t="shared" si="164"/>
        <v>12007.842871291292</v>
      </c>
      <c r="AB424" s="39">
        <f t="shared" si="165"/>
        <v>11150.550036706371</v>
      </c>
      <c r="AC424" s="39">
        <f t="shared" si="185"/>
        <v>-857.29283458492137</v>
      </c>
      <c r="AD424" s="41">
        <f t="shared" si="186"/>
        <v>-7.1394408119260344E-2</v>
      </c>
      <c r="AF424" s="46">
        <f t="shared" si="168"/>
        <v>0</v>
      </c>
      <c r="AG424" s="46">
        <f t="shared" si="187"/>
        <v>0</v>
      </c>
      <c r="AH424" s="54">
        <f t="shared" si="169"/>
        <v>2751</v>
      </c>
      <c r="AI424" s="55">
        <f t="shared" si="178"/>
        <v>0.5623608017817372</v>
      </c>
      <c r="AJ424" s="55">
        <f t="shared" si="188"/>
        <v>0</v>
      </c>
      <c r="AK424" s="55">
        <f t="shared" si="189"/>
        <v>0</v>
      </c>
    </row>
    <row r="425" spans="2:37" s="53" customFormat="1" ht="17.25" customHeight="1" x14ac:dyDescent="0.25">
      <c r="B425" s="91" t="str">
        <f t="shared" si="170"/>
        <v/>
      </c>
      <c r="C425" s="81">
        <f>IF(Sheet3!A396="","",Sheet3!A396)</f>
        <v>40385</v>
      </c>
      <c r="D425" s="82">
        <f>IF(C425="","",Sheet3!E396)</f>
        <v>25.940000999999999</v>
      </c>
      <c r="E425" s="56">
        <f>_xlfn.XLOOKUP(WEEKNUM(C425)&amp;YEAR(C425),Sheet4!C:C,Sheet4!B:B,0)</f>
        <v>0</v>
      </c>
      <c r="F425" s="46">
        <f>IF(int=Weekly,-$D$5,IF(int=Bi_Weekly,-$D$5,IF(int=Monthly,0,IF(int=Quarterly,0,IF(int=Yearly,0,IF(int=None,0,0))))))</f>
        <v>0</v>
      </c>
      <c r="G425" s="46"/>
      <c r="H425" s="46">
        <f t="shared" si="179"/>
        <v>-9850</v>
      </c>
      <c r="I425" s="47"/>
      <c r="J425" s="38">
        <f t="shared" si="166"/>
        <v>0</v>
      </c>
      <c r="K425" s="48"/>
      <c r="L425" s="48">
        <f t="shared" si="171"/>
        <v>359.30045739092873</v>
      </c>
      <c r="M425" s="48"/>
      <c r="N425" s="38">
        <f t="shared" si="172"/>
        <v>0</v>
      </c>
      <c r="O425" s="36">
        <f t="shared" si="173"/>
        <v>0</v>
      </c>
      <c r="P425" s="84">
        <f t="shared" si="174"/>
        <v>-12007.374121275016</v>
      </c>
      <c r="Q425" s="38">
        <f t="shared" si="175"/>
        <v>0</v>
      </c>
      <c r="R425" s="48">
        <f t="shared" si="176"/>
        <v>77.291147938545237</v>
      </c>
      <c r="S425" s="38">
        <f t="shared" si="167"/>
        <v>436.59160532947396</v>
      </c>
      <c r="T425" s="50">
        <f t="shared" si="180"/>
        <v>9850</v>
      </c>
      <c r="U425" s="40">
        <f t="shared" si="181"/>
        <v>9320.2542240211478</v>
      </c>
      <c r="V425" s="41">
        <f t="shared" si="182"/>
        <v>-5.3781297053690613E-2</v>
      </c>
      <c r="W425" s="39">
        <f t="shared" si="183"/>
        <v>-529.74577597885218</v>
      </c>
      <c r="X425" s="50">
        <f t="shared" si="177"/>
        <v>2157.8428712912923</v>
      </c>
      <c r="Y425" s="41">
        <f t="shared" si="184"/>
        <v>0.1652890452093847</v>
      </c>
      <c r="Z425" s="52"/>
      <c r="AA425" s="50">
        <f t="shared" si="164"/>
        <v>12007.842871291292</v>
      </c>
      <c r="AB425" s="39">
        <f t="shared" si="165"/>
        <v>11325.186678838159</v>
      </c>
      <c r="AC425" s="39">
        <f t="shared" si="185"/>
        <v>-682.65619245313246</v>
      </c>
      <c r="AD425" s="41">
        <f t="shared" si="186"/>
        <v>-5.6850859873029069E-2</v>
      </c>
      <c r="AF425" s="46">
        <f t="shared" si="168"/>
        <v>0</v>
      </c>
      <c r="AG425" s="46">
        <f t="shared" si="187"/>
        <v>0</v>
      </c>
      <c r="AH425" s="54">
        <f t="shared" si="169"/>
        <v>2758</v>
      </c>
      <c r="AI425" s="55">
        <f t="shared" si="178"/>
        <v>0.56124721603563477</v>
      </c>
      <c r="AJ425" s="55">
        <f t="shared" si="188"/>
        <v>0</v>
      </c>
      <c r="AK425" s="55">
        <f t="shared" si="189"/>
        <v>0</v>
      </c>
    </row>
    <row r="426" spans="2:37" s="53" customFormat="1" ht="17.25" customHeight="1" x14ac:dyDescent="0.25">
      <c r="B426" s="91" t="str">
        <f t="shared" si="170"/>
        <v/>
      </c>
      <c r="C426" s="81">
        <f>IF(Sheet3!A397="","",Sheet3!A397)</f>
        <v>40392</v>
      </c>
      <c r="D426" s="82">
        <f>IF(C426="","",Sheet3!E397)</f>
        <v>26.540001</v>
      </c>
      <c r="E426" s="56">
        <f>_xlfn.XLOOKUP(WEEKNUM(C426)&amp;YEAR(C426),Sheet4!C:C,Sheet4!B:B,0)</f>
        <v>0</v>
      </c>
      <c r="F426" s="46">
        <f>IF(int=Weekly,-$D$5,IF(int=Bi_Weekly,0,IF(int=Monthly,0,IF(int=Quarterly,0,IF(int=Yearly,0,IF(int=None,0,0))))))</f>
        <v>0</v>
      </c>
      <c r="G426" s="46"/>
      <c r="H426" s="46">
        <f t="shared" si="179"/>
        <v>-9850</v>
      </c>
      <c r="I426" s="47"/>
      <c r="J426" s="38">
        <f t="shared" si="166"/>
        <v>0</v>
      </c>
      <c r="K426" s="48"/>
      <c r="L426" s="48">
        <f t="shared" si="171"/>
        <v>359.30045739092873</v>
      </c>
      <c r="M426" s="48"/>
      <c r="N426" s="38">
        <f t="shared" si="172"/>
        <v>0</v>
      </c>
      <c r="O426" s="36">
        <f t="shared" si="173"/>
        <v>0</v>
      </c>
      <c r="P426" s="84">
        <f t="shared" si="174"/>
        <v>-12007.374121275016</v>
      </c>
      <c r="Q426" s="38">
        <f t="shared" si="175"/>
        <v>0</v>
      </c>
      <c r="R426" s="48">
        <f t="shared" si="176"/>
        <v>77.291147938545237</v>
      </c>
      <c r="S426" s="38">
        <f t="shared" si="167"/>
        <v>436.59160532947396</v>
      </c>
      <c r="T426" s="50">
        <f t="shared" si="180"/>
        <v>9850</v>
      </c>
      <c r="U426" s="40">
        <f t="shared" si="181"/>
        <v>9535.8344984557061</v>
      </c>
      <c r="V426" s="41">
        <f t="shared" si="182"/>
        <v>-3.1894974776070395E-2</v>
      </c>
      <c r="W426" s="39">
        <f t="shared" si="183"/>
        <v>-314.16550154429387</v>
      </c>
      <c r="X426" s="50">
        <f t="shared" si="177"/>
        <v>2157.8428712912923</v>
      </c>
      <c r="Y426" s="41">
        <f t="shared" si="184"/>
        <v>0.18717536748700492</v>
      </c>
      <c r="Z426" s="52"/>
      <c r="AA426" s="50">
        <f t="shared" si="164"/>
        <v>12007.842871291292</v>
      </c>
      <c r="AB426" s="39">
        <f t="shared" si="165"/>
        <v>11587.141642035844</v>
      </c>
      <c r="AC426" s="39">
        <f t="shared" si="185"/>
        <v>-420.7012292554482</v>
      </c>
      <c r="AD426" s="41">
        <f t="shared" si="186"/>
        <v>-3.5035537503682157E-2</v>
      </c>
      <c r="AF426" s="46">
        <f t="shared" si="168"/>
        <v>0</v>
      </c>
      <c r="AG426" s="46">
        <f t="shared" si="187"/>
        <v>0</v>
      </c>
      <c r="AH426" s="54">
        <f t="shared" si="169"/>
        <v>2765</v>
      </c>
      <c r="AI426" s="55">
        <f t="shared" si="178"/>
        <v>0.56013363028953234</v>
      </c>
      <c r="AJ426" s="55">
        <f t="shared" si="188"/>
        <v>0</v>
      </c>
      <c r="AK426" s="55">
        <f t="shared" si="189"/>
        <v>0</v>
      </c>
    </row>
    <row r="427" spans="2:37" s="53" customFormat="1" ht="17.25" customHeight="1" x14ac:dyDescent="0.25">
      <c r="B427" s="91" t="str">
        <f t="shared" si="170"/>
        <v/>
      </c>
      <c r="C427" s="81">
        <f>IF(Sheet3!A398="","",Sheet3!A398)</f>
        <v>40399</v>
      </c>
      <c r="D427" s="82">
        <f>IF(C427="","",Sheet3!E398)</f>
        <v>26.719999000000001</v>
      </c>
      <c r="E427" s="56">
        <f>_xlfn.XLOOKUP(WEEKNUM(C427)&amp;YEAR(C427),Sheet4!C:C,Sheet4!B:B,0)</f>
        <v>0</v>
      </c>
      <c r="F427" s="46">
        <f>IF(int=Weekly,-$D$5,IF(int=Bi_Weekly,-$D$5,IF(int=Monthly,-$D$5,IF(int=Quarterly,0,IF(int=Yearly,0,IF(int=None,0,0))))))</f>
        <v>-100</v>
      </c>
      <c r="G427" s="46"/>
      <c r="H427" s="46">
        <f t="shared" si="179"/>
        <v>-9950</v>
      </c>
      <c r="I427" s="47"/>
      <c r="J427" s="38">
        <f t="shared" si="166"/>
        <v>3.7425151101240681</v>
      </c>
      <c r="K427" s="48"/>
      <c r="L427" s="48">
        <f t="shared" si="171"/>
        <v>363.04297250105282</v>
      </c>
      <c r="M427" s="48"/>
      <c r="N427" s="38">
        <f t="shared" si="172"/>
        <v>0</v>
      </c>
      <c r="O427" s="36">
        <f t="shared" si="173"/>
        <v>0</v>
      </c>
      <c r="P427" s="84">
        <f t="shared" si="174"/>
        <v>-12107.374121275016</v>
      </c>
      <c r="Q427" s="38">
        <f t="shared" si="175"/>
        <v>0</v>
      </c>
      <c r="R427" s="48">
        <f t="shared" si="176"/>
        <v>77.291147938545237</v>
      </c>
      <c r="S427" s="38">
        <f t="shared" si="167"/>
        <v>440.33412043959805</v>
      </c>
      <c r="T427" s="50">
        <f t="shared" si="180"/>
        <v>9950</v>
      </c>
      <c r="U427" s="40">
        <f t="shared" si="181"/>
        <v>9700.507862185159</v>
      </c>
      <c r="V427" s="41">
        <f t="shared" si="182"/>
        <v>-2.5074586715059355E-2</v>
      </c>
      <c r="W427" s="39">
        <f t="shared" si="183"/>
        <v>-249.49213781484104</v>
      </c>
      <c r="X427" s="50">
        <f t="shared" si="177"/>
        <v>2157.8428712912923</v>
      </c>
      <c r="Y427" s="41">
        <f t="shared" si="184"/>
        <v>0.19179404356547236</v>
      </c>
      <c r="Z427" s="52"/>
      <c r="AA427" s="50">
        <f t="shared" si="164"/>
        <v>12107.842871291292</v>
      </c>
      <c r="AB427" s="39">
        <f t="shared" si="165"/>
        <v>11765.727257811941</v>
      </c>
      <c r="AC427" s="39">
        <f t="shared" si="185"/>
        <v>-342.11561347935094</v>
      </c>
      <c r="AD427" s="41">
        <f t="shared" si="186"/>
        <v>-2.8255703110463659E-2</v>
      </c>
      <c r="AF427" s="46">
        <f t="shared" si="168"/>
        <v>-100</v>
      </c>
      <c r="AG427" s="46">
        <f t="shared" si="187"/>
        <v>-100</v>
      </c>
      <c r="AH427" s="54">
        <f t="shared" si="169"/>
        <v>2772</v>
      </c>
      <c r="AI427" s="55">
        <f t="shared" si="178"/>
        <v>0.55902004454342979</v>
      </c>
      <c r="AJ427" s="55">
        <f t="shared" si="188"/>
        <v>-55.902004454342979</v>
      </c>
      <c r="AK427" s="55">
        <f t="shared" si="189"/>
        <v>-55.902004454342979</v>
      </c>
    </row>
    <row r="428" spans="2:37" s="53" customFormat="1" ht="17.25" customHeight="1" x14ac:dyDescent="0.25">
      <c r="B428" s="91" t="str">
        <f t="shared" si="170"/>
        <v/>
      </c>
      <c r="C428" s="81">
        <f>IF(Sheet3!A399="","",Sheet3!A399)</f>
        <v>40406</v>
      </c>
      <c r="D428" s="82">
        <f>IF(C428="","",Sheet3!E399)</f>
        <v>26.450001</v>
      </c>
      <c r="E428" s="56">
        <f>_xlfn.XLOOKUP(WEEKNUM(C428)&amp;YEAR(C428),Sheet4!C:C,Sheet4!B:B,0)</f>
        <v>0</v>
      </c>
      <c r="F428" s="46">
        <f>IF(int=Weekly,-$D$5,IF(int=Bi_Weekly,0,IF(int=Monthly,0,IF(int=Quarterly,0,IF(int=Yearly,0,IF(int=None,0,0))))))</f>
        <v>0</v>
      </c>
      <c r="G428" s="46"/>
      <c r="H428" s="46">
        <f t="shared" si="179"/>
        <v>-9950</v>
      </c>
      <c r="I428" s="47"/>
      <c r="J428" s="38">
        <f t="shared" si="166"/>
        <v>0</v>
      </c>
      <c r="K428" s="48"/>
      <c r="L428" s="48">
        <f t="shared" si="171"/>
        <v>363.04297250105282</v>
      </c>
      <c r="M428" s="48"/>
      <c r="N428" s="38">
        <f t="shared" si="172"/>
        <v>0</v>
      </c>
      <c r="O428" s="36">
        <f t="shared" si="173"/>
        <v>0</v>
      </c>
      <c r="P428" s="84">
        <f t="shared" si="174"/>
        <v>-12107.374121275016</v>
      </c>
      <c r="Q428" s="38">
        <f t="shared" si="175"/>
        <v>0</v>
      </c>
      <c r="R428" s="48">
        <f t="shared" si="176"/>
        <v>77.291147938545237</v>
      </c>
      <c r="S428" s="38">
        <f t="shared" si="167"/>
        <v>440.33412043959805</v>
      </c>
      <c r="T428" s="50">
        <f t="shared" si="180"/>
        <v>9950</v>
      </c>
      <c r="U428" s="40">
        <f t="shared" si="181"/>
        <v>9602.4869856958194</v>
      </c>
      <c r="V428" s="41">
        <f t="shared" si="182"/>
        <v>-3.4925931085847295E-2</v>
      </c>
      <c r="W428" s="39">
        <f t="shared" si="183"/>
        <v>-347.51301430418061</v>
      </c>
      <c r="X428" s="50">
        <f t="shared" si="177"/>
        <v>2157.8428712912923</v>
      </c>
      <c r="Y428" s="41">
        <f t="shared" si="184"/>
        <v>0.18194269919468464</v>
      </c>
      <c r="Z428" s="52"/>
      <c r="AA428" s="50">
        <f t="shared" si="164"/>
        <v>12107.842871291292</v>
      </c>
      <c r="AB428" s="39">
        <f t="shared" si="165"/>
        <v>11646.837925961489</v>
      </c>
      <c r="AC428" s="39">
        <f t="shared" si="185"/>
        <v>-461.00494532980338</v>
      </c>
      <c r="AD428" s="41">
        <f t="shared" si="186"/>
        <v>-3.8074903203681676E-2</v>
      </c>
      <c r="AF428" s="46">
        <f t="shared" si="168"/>
        <v>0</v>
      </c>
      <c r="AG428" s="46">
        <f t="shared" si="187"/>
        <v>0</v>
      </c>
      <c r="AH428" s="54">
        <f t="shared" si="169"/>
        <v>2779</v>
      </c>
      <c r="AI428" s="55">
        <f t="shared" si="178"/>
        <v>0.55790645879732736</v>
      </c>
      <c r="AJ428" s="55">
        <f t="shared" si="188"/>
        <v>0</v>
      </c>
      <c r="AK428" s="55">
        <f t="shared" si="189"/>
        <v>0</v>
      </c>
    </row>
    <row r="429" spans="2:37" s="53" customFormat="1" ht="17.25" customHeight="1" x14ac:dyDescent="0.25">
      <c r="B429" s="91" t="str">
        <f t="shared" si="170"/>
        <v/>
      </c>
      <c r="C429" s="81">
        <f>IF(Sheet3!A400="","",Sheet3!A400)</f>
        <v>40413</v>
      </c>
      <c r="D429" s="82">
        <f>IF(C429="","",Sheet3!E400)</f>
        <v>26.940000999999999</v>
      </c>
      <c r="E429" s="56">
        <f>_xlfn.XLOOKUP(WEEKNUM(C429)&amp;YEAR(C429),Sheet4!C:C,Sheet4!B:B,0)</f>
        <v>0</v>
      </c>
      <c r="F429" s="46">
        <f>IF(int=Weekly,-$D$5,IF(int=Bi_Weekly,-$D$5,IF(int=Monthly,0,IF(int=Quarterly,0,IF(int=Yearly,0,IF(int=None,0,0))))))</f>
        <v>0</v>
      </c>
      <c r="G429" s="46"/>
      <c r="H429" s="46">
        <f t="shared" si="179"/>
        <v>-9950</v>
      </c>
      <c r="I429" s="47"/>
      <c r="J429" s="38">
        <f t="shared" si="166"/>
        <v>0</v>
      </c>
      <c r="K429" s="48"/>
      <c r="L429" s="48">
        <f t="shared" si="171"/>
        <v>363.04297250105282</v>
      </c>
      <c r="M429" s="48"/>
      <c r="N429" s="38">
        <f t="shared" si="172"/>
        <v>0</v>
      </c>
      <c r="O429" s="36">
        <f t="shared" si="173"/>
        <v>0</v>
      </c>
      <c r="P429" s="84">
        <f t="shared" si="174"/>
        <v>-12107.374121275016</v>
      </c>
      <c r="Q429" s="38">
        <f t="shared" si="175"/>
        <v>0</v>
      </c>
      <c r="R429" s="48">
        <f t="shared" si="176"/>
        <v>77.291147938545237</v>
      </c>
      <c r="S429" s="38">
        <f t="shared" si="167"/>
        <v>440.33412043959805</v>
      </c>
      <c r="T429" s="50">
        <f t="shared" si="180"/>
        <v>9950</v>
      </c>
      <c r="U429" s="40">
        <f t="shared" si="181"/>
        <v>9780.3780422213349</v>
      </c>
      <c r="V429" s="41">
        <f t="shared" si="182"/>
        <v>-1.7047432942579377E-2</v>
      </c>
      <c r="W429" s="39">
        <f t="shared" si="183"/>
        <v>-169.62195777866509</v>
      </c>
      <c r="X429" s="50">
        <f t="shared" si="177"/>
        <v>2157.8428712912923</v>
      </c>
      <c r="Y429" s="41">
        <f t="shared" si="184"/>
        <v>0.19982119733795245</v>
      </c>
      <c r="Z429" s="52"/>
      <c r="AA429" s="50">
        <f t="shared" si="164"/>
        <v>12107.842871291292</v>
      </c>
      <c r="AB429" s="39">
        <f t="shared" si="165"/>
        <v>11862.60164497689</v>
      </c>
      <c r="AC429" s="39">
        <f t="shared" si="185"/>
        <v>-245.2412263144015</v>
      </c>
      <c r="AD429" s="41">
        <f t="shared" si="186"/>
        <v>-2.0254741403680554E-2</v>
      </c>
      <c r="AF429" s="46">
        <f t="shared" si="168"/>
        <v>0</v>
      </c>
      <c r="AG429" s="46">
        <f t="shared" si="187"/>
        <v>0</v>
      </c>
      <c r="AH429" s="54">
        <f t="shared" si="169"/>
        <v>2786</v>
      </c>
      <c r="AI429" s="55">
        <f t="shared" si="178"/>
        <v>0.55679287305122493</v>
      </c>
      <c r="AJ429" s="55">
        <f t="shared" si="188"/>
        <v>0</v>
      </c>
      <c r="AK429" s="55">
        <f t="shared" si="189"/>
        <v>0</v>
      </c>
    </row>
    <row r="430" spans="2:37" s="53" customFormat="1" ht="17.25" customHeight="1" x14ac:dyDescent="0.25">
      <c r="B430" s="91" t="str">
        <f t="shared" si="170"/>
        <v/>
      </c>
      <c r="C430" s="81">
        <f>IF(Sheet3!A401="","",Sheet3!A401)</f>
        <v>40420</v>
      </c>
      <c r="D430" s="82">
        <f>IF(C430="","",Sheet3!E401)</f>
        <v>27.440000999999999</v>
      </c>
      <c r="E430" s="56">
        <f>_xlfn.XLOOKUP(WEEKNUM(C430)&amp;YEAR(C430),Sheet4!C:C,Sheet4!B:B,0)</f>
        <v>0</v>
      </c>
      <c r="F430" s="46">
        <f>IF(int=Weekly,-$D$5,IF(int=Bi_Weekly,0,IF(int=Monthly,0,IF(int=Quarterly,0,IF(int=Yearly,0,IF(int=None,0,0))))))</f>
        <v>0</v>
      </c>
      <c r="G430" s="46"/>
      <c r="H430" s="46">
        <f t="shared" si="179"/>
        <v>-9950</v>
      </c>
      <c r="I430" s="47"/>
      <c r="J430" s="38">
        <f t="shared" si="166"/>
        <v>0</v>
      </c>
      <c r="K430" s="48"/>
      <c r="L430" s="48">
        <f t="shared" si="171"/>
        <v>363.04297250105282</v>
      </c>
      <c r="M430" s="48"/>
      <c r="N430" s="38">
        <f t="shared" si="172"/>
        <v>0</v>
      </c>
      <c r="O430" s="36">
        <f t="shared" si="173"/>
        <v>0</v>
      </c>
      <c r="P430" s="84">
        <f t="shared" si="174"/>
        <v>-12107.374121275016</v>
      </c>
      <c r="Q430" s="38">
        <f t="shared" si="175"/>
        <v>0</v>
      </c>
      <c r="R430" s="48">
        <f t="shared" si="176"/>
        <v>77.291147938545237</v>
      </c>
      <c r="S430" s="38">
        <f t="shared" si="167"/>
        <v>440.33412043959805</v>
      </c>
      <c r="T430" s="50">
        <f t="shared" si="180"/>
        <v>9950</v>
      </c>
      <c r="U430" s="40">
        <f t="shared" si="181"/>
        <v>9961.8995284718621</v>
      </c>
      <c r="V430" s="41">
        <f t="shared" si="182"/>
        <v>1.1959325097348206E-3</v>
      </c>
      <c r="W430" s="39">
        <f t="shared" si="183"/>
        <v>11.899528471862141</v>
      </c>
      <c r="X430" s="50">
        <f t="shared" si="177"/>
        <v>2157.8428712912923</v>
      </c>
      <c r="Y430" s="41">
        <f t="shared" si="184"/>
        <v>0.21806456279026665</v>
      </c>
      <c r="Z430" s="52"/>
      <c r="AA430" s="50">
        <f t="shared" si="164"/>
        <v>12107.842871291292</v>
      </c>
      <c r="AB430" s="39">
        <f t="shared" si="165"/>
        <v>12082.768705196691</v>
      </c>
      <c r="AC430" s="39">
        <f t="shared" si="185"/>
        <v>-25.074166094600514</v>
      </c>
      <c r="AD430" s="41">
        <f t="shared" si="186"/>
        <v>-2.0709028322504208E-3</v>
      </c>
      <c r="AF430" s="46">
        <f t="shared" si="168"/>
        <v>0</v>
      </c>
      <c r="AG430" s="46">
        <f t="shared" si="187"/>
        <v>0</v>
      </c>
      <c r="AH430" s="54">
        <f t="shared" si="169"/>
        <v>2793</v>
      </c>
      <c r="AI430" s="55">
        <f t="shared" si="178"/>
        <v>0.5556792873051225</v>
      </c>
      <c r="AJ430" s="55">
        <f t="shared" si="188"/>
        <v>0</v>
      </c>
      <c r="AK430" s="55">
        <f t="shared" si="189"/>
        <v>0</v>
      </c>
    </row>
    <row r="431" spans="2:37" s="53" customFormat="1" ht="17.25" customHeight="1" x14ac:dyDescent="0.25">
      <c r="B431" s="91" t="str">
        <f t="shared" si="170"/>
        <v/>
      </c>
      <c r="C431" s="81">
        <f>IF(Sheet3!A402="","",Sheet3!A402)</f>
        <v>40427</v>
      </c>
      <c r="D431" s="82">
        <f>IF(C431="","",Sheet3!E402)</f>
        <v>27.83</v>
      </c>
      <c r="E431" s="56">
        <f>_xlfn.XLOOKUP(WEEKNUM(C431)&amp;YEAR(C431),Sheet4!C:C,Sheet4!B:B,0)</f>
        <v>0</v>
      </c>
      <c r="F431" s="46">
        <f>IF(int=Weekly,-$D$5,IF(int=Bi_Weekly,-$D$5,IF(int=Monthly,-$D$5,IF(int=Quarterly,0,IF(int=Yearly,0,IF(int=None,0,0))))))</f>
        <v>-100</v>
      </c>
      <c r="G431" s="46"/>
      <c r="H431" s="46">
        <f t="shared" si="179"/>
        <v>-10050</v>
      </c>
      <c r="I431" s="47"/>
      <c r="J431" s="38">
        <f t="shared" si="166"/>
        <v>3.5932446999640679</v>
      </c>
      <c r="K431" s="48"/>
      <c r="L431" s="48">
        <f t="shared" si="171"/>
        <v>366.6362172010169</v>
      </c>
      <c r="M431" s="48"/>
      <c r="N431" s="38">
        <f t="shared" si="172"/>
        <v>0</v>
      </c>
      <c r="O431" s="36">
        <f t="shared" si="173"/>
        <v>0</v>
      </c>
      <c r="P431" s="84">
        <f t="shared" si="174"/>
        <v>-12207.374121275016</v>
      </c>
      <c r="Q431" s="38">
        <f t="shared" si="175"/>
        <v>0</v>
      </c>
      <c r="R431" s="48">
        <f t="shared" si="176"/>
        <v>77.291147938545237</v>
      </c>
      <c r="S431" s="38">
        <f t="shared" si="167"/>
        <v>443.92736513956214</v>
      </c>
      <c r="T431" s="50">
        <f t="shared" si="180"/>
        <v>10050</v>
      </c>
      <c r="U431" s="40">
        <f t="shared" si="181"/>
        <v>10203.4859247043</v>
      </c>
      <c r="V431" s="41">
        <f t="shared" si="182"/>
        <v>1.5272231313860685E-2</v>
      </c>
      <c r="W431" s="39">
        <f t="shared" si="183"/>
        <v>153.48592470430049</v>
      </c>
      <c r="X431" s="50">
        <f t="shared" si="177"/>
        <v>2157.8428712912923</v>
      </c>
      <c r="Y431" s="41">
        <f t="shared" si="184"/>
        <v>0.22998296477568081</v>
      </c>
      <c r="Z431" s="52"/>
      <c r="AA431" s="50">
        <f t="shared" si="164"/>
        <v>12207.842871291292</v>
      </c>
      <c r="AB431" s="39">
        <f t="shared" si="165"/>
        <v>12354.498571834014</v>
      </c>
      <c r="AC431" s="39">
        <f t="shared" si="185"/>
        <v>146.65570054272212</v>
      </c>
      <c r="AD431" s="41">
        <f t="shared" si="186"/>
        <v>1.20132362522134E-2</v>
      </c>
      <c r="AF431" s="46">
        <f t="shared" si="168"/>
        <v>-100</v>
      </c>
      <c r="AG431" s="46">
        <f t="shared" si="187"/>
        <v>-100</v>
      </c>
      <c r="AH431" s="54">
        <f t="shared" si="169"/>
        <v>2800</v>
      </c>
      <c r="AI431" s="55">
        <f t="shared" si="178"/>
        <v>0.55456570155902007</v>
      </c>
      <c r="AJ431" s="55">
        <f t="shared" si="188"/>
        <v>-55.456570155902007</v>
      </c>
      <c r="AK431" s="55">
        <f t="shared" si="189"/>
        <v>-55.456570155902007</v>
      </c>
    </row>
    <row r="432" spans="2:37" s="53" customFormat="1" ht="17.25" customHeight="1" x14ac:dyDescent="0.25">
      <c r="B432" s="91" t="str">
        <f t="shared" si="170"/>
        <v/>
      </c>
      <c r="C432" s="81">
        <f>IF(Sheet3!A403="","",Sheet3!A403)</f>
        <v>40434</v>
      </c>
      <c r="D432" s="82">
        <f>IF(C432="","",Sheet3!E403)</f>
        <v>28.17</v>
      </c>
      <c r="E432" s="56">
        <f>_xlfn.XLOOKUP(WEEKNUM(C432)&amp;YEAR(C432),Sheet4!C:C,Sheet4!B:B,0)</f>
        <v>0</v>
      </c>
      <c r="F432" s="46">
        <f>IF(int=Weekly,-$D$5,IF(int=Bi_Weekly,0,IF(int=Monthly,0,IF(int=Quarterly,0,IF(int=Yearly,0,IF(int=None,0,0))))))</f>
        <v>0</v>
      </c>
      <c r="G432" s="46"/>
      <c r="H432" s="46">
        <f t="shared" si="179"/>
        <v>-10050</v>
      </c>
      <c r="I432" s="47"/>
      <c r="J432" s="38">
        <f t="shared" si="166"/>
        <v>0</v>
      </c>
      <c r="K432" s="48"/>
      <c r="L432" s="48">
        <f t="shared" si="171"/>
        <v>366.6362172010169</v>
      </c>
      <c r="M432" s="48"/>
      <c r="N432" s="38">
        <f t="shared" si="172"/>
        <v>0</v>
      </c>
      <c r="O432" s="36">
        <f t="shared" si="173"/>
        <v>0</v>
      </c>
      <c r="P432" s="84">
        <f t="shared" si="174"/>
        <v>-12207.374121275016</v>
      </c>
      <c r="Q432" s="38">
        <f t="shared" si="175"/>
        <v>0</v>
      </c>
      <c r="R432" s="48">
        <f t="shared" si="176"/>
        <v>77.291147938545237</v>
      </c>
      <c r="S432" s="38">
        <f t="shared" si="167"/>
        <v>443.92736513956214</v>
      </c>
      <c r="T432" s="50">
        <f t="shared" si="180"/>
        <v>10050</v>
      </c>
      <c r="U432" s="40">
        <f t="shared" si="181"/>
        <v>10328.142238552648</v>
      </c>
      <c r="V432" s="41">
        <f t="shared" si="182"/>
        <v>2.7675844632104152E-2</v>
      </c>
      <c r="W432" s="39">
        <f t="shared" si="183"/>
        <v>278.14223855264754</v>
      </c>
      <c r="X432" s="50">
        <f t="shared" si="177"/>
        <v>2157.8428712912923</v>
      </c>
      <c r="Y432" s="41">
        <f t="shared" si="184"/>
        <v>0.24238657809392428</v>
      </c>
      <c r="Z432" s="52"/>
      <c r="AA432" s="50">
        <f t="shared" si="164"/>
        <v>12207.842871291292</v>
      </c>
      <c r="AB432" s="39">
        <f t="shared" si="165"/>
        <v>12505.433875981467</v>
      </c>
      <c r="AC432" s="39">
        <f t="shared" si="185"/>
        <v>297.5910046901754</v>
      </c>
      <c r="AD432" s="41">
        <f t="shared" si="186"/>
        <v>2.4377034323566527E-2</v>
      </c>
      <c r="AF432" s="46">
        <f t="shared" si="168"/>
        <v>0</v>
      </c>
      <c r="AG432" s="46">
        <f t="shared" si="187"/>
        <v>0</v>
      </c>
      <c r="AH432" s="54">
        <f t="shared" si="169"/>
        <v>2807</v>
      </c>
      <c r="AI432" s="55">
        <f t="shared" si="178"/>
        <v>0.55345211581291764</v>
      </c>
      <c r="AJ432" s="55">
        <f t="shared" si="188"/>
        <v>0</v>
      </c>
      <c r="AK432" s="55">
        <f t="shared" si="189"/>
        <v>0</v>
      </c>
    </row>
    <row r="433" spans="2:37" s="53" customFormat="1" ht="17.25" customHeight="1" x14ac:dyDescent="0.25">
      <c r="B433" s="91" t="str">
        <f t="shared" si="170"/>
        <v/>
      </c>
      <c r="C433" s="81">
        <f>IF(Sheet3!A404="","",Sheet3!A404)</f>
        <v>40441</v>
      </c>
      <c r="D433" s="82">
        <f>IF(C433="","",Sheet3!E404)</f>
        <v>28.58</v>
      </c>
      <c r="E433" s="56">
        <f>_xlfn.XLOOKUP(WEEKNUM(C433)&amp;YEAR(C433),Sheet4!C:C,Sheet4!B:B,0)</f>
        <v>0</v>
      </c>
      <c r="F433" s="46">
        <f>IF(int=Weekly,-$D$5,IF(int=Bi_Weekly,-$D$5,IF(int=Monthly,0,IF(int=Quarterly,0,IF(int=Yearly,0,IF(int=None,0,0))))))</f>
        <v>0</v>
      </c>
      <c r="G433" s="46"/>
      <c r="H433" s="46">
        <f t="shared" si="179"/>
        <v>-10050</v>
      </c>
      <c r="I433" s="47"/>
      <c r="J433" s="38">
        <f t="shared" si="166"/>
        <v>0</v>
      </c>
      <c r="K433" s="48"/>
      <c r="L433" s="48">
        <f t="shared" si="171"/>
        <v>366.6362172010169</v>
      </c>
      <c r="M433" s="48"/>
      <c r="N433" s="38">
        <f t="shared" si="172"/>
        <v>0</v>
      </c>
      <c r="O433" s="36">
        <f t="shared" si="173"/>
        <v>0</v>
      </c>
      <c r="P433" s="84">
        <f t="shared" si="174"/>
        <v>-12207.374121275016</v>
      </c>
      <c r="Q433" s="38">
        <f t="shared" si="175"/>
        <v>0</v>
      </c>
      <c r="R433" s="48">
        <f t="shared" si="176"/>
        <v>77.291147938545237</v>
      </c>
      <c r="S433" s="38">
        <f t="shared" si="167"/>
        <v>443.92736513956214</v>
      </c>
      <c r="T433" s="50">
        <f t="shared" si="180"/>
        <v>10050</v>
      </c>
      <c r="U433" s="40">
        <f t="shared" si="181"/>
        <v>10478.463087605063</v>
      </c>
      <c r="V433" s="41">
        <f t="shared" si="182"/>
        <v>4.2633143045279986E-2</v>
      </c>
      <c r="W433" s="39">
        <f t="shared" si="183"/>
        <v>428.46308760506327</v>
      </c>
      <c r="X433" s="50">
        <f t="shared" si="177"/>
        <v>2157.8428712912923</v>
      </c>
      <c r="Y433" s="41">
        <f t="shared" si="184"/>
        <v>0.25734387650710011</v>
      </c>
      <c r="Z433" s="52"/>
      <c r="AA433" s="50">
        <f t="shared" ref="AA433:AA496" si="190">(D433*Q433)+(D433*J433)+AA432</f>
        <v>12207.842871291292</v>
      </c>
      <c r="AB433" s="39">
        <f t="shared" ref="AB433:AB496" si="191">(L433*D433)+(D433*R433)</f>
        <v>12687.444095688687</v>
      </c>
      <c r="AC433" s="39">
        <f t="shared" si="185"/>
        <v>479.60122439739462</v>
      </c>
      <c r="AD433" s="41">
        <f t="shared" si="186"/>
        <v>3.9286320233139049E-2</v>
      </c>
      <c r="AF433" s="46">
        <f t="shared" si="168"/>
        <v>0</v>
      </c>
      <c r="AG433" s="46">
        <f t="shared" si="187"/>
        <v>0</v>
      </c>
      <c r="AH433" s="54">
        <f t="shared" si="169"/>
        <v>2814</v>
      </c>
      <c r="AI433" s="55">
        <f t="shared" si="178"/>
        <v>0.5523385300668151</v>
      </c>
      <c r="AJ433" s="55">
        <f t="shared" si="188"/>
        <v>0</v>
      </c>
      <c r="AK433" s="55">
        <f t="shared" si="189"/>
        <v>0</v>
      </c>
    </row>
    <row r="434" spans="2:37" s="53" customFormat="1" ht="17.25" customHeight="1" x14ac:dyDescent="0.25">
      <c r="B434" s="91" t="str">
        <f t="shared" si="170"/>
        <v/>
      </c>
      <c r="C434" s="81">
        <f>IF(Sheet3!A405="","",Sheet3!A405)</f>
        <v>40448</v>
      </c>
      <c r="D434" s="82">
        <f>IF(C434="","",Sheet3!E405)</f>
        <v>28.809999000000001</v>
      </c>
      <c r="E434" s="56">
        <f>_xlfn.XLOOKUP(WEEKNUM(C434)&amp;YEAR(C434),Sheet4!C:C,Sheet4!B:B,0)</f>
        <v>0</v>
      </c>
      <c r="F434" s="46">
        <f>IF(int=Weekly,-$D$5,IF(int=Bi_Weekly,0,IF(int=Monthly,0,IF(int=Quarterly,-$D$5,IF(int=Yearly,0,IF(int=None,0,0))))))</f>
        <v>0</v>
      </c>
      <c r="G434" s="46"/>
      <c r="H434" s="46">
        <f t="shared" si="179"/>
        <v>-10050</v>
      </c>
      <c r="I434" s="47"/>
      <c r="J434" s="38">
        <f t="shared" si="166"/>
        <v>0</v>
      </c>
      <c r="K434" s="48"/>
      <c r="L434" s="48">
        <f t="shared" si="171"/>
        <v>366.6362172010169</v>
      </c>
      <c r="M434" s="48"/>
      <c r="N434" s="38">
        <f t="shared" si="172"/>
        <v>0</v>
      </c>
      <c r="O434" s="36">
        <f t="shared" si="173"/>
        <v>0</v>
      </c>
      <c r="P434" s="84">
        <f t="shared" si="174"/>
        <v>-12207.374121275016</v>
      </c>
      <c r="Q434" s="38">
        <f t="shared" si="175"/>
        <v>0</v>
      </c>
      <c r="R434" s="48">
        <f t="shared" si="176"/>
        <v>77.291147938545237</v>
      </c>
      <c r="S434" s="38">
        <f t="shared" si="167"/>
        <v>443.92736513956214</v>
      </c>
      <c r="T434" s="50">
        <f t="shared" si="180"/>
        <v>10050</v>
      </c>
      <c r="U434" s="40">
        <f t="shared" si="181"/>
        <v>10562.789050925081</v>
      </c>
      <c r="V434" s="41">
        <f t="shared" si="182"/>
        <v>5.1023786161699558E-2</v>
      </c>
      <c r="W434" s="39">
        <f t="shared" si="183"/>
        <v>512.78905092508103</v>
      </c>
      <c r="X434" s="50">
        <f t="shared" si="177"/>
        <v>2157.8428712912923</v>
      </c>
      <c r="Y434" s="41">
        <f t="shared" si="184"/>
        <v>0.26573451962351968</v>
      </c>
      <c r="Z434" s="52"/>
      <c r="AA434" s="50">
        <f t="shared" si="190"/>
        <v>12207.842871291292</v>
      </c>
      <c r="AB434" s="39">
        <f t="shared" si="191"/>
        <v>12789.546945743421</v>
      </c>
      <c r="AC434" s="39">
        <f t="shared" si="185"/>
        <v>581.70407445212913</v>
      </c>
      <c r="AD434" s="41">
        <f t="shared" si="186"/>
        <v>4.7650029623177659E-2</v>
      </c>
      <c r="AF434" s="46">
        <f t="shared" si="168"/>
        <v>0</v>
      </c>
      <c r="AG434" s="46">
        <f t="shared" si="187"/>
        <v>0</v>
      </c>
      <c r="AH434" s="54">
        <f t="shared" si="169"/>
        <v>2821</v>
      </c>
      <c r="AI434" s="55">
        <f t="shared" si="178"/>
        <v>0.55122494432071267</v>
      </c>
      <c r="AJ434" s="55">
        <f t="shared" si="188"/>
        <v>0</v>
      </c>
      <c r="AK434" s="55">
        <f t="shared" si="189"/>
        <v>0</v>
      </c>
    </row>
    <row r="435" spans="2:37" s="53" customFormat="1" ht="17.25" customHeight="1" x14ac:dyDescent="0.25">
      <c r="B435" s="91" t="str">
        <f t="shared" si="170"/>
        <v/>
      </c>
      <c r="C435" s="81">
        <f>IF(Sheet3!A406="","",Sheet3!A406)</f>
        <v>40455</v>
      </c>
      <c r="D435" s="82">
        <f>IF(C435="","",Sheet3!E406)</f>
        <v>28.219999000000001</v>
      </c>
      <c r="E435" s="56">
        <f>_xlfn.XLOOKUP(WEEKNUM(C435)&amp;YEAR(C435),Sheet4!C:C,Sheet4!B:B,0)</f>
        <v>0.42</v>
      </c>
      <c r="F435" s="46">
        <f>IF(int=Weekly,-$D$5,IF(int=Bi_Weekly,-$D$5,IF(int=Monthly,-$D$5,IF(int=Quarterly,0,IF(int=Yearly,0,IF(int=None,0,0))))))</f>
        <v>-100</v>
      </c>
      <c r="G435" s="46"/>
      <c r="H435" s="46">
        <f t="shared" si="179"/>
        <v>-10150</v>
      </c>
      <c r="I435" s="47"/>
      <c r="J435" s="38">
        <f t="shared" si="166"/>
        <v>3.5435862347124814</v>
      </c>
      <c r="K435" s="48"/>
      <c r="L435" s="48">
        <f t="shared" si="171"/>
        <v>370.17980343572941</v>
      </c>
      <c r="M435" s="48"/>
      <c r="N435" s="38">
        <f t="shared" si="172"/>
        <v>155.47551744300634</v>
      </c>
      <c r="O435" s="36">
        <f t="shared" si="173"/>
        <v>-155.47551744300634</v>
      </c>
      <c r="P435" s="84">
        <f t="shared" si="174"/>
        <v>-12462.849638718022</v>
      </c>
      <c r="Q435" s="38">
        <f t="shared" si="175"/>
        <v>5.5094090344583755</v>
      </c>
      <c r="R435" s="48">
        <f t="shared" si="176"/>
        <v>82.800556973003609</v>
      </c>
      <c r="S435" s="38">
        <f t="shared" si="167"/>
        <v>452.98036040873302</v>
      </c>
      <c r="T435" s="50">
        <f t="shared" si="180"/>
        <v>10150</v>
      </c>
      <c r="U435" s="40">
        <f t="shared" si="181"/>
        <v>10446.473682776481</v>
      </c>
      <c r="V435" s="41">
        <f t="shared" si="182"/>
        <v>2.9209229830195138E-2</v>
      </c>
      <c r="W435" s="39">
        <f t="shared" si="183"/>
        <v>296.47368277648093</v>
      </c>
      <c r="X435" s="50">
        <f t="shared" si="177"/>
        <v>2313.3183887342989</v>
      </c>
      <c r="Y435" s="41">
        <f t="shared" si="184"/>
        <v>0.25712237157741669</v>
      </c>
      <c r="Z435" s="52"/>
      <c r="AA435" s="50">
        <f t="shared" si="190"/>
        <v>12463.318388734298</v>
      </c>
      <c r="AB435" s="39">
        <f t="shared" si="191"/>
        <v>12783.105317754085</v>
      </c>
      <c r="AC435" s="39">
        <f t="shared" si="185"/>
        <v>319.78692901978684</v>
      </c>
      <c r="AD435" s="41">
        <f t="shared" si="186"/>
        <v>2.5658249195402494E-2</v>
      </c>
      <c r="AF435" s="46">
        <f t="shared" si="168"/>
        <v>55.475517443006339</v>
      </c>
      <c r="AG435" s="46">
        <f t="shared" si="187"/>
        <v>-100</v>
      </c>
      <c r="AH435" s="54">
        <f t="shared" si="169"/>
        <v>2828</v>
      </c>
      <c r="AI435" s="55">
        <f t="shared" si="178"/>
        <v>0.55011135857461024</v>
      </c>
      <c r="AJ435" s="55">
        <f t="shared" si="188"/>
        <v>30.517712268201706</v>
      </c>
      <c r="AK435" s="55">
        <f t="shared" si="189"/>
        <v>-55.011135857461028</v>
      </c>
    </row>
    <row r="436" spans="2:37" s="53" customFormat="1" ht="17.25" customHeight="1" x14ac:dyDescent="0.25">
      <c r="B436" s="91" t="str">
        <f t="shared" si="170"/>
        <v/>
      </c>
      <c r="C436" s="81">
        <f>IF(Sheet3!A407="","",Sheet3!A407)</f>
        <v>40462</v>
      </c>
      <c r="D436" s="82">
        <f>IF(C436="","",Sheet3!E407)</f>
        <v>28.33</v>
      </c>
      <c r="E436" s="56">
        <f>_xlfn.XLOOKUP(WEEKNUM(C436)&amp;YEAR(C436),Sheet4!C:C,Sheet4!B:B,0)</f>
        <v>0</v>
      </c>
      <c r="F436" s="46">
        <f>IF(int=Weekly,-$D$5,IF(int=Bi_Weekly,0,IF(int=Monthly,0,IF(int=Quarterly,0,IF(int=Yearly,0,IF(int=None,0,0))))))</f>
        <v>0</v>
      </c>
      <c r="G436" s="46"/>
      <c r="H436" s="46">
        <f t="shared" si="179"/>
        <v>-10150</v>
      </c>
      <c r="I436" s="47"/>
      <c r="J436" s="38">
        <f t="shared" si="166"/>
        <v>0</v>
      </c>
      <c r="K436" s="48"/>
      <c r="L436" s="48">
        <f t="shared" si="171"/>
        <v>370.17980343572941</v>
      </c>
      <c r="M436" s="48"/>
      <c r="N436" s="38">
        <f t="shared" si="172"/>
        <v>0</v>
      </c>
      <c r="O436" s="36">
        <f t="shared" si="173"/>
        <v>0</v>
      </c>
      <c r="P436" s="84">
        <f t="shared" si="174"/>
        <v>-12462.849638718022</v>
      </c>
      <c r="Q436" s="38">
        <f t="shared" si="175"/>
        <v>0</v>
      </c>
      <c r="R436" s="48">
        <f t="shared" si="176"/>
        <v>82.800556973003609</v>
      </c>
      <c r="S436" s="38">
        <f t="shared" si="167"/>
        <v>452.98036040873302</v>
      </c>
      <c r="T436" s="50">
        <f t="shared" si="180"/>
        <v>10150</v>
      </c>
      <c r="U436" s="40">
        <f t="shared" si="181"/>
        <v>10487.193831334214</v>
      </c>
      <c r="V436" s="41">
        <f t="shared" si="182"/>
        <v>3.3221067126523618E-2</v>
      </c>
      <c r="W436" s="39">
        <f t="shared" si="183"/>
        <v>337.19383133421434</v>
      </c>
      <c r="X436" s="50">
        <f t="shared" si="177"/>
        <v>2313.3183887342989</v>
      </c>
      <c r="Y436" s="41">
        <f t="shared" si="184"/>
        <v>0.26113420887374517</v>
      </c>
      <c r="Z436" s="52"/>
      <c r="AA436" s="50">
        <f t="shared" si="190"/>
        <v>12463.318388734298</v>
      </c>
      <c r="AB436" s="39">
        <f t="shared" si="191"/>
        <v>12832.933610379407</v>
      </c>
      <c r="AC436" s="39">
        <f t="shared" si="185"/>
        <v>369.61522164510825</v>
      </c>
      <c r="AD436" s="41">
        <f t="shared" si="186"/>
        <v>2.9656244839191936E-2</v>
      </c>
      <c r="AF436" s="46">
        <f t="shared" si="168"/>
        <v>0</v>
      </c>
      <c r="AG436" s="46">
        <f t="shared" si="187"/>
        <v>0</v>
      </c>
      <c r="AH436" s="54">
        <f t="shared" si="169"/>
        <v>2835</v>
      </c>
      <c r="AI436" s="55">
        <f t="shared" si="178"/>
        <v>0.54899777282850781</v>
      </c>
      <c r="AJ436" s="55">
        <f t="shared" si="188"/>
        <v>0</v>
      </c>
      <c r="AK436" s="55">
        <f t="shared" si="189"/>
        <v>0</v>
      </c>
    </row>
    <row r="437" spans="2:37" s="53" customFormat="1" ht="17.25" customHeight="1" x14ac:dyDescent="0.25">
      <c r="B437" s="91" t="str">
        <f t="shared" si="170"/>
        <v/>
      </c>
      <c r="C437" s="81">
        <f>IF(Sheet3!A408="","",Sheet3!A408)</f>
        <v>40469</v>
      </c>
      <c r="D437" s="82">
        <f>IF(C437="","",Sheet3!E408)</f>
        <v>28.290001</v>
      </c>
      <c r="E437" s="56">
        <f>_xlfn.XLOOKUP(WEEKNUM(C437)&amp;YEAR(C437),Sheet4!C:C,Sheet4!B:B,0)</f>
        <v>0</v>
      </c>
      <c r="F437" s="46">
        <f>IF(int=Weekly,-$D$5,IF(int=Bi_Weekly,-$D$5,IF(int=Monthly,0,IF(int=Quarterly,0,IF(int=Yearly,0,IF(int=None,0,0))))))</f>
        <v>0</v>
      </c>
      <c r="G437" s="46"/>
      <c r="H437" s="46">
        <f t="shared" si="179"/>
        <v>-10150</v>
      </c>
      <c r="I437" s="47"/>
      <c r="J437" s="38">
        <f t="shared" si="166"/>
        <v>0</v>
      </c>
      <c r="K437" s="48"/>
      <c r="L437" s="48">
        <f t="shared" si="171"/>
        <v>370.17980343572941</v>
      </c>
      <c r="M437" s="48"/>
      <c r="N437" s="38">
        <f t="shared" si="172"/>
        <v>0</v>
      </c>
      <c r="O437" s="36">
        <f t="shared" si="173"/>
        <v>0</v>
      </c>
      <c r="P437" s="84">
        <f t="shared" si="174"/>
        <v>-12462.849638718022</v>
      </c>
      <c r="Q437" s="38">
        <f t="shared" si="175"/>
        <v>0</v>
      </c>
      <c r="R437" s="48">
        <f t="shared" si="176"/>
        <v>82.800556973003609</v>
      </c>
      <c r="S437" s="38">
        <f t="shared" si="167"/>
        <v>452.98036040873302</v>
      </c>
      <c r="T437" s="50">
        <f t="shared" si="180"/>
        <v>10150</v>
      </c>
      <c r="U437" s="40">
        <f t="shared" si="181"/>
        <v>10472.387009376589</v>
      </c>
      <c r="V437" s="41">
        <f t="shared" si="182"/>
        <v>3.1762266933654137E-2</v>
      </c>
      <c r="W437" s="39">
        <f t="shared" si="183"/>
        <v>322.38700937658905</v>
      </c>
      <c r="X437" s="50">
        <f t="shared" si="177"/>
        <v>2313.3183887342989</v>
      </c>
      <c r="Y437" s="41">
        <f t="shared" si="184"/>
        <v>0.25967540868087569</v>
      </c>
      <c r="Z437" s="52"/>
      <c r="AA437" s="50">
        <f t="shared" si="190"/>
        <v>12463.318388734298</v>
      </c>
      <c r="AB437" s="39">
        <f t="shared" si="191"/>
        <v>12814.814848943417</v>
      </c>
      <c r="AC437" s="39">
        <f t="shared" si="185"/>
        <v>351.4964602091186</v>
      </c>
      <c r="AD437" s="41">
        <f t="shared" si="186"/>
        <v>2.8202477802929282E-2</v>
      </c>
      <c r="AF437" s="46">
        <f t="shared" si="168"/>
        <v>0</v>
      </c>
      <c r="AG437" s="46">
        <f t="shared" si="187"/>
        <v>0</v>
      </c>
      <c r="AH437" s="54">
        <f t="shared" si="169"/>
        <v>2842</v>
      </c>
      <c r="AI437" s="55">
        <f t="shared" si="178"/>
        <v>0.54788418708240538</v>
      </c>
      <c r="AJ437" s="55">
        <f t="shared" si="188"/>
        <v>0</v>
      </c>
      <c r="AK437" s="55">
        <f t="shared" si="189"/>
        <v>0</v>
      </c>
    </row>
    <row r="438" spans="2:37" s="53" customFormat="1" ht="17.25" customHeight="1" x14ac:dyDescent="0.25">
      <c r="B438" s="91" t="str">
        <f t="shared" si="170"/>
        <v/>
      </c>
      <c r="C438" s="81">
        <f>IF(Sheet3!A409="","",Sheet3!A409)</f>
        <v>40476</v>
      </c>
      <c r="D438" s="82">
        <f>IF(C438="","",Sheet3!E409)</f>
        <v>28.52</v>
      </c>
      <c r="E438" s="56">
        <f>_xlfn.XLOOKUP(WEEKNUM(C438)&amp;YEAR(C438),Sheet4!C:C,Sheet4!B:B,0)</f>
        <v>0</v>
      </c>
      <c r="F438" s="46">
        <f>IF(int=Weekly,-$D$5,IF(int=Bi_Weekly,0,IF(int=Monthly,0,IF(int=Quarterly,0,IF(int=Yearly,0,IF(int=None,0,0))))))</f>
        <v>0</v>
      </c>
      <c r="G438" s="46"/>
      <c r="H438" s="46">
        <f t="shared" si="179"/>
        <v>-10150</v>
      </c>
      <c r="I438" s="47"/>
      <c r="J438" s="38">
        <f t="shared" si="166"/>
        <v>0</v>
      </c>
      <c r="K438" s="48"/>
      <c r="L438" s="48">
        <f t="shared" si="171"/>
        <v>370.17980343572941</v>
      </c>
      <c r="M438" s="48"/>
      <c r="N438" s="38">
        <f t="shared" si="172"/>
        <v>0</v>
      </c>
      <c r="O438" s="36">
        <f t="shared" si="173"/>
        <v>0</v>
      </c>
      <c r="P438" s="84">
        <f t="shared" si="174"/>
        <v>-12462.849638718022</v>
      </c>
      <c r="Q438" s="38">
        <f t="shared" si="175"/>
        <v>0</v>
      </c>
      <c r="R438" s="48">
        <f t="shared" si="176"/>
        <v>82.800556973003609</v>
      </c>
      <c r="S438" s="38">
        <f t="shared" si="167"/>
        <v>452.98036040873302</v>
      </c>
      <c r="T438" s="50">
        <f t="shared" si="180"/>
        <v>10150</v>
      </c>
      <c r="U438" s="40">
        <f t="shared" si="181"/>
        <v>10557.527993987003</v>
      </c>
      <c r="V438" s="41">
        <f t="shared" si="182"/>
        <v>4.015054127950779E-2</v>
      </c>
      <c r="W438" s="39">
        <f t="shared" si="183"/>
        <v>407.52799398700336</v>
      </c>
      <c r="X438" s="50">
        <f t="shared" si="177"/>
        <v>2313.3183887342989</v>
      </c>
      <c r="Y438" s="41">
        <f t="shared" si="184"/>
        <v>0.26806368302672934</v>
      </c>
      <c r="Z438" s="52"/>
      <c r="AA438" s="50">
        <f t="shared" si="190"/>
        <v>12463.318388734298</v>
      </c>
      <c r="AB438" s="39">
        <f t="shared" si="191"/>
        <v>12918.999878857067</v>
      </c>
      <c r="AC438" s="39">
        <f t="shared" si="185"/>
        <v>455.68149012276808</v>
      </c>
      <c r="AD438" s="41">
        <f t="shared" si="186"/>
        <v>3.6561810900591407E-2</v>
      </c>
      <c r="AF438" s="46">
        <f t="shared" si="168"/>
        <v>0</v>
      </c>
      <c r="AG438" s="46">
        <f t="shared" si="187"/>
        <v>0</v>
      </c>
      <c r="AH438" s="54">
        <f t="shared" si="169"/>
        <v>2849</v>
      </c>
      <c r="AI438" s="55">
        <f t="shared" si="178"/>
        <v>0.54677060133630284</v>
      </c>
      <c r="AJ438" s="55">
        <f t="shared" si="188"/>
        <v>0</v>
      </c>
      <c r="AK438" s="55">
        <f t="shared" si="189"/>
        <v>0</v>
      </c>
    </row>
    <row r="439" spans="2:37" s="53" customFormat="1" ht="17.25" customHeight="1" x14ac:dyDescent="0.25">
      <c r="B439" s="91" t="str">
        <f t="shared" si="170"/>
        <v/>
      </c>
      <c r="C439" s="81">
        <f>IF(Sheet3!A410="","",Sheet3!A410)</f>
        <v>40483</v>
      </c>
      <c r="D439" s="82">
        <f>IF(C439="","",Sheet3!E410)</f>
        <v>29.27</v>
      </c>
      <c r="E439" s="56">
        <f>_xlfn.XLOOKUP(WEEKNUM(C439)&amp;YEAR(C439),Sheet4!C:C,Sheet4!B:B,0)</f>
        <v>0</v>
      </c>
      <c r="F439" s="46">
        <f>IF(int=Weekly,-$D$5,IF(int=Bi_Weekly,-$D$5,IF(int=Monthly,-$D$5,IF(int=Quarterly,0,IF(int=Yearly,0,IF(int=None,0,0))))))</f>
        <v>-100</v>
      </c>
      <c r="G439" s="46"/>
      <c r="H439" s="46">
        <f t="shared" si="179"/>
        <v>-10250</v>
      </c>
      <c r="I439" s="47"/>
      <c r="J439" s="38">
        <f t="shared" si="166"/>
        <v>3.4164673727365904</v>
      </c>
      <c r="K439" s="48"/>
      <c r="L439" s="48">
        <f t="shared" si="171"/>
        <v>373.59627080846599</v>
      </c>
      <c r="M439" s="48"/>
      <c r="N439" s="38">
        <f t="shared" si="172"/>
        <v>0</v>
      </c>
      <c r="O439" s="36">
        <f t="shared" si="173"/>
        <v>0</v>
      </c>
      <c r="P439" s="84">
        <f t="shared" si="174"/>
        <v>-12562.849638718022</v>
      </c>
      <c r="Q439" s="38">
        <f t="shared" si="175"/>
        <v>0</v>
      </c>
      <c r="R439" s="48">
        <f t="shared" si="176"/>
        <v>82.800556973003609</v>
      </c>
      <c r="S439" s="38">
        <f t="shared" si="167"/>
        <v>456.3968277814696</v>
      </c>
      <c r="T439" s="50">
        <f t="shared" si="180"/>
        <v>10250</v>
      </c>
      <c r="U439" s="40">
        <f t="shared" si="181"/>
        <v>10935.162846563799</v>
      </c>
      <c r="V439" s="41">
        <f t="shared" si="182"/>
        <v>6.6845155762321751E-2</v>
      </c>
      <c r="W439" s="39">
        <f t="shared" si="183"/>
        <v>685.16284656379867</v>
      </c>
      <c r="X439" s="50">
        <f t="shared" si="177"/>
        <v>2313.3183887342989</v>
      </c>
      <c r="Y439" s="41">
        <f t="shared" si="184"/>
        <v>0.29253475466322909</v>
      </c>
      <c r="Z439" s="52"/>
      <c r="AA439" s="50">
        <f t="shared" si="190"/>
        <v>12563.318388734298</v>
      </c>
      <c r="AB439" s="39">
        <f t="shared" si="191"/>
        <v>13358.735149163615</v>
      </c>
      <c r="AC439" s="39">
        <f t="shared" si="185"/>
        <v>795.41676042931613</v>
      </c>
      <c r="AD439" s="41">
        <f t="shared" si="186"/>
        <v>6.3312632524109125E-2</v>
      </c>
      <c r="AF439" s="46">
        <f t="shared" si="168"/>
        <v>-100</v>
      </c>
      <c r="AG439" s="46">
        <f t="shared" si="187"/>
        <v>-100</v>
      </c>
      <c r="AH439" s="54">
        <f t="shared" si="169"/>
        <v>2856</v>
      </c>
      <c r="AI439" s="55">
        <f t="shared" si="178"/>
        <v>0.54565701559020041</v>
      </c>
      <c r="AJ439" s="55">
        <f t="shared" si="188"/>
        <v>-54.565701559020042</v>
      </c>
      <c r="AK439" s="55">
        <f t="shared" si="189"/>
        <v>-54.565701559020042</v>
      </c>
    </row>
    <row r="440" spans="2:37" s="53" customFormat="1" ht="17.25" customHeight="1" x14ac:dyDescent="0.25">
      <c r="B440" s="91" t="str">
        <f t="shared" si="170"/>
        <v/>
      </c>
      <c r="C440" s="81">
        <f>IF(Sheet3!A411="","",Sheet3!A411)</f>
        <v>40490</v>
      </c>
      <c r="D440" s="82">
        <f>IF(C440="","",Sheet3!E411)</f>
        <v>28.459999</v>
      </c>
      <c r="E440" s="56">
        <f>_xlfn.XLOOKUP(WEEKNUM(C440)&amp;YEAR(C440),Sheet4!C:C,Sheet4!B:B,0)</f>
        <v>0</v>
      </c>
      <c r="F440" s="46">
        <f>IF(int=Weekly,-$D$5,IF(int=Bi_Weekly,0,IF(int=Monthly,0,IF(int=Quarterly,0,IF(int=Yearly,0,IF(int=None,0,0))))))</f>
        <v>0</v>
      </c>
      <c r="G440" s="46"/>
      <c r="H440" s="46">
        <f t="shared" si="179"/>
        <v>-10250</v>
      </c>
      <c r="I440" s="47"/>
      <c r="J440" s="38">
        <f t="shared" si="166"/>
        <v>0</v>
      </c>
      <c r="K440" s="48"/>
      <c r="L440" s="48">
        <f t="shared" si="171"/>
        <v>373.59627080846599</v>
      </c>
      <c r="M440" s="48"/>
      <c r="N440" s="38">
        <f t="shared" si="172"/>
        <v>0</v>
      </c>
      <c r="O440" s="36">
        <f t="shared" si="173"/>
        <v>0</v>
      </c>
      <c r="P440" s="84">
        <f t="shared" si="174"/>
        <v>-12562.849638718022</v>
      </c>
      <c r="Q440" s="38">
        <f t="shared" si="175"/>
        <v>0</v>
      </c>
      <c r="R440" s="48">
        <f t="shared" si="176"/>
        <v>82.800556973003609</v>
      </c>
      <c r="S440" s="38">
        <f t="shared" si="167"/>
        <v>456.3968277814696</v>
      </c>
      <c r="T440" s="50">
        <f t="shared" si="180"/>
        <v>10250</v>
      </c>
      <c r="U440" s="40">
        <f t="shared" si="181"/>
        <v>10632.549493612671</v>
      </c>
      <c r="V440" s="41">
        <f t="shared" si="182"/>
        <v>3.7321901815870362E-2</v>
      </c>
      <c r="W440" s="39">
        <f t="shared" si="183"/>
        <v>382.54949361267063</v>
      </c>
      <c r="X440" s="50">
        <f t="shared" si="177"/>
        <v>2313.3183887342989</v>
      </c>
      <c r="Y440" s="41">
        <f t="shared" si="184"/>
        <v>0.26301150071677748</v>
      </c>
      <c r="Z440" s="52"/>
      <c r="AA440" s="50">
        <f t="shared" si="190"/>
        <v>12563.318388734298</v>
      </c>
      <c r="AB440" s="39">
        <f t="shared" si="191"/>
        <v>12989.053262263797</v>
      </c>
      <c r="AC440" s="39">
        <f t="shared" si="185"/>
        <v>425.73487352949815</v>
      </c>
      <c r="AD440" s="41">
        <f t="shared" si="186"/>
        <v>3.3887135576478045E-2</v>
      </c>
      <c r="AF440" s="46">
        <f t="shared" si="168"/>
        <v>0</v>
      </c>
      <c r="AG440" s="46">
        <f t="shared" si="187"/>
        <v>0</v>
      </c>
      <c r="AH440" s="54">
        <f t="shared" si="169"/>
        <v>2863</v>
      </c>
      <c r="AI440" s="55">
        <f t="shared" si="178"/>
        <v>0.54454342984409798</v>
      </c>
      <c r="AJ440" s="55">
        <f t="shared" si="188"/>
        <v>0</v>
      </c>
      <c r="AK440" s="55">
        <f t="shared" si="189"/>
        <v>0</v>
      </c>
    </row>
    <row r="441" spans="2:37" s="53" customFormat="1" ht="17.25" customHeight="1" x14ac:dyDescent="0.25">
      <c r="B441" s="91" t="str">
        <f t="shared" si="170"/>
        <v/>
      </c>
      <c r="C441" s="81">
        <f>IF(Sheet3!A412="","",Sheet3!A412)</f>
        <v>40497</v>
      </c>
      <c r="D441" s="82">
        <f>IF(C441="","",Sheet3!E412)</f>
        <v>28.32</v>
      </c>
      <c r="E441" s="56">
        <f>_xlfn.XLOOKUP(WEEKNUM(C441)&amp;YEAR(C441),Sheet4!C:C,Sheet4!B:B,0)</f>
        <v>0</v>
      </c>
      <c r="F441" s="46">
        <f>IF(int=Weekly,-$D$5,IF(int=Bi_Weekly,-$D$5,IF(int=Monthly,0,IF(int=Quarterly,0,IF(int=Yearly,0,IF(int=None,0,0))))))</f>
        <v>0</v>
      </c>
      <c r="G441" s="46"/>
      <c r="H441" s="46">
        <f t="shared" si="179"/>
        <v>-10250</v>
      </c>
      <c r="I441" s="47"/>
      <c r="J441" s="38">
        <f t="shared" si="166"/>
        <v>0</v>
      </c>
      <c r="K441" s="48"/>
      <c r="L441" s="48">
        <f t="shared" si="171"/>
        <v>373.59627080846599</v>
      </c>
      <c r="M441" s="48"/>
      <c r="N441" s="38">
        <f t="shared" si="172"/>
        <v>0</v>
      </c>
      <c r="O441" s="36">
        <f t="shared" si="173"/>
        <v>0</v>
      </c>
      <c r="P441" s="84">
        <f t="shared" si="174"/>
        <v>-12562.849638718022</v>
      </c>
      <c r="Q441" s="38">
        <f t="shared" si="175"/>
        <v>0</v>
      </c>
      <c r="R441" s="48">
        <f t="shared" si="176"/>
        <v>82.800556973003609</v>
      </c>
      <c r="S441" s="38">
        <f t="shared" si="167"/>
        <v>456.3968277814696</v>
      </c>
      <c r="T441" s="50">
        <f t="shared" si="180"/>
        <v>10250</v>
      </c>
      <c r="U441" s="40">
        <f t="shared" si="181"/>
        <v>10580.246389295757</v>
      </c>
      <c r="V441" s="41">
        <f t="shared" si="182"/>
        <v>3.2219159931293317E-2</v>
      </c>
      <c r="W441" s="39">
        <f t="shared" si="183"/>
        <v>330.24638929575667</v>
      </c>
      <c r="X441" s="50">
        <f t="shared" si="177"/>
        <v>2313.3183887342989</v>
      </c>
      <c r="Y441" s="41">
        <f t="shared" si="184"/>
        <v>0.25790875883220044</v>
      </c>
      <c r="Z441" s="52"/>
      <c r="AA441" s="50">
        <f t="shared" si="190"/>
        <v>12563.318388734298</v>
      </c>
      <c r="AB441" s="39">
        <f t="shared" si="191"/>
        <v>12925.158162771218</v>
      </c>
      <c r="AC441" s="39">
        <f t="shared" si="185"/>
        <v>361.83977403692006</v>
      </c>
      <c r="AD441" s="41">
        <f t="shared" si="186"/>
        <v>2.8801289821754894E-2</v>
      </c>
      <c r="AF441" s="46">
        <f t="shared" si="168"/>
        <v>0</v>
      </c>
      <c r="AG441" s="46">
        <f t="shared" si="187"/>
        <v>0</v>
      </c>
      <c r="AH441" s="54">
        <f t="shared" si="169"/>
        <v>2870</v>
      </c>
      <c r="AI441" s="55">
        <f t="shared" si="178"/>
        <v>0.54342984409799555</v>
      </c>
      <c r="AJ441" s="55">
        <f t="shared" si="188"/>
        <v>0</v>
      </c>
      <c r="AK441" s="55">
        <f t="shared" si="189"/>
        <v>0</v>
      </c>
    </row>
    <row r="442" spans="2:37" s="53" customFormat="1" ht="17.25" customHeight="1" x14ac:dyDescent="0.25">
      <c r="B442" s="91" t="str">
        <f t="shared" si="170"/>
        <v/>
      </c>
      <c r="C442" s="81">
        <f>IF(Sheet3!A413="","",Sheet3!A413)</f>
        <v>40504</v>
      </c>
      <c r="D442" s="82">
        <f>IF(C442="","",Sheet3!E413)</f>
        <v>27.93</v>
      </c>
      <c r="E442" s="56">
        <f>_xlfn.XLOOKUP(WEEKNUM(C442)&amp;YEAR(C442),Sheet4!C:C,Sheet4!B:B,0)</f>
        <v>0</v>
      </c>
      <c r="F442" s="46">
        <f>IF(int=Weekly,-$D$5,IF(int=Bi_Weekly,0,IF(int=Monthly,0,IF(int=Quarterly,0,IF(int=Yearly,0,IF(int=None,0,0))))))</f>
        <v>0</v>
      </c>
      <c r="G442" s="46"/>
      <c r="H442" s="46">
        <f t="shared" si="179"/>
        <v>-10250</v>
      </c>
      <c r="I442" s="47"/>
      <c r="J442" s="38">
        <f t="shared" si="166"/>
        <v>0</v>
      </c>
      <c r="K442" s="48"/>
      <c r="L442" s="48">
        <f t="shared" si="171"/>
        <v>373.59627080846599</v>
      </c>
      <c r="M442" s="48"/>
      <c r="N442" s="38">
        <f t="shared" si="172"/>
        <v>0</v>
      </c>
      <c r="O442" s="36">
        <f t="shared" si="173"/>
        <v>0</v>
      </c>
      <c r="P442" s="84">
        <f t="shared" si="174"/>
        <v>-12562.849638718022</v>
      </c>
      <c r="Q442" s="38">
        <f t="shared" si="175"/>
        <v>0</v>
      </c>
      <c r="R442" s="48">
        <f t="shared" si="176"/>
        <v>82.800556973003609</v>
      </c>
      <c r="S442" s="38">
        <f t="shared" si="167"/>
        <v>456.3968277814696</v>
      </c>
      <c r="T442" s="50">
        <f t="shared" si="180"/>
        <v>10250</v>
      </c>
      <c r="U442" s="40">
        <f t="shared" si="181"/>
        <v>10434.543843680454</v>
      </c>
      <c r="V442" s="41">
        <f t="shared" si="182"/>
        <v>1.8004277432239535E-2</v>
      </c>
      <c r="W442" s="39">
        <f t="shared" si="183"/>
        <v>184.5438436804543</v>
      </c>
      <c r="X442" s="50">
        <f t="shared" si="177"/>
        <v>2313.3183887342989</v>
      </c>
      <c r="Y442" s="41">
        <f t="shared" si="184"/>
        <v>0.24369387633314665</v>
      </c>
      <c r="Z442" s="52"/>
      <c r="AA442" s="50">
        <f t="shared" si="190"/>
        <v>12563.318388734298</v>
      </c>
      <c r="AB442" s="39">
        <f t="shared" si="191"/>
        <v>12747.163399936446</v>
      </c>
      <c r="AC442" s="39">
        <f t="shared" si="185"/>
        <v>183.84501120214736</v>
      </c>
      <c r="AD442" s="41">
        <f t="shared" si="186"/>
        <v>1.4633475449209676E-2</v>
      </c>
      <c r="AF442" s="46">
        <f t="shared" si="168"/>
        <v>0</v>
      </c>
      <c r="AG442" s="46">
        <f t="shared" si="187"/>
        <v>0</v>
      </c>
      <c r="AH442" s="54">
        <f t="shared" si="169"/>
        <v>2877</v>
      </c>
      <c r="AI442" s="55">
        <f t="shared" si="178"/>
        <v>0.54231625835189312</v>
      </c>
      <c r="AJ442" s="55">
        <f t="shared" si="188"/>
        <v>0</v>
      </c>
      <c r="AK442" s="55">
        <f t="shared" si="189"/>
        <v>0</v>
      </c>
    </row>
    <row r="443" spans="2:37" s="53" customFormat="1" ht="17.25" customHeight="1" x14ac:dyDescent="0.25">
      <c r="B443" s="91" t="str">
        <f t="shared" si="170"/>
        <v/>
      </c>
      <c r="C443" s="81">
        <f>IF(Sheet3!A414="","",Sheet3!A414)</f>
        <v>40511</v>
      </c>
      <c r="D443" s="82">
        <f>IF(C443="","",Sheet3!E414)</f>
        <v>28.49</v>
      </c>
      <c r="E443" s="56">
        <f>_xlfn.XLOOKUP(WEEKNUM(C443)&amp;YEAR(C443),Sheet4!C:C,Sheet4!B:B,0)</f>
        <v>0</v>
      </c>
      <c r="F443" s="46">
        <f>IF(int=Weekly,-$D$5,IF(int=Bi_Weekly,-$D$5,IF(int=Monthly,-$D$5,IF(int=Quarterly,0,IF(int=Yearly,0,IF(int=None,0,0))))))</f>
        <v>-100</v>
      </c>
      <c r="G443" s="46"/>
      <c r="H443" s="46">
        <f t="shared" si="179"/>
        <v>-10350</v>
      </c>
      <c r="I443" s="47"/>
      <c r="J443" s="38">
        <f t="shared" si="166"/>
        <v>3.5100035100035103</v>
      </c>
      <c r="K443" s="48"/>
      <c r="L443" s="48">
        <f t="shared" si="171"/>
        <v>377.1062743184695</v>
      </c>
      <c r="M443" s="48"/>
      <c r="N443" s="38">
        <f t="shared" si="172"/>
        <v>0</v>
      </c>
      <c r="O443" s="36">
        <f t="shared" si="173"/>
        <v>0</v>
      </c>
      <c r="P443" s="84">
        <f t="shared" si="174"/>
        <v>-12662.849638718022</v>
      </c>
      <c r="Q443" s="38">
        <f t="shared" si="175"/>
        <v>0</v>
      </c>
      <c r="R443" s="48">
        <f t="shared" si="176"/>
        <v>82.800556973003609</v>
      </c>
      <c r="S443" s="38">
        <f t="shared" si="167"/>
        <v>459.90683129147311</v>
      </c>
      <c r="T443" s="50">
        <f t="shared" si="180"/>
        <v>10350</v>
      </c>
      <c r="U443" s="40">
        <f t="shared" si="181"/>
        <v>10743.757755333196</v>
      </c>
      <c r="V443" s="41">
        <f t="shared" si="182"/>
        <v>3.8044227568424738E-2</v>
      </c>
      <c r="W443" s="39">
        <f t="shared" si="183"/>
        <v>393.75775533319575</v>
      </c>
      <c r="X443" s="50">
        <f t="shared" si="177"/>
        <v>2313.3183887342989</v>
      </c>
      <c r="Y443" s="41">
        <f t="shared" si="184"/>
        <v>0.2615532506345406</v>
      </c>
      <c r="Z443" s="52"/>
      <c r="AA443" s="50">
        <f t="shared" si="190"/>
        <v>12663.318388734298</v>
      </c>
      <c r="AB443" s="39">
        <f t="shared" si="191"/>
        <v>13102.745623494069</v>
      </c>
      <c r="AC443" s="39">
        <f t="shared" si="185"/>
        <v>439.42723475977073</v>
      </c>
      <c r="AD443" s="41">
        <f t="shared" si="186"/>
        <v>3.470079652665925E-2</v>
      </c>
      <c r="AF443" s="46">
        <f t="shared" si="168"/>
        <v>-100</v>
      </c>
      <c r="AG443" s="46">
        <f t="shared" si="187"/>
        <v>-100</v>
      </c>
      <c r="AH443" s="54">
        <f t="shared" si="169"/>
        <v>2884</v>
      </c>
      <c r="AI443" s="55">
        <f t="shared" si="178"/>
        <v>0.54120267260579069</v>
      </c>
      <c r="AJ443" s="55">
        <f t="shared" si="188"/>
        <v>-54.12026726057907</v>
      </c>
      <c r="AK443" s="55">
        <f t="shared" si="189"/>
        <v>-54.12026726057907</v>
      </c>
    </row>
    <row r="444" spans="2:37" s="53" customFormat="1" ht="17.25" customHeight="1" x14ac:dyDescent="0.25">
      <c r="B444" s="91" t="str">
        <f t="shared" si="170"/>
        <v/>
      </c>
      <c r="C444" s="81">
        <f>IF(Sheet3!A415="","",Sheet3!A415)</f>
        <v>40518</v>
      </c>
      <c r="D444" s="82">
        <f>IF(C444="","",Sheet3!E415)</f>
        <v>28.889999</v>
      </c>
      <c r="E444" s="56">
        <f>_xlfn.XLOOKUP(WEEKNUM(C444)&amp;YEAR(C444),Sheet4!C:C,Sheet4!B:B,0)</f>
        <v>0</v>
      </c>
      <c r="F444" s="46">
        <f>IF(int=Weekly,-$D$5,IF(int=Bi_Weekly,0,IF(int=Monthly,0,IF(int=Quarterly,0,IF(int=Yearly,0,IF(int=None,0,0))))))</f>
        <v>0</v>
      </c>
      <c r="G444" s="46"/>
      <c r="H444" s="46">
        <f t="shared" si="179"/>
        <v>-10350</v>
      </c>
      <c r="I444" s="47"/>
      <c r="J444" s="38">
        <f t="shared" si="166"/>
        <v>0</v>
      </c>
      <c r="K444" s="48"/>
      <c r="L444" s="48">
        <f t="shared" si="171"/>
        <v>377.1062743184695</v>
      </c>
      <c r="M444" s="48"/>
      <c r="N444" s="38">
        <f t="shared" si="172"/>
        <v>0</v>
      </c>
      <c r="O444" s="36">
        <f t="shared" si="173"/>
        <v>0</v>
      </c>
      <c r="P444" s="84">
        <f t="shared" si="174"/>
        <v>-12662.849638718022</v>
      </c>
      <c r="Q444" s="38">
        <f t="shared" si="175"/>
        <v>0</v>
      </c>
      <c r="R444" s="48">
        <f t="shared" si="176"/>
        <v>82.800556973003609</v>
      </c>
      <c r="S444" s="38">
        <f t="shared" si="167"/>
        <v>459.90683129147311</v>
      </c>
      <c r="T444" s="50">
        <f t="shared" si="180"/>
        <v>10350</v>
      </c>
      <c r="U444" s="40">
        <f t="shared" si="181"/>
        <v>10894.599887954309</v>
      </c>
      <c r="V444" s="41">
        <f t="shared" si="182"/>
        <v>5.2618346662252069E-2</v>
      </c>
      <c r="W444" s="39">
        <f t="shared" si="183"/>
        <v>544.59988795430945</v>
      </c>
      <c r="X444" s="50">
        <f t="shared" si="177"/>
        <v>2313.3183887342989</v>
      </c>
      <c r="Y444" s="41">
        <f t="shared" si="184"/>
        <v>0.27612736972836793</v>
      </c>
      <c r="Z444" s="52"/>
      <c r="AA444" s="50">
        <f t="shared" si="190"/>
        <v>12663.318388734298</v>
      </c>
      <c r="AB444" s="39">
        <f t="shared" si="191"/>
        <v>13286.707896103828</v>
      </c>
      <c r="AC444" s="39">
        <f t="shared" si="185"/>
        <v>623.38950736952938</v>
      </c>
      <c r="AD444" s="41">
        <f t="shared" si="186"/>
        <v>4.9227973919073076E-2</v>
      </c>
      <c r="AF444" s="46">
        <f t="shared" si="168"/>
        <v>0</v>
      </c>
      <c r="AG444" s="46">
        <f t="shared" si="187"/>
        <v>0</v>
      </c>
      <c r="AH444" s="54">
        <f t="shared" si="169"/>
        <v>2891</v>
      </c>
      <c r="AI444" s="55">
        <f t="shared" si="178"/>
        <v>0.54008908685968815</v>
      </c>
      <c r="AJ444" s="55">
        <f t="shared" si="188"/>
        <v>0</v>
      </c>
      <c r="AK444" s="55">
        <f t="shared" si="189"/>
        <v>0</v>
      </c>
    </row>
    <row r="445" spans="2:37" s="53" customFormat="1" ht="17.25" customHeight="1" x14ac:dyDescent="0.25">
      <c r="B445" s="91" t="str">
        <f t="shared" si="170"/>
        <v/>
      </c>
      <c r="C445" s="81">
        <f>IF(Sheet3!A416="","",Sheet3!A416)</f>
        <v>40525</v>
      </c>
      <c r="D445" s="82">
        <f>IF(C445="","",Sheet3!E416)</f>
        <v>29.209999</v>
      </c>
      <c r="E445" s="56">
        <f>_xlfn.XLOOKUP(WEEKNUM(C445)&amp;YEAR(C445),Sheet4!C:C,Sheet4!B:B,0)</f>
        <v>0</v>
      </c>
      <c r="F445" s="46">
        <f>IF(int=Weekly,-$D$5,IF(int=Bi_Weekly,-$D$5,IF(int=Monthly,0,IF(int=Quarterly,0,IF(int=Yearly,0,IF(int=None,0,0))))))</f>
        <v>0</v>
      </c>
      <c r="G445" s="46"/>
      <c r="H445" s="46">
        <f t="shared" si="179"/>
        <v>-10350</v>
      </c>
      <c r="I445" s="47"/>
      <c r="J445" s="38">
        <f t="shared" si="166"/>
        <v>0</v>
      </c>
      <c r="K445" s="48"/>
      <c r="L445" s="48">
        <f t="shared" si="171"/>
        <v>377.1062743184695</v>
      </c>
      <c r="M445" s="48"/>
      <c r="N445" s="38">
        <f t="shared" si="172"/>
        <v>0</v>
      </c>
      <c r="O445" s="36">
        <f t="shared" si="173"/>
        <v>0</v>
      </c>
      <c r="P445" s="84">
        <f t="shared" si="174"/>
        <v>-12662.849638718022</v>
      </c>
      <c r="Q445" s="38">
        <f t="shared" si="175"/>
        <v>0</v>
      </c>
      <c r="R445" s="48">
        <f t="shared" si="176"/>
        <v>82.800556973003609</v>
      </c>
      <c r="S445" s="38">
        <f t="shared" si="167"/>
        <v>459.90683129147311</v>
      </c>
      <c r="T445" s="50">
        <f t="shared" si="180"/>
        <v>10350</v>
      </c>
      <c r="U445" s="40">
        <f t="shared" si="181"/>
        <v>11015.27389573622</v>
      </c>
      <c r="V445" s="41">
        <f t="shared" si="182"/>
        <v>6.427767108562521E-2</v>
      </c>
      <c r="W445" s="39">
        <f t="shared" si="183"/>
        <v>665.27389573621986</v>
      </c>
      <c r="X445" s="50">
        <f t="shared" si="177"/>
        <v>2313.3183887342989</v>
      </c>
      <c r="Y445" s="41">
        <f t="shared" si="184"/>
        <v>0.28778669415174085</v>
      </c>
      <c r="Z445" s="52"/>
      <c r="AA445" s="50">
        <f t="shared" si="190"/>
        <v>12663.318388734298</v>
      </c>
      <c r="AB445" s="39">
        <f t="shared" si="191"/>
        <v>13433.878082117099</v>
      </c>
      <c r="AC445" s="39">
        <f t="shared" si="185"/>
        <v>770.55969338280011</v>
      </c>
      <c r="AD445" s="41">
        <f t="shared" si="186"/>
        <v>6.0849744887431445E-2</v>
      </c>
      <c r="AF445" s="46">
        <f t="shared" si="168"/>
        <v>0</v>
      </c>
      <c r="AG445" s="46">
        <f t="shared" si="187"/>
        <v>0</v>
      </c>
      <c r="AH445" s="54">
        <f t="shared" si="169"/>
        <v>2898</v>
      </c>
      <c r="AI445" s="55">
        <f t="shared" si="178"/>
        <v>0.53897550111358572</v>
      </c>
      <c r="AJ445" s="55">
        <f t="shared" si="188"/>
        <v>0</v>
      </c>
      <c r="AK445" s="55">
        <f t="shared" si="189"/>
        <v>0</v>
      </c>
    </row>
    <row r="446" spans="2:37" s="53" customFormat="1" ht="17.25" customHeight="1" x14ac:dyDescent="0.25">
      <c r="B446" s="91" t="str">
        <f t="shared" si="170"/>
        <v/>
      </c>
      <c r="C446" s="81">
        <f>IF(Sheet3!A417="","",Sheet3!A417)</f>
        <v>40532</v>
      </c>
      <c r="D446" s="82">
        <f>IF(C446="","",Sheet3!E417)</f>
        <v>29.200001</v>
      </c>
      <c r="E446" s="56">
        <f>_xlfn.XLOOKUP(WEEKNUM(C446)&amp;YEAR(C446),Sheet4!C:C,Sheet4!B:B,0)</f>
        <v>0</v>
      </c>
      <c r="F446" s="46">
        <f>IF(int=Weekly,-$D$5,IF(int=Bi_Weekly,0,IF(int=Monthly,0,IF(int=Quarterly,0,IF(int=Yearly,0,IF(int=None,0,0))))))</f>
        <v>0</v>
      </c>
      <c r="G446" s="46"/>
      <c r="H446" s="46">
        <f t="shared" si="179"/>
        <v>-10350</v>
      </c>
      <c r="I446" s="47"/>
      <c r="J446" s="38">
        <f t="shared" si="166"/>
        <v>0</v>
      </c>
      <c r="K446" s="48"/>
      <c r="L446" s="48">
        <f t="shared" si="171"/>
        <v>377.1062743184695</v>
      </c>
      <c r="M446" s="48"/>
      <c r="N446" s="38">
        <f t="shared" si="172"/>
        <v>0</v>
      </c>
      <c r="O446" s="36">
        <f t="shared" si="173"/>
        <v>0</v>
      </c>
      <c r="P446" s="84">
        <f t="shared" si="174"/>
        <v>-12662.849638718022</v>
      </c>
      <c r="Q446" s="38">
        <f t="shared" si="175"/>
        <v>0</v>
      </c>
      <c r="R446" s="48">
        <f t="shared" si="176"/>
        <v>82.800556973003609</v>
      </c>
      <c r="S446" s="38">
        <f t="shared" si="167"/>
        <v>459.90683129147311</v>
      </c>
      <c r="T446" s="50">
        <f t="shared" si="180"/>
        <v>10350</v>
      </c>
      <c r="U446" s="40">
        <f t="shared" si="181"/>
        <v>11011.503587205583</v>
      </c>
      <c r="V446" s="41">
        <f t="shared" si="182"/>
        <v>6.3913390068172315E-2</v>
      </c>
      <c r="W446" s="39">
        <f t="shared" si="183"/>
        <v>661.50358720558324</v>
      </c>
      <c r="X446" s="50">
        <f t="shared" si="177"/>
        <v>2313.3183887342989</v>
      </c>
      <c r="Y446" s="41">
        <f t="shared" si="184"/>
        <v>0.28742241313428818</v>
      </c>
      <c r="Z446" s="52"/>
      <c r="AA446" s="50">
        <f t="shared" si="190"/>
        <v>12663.318388734298</v>
      </c>
      <c r="AB446" s="39">
        <f t="shared" si="191"/>
        <v>13429.279933617845</v>
      </c>
      <c r="AC446" s="39">
        <f t="shared" si="185"/>
        <v>765.96154488354659</v>
      </c>
      <c r="AD446" s="41">
        <f t="shared" si="186"/>
        <v>6.0486637180738656E-2</v>
      </c>
      <c r="AF446" s="46">
        <f t="shared" si="168"/>
        <v>0</v>
      </c>
      <c r="AG446" s="46">
        <f t="shared" si="187"/>
        <v>0</v>
      </c>
      <c r="AH446" s="54">
        <f t="shared" si="169"/>
        <v>2905</v>
      </c>
      <c r="AI446" s="55">
        <f t="shared" si="178"/>
        <v>0.53786191536748329</v>
      </c>
      <c r="AJ446" s="55">
        <f t="shared" si="188"/>
        <v>0</v>
      </c>
      <c r="AK446" s="55">
        <f t="shared" si="189"/>
        <v>0</v>
      </c>
    </row>
    <row r="447" spans="2:37" s="53" customFormat="1" ht="17.25" customHeight="1" x14ac:dyDescent="0.25">
      <c r="B447" s="91" t="str">
        <f t="shared" si="170"/>
        <v/>
      </c>
      <c r="C447" s="81">
        <f>IF(Sheet3!A418="","",Sheet3!A418)</f>
        <v>40539</v>
      </c>
      <c r="D447" s="82">
        <f>IF(C447="","",Sheet3!E418)</f>
        <v>29.379999000000002</v>
      </c>
      <c r="E447" s="56">
        <f>_xlfn.XLOOKUP(WEEKNUM(C447)&amp;YEAR(C447),Sheet4!C:C,Sheet4!B:B,0)</f>
        <v>0</v>
      </c>
      <c r="F447" s="46">
        <f>IF(int=Weekly,-$D$5,IF(int=Bi_Weekly,-$D$5,IF(int=Monthly,-$D$5,IF(int=Quarterly,-$D$5,IF(int=Yearly,-$D$5,IF(int=None,0,0))))))</f>
        <v>-100</v>
      </c>
      <c r="G447" s="46"/>
      <c r="H447" s="46">
        <f t="shared" si="179"/>
        <v>-10450</v>
      </c>
      <c r="I447" s="47"/>
      <c r="J447" s="38">
        <f t="shared" si="166"/>
        <v>3.4036760858977564</v>
      </c>
      <c r="K447" s="48"/>
      <c r="L447" s="48">
        <f t="shared" si="171"/>
        <v>380.50995040436726</v>
      </c>
      <c r="M447" s="48"/>
      <c r="N447" s="38">
        <f t="shared" si="172"/>
        <v>0</v>
      </c>
      <c r="O447" s="36">
        <f t="shared" si="173"/>
        <v>0</v>
      </c>
      <c r="P447" s="84">
        <f t="shared" si="174"/>
        <v>-12762.849638718022</v>
      </c>
      <c r="Q447" s="38">
        <f t="shared" si="175"/>
        <v>0</v>
      </c>
      <c r="R447" s="48">
        <f t="shared" si="176"/>
        <v>82.800556973003609</v>
      </c>
      <c r="S447" s="38">
        <f t="shared" si="167"/>
        <v>463.31050737737087</v>
      </c>
      <c r="T447" s="50">
        <f t="shared" si="180"/>
        <v>10450</v>
      </c>
      <c r="U447" s="40">
        <f t="shared" si="181"/>
        <v>11179.38196237036</v>
      </c>
      <c r="V447" s="41">
        <f t="shared" si="182"/>
        <v>6.9797316973240209E-2</v>
      </c>
      <c r="W447" s="39">
        <f t="shared" si="183"/>
        <v>729.38196237036027</v>
      </c>
      <c r="X447" s="50">
        <f t="shared" si="177"/>
        <v>2313.3183887342989</v>
      </c>
      <c r="Y447" s="41">
        <f t="shared" si="184"/>
        <v>0.29116749771336448</v>
      </c>
      <c r="Z447" s="52"/>
      <c r="AA447" s="50">
        <f t="shared" si="190"/>
        <v>12763.318388734298</v>
      </c>
      <c r="AB447" s="39">
        <f t="shared" si="191"/>
        <v>13612.062243436649</v>
      </c>
      <c r="AC447" s="39">
        <f t="shared" si="185"/>
        <v>848.74385470235029</v>
      </c>
      <c r="AD447" s="41">
        <f t="shared" si="186"/>
        <v>6.6498682305967227E-2</v>
      </c>
      <c r="AF447" s="46">
        <f t="shared" si="168"/>
        <v>-100</v>
      </c>
      <c r="AG447" s="46">
        <f t="shared" si="187"/>
        <v>-100</v>
      </c>
      <c r="AH447" s="54">
        <f t="shared" si="169"/>
        <v>2912</v>
      </c>
      <c r="AI447" s="55">
        <f t="shared" si="178"/>
        <v>0.53674832962138086</v>
      </c>
      <c r="AJ447" s="55">
        <f t="shared" si="188"/>
        <v>-53.674832962138083</v>
      </c>
      <c r="AK447" s="55">
        <f t="shared" si="189"/>
        <v>-53.674832962138083</v>
      </c>
    </row>
    <row r="448" spans="2:37" s="53" customFormat="1" ht="17.25" customHeight="1" x14ac:dyDescent="0.25">
      <c r="B448" s="91" t="str">
        <f t="shared" si="170"/>
        <v/>
      </c>
      <c r="C448" s="81">
        <f>IF(Sheet3!A419="","",Sheet3!A419)</f>
        <v>40546</v>
      </c>
      <c r="D448" s="82">
        <f>IF(C448="","",Sheet3!E419)</f>
        <v>28.85</v>
      </c>
      <c r="E448" s="56">
        <f>_xlfn.XLOOKUP(WEEKNUM(C448)&amp;YEAR(C448),Sheet4!C:C,Sheet4!B:B,0)</f>
        <v>0.43</v>
      </c>
      <c r="F448" s="46">
        <f>IF(int=Weekly,-$D$5,IF(int=Bi_Weekly,0,IF(int=Monthly,0,IF(int=Quarterly,0,IF(int=Yearly,0,IF(int=None,0,0))))))</f>
        <v>0</v>
      </c>
      <c r="G448" s="46"/>
      <c r="H448" s="46">
        <f t="shared" si="179"/>
        <v>-10450</v>
      </c>
      <c r="I448" s="47"/>
      <c r="J448" s="38">
        <f t="shared" si="166"/>
        <v>0</v>
      </c>
      <c r="K448" s="48"/>
      <c r="L448" s="48">
        <f t="shared" si="171"/>
        <v>380.50995040436726</v>
      </c>
      <c r="M448" s="48"/>
      <c r="N448" s="38">
        <f t="shared" si="172"/>
        <v>163.61927867387791</v>
      </c>
      <c r="O448" s="36">
        <f t="shared" si="173"/>
        <v>-163.61927867387791</v>
      </c>
      <c r="P448" s="84">
        <f t="shared" si="174"/>
        <v>-12926.4689173919</v>
      </c>
      <c r="Q448" s="38">
        <f t="shared" si="175"/>
        <v>5.6713788101864093</v>
      </c>
      <c r="R448" s="48">
        <f t="shared" si="176"/>
        <v>88.47193578319002</v>
      </c>
      <c r="S448" s="38">
        <f t="shared" si="167"/>
        <v>468.98188618755728</v>
      </c>
      <c r="T448" s="50">
        <f t="shared" si="180"/>
        <v>10450</v>
      </c>
      <c r="U448" s="40">
        <f t="shared" si="181"/>
        <v>10977.712069165997</v>
      </c>
      <c r="V448" s="41">
        <f t="shared" si="182"/>
        <v>5.0498762599616942E-2</v>
      </c>
      <c r="W448" s="39">
        <f t="shared" si="183"/>
        <v>527.71206916599658</v>
      </c>
      <c r="X448" s="50">
        <f t="shared" si="177"/>
        <v>2476.9376674081768</v>
      </c>
      <c r="Y448" s="41">
        <f t="shared" si="184"/>
        <v>0.28752629058126078</v>
      </c>
      <c r="Z448" s="52"/>
      <c r="AA448" s="50">
        <f t="shared" si="190"/>
        <v>12926.937667408176</v>
      </c>
      <c r="AB448" s="39">
        <f t="shared" si="191"/>
        <v>13530.12741651103</v>
      </c>
      <c r="AC448" s="39">
        <f t="shared" si="185"/>
        <v>603.18974910285397</v>
      </c>
      <c r="AD448" s="41">
        <f t="shared" si="186"/>
        <v>4.6661457231563563E-2</v>
      </c>
      <c r="AF448" s="46">
        <f t="shared" si="168"/>
        <v>163.61927867387791</v>
      </c>
      <c r="AG448" s="46">
        <f t="shared" si="187"/>
        <v>0</v>
      </c>
      <c r="AH448" s="54">
        <f t="shared" si="169"/>
        <v>2919</v>
      </c>
      <c r="AI448" s="55">
        <f t="shared" si="178"/>
        <v>0.53563474387527843</v>
      </c>
      <c r="AJ448" s="55">
        <f t="shared" si="188"/>
        <v>87.640170425540404</v>
      </c>
      <c r="AK448" s="55">
        <f t="shared" si="189"/>
        <v>0</v>
      </c>
    </row>
    <row r="449" spans="2:37" s="53" customFormat="1" ht="17.25" customHeight="1" x14ac:dyDescent="0.25">
      <c r="B449" s="91" t="str">
        <f t="shared" si="170"/>
        <v/>
      </c>
      <c r="C449" s="81">
        <f>IF(Sheet3!A420="","",Sheet3!A420)</f>
        <v>40553</v>
      </c>
      <c r="D449" s="82">
        <f>IF(C449="","",Sheet3!E420)</f>
        <v>28.43</v>
      </c>
      <c r="E449" s="56">
        <f>_xlfn.XLOOKUP(WEEKNUM(C449)&amp;YEAR(C449),Sheet4!C:C,Sheet4!B:B,0)</f>
        <v>0</v>
      </c>
      <c r="F449" s="46">
        <f>IF(int=Weekly,-$D$5,IF(int=Bi_Weekly,-$D$5,IF(int=Monthly,0,IF(int=Quarterly,0,IF(int=Yearly,0,IF(int=None,0,0))))))</f>
        <v>0</v>
      </c>
      <c r="G449" s="46"/>
      <c r="H449" s="46">
        <f t="shared" si="179"/>
        <v>-10450</v>
      </c>
      <c r="I449" s="47"/>
      <c r="J449" s="38">
        <f t="shared" si="166"/>
        <v>0</v>
      </c>
      <c r="K449" s="48"/>
      <c r="L449" s="48">
        <f t="shared" si="171"/>
        <v>380.50995040436726</v>
      </c>
      <c r="M449" s="48"/>
      <c r="N449" s="38">
        <f t="shared" si="172"/>
        <v>0</v>
      </c>
      <c r="O449" s="36">
        <f t="shared" si="173"/>
        <v>0</v>
      </c>
      <c r="P449" s="84">
        <f t="shared" si="174"/>
        <v>-12926.4689173919</v>
      </c>
      <c r="Q449" s="38">
        <f t="shared" si="175"/>
        <v>0</v>
      </c>
      <c r="R449" s="48">
        <f t="shared" si="176"/>
        <v>88.47193578319002</v>
      </c>
      <c r="S449" s="38">
        <f t="shared" si="167"/>
        <v>468.98188618755728</v>
      </c>
      <c r="T449" s="50">
        <f t="shared" si="180"/>
        <v>10450</v>
      </c>
      <c r="U449" s="40">
        <f t="shared" si="181"/>
        <v>10817.89788999616</v>
      </c>
      <c r="V449" s="41">
        <f t="shared" si="182"/>
        <v>3.5205539712551248E-2</v>
      </c>
      <c r="W449" s="39">
        <f t="shared" si="183"/>
        <v>367.8978899961603</v>
      </c>
      <c r="X449" s="50">
        <f t="shared" si="177"/>
        <v>2476.9376674081768</v>
      </c>
      <c r="Y449" s="41">
        <f t="shared" si="184"/>
        <v>0.27223306769419509</v>
      </c>
      <c r="Z449" s="52"/>
      <c r="AA449" s="50">
        <f t="shared" si="190"/>
        <v>12926.937667408176</v>
      </c>
      <c r="AB449" s="39">
        <f t="shared" si="191"/>
        <v>13333.155024312253</v>
      </c>
      <c r="AC449" s="39">
        <f t="shared" si="185"/>
        <v>406.21735690407695</v>
      </c>
      <c r="AD449" s="41">
        <f t="shared" si="186"/>
        <v>3.1424098062160954E-2</v>
      </c>
      <c r="AF449" s="46">
        <f t="shared" si="168"/>
        <v>0</v>
      </c>
      <c r="AG449" s="46">
        <f t="shared" si="187"/>
        <v>0</v>
      </c>
      <c r="AH449" s="54">
        <f t="shared" si="169"/>
        <v>2926</v>
      </c>
      <c r="AI449" s="55">
        <f t="shared" si="178"/>
        <v>0.534521158129176</v>
      </c>
      <c r="AJ449" s="55">
        <f t="shared" si="188"/>
        <v>0</v>
      </c>
      <c r="AK449" s="55">
        <f t="shared" si="189"/>
        <v>0</v>
      </c>
    </row>
    <row r="450" spans="2:37" s="53" customFormat="1" ht="17.25" customHeight="1" x14ac:dyDescent="0.25">
      <c r="B450" s="91" t="str">
        <f t="shared" si="170"/>
        <v/>
      </c>
      <c r="C450" s="81">
        <f>IF(Sheet3!A421="","",Sheet3!A421)</f>
        <v>40560</v>
      </c>
      <c r="D450" s="82">
        <f>IF(C450="","",Sheet3!E421)</f>
        <v>28.33</v>
      </c>
      <c r="E450" s="56">
        <f>_xlfn.XLOOKUP(WEEKNUM(C450)&amp;YEAR(C450),Sheet4!C:C,Sheet4!B:B,0)</f>
        <v>0</v>
      </c>
      <c r="F450" s="46">
        <f>IF(int=Weekly,-$D$5,IF(int=Bi_Weekly,0,IF(int=Monthly,0,IF(int=Quarterly,0,IF(int=Yearly,0,IF(int=None,0,0))))))</f>
        <v>0</v>
      </c>
      <c r="G450" s="46"/>
      <c r="H450" s="46">
        <f t="shared" si="179"/>
        <v>-10450</v>
      </c>
      <c r="I450" s="47"/>
      <c r="J450" s="38">
        <f t="shared" si="166"/>
        <v>0</v>
      </c>
      <c r="K450" s="48"/>
      <c r="L450" s="48">
        <f t="shared" si="171"/>
        <v>380.50995040436726</v>
      </c>
      <c r="M450" s="48"/>
      <c r="N450" s="38">
        <f t="shared" si="172"/>
        <v>0</v>
      </c>
      <c r="O450" s="36">
        <f t="shared" si="173"/>
        <v>0</v>
      </c>
      <c r="P450" s="84">
        <f t="shared" si="174"/>
        <v>-12926.4689173919</v>
      </c>
      <c r="Q450" s="38">
        <f t="shared" si="175"/>
        <v>0</v>
      </c>
      <c r="R450" s="48">
        <f t="shared" si="176"/>
        <v>88.47193578319002</v>
      </c>
      <c r="S450" s="38">
        <f t="shared" si="167"/>
        <v>468.98188618755728</v>
      </c>
      <c r="T450" s="50">
        <f t="shared" si="180"/>
        <v>10450</v>
      </c>
      <c r="U450" s="40">
        <f t="shared" si="181"/>
        <v>10779.846894955725</v>
      </c>
      <c r="V450" s="41">
        <f t="shared" si="182"/>
        <v>3.1564296168011818E-2</v>
      </c>
      <c r="W450" s="39">
        <f t="shared" si="183"/>
        <v>329.84689495572457</v>
      </c>
      <c r="X450" s="50">
        <f t="shared" si="177"/>
        <v>2476.9376674081768</v>
      </c>
      <c r="Y450" s="41">
        <f t="shared" si="184"/>
        <v>0.26859182414965566</v>
      </c>
      <c r="Z450" s="52"/>
      <c r="AA450" s="50">
        <f t="shared" si="190"/>
        <v>12926.937667408176</v>
      </c>
      <c r="AB450" s="39">
        <f t="shared" si="191"/>
        <v>13286.256835693497</v>
      </c>
      <c r="AC450" s="39">
        <f t="shared" si="185"/>
        <v>359.31916828532121</v>
      </c>
      <c r="AD450" s="41">
        <f t="shared" si="186"/>
        <v>2.7796155402779466E-2</v>
      </c>
      <c r="AF450" s="46">
        <f t="shared" si="168"/>
        <v>0</v>
      </c>
      <c r="AG450" s="46">
        <f t="shared" si="187"/>
        <v>0</v>
      </c>
      <c r="AH450" s="54">
        <f t="shared" si="169"/>
        <v>2933</v>
      </c>
      <c r="AI450" s="55">
        <f t="shared" si="178"/>
        <v>0.53340757238307346</v>
      </c>
      <c r="AJ450" s="55">
        <f t="shared" si="188"/>
        <v>0</v>
      </c>
      <c r="AK450" s="55">
        <f t="shared" si="189"/>
        <v>0</v>
      </c>
    </row>
    <row r="451" spans="2:37" s="53" customFormat="1" ht="17.25" customHeight="1" x14ac:dyDescent="0.25">
      <c r="B451" s="91" t="str">
        <f t="shared" si="170"/>
        <v/>
      </c>
      <c r="C451" s="81">
        <f>IF(Sheet3!A422="","",Sheet3!A422)</f>
        <v>40567</v>
      </c>
      <c r="D451" s="82">
        <f>IF(C451="","",Sheet3!E422)</f>
        <v>27.49</v>
      </c>
      <c r="E451" s="56">
        <f>_xlfn.XLOOKUP(WEEKNUM(C451)&amp;YEAR(C451),Sheet4!C:C,Sheet4!B:B,0)</f>
        <v>0</v>
      </c>
      <c r="F451" s="46">
        <f>IF(int=Weekly,-$D$5,IF(int=Bi_Weekly,-$D$5,IF(int=Monthly,-$D$5,IF(int=Quarterly,0,IF(int=Yearly,0,IF(int=None,0,0))))))</f>
        <v>-100</v>
      </c>
      <c r="G451" s="46"/>
      <c r="H451" s="46">
        <f t="shared" si="179"/>
        <v>-10550</v>
      </c>
      <c r="I451" s="47"/>
      <c r="J451" s="38">
        <f t="shared" si="166"/>
        <v>3.6376864314296111</v>
      </c>
      <c r="K451" s="48"/>
      <c r="L451" s="48">
        <f t="shared" si="171"/>
        <v>384.14763683579685</v>
      </c>
      <c r="M451" s="48"/>
      <c r="N451" s="38">
        <f t="shared" si="172"/>
        <v>0</v>
      </c>
      <c r="O451" s="36">
        <f t="shared" si="173"/>
        <v>0</v>
      </c>
      <c r="P451" s="84">
        <f t="shared" si="174"/>
        <v>-13026.4689173919</v>
      </c>
      <c r="Q451" s="38">
        <f t="shared" si="175"/>
        <v>0</v>
      </c>
      <c r="R451" s="48">
        <f t="shared" si="176"/>
        <v>88.47193578319002</v>
      </c>
      <c r="S451" s="38">
        <f t="shared" si="167"/>
        <v>472.61957261898687</v>
      </c>
      <c r="T451" s="50">
        <f t="shared" si="180"/>
        <v>10550</v>
      </c>
      <c r="U451" s="40">
        <f t="shared" si="181"/>
        <v>10560.218536616054</v>
      </c>
      <c r="V451" s="41">
        <f t="shared" si="182"/>
        <v>9.6858166976820925E-4</v>
      </c>
      <c r="W451" s="39">
        <f t="shared" si="183"/>
        <v>10.218536616053825</v>
      </c>
      <c r="X451" s="50">
        <f t="shared" si="177"/>
        <v>2476.9376674081768</v>
      </c>
      <c r="Y451" s="41">
        <f t="shared" si="184"/>
        <v>0.23574940322504556</v>
      </c>
      <c r="Z451" s="52"/>
      <c r="AA451" s="50">
        <f t="shared" si="190"/>
        <v>13026.937667408176</v>
      </c>
      <c r="AB451" s="39">
        <f t="shared" si="191"/>
        <v>12992.312051295947</v>
      </c>
      <c r="AC451" s="39">
        <f t="shared" si="185"/>
        <v>-34.625616112229181</v>
      </c>
      <c r="AD451" s="41">
        <f t="shared" si="186"/>
        <v>-2.6580012122771057E-3</v>
      </c>
      <c r="AF451" s="46">
        <f t="shared" si="168"/>
        <v>-100</v>
      </c>
      <c r="AG451" s="46">
        <f t="shared" si="187"/>
        <v>-100</v>
      </c>
      <c r="AH451" s="54">
        <f t="shared" si="169"/>
        <v>2940</v>
      </c>
      <c r="AI451" s="55">
        <f t="shared" si="178"/>
        <v>0.53229398663697103</v>
      </c>
      <c r="AJ451" s="55">
        <f t="shared" si="188"/>
        <v>-53.229398663697104</v>
      </c>
      <c r="AK451" s="55">
        <f t="shared" si="189"/>
        <v>-53.229398663697104</v>
      </c>
    </row>
    <row r="452" spans="2:37" s="53" customFormat="1" ht="17.25" customHeight="1" x14ac:dyDescent="0.25">
      <c r="B452" s="91" t="str">
        <f t="shared" si="170"/>
        <v/>
      </c>
      <c r="C452" s="81">
        <f>IF(Sheet3!A423="","",Sheet3!A423)</f>
        <v>40574</v>
      </c>
      <c r="D452" s="82">
        <f>IF(C452="","",Sheet3!E423)</f>
        <v>27.969999000000001</v>
      </c>
      <c r="E452" s="56">
        <f>_xlfn.XLOOKUP(WEEKNUM(C452)&amp;YEAR(C452),Sheet4!C:C,Sheet4!B:B,0)</f>
        <v>0</v>
      </c>
      <c r="F452" s="46">
        <f>IF(int=Weekly,-$D$5,IF(int=Bi_Weekly,0,IF(int=Monthly,0,IF(int=Quarterly,0,IF(int=Yearly,0,IF(int=None,0,0))))))</f>
        <v>0</v>
      </c>
      <c r="G452" s="46"/>
      <c r="H452" s="46">
        <f t="shared" si="179"/>
        <v>-10550</v>
      </c>
      <c r="I452" s="47"/>
      <c r="J452" s="38">
        <f t="shared" si="166"/>
        <v>0</v>
      </c>
      <c r="K452" s="48"/>
      <c r="L452" s="48">
        <f t="shared" si="171"/>
        <v>384.14763683579685</v>
      </c>
      <c r="M452" s="48"/>
      <c r="N452" s="38">
        <f t="shared" si="172"/>
        <v>0</v>
      </c>
      <c r="O452" s="36">
        <f t="shared" si="173"/>
        <v>0</v>
      </c>
      <c r="P452" s="84">
        <f t="shared" si="174"/>
        <v>-13026.4689173919</v>
      </c>
      <c r="Q452" s="38">
        <f t="shared" si="175"/>
        <v>0</v>
      </c>
      <c r="R452" s="48">
        <f t="shared" si="176"/>
        <v>88.47193578319002</v>
      </c>
      <c r="S452" s="38">
        <f t="shared" si="167"/>
        <v>472.61957261898687</v>
      </c>
      <c r="T452" s="50">
        <f t="shared" si="180"/>
        <v>10550</v>
      </c>
      <c r="U452" s="40">
        <f t="shared" si="181"/>
        <v>10744.609018149602</v>
      </c>
      <c r="V452" s="41">
        <f t="shared" si="182"/>
        <v>1.844635243124193E-2</v>
      </c>
      <c r="W452" s="39">
        <f t="shared" si="183"/>
        <v>194.60901814960198</v>
      </c>
      <c r="X452" s="50">
        <f t="shared" si="177"/>
        <v>2476.9376674081768</v>
      </c>
      <c r="Y452" s="41">
        <f t="shared" si="184"/>
        <v>0.2532271739865195</v>
      </c>
      <c r="Z452" s="52"/>
      <c r="AA452" s="50">
        <f t="shared" si="190"/>
        <v>13026.937667408176</v>
      </c>
      <c r="AB452" s="39">
        <f t="shared" si="191"/>
        <v>13219.168973533491</v>
      </c>
      <c r="AC452" s="39">
        <f t="shared" si="185"/>
        <v>192.23130612531531</v>
      </c>
      <c r="AD452" s="41">
        <f t="shared" si="186"/>
        <v>1.4756446298676451E-2</v>
      </c>
      <c r="AF452" s="46">
        <f t="shared" si="168"/>
        <v>0</v>
      </c>
      <c r="AG452" s="46">
        <f t="shared" si="187"/>
        <v>0</v>
      </c>
      <c r="AH452" s="54">
        <f t="shared" si="169"/>
        <v>2947</v>
      </c>
      <c r="AI452" s="55">
        <f t="shared" si="178"/>
        <v>0.5311804008908686</v>
      </c>
      <c r="AJ452" s="55">
        <f t="shared" si="188"/>
        <v>0</v>
      </c>
      <c r="AK452" s="55">
        <f t="shared" si="189"/>
        <v>0</v>
      </c>
    </row>
    <row r="453" spans="2:37" s="53" customFormat="1" ht="17.25" customHeight="1" x14ac:dyDescent="0.25">
      <c r="B453" s="91" t="str">
        <f t="shared" si="170"/>
        <v/>
      </c>
      <c r="C453" s="81">
        <f>IF(Sheet3!A424="","",Sheet3!A424)</f>
        <v>40581</v>
      </c>
      <c r="D453" s="82">
        <f>IF(C453="","",Sheet3!E424)</f>
        <v>28.469999000000001</v>
      </c>
      <c r="E453" s="56">
        <f>_xlfn.XLOOKUP(WEEKNUM(C453)&amp;YEAR(C453),Sheet4!C:C,Sheet4!B:B,0)</f>
        <v>0</v>
      </c>
      <c r="F453" s="46">
        <f>IF(int=Weekly,-$D$5,IF(int=Bi_Weekly,-$D$5,IF(int=Monthly,0,IF(int=Quarterly,0,IF(int=Yearly,0,IF(int=None,0,0))))))</f>
        <v>0</v>
      </c>
      <c r="G453" s="46"/>
      <c r="H453" s="46">
        <f t="shared" si="179"/>
        <v>-10550</v>
      </c>
      <c r="I453" s="47"/>
      <c r="J453" s="38">
        <f t="shared" si="166"/>
        <v>0</v>
      </c>
      <c r="K453" s="48"/>
      <c r="L453" s="48">
        <f t="shared" si="171"/>
        <v>384.14763683579685</v>
      </c>
      <c r="M453" s="48"/>
      <c r="N453" s="38">
        <f t="shared" si="172"/>
        <v>0</v>
      </c>
      <c r="O453" s="36">
        <f t="shared" si="173"/>
        <v>0</v>
      </c>
      <c r="P453" s="84">
        <f t="shared" si="174"/>
        <v>-13026.4689173919</v>
      </c>
      <c r="Q453" s="38">
        <f t="shared" si="175"/>
        <v>0</v>
      </c>
      <c r="R453" s="48">
        <f t="shared" si="176"/>
        <v>88.47193578319002</v>
      </c>
      <c r="S453" s="38">
        <f t="shared" si="167"/>
        <v>472.61957261898687</v>
      </c>
      <c r="T453" s="50">
        <f t="shared" si="180"/>
        <v>10550</v>
      </c>
      <c r="U453" s="40">
        <f t="shared" si="181"/>
        <v>10936.682836567499</v>
      </c>
      <c r="V453" s="41">
        <f t="shared" si="182"/>
        <v>3.6652401570379078E-2</v>
      </c>
      <c r="W453" s="39">
        <f t="shared" si="183"/>
        <v>386.68283656749918</v>
      </c>
      <c r="X453" s="50">
        <f t="shared" si="177"/>
        <v>2476.9376674081768</v>
      </c>
      <c r="Y453" s="41">
        <f t="shared" si="184"/>
        <v>0.27143322312565643</v>
      </c>
      <c r="Z453" s="52"/>
      <c r="AA453" s="50">
        <f t="shared" si="190"/>
        <v>13026.937667408176</v>
      </c>
      <c r="AB453" s="39">
        <f t="shared" si="191"/>
        <v>13455.478759842983</v>
      </c>
      <c r="AC453" s="39">
        <f t="shared" si="185"/>
        <v>428.54109243480707</v>
      </c>
      <c r="AD453" s="41">
        <f t="shared" si="186"/>
        <v>3.2896533581101339E-2</v>
      </c>
      <c r="AF453" s="46">
        <f t="shared" si="168"/>
        <v>0</v>
      </c>
      <c r="AG453" s="46">
        <f t="shared" si="187"/>
        <v>0</v>
      </c>
      <c r="AH453" s="54">
        <f t="shared" si="169"/>
        <v>2954</v>
      </c>
      <c r="AI453" s="55">
        <f t="shared" si="178"/>
        <v>0.53006681514476617</v>
      </c>
      <c r="AJ453" s="55">
        <f t="shared" si="188"/>
        <v>0</v>
      </c>
      <c r="AK453" s="55">
        <f t="shared" si="189"/>
        <v>0</v>
      </c>
    </row>
    <row r="454" spans="2:37" s="53" customFormat="1" ht="17.25" customHeight="1" x14ac:dyDescent="0.25">
      <c r="B454" s="91" t="str">
        <f t="shared" si="170"/>
        <v/>
      </c>
      <c r="C454" s="81">
        <f>IF(Sheet3!A425="","",Sheet3!A425)</f>
        <v>40588</v>
      </c>
      <c r="D454" s="82">
        <f>IF(C454="","",Sheet3!E425)</f>
        <v>28.57</v>
      </c>
      <c r="E454" s="56">
        <f>_xlfn.XLOOKUP(WEEKNUM(C454)&amp;YEAR(C454),Sheet4!C:C,Sheet4!B:B,0)</f>
        <v>0</v>
      </c>
      <c r="F454" s="46">
        <f>IF(int=Weekly,-$D$5,IF(int=Bi_Weekly,0,IF(int=Monthly,0,IF(int=Quarterly,0,IF(int=Yearly,0,IF(int=None,0,0))))))</f>
        <v>0</v>
      </c>
      <c r="G454" s="46"/>
      <c r="H454" s="46">
        <f t="shared" si="179"/>
        <v>-10550</v>
      </c>
      <c r="I454" s="47"/>
      <c r="J454" s="38">
        <f t="shared" si="166"/>
        <v>0</v>
      </c>
      <c r="K454" s="48"/>
      <c r="L454" s="48">
        <f t="shared" si="171"/>
        <v>384.14763683579685</v>
      </c>
      <c r="M454" s="48"/>
      <c r="N454" s="38">
        <f t="shared" si="172"/>
        <v>0</v>
      </c>
      <c r="O454" s="36">
        <f t="shared" si="173"/>
        <v>0</v>
      </c>
      <c r="P454" s="84">
        <f t="shared" si="174"/>
        <v>-13026.4689173919</v>
      </c>
      <c r="Q454" s="38">
        <f t="shared" si="175"/>
        <v>0</v>
      </c>
      <c r="R454" s="48">
        <f t="shared" si="176"/>
        <v>88.47193578319002</v>
      </c>
      <c r="S454" s="38">
        <f t="shared" si="167"/>
        <v>472.61957261898687</v>
      </c>
      <c r="T454" s="50">
        <f t="shared" si="180"/>
        <v>10550</v>
      </c>
      <c r="U454" s="40">
        <f t="shared" si="181"/>
        <v>10975.097984398715</v>
      </c>
      <c r="V454" s="41">
        <f t="shared" si="182"/>
        <v>4.0293647810304867E-2</v>
      </c>
      <c r="W454" s="39">
        <f t="shared" si="183"/>
        <v>425.0979843987152</v>
      </c>
      <c r="X454" s="50">
        <f t="shared" si="177"/>
        <v>2476.9376674081768</v>
      </c>
      <c r="Y454" s="41">
        <f t="shared" si="184"/>
        <v>0.275074469365582</v>
      </c>
      <c r="Z454" s="52"/>
      <c r="AA454" s="50">
        <f t="shared" si="190"/>
        <v>13026.937667408176</v>
      </c>
      <c r="AB454" s="39">
        <f t="shared" si="191"/>
        <v>13502.741189724455</v>
      </c>
      <c r="AC454" s="39">
        <f t="shared" si="185"/>
        <v>475.80352231627876</v>
      </c>
      <c r="AD454" s="41">
        <f t="shared" si="186"/>
        <v>3.652458731776087E-2</v>
      </c>
      <c r="AF454" s="46">
        <f t="shared" si="168"/>
        <v>0</v>
      </c>
      <c r="AG454" s="46">
        <f t="shared" si="187"/>
        <v>0</v>
      </c>
      <c r="AH454" s="54">
        <f t="shared" si="169"/>
        <v>2961</v>
      </c>
      <c r="AI454" s="55">
        <f t="shared" si="178"/>
        <v>0.52895322939866374</v>
      </c>
      <c r="AJ454" s="55">
        <f t="shared" si="188"/>
        <v>0</v>
      </c>
      <c r="AK454" s="55">
        <f t="shared" si="189"/>
        <v>0</v>
      </c>
    </row>
    <row r="455" spans="2:37" s="53" customFormat="1" ht="17.25" customHeight="1" x14ac:dyDescent="0.25">
      <c r="B455" s="91" t="str">
        <f t="shared" si="170"/>
        <v/>
      </c>
      <c r="C455" s="81">
        <f>IF(Sheet3!A426="","",Sheet3!A426)</f>
        <v>40595</v>
      </c>
      <c r="D455" s="82">
        <f>IF(C455="","",Sheet3!E426)</f>
        <v>28.129999000000002</v>
      </c>
      <c r="E455" s="56">
        <f>_xlfn.XLOOKUP(WEEKNUM(C455)&amp;YEAR(C455),Sheet4!C:C,Sheet4!B:B,0)</f>
        <v>0</v>
      </c>
      <c r="F455" s="46">
        <f>IF(int=Weekly,-$D$5,IF(int=Bi_Weekly,-$D$5,IF(int=Monthly,-$D$5,IF(int=Quarterly,0,IF(int=Yearly,0,IF(int=None,0,0))))))</f>
        <v>-100</v>
      </c>
      <c r="G455" s="46"/>
      <c r="H455" s="46">
        <f t="shared" si="179"/>
        <v>-10650</v>
      </c>
      <c r="I455" s="47"/>
      <c r="J455" s="38">
        <f t="shared" si="166"/>
        <v>3.5549236955180836</v>
      </c>
      <c r="K455" s="48"/>
      <c r="L455" s="48">
        <f t="shared" si="171"/>
        <v>387.70256053131493</v>
      </c>
      <c r="M455" s="48"/>
      <c r="N455" s="38">
        <f t="shared" si="172"/>
        <v>0</v>
      </c>
      <c r="O455" s="36">
        <f t="shared" si="173"/>
        <v>0</v>
      </c>
      <c r="P455" s="84">
        <f t="shared" si="174"/>
        <v>-13126.4689173919</v>
      </c>
      <c r="Q455" s="38">
        <f t="shared" si="175"/>
        <v>0</v>
      </c>
      <c r="R455" s="48">
        <f t="shared" si="176"/>
        <v>88.47193578319002</v>
      </c>
      <c r="S455" s="38">
        <f t="shared" si="167"/>
        <v>476.17449631450495</v>
      </c>
      <c r="T455" s="50">
        <f t="shared" si="180"/>
        <v>10650</v>
      </c>
      <c r="U455" s="40">
        <f t="shared" si="181"/>
        <v>10906.072640043329</v>
      </c>
      <c r="V455" s="41">
        <f t="shared" si="182"/>
        <v>2.4044379346791489E-2</v>
      </c>
      <c r="W455" s="39">
        <f t="shared" si="183"/>
        <v>256.07264004332865</v>
      </c>
      <c r="X455" s="50">
        <f t="shared" si="177"/>
        <v>2476.9376674081768</v>
      </c>
      <c r="Y455" s="41">
        <f t="shared" si="184"/>
        <v>0.25662068614568145</v>
      </c>
      <c r="Z455" s="52"/>
      <c r="AA455" s="50">
        <f t="shared" si="190"/>
        <v>13126.937667408176</v>
      </c>
      <c r="AB455" s="39">
        <f t="shared" si="191"/>
        <v>13394.788105152529</v>
      </c>
      <c r="AC455" s="39">
        <f t="shared" si="185"/>
        <v>267.85043774435326</v>
      </c>
      <c r="AD455" s="41">
        <f t="shared" si="186"/>
        <v>2.0404640025782905E-2</v>
      </c>
      <c r="AF455" s="46">
        <f t="shared" si="168"/>
        <v>-100</v>
      </c>
      <c r="AG455" s="46">
        <f t="shared" si="187"/>
        <v>-100</v>
      </c>
      <c r="AH455" s="54">
        <f t="shared" si="169"/>
        <v>2968</v>
      </c>
      <c r="AI455" s="55">
        <f t="shared" si="178"/>
        <v>0.5278396436525612</v>
      </c>
      <c r="AJ455" s="55">
        <f t="shared" si="188"/>
        <v>-52.783964365256118</v>
      </c>
      <c r="AK455" s="55">
        <f t="shared" si="189"/>
        <v>-52.783964365256118</v>
      </c>
    </row>
    <row r="456" spans="2:37" s="53" customFormat="1" ht="17.25" customHeight="1" x14ac:dyDescent="0.25">
      <c r="B456" s="91" t="str">
        <f t="shared" si="170"/>
        <v/>
      </c>
      <c r="C456" s="81">
        <f>IF(Sheet3!A427="","",Sheet3!A427)</f>
        <v>40602</v>
      </c>
      <c r="D456" s="82">
        <f>IF(C456="","",Sheet3!E427)</f>
        <v>27.92</v>
      </c>
      <c r="E456" s="56">
        <f>_xlfn.XLOOKUP(WEEKNUM(C456)&amp;YEAR(C456),Sheet4!C:C,Sheet4!B:B,0)</f>
        <v>0</v>
      </c>
      <c r="F456" s="46">
        <f>IF(int=Weekly,-$D$5,IF(int=Bi_Weekly,0,IF(int=Monthly,0,IF(int=Quarterly,0,IF(int=Yearly,0,IF(int=None,0,0))))))</f>
        <v>0</v>
      </c>
      <c r="G456" s="46"/>
      <c r="H456" s="46">
        <f t="shared" si="179"/>
        <v>-10650</v>
      </c>
      <c r="I456" s="47"/>
      <c r="J456" s="38">
        <f t="shared" si="166"/>
        <v>0</v>
      </c>
      <c r="K456" s="48"/>
      <c r="L456" s="48">
        <f t="shared" si="171"/>
        <v>387.70256053131493</v>
      </c>
      <c r="M456" s="48"/>
      <c r="N456" s="38">
        <f t="shared" si="172"/>
        <v>0</v>
      </c>
      <c r="O456" s="36">
        <f t="shared" si="173"/>
        <v>0</v>
      </c>
      <c r="P456" s="84">
        <f t="shared" si="174"/>
        <v>-13126.4689173919</v>
      </c>
      <c r="Q456" s="38">
        <f t="shared" si="175"/>
        <v>0</v>
      </c>
      <c r="R456" s="48">
        <f t="shared" si="176"/>
        <v>88.47193578319002</v>
      </c>
      <c r="S456" s="38">
        <f t="shared" si="167"/>
        <v>476.17449631450495</v>
      </c>
      <c r="T456" s="50">
        <f t="shared" si="180"/>
        <v>10650</v>
      </c>
      <c r="U456" s="40">
        <f t="shared" si="181"/>
        <v>10824.655490034313</v>
      </c>
      <c r="V456" s="41">
        <f t="shared" si="182"/>
        <v>1.6399576529043447E-2</v>
      </c>
      <c r="W456" s="39">
        <f t="shared" si="183"/>
        <v>174.65549003431261</v>
      </c>
      <c r="X456" s="50">
        <f t="shared" si="177"/>
        <v>2476.9376674081768</v>
      </c>
      <c r="Y456" s="41">
        <f t="shared" si="184"/>
        <v>0.24897588332793341</v>
      </c>
      <c r="Z456" s="52"/>
      <c r="AA456" s="50">
        <f t="shared" si="190"/>
        <v>13126.937667408176</v>
      </c>
      <c r="AB456" s="39">
        <f t="shared" si="191"/>
        <v>13294.791937100978</v>
      </c>
      <c r="AC456" s="39">
        <f t="shared" si="185"/>
        <v>167.85426969280161</v>
      </c>
      <c r="AD456" s="41">
        <f t="shared" si="186"/>
        <v>1.278700896931606E-2</v>
      </c>
      <c r="AF456" s="46">
        <f t="shared" si="168"/>
        <v>0</v>
      </c>
      <c r="AG456" s="46">
        <f t="shared" si="187"/>
        <v>0</v>
      </c>
      <c r="AH456" s="54">
        <f t="shared" si="169"/>
        <v>2975</v>
      </c>
      <c r="AI456" s="55">
        <f t="shared" si="178"/>
        <v>0.52672605790645877</v>
      </c>
      <c r="AJ456" s="55">
        <f t="shared" si="188"/>
        <v>0</v>
      </c>
      <c r="AK456" s="55">
        <f t="shared" si="189"/>
        <v>0</v>
      </c>
    </row>
    <row r="457" spans="2:37" s="53" customFormat="1" ht="17.25" customHeight="1" x14ac:dyDescent="0.25">
      <c r="B457" s="91" t="str">
        <f t="shared" si="170"/>
        <v/>
      </c>
      <c r="C457" s="81">
        <f>IF(Sheet3!A428="","",Sheet3!A428)</f>
        <v>40609</v>
      </c>
      <c r="D457" s="82">
        <f>IF(C457="","",Sheet3!E428)</f>
        <v>28.459999</v>
      </c>
      <c r="E457" s="56">
        <f>_xlfn.XLOOKUP(WEEKNUM(C457)&amp;YEAR(C457),Sheet4!C:C,Sheet4!B:B,0)</f>
        <v>0</v>
      </c>
      <c r="F457" s="46">
        <f>IF(int=Weekly,-$D$5,IF(int=Bi_Weekly,-$D$5,IF(int=Monthly,0,IF(int=Quarterly,0,IF(int=Yearly,0,IF(int=None,0,0))))))</f>
        <v>0</v>
      </c>
      <c r="G457" s="46"/>
      <c r="H457" s="46">
        <f t="shared" si="179"/>
        <v>-10650</v>
      </c>
      <c r="I457" s="47"/>
      <c r="J457" s="38">
        <f t="shared" si="166"/>
        <v>0</v>
      </c>
      <c r="K457" s="48"/>
      <c r="L457" s="48">
        <f t="shared" si="171"/>
        <v>387.70256053131493</v>
      </c>
      <c r="M457" s="48"/>
      <c r="N457" s="38">
        <f t="shared" si="172"/>
        <v>0</v>
      </c>
      <c r="O457" s="36">
        <f t="shared" si="173"/>
        <v>0</v>
      </c>
      <c r="P457" s="84">
        <f t="shared" si="174"/>
        <v>-13126.4689173919</v>
      </c>
      <c r="Q457" s="38">
        <f t="shared" si="175"/>
        <v>0</v>
      </c>
      <c r="R457" s="48">
        <f t="shared" si="176"/>
        <v>88.47193578319002</v>
      </c>
      <c r="S457" s="38">
        <f t="shared" si="167"/>
        <v>476.17449631450495</v>
      </c>
      <c r="T457" s="50">
        <f t="shared" si="180"/>
        <v>10650</v>
      </c>
      <c r="U457" s="40">
        <f t="shared" si="181"/>
        <v>11034.014485018663</v>
      </c>
      <c r="V457" s="41">
        <f t="shared" si="182"/>
        <v>3.6057698123818094E-2</v>
      </c>
      <c r="W457" s="39">
        <f t="shared" si="183"/>
        <v>384.01448501866253</v>
      </c>
      <c r="X457" s="50">
        <f t="shared" si="177"/>
        <v>2476.9376674081768</v>
      </c>
      <c r="Y457" s="41">
        <f t="shared" si="184"/>
        <v>0.26863400492270784</v>
      </c>
      <c r="Z457" s="52"/>
      <c r="AA457" s="50">
        <f t="shared" si="190"/>
        <v>13126.937667408176</v>
      </c>
      <c r="AB457" s="39">
        <f t="shared" si="191"/>
        <v>13551.925688936315</v>
      </c>
      <c r="AC457" s="39">
        <f t="shared" si="185"/>
        <v>424.98802152813914</v>
      </c>
      <c r="AD457" s="41">
        <f t="shared" si="186"/>
        <v>3.2375260117468718E-2</v>
      </c>
      <c r="AF457" s="46">
        <f t="shared" si="168"/>
        <v>0</v>
      </c>
      <c r="AG457" s="46">
        <f t="shared" si="187"/>
        <v>0</v>
      </c>
      <c r="AH457" s="54">
        <f t="shared" si="169"/>
        <v>2982</v>
      </c>
      <c r="AI457" s="55">
        <f t="shared" si="178"/>
        <v>0.52561247216035634</v>
      </c>
      <c r="AJ457" s="55">
        <f t="shared" si="188"/>
        <v>0</v>
      </c>
      <c r="AK457" s="55">
        <f t="shared" si="189"/>
        <v>0</v>
      </c>
    </row>
    <row r="458" spans="2:37" s="53" customFormat="1" ht="17.25" customHeight="1" x14ac:dyDescent="0.25">
      <c r="B458" s="91" t="str">
        <f t="shared" si="170"/>
        <v/>
      </c>
      <c r="C458" s="81">
        <f>IF(Sheet3!A429="","",Sheet3!A429)</f>
        <v>40616</v>
      </c>
      <c r="D458" s="82">
        <f>IF(C458="","",Sheet3!E429)</f>
        <v>27.940000999999999</v>
      </c>
      <c r="E458" s="56">
        <f>_xlfn.XLOOKUP(WEEKNUM(C458)&amp;YEAR(C458),Sheet4!C:C,Sheet4!B:B,0)</f>
        <v>0</v>
      </c>
      <c r="F458" s="46">
        <f>IF(int=Weekly,-$D$5,IF(int=Bi_Weekly,0,IF(int=Monthly,0,IF(int=Quarterly,0,IF(int=Yearly,0,IF(int=None,0,0))))))</f>
        <v>0</v>
      </c>
      <c r="G458" s="46"/>
      <c r="H458" s="46">
        <f t="shared" si="179"/>
        <v>-10650</v>
      </c>
      <c r="I458" s="47"/>
      <c r="J458" s="38">
        <f t="shared" si="166"/>
        <v>0</v>
      </c>
      <c r="K458" s="48"/>
      <c r="L458" s="48">
        <f t="shared" si="171"/>
        <v>387.70256053131493</v>
      </c>
      <c r="M458" s="48"/>
      <c r="N458" s="38">
        <f t="shared" si="172"/>
        <v>0</v>
      </c>
      <c r="O458" s="36">
        <f t="shared" si="173"/>
        <v>0</v>
      </c>
      <c r="P458" s="84">
        <f t="shared" si="174"/>
        <v>-13126.4689173919</v>
      </c>
      <c r="Q458" s="38">
        <f t="shared" si="175"/>
        <v>0</v>
      </c>
      <c r="R458" s="48">
        <f t="shared" si="176"/>
        <v>88.47193578319002</v>
      </c>
      <c r="S458" s="38">
        <f t="shared" si="167"/>
        <v>476.17449631450495</v>
      </c>
      <c r="T458" s="50">
        <f t="shared" si="180"/>
        <v>10650</v>
      </c>
      <c r="U458" s="40">
        <f t="shared" si="181"/>
        <v>10832.4099289475</v>
      </c>
      <c r="V458" s="41">
        <f t="shared" si="182"/>
        <v>1.7127692858920129E-2</v>
      </c>
      <c r="W458" s="39">
        <f t="shared" si="183"/>
        <v>182.40992894749979</v>
      </c>
      <c r="X458" s="50">
        <f t="shared" si="177"/>
        <v>2476.9376674081768</v>
      </c>
      <c r="Y458" s="41">
        <f t="shared" si="184"/>
        <v>0.24970399965781009</v>
      </c>
      <c r="Z458" s="52"/>
      <c r="AA458" s="50">
        <f t="shared" si="190"/>
        <v>13126.937667408176</v>
      </c>
      <c r="AB458" s="39">
        <f t="shared" si="191"/>
        <v>13304.315903201765</v>
      </c>
      <c r="AC458" s="39">
        <f t="shared" si="185"/>
        <v>177.37823579358883</v>
      </c>
      <c r="AD458" s="41">
        <f t="shared" si="186"/>
        <v>1.3512537370691247E-2</v>
      </c>
      <c r="AF458" s="46">
        <f t="shared" si="168"/>
        <v>0</v>
      </c>
      <c r="AG458" s="46">
        <f t="shared" si="187"/>
        <v>0</v>
      </c>
      <c r="AH458" s="54">
        <f t="shared" si="169"/>
        <v>2989</v>
      </c>
      <c r="AI458" s="55">
        <f t="shared" si="178"/>
        <v>0.52449888641425391</v>
      </c>
      <c r="AJ458" s="55">
        <f t="shared" si="188"/>
        <v>0</v>
      </c>
      <c r="AK458" s="55">
        <f t="shared" si="189"/>
        <v>0</v>
      </c>
    </row>
    <row r="459" spans="2:37" s="53" customFormat="1" ht="17.25" customHeight="1" x14ac:dyDescent="0.25">
      <c r="B459" s="91" t="str">
        <f t="shared" si="170"/>
        <v/>
      </c>
      <c r="C459" s="81">
        <f>IF(Sheet3!A430="","",Sheet3!A430)</f>
        <v>40623</v>
      </c>
      <c r="D459" s="82">
        <f>IF(C459="","",Sheet3!E430)</f>
        <v>28.85</v>
      </c>
      <c r="E459" s="56">
        <f>_xlfn.XLOOKUP(WEEKNUM(C459)&amp;YEAR(C459),Sheet4!C:C,Sheet4!B:B,0)</f>
        <v>0</v>
      </c>
      <c r="F459" s="46">
        <f>IF(int=Weekly,-$D$5,IF(int=Bi_Weekly,-$D$5,IF(int=Monthly,-$D$5,IF(int=Quarterly,0,IF(int=Yearly,0,IF(int=None,0,0))))))</f>
        <v>-100</v>
      </c>
      <c r="G459" s="46"/>
      <c r="H459" s="46">
        <f t="shared" si="179"/>
        <v>-10750</v>
      </c>
      <c r="I459" s="47"/>
      <c r="J459" s="38">
        <f t="shared" si="166"/>
        <v>3.4662045060658575</v>
      </c>
      <c r="K459" s="48"/>
      <c r="L459" s="48">
        <f t="shared" si="171"/>
        <v>391.16876503738081</v>
      </c>
      <c r="M459" s="48"/>
      <c r="N459" s="38">
        <f t="shared" si="172"/>
        <v>0</v>
      </c>
      <c r="O459" s="36">
        <f t="shared" si="173"/>
        <v>0</v>
      </c>
      <c r="P459" s="84">
        <f t="shared" si="174"/>
        <v>-13226.4689173919</v>
      </c>
      <c r="Q459" s="38">
        <f t="shared" si="175"/>
        <v>0</v>
      </c>
      <c r="R459" s="48">
        <f t="shared" si="176"/>
        <v>88.47193578319002</v>
      </c>
      <c r="S459" s="38">
        <f t="shared" si="167"/>
        <v>479.64070082057083</v>
      </c>
      <c r="T459" s="50">
        <f t="shared" si="180"/>
        <v>10750</v>
      </c>
      <c r="U459" s="40">
        <f t="shared" si="181"/>
        <v>11285.218871328438</v>
      </c>
      <c r="V459" s="41">
        <f t="shared" si="182"/>
        <v>4.9787801984040758E-2</v>
      </c>
      <c r="W459" s="39">
        <f t="shared" si="183"/>
        <v>535.21887132843767</v>
      </c>
      <c r="X459" s="50">
        <f t="shared" si="177"/>
        <v>2476.9376674081768</v>
      </c>
      <c r="Y459" s="41">
        <f t="shared" si="184"/>
        <v>0.28020060825456872</v>
      </c>
      <c r="Z459" s="52"/>
      <c r="AA459" s="50">
        <f t="shared" si="190"/>
        <v>13226.937667408176</v>
      </c>
      <c r="AB459" s="39">
        <f t="shared" si="191"/>
        <v>13837.634218673469</v>
      </c>
      <c r="AC459" s="39">
        <f t="shared" si="185"/>
        <v>610.69655126529324</v>
      </c>
      <c r="AD459" s="41">
        <f t="shared" si="186"/>
        <v>4.6170668269653881E-2</v>
      </c>
      <c r="AF459" s="46">
        <f t="shared" si="168"/>
        <v>-100</v>
      </c>
      <c r="AG459" s="46">
        <f t="shared" si="187"/>
        <v>-100</v>
      </c>
      <c r="AH459" s="54">
        <f t="shared" si="169"/>
        <v>2996</v>
      </c>
      <c r="AI459" s="55">
        <f t="shared" si="178"/>
        <v>0.52338530066815148</v>
      </c>
      <c r="AJ459" s="55">
        <f t="shared" si="188"/>
        <v>-52.338530066815146</v>
      </c>
      <c r="AK459" s="55">
        <f t="shared" si="189"/>
        <v>-52.338530066815146</v>
      </c>
    </row>
    <row r="460" spans="2:37" s="53" customFormat="1" ht="17.25" customHeight="1" x14ac:dyDescent="0.25">
      <c r="B460" s="91" t="str">
        <f t="shared" si="170"/>
        <v/>
      </c>
      <c r="C460" s="81">
        <f>IF(Sheet3!A431="","",Sheet3!A431)</f>
        <v>40630</v>
      </c>
      <c r="D460" s="82">
        <f>IF(C460="","",Sheet3!E431)</f>
        <v>30.620000999999998</v>
      </c>
      <c r="E460" s="56">
        <f>_xlfn.XLOOKUP(WEEKNUM(C460)&amp;YEAR(C460),Sheet4!C:C,Sheet4!B:B,0)</f>
        <v>0</v>
      </c>
      <c r="F460" s="46">
        <f>IF(int=Weekly,-$D$5,IF(int=Bi_Weekly,0,IF(int=Monthly,0,IF(int=Quarterly,-$D$5,IF(int=Yearly,0,IF(int=None,0,0))))))</f>
        <v>0</v>
      </c>
      <c r="G460" s="46"/>
      <c r="H460" s="46">
        <f t="shared" si="179"/>
        <v>-10750</v>
      </c>
      <c r="I460" s="47"/>
      <c r="J460" s="38">
        <f t="shared" si="166"/>
        <v>0</v>
      </c>
      <c r="K460" s="48"/>
      <c r="L460" s="48">
        <f t="shared" si="171"/>
        <v>391.16876503738081</v>
      </c>
      <c r="M460" s="48"/>
      <c r="N460" s="38">
        <f t="shared" si="172"/>
        <v>0</v>
      </c>
      <c r="O460" s="36">
        <f t="shared" si="173"/>
        <v>0</v>
      </c>
      <c r="P460" s="84">
        <f t="shared" si="174"/>
        <v>-13226.4689173919</v>
      </c>
      <c r="Q460" s="38">
        <f t="shared" si="175"/>
        <v>0</v>
      </c>
      <c r="R460" s="48">
        <f t="shared" si="176"/>
        <v>88.47193578319002</v>
      </c>
      <c r="S460" s="38">
        <f t="shared" si="167"/>
        <v>479.64070082057083</v>
      </c>
      <c r="T460" s="50">
        <f t="shared" si="180"/>
        <v>10750</v>
      </c>
      <c r="U460" s="40">
        <f t="shared" si="181"/>
        <v>11977.587976613364</v>
      </c>
      <c r="V460" s="41">
        <f t="shared" si="182"/>
        <v>0.11419423038263843</v>
      </c>
      <c r="W460" s="39">
        <f t="shared" si="183"/>
        <v>1227.5879766133639</v>
      </c>
      <c r="X460" s="50">
        <f t="shared" si="177"/>
        <v>2476.9376674081768</v>
      </c>
      <c r="Y460" s="41">
        <f t="shared" si="184"/>
        <v>0.34460703665316661</v>
      </c>
      <c r="Z460" s="52"/>
      <c r="AA460" s="50">
        <f t="shared" si="190"/>
        <v>13226.937667408176</v>
      </c>
      <c r="AB460" s="39">
        <f t="shared" si="191"/>
        <v>14686.598738766577</v>
      </c>
      <c r="AC460" s="39">
        <f t="shared" si="185"/>
        <v>1459.6610713584014</v>
      </c>
      <c r="AD460" s="41">
        <f t="shared" si="186"/>
        <v>0.11035517880719126</v>
      </c>
      <c r="AF460" s="46">
        <f t="shared" si="168"/>
        <v>0</v>
      </c>
      <c r="AG460" s="46">
        <f t="shared" si="187"/>
        <v>0</v>
      </c>
      <c r="AH460" s="54">
        <f t="shared" si="169"/>
        <v>3003</v>
      </c>
      <c r="AI460" s="55">
        <f t="shared" si="178"/>
        <v>0.52227171492204905</v>
      </c>
      <c r="AJ460" s="55">
        <f t="shared" si="188"/>
        <v>0</v>
      </c>
      <c r="AK460" s="55">
        <f t="shared" si="189"/>
        <v>0</v>
      </c>
    </row>
    <row r="461" spans="2:37" s="53" customFormat="1" ht="17.25" customHeight="1" x14ac:dyDescent="0.25">
      <c r="B461" s="91" t="str">
        <f t="shared" si="170"/>
        <v/>
      </c>
      <c r="C461" s="81">
        <f>IF(Sheet3!A432="","",Sheet3!A432)</f>
        <v>40637</v>
      </c>
      <c r="D461" s="82">
        <f>IF(C461="","",Sheet3!E432)</f>
        <v>30.709999</v>
      </c>
      <c r="E461" s="56">
        <f>_xlfn.XLOOKUP(WEEKNUM(C461)&amp;YEAR(C461),Sheet4!C:C,Sheet4!B:B,0)</f>
        <v>0.43</v>
      </c>
      <c r="F461" s="46">
        <f>IF(int=Weekly,-$D$5,IF(int=Bi_Weekly,-$D$5,IF(int=Monthly,0,IF(int=Quarterly,0,IF(int=Yearly,0,IF(int=None,0,0))))))</f>
        <v>0</v>
      </c>
      <c r="G461" s="46"/>
      <c r="H461" s="46">
        <f t="shared" si="179"/>
        <v>-10750</v>
      </c>
      <c r="I461" s="47"/>
      <c r="J461" s="38">
        <f t="shared" si="166"/>
        <v>0</v>
      </c>
      <c r="K461" s="48"/>
      <c r="L461" s="48">
        <f t="shared" si="171"/>
        <v>391.16876503738081</v>
      </c>
      <c r="M461" s="48"/>
      <c r="N461" s="38">
        <f t="shared" si="172"/>
        <v>168.20256896607376</v>
      </c>
      <c r="O461" s="36">
        <f t="shared" si="173"/>
        <v>-168.20256896607376</v>
      </c>
      <c r="P461" s="84">
        <f t="shared" si="174"/>
        <v>-13394.671486357973</v>
      </c>
      <c r="Q461" s="38">
        <f t="shared" si="175"/>
        <v>5.4771271391468872</v>
      </c>
      <c r="R461" s="48">
        <f t="shared" si="176"/>
        <v>93.949062922336907</v>
      </c>
      <c r="S461" s="38">
        <f t="shared" si="167"/>
        <v>485.11782795971772</v>
      </c>
      <c r="T461" s="50">
        <f t="shared" si="180"/>
        <v>10750</v>
      </c>
      <c r="U461" s="40">
        <f t="shared" si="181"/>
        <v>12012.792383129199</v>
      </c>
      <c r="V461" s="41">
        <f t="shared" si="182"/>
        <v>0.11746905889573944</v>
      </c>
      <c r="W461" s="39">
        <f t="shared" si="183"/>
        <v>1262.7923831291992</v>
      </c>
      <c r="X461" s="50">
        <f t="shared" si="177"/>
        <v>2645.1402363742504</v>
      </c>
      <c r="Y461" s="41">
        <f t="shared" si="184"/>
        <v>0.36352861576776285</v>
      </c>
      <c r="Z461" s="52"/>
      <c r="AA461" s="50">
        <f t="shared" si="190"/>
        <v>13395.140236374249</v>
      </c>
      <c r="AB461" s="39">
        <f t="shared" si="191"/>
        <v>14897.968011525103</v>
      </c>
      <c r="AC461" s="39">
        <f t="shared" si="185"/>
        <v>1502.827775150854</v>
      </c>
      <c r="AD461" s="41">
        <f t="shared" si="186"/>
        <v>0.11219201506154852</v>
      </c>
      <c r="AF461" s="46">
        <f t="shared" si="168"/>
        <v>168.20256896607376</v>
      </c>
      <c r="AG461" s="46">
        <f t="shared" si="187"/>
        <v>0</v>
      </c>
      <c r="AH461" s="54">
        <f t="shared" si="169"/>
        <v>3010</v>
      </c>
      <c r="AI461" s="55">
        <f t="shared" si="178"/>
        <v>0.52115812917594651</v>
      </c>
      <c r="AJ461" s="55">
        <f t="shared" si="188"/>
        <v>87.660136164947119</v>
      </c>
      <c r="AK461" s="55">
        <f t="shared" si="189"/>
        <v>0</v>
      </c>
    </row>
    <row r="462" spans="2:37" s="53" customFormat="1" ht="17.25" customHeight="1" x14ac:dyDescent="0.25">
      <c r="B462" s="91" t="str">
        <f t="shared" si="170"/>
        <v/>
      </c>
      <c r="C462" s="81">
        <f>IF(Sheet3!A433="","",Sheet3!A433)</f>
        <v>40644</v>
      </c>
      <c r="D462" s="82">
        <f>IF(C462="","",Sheet3!E433)</f>
        <v>30.65</v>
      </c>
      <c r="E462" s="56">
        <f>_xlfn.XLOOKUP(WEEKNUM(C462)&amp;YEAR(C462),Sheet4!C:C,Sheet4!B:B,0)</f>
        <v>0</v>
      </c>
      <c r="F462" s="46">
        <f>IF(int=Weekly,-$D$5,IF(int=Bi_Weekly,0,IF(int=Monthly,0,IF(int=Quarterly,0,IF(int=Yearly,0,IF(int=None,0,0))))))</f>
        <v>0</v>
      </c>
      <c r="G462" s="46"/>
      <c r="H462" s="46">
        <f t="shared" si="179"/>
        <v>-10750</v>
      </c>
      <c r="I462" s="47"/>
      <c r="J462" s="38">
        <f t="shared" si="166"/>
        <v>0</v>
      </c>
      <c r="K462" s="48"/>
      <c r="L462" s="48">
        <f t="shared" si="171"/>
        <v>391.16876503738081</v>
      </c>
      <c r="M462" s="48"/>
      <c r="N462" s="38">
        <f t="shared" si="172"/>
        <v>0</v>
      </c>
      <c r="O462" s="36">
        <f t="shared" si="173"/>
        <v>0</v>
      </c>
      <c r="P462" s="84">
        <f t="shared" si="174"/>
        <v>-13394.671486357973</v>
      </c>
      <c r="Q462" s="38">
        <f t="shared" si="175"/>
        <v>0</v>
      </c>
      <c r="R462" s="48">
        <f t="shared" si="176"/>
        <v>93.949062922336907</v>
      </c>
      <c r="S462" s="38">
        <f t="shared" si="167"/>
        <v>485.11782795971772</v>
      </c>
      <c r="T462" s="50">
        <f t="shared" si="180"/>
        <v>10750</v>
      </c>
      <c r="U462" s="40">
        <f t="shared" si="181"/>
        <v>11989.322648395721</v>
      </c>
      <c r="V462" s="41">
        <f t="shared" si="182"/>
        <v>0.11528582775774154</v>
      </c>
      <c r="W462" s="39">
        <f t="shared" si="183"/>
        <v>1239.3226483957205</v>
      </c>
      <c r="X462" s="50">
        <f t="shared" si="177"/>
        <v>2645.1402363742504</v>
      </c>
      <c r="Y462" s="41">
        <f t="shared" si="184"/>
        <v>0.36134538462976473</v>
      </c>
      <c r="Z462" s="52"/>
      <c r="AA462" s="50">
        <f t="shared" si="190"/>
        <v>13395.140236374249</v>
      </c>
      <c r="AB462" s="39">
        <f t="shared" si="191"/>
        <v>14868.861426965346</v>
      </c>
      <c r="AC462" s="39">
        <f t="shared" si="185"/>
        <v>1473.7211905910972</v>
      </c>
      <c r="AD462" s="41">
        <f t="shared" si="186"/>
        <v>0.11001909383443675</v>
      </c>
      <c r="AF462" s="46">
        <f t="shared" si="168"/>
        <v>0</v>
      </c>
      <c r="AG462" s="46">
        <f t="shared" si="187"/>
        <v>0</v>
      </c>
      <c r="AH462" s="54">
        <f t="shared" si="169"/>
        <v>3017</v>
      </c>
      <c r="AI462" s="55">
        <f t="shared" si="178"/>
        <v>0.52004454342984407</v>
      </c>
      <c r="AJ462" s="55">
        <f t="shared" si="188"/>
        <v>0</v>
      </c>
      <c r="AK462" s="55">
        <f t="shared" si="189"/>
        <v>0</v>
      </c>
    </row>
    <row r="463" spans="2:37" s="53" customFormat="1" ht="17.25" customHeight="1" x14ac:dyDescent="0.25">
      <c r="B463" s="91" t="str">
        <f t="shared" si="170"/>
        <v/>
      </c>
      <c r="C463" s="81">
        <f>IF(Sheet3!A434="","",Sheet3!A434)</f>
        <v>40651</v>
      </c>
      <c r="D463" s="82">
        <f>IF(C463="","",Sheet3!E434)</f>
        <v>30.68</v>
      </c>
      <c r="E463" s="56">
        <f>_xlfn.XLOOKUP(WEEKNUM(C463)&amp;YEAR(C463),Sheet4!C:C,Sheet4!B:B,0)</f>
        <v>0</v>
      </c>
      <c r="F463" s="46">
        <f>IF(int=Weekly,-$D$5,IF(int=Bi_Weekly,-$D$5,IF(int=Monthly,-$D$5,IF(int=Quarterly,0,IF(int=Yearly,0,IF(int=None,0,0))))))</f>
        <v>-100</v>
      </c>
      <c r="G463" s="46"/>
      <c r="H463" s="46">
        <f t="shared" si="179"/>
        <v>-10850</v>
      </c>
      <c r="I463" s="47"/>
      <c r="J463" s="38">
        <f t="shared" si="166"/>
        <v>3.259452411994785</v>
      </c>
      <c r="K463" s="48"/>
      <c r="L463" s="48">
        <f t="shared" si="171"/>
        <v>394.42821744937561</v>
      </c>
      <c r="M463" s="48"/>
      <c r="N463" s="38">
        <f t="shared" si="172"/>
        <v>0</v>
      </c>
      <c r="O463" s="36">
        <f t="shared" si="173"/>
        <v>0</v>
      </c>
      <c r="P463" s="84">
        <f t="shared" si="174"/>
        <v>-13494.671486357973</v>
      </c>
      <c r="Q463" s="38">
        <f t="shared" si="175"/>
        <v>0</v>
      </c>
      <c r="R463" s="48">
        <f t="shared" si="176"/>
        <v>93.949062922336907</v>
      </c>
      <c r="S463" s="38">
        <f t="shared" si="167"/>
        <v>488.37728037171252</v>
      </c>
      <c r="T463" s="50">
        <f t="shared" si="180"/>
        <v>10850</v>
      </c>
      <c r="U463" s="40">
        <f t="shared" si="181"/>
        <v>12101.057711346844</v>
      </c>
      <c r="V463" s="41">
        <f t="shared" si="182"/>
        <v>0.11530485818864933</v>
      </c>
      <c r="W463" s="39">
        <f t="shared" si="183"/>
        <v>1251.0577113468444</v>
      </c>
      <c r="X463" s="50">
        <f t="shared" si="177"/>
        <v>2645.1402363742504</v>
      </c>
      <c r="Y463" s="41">
        <f t="shared" si="184"/>
        <v>0.3590965850434189</v>
      </c>
      <c r="Z463" s="52"/>
      <c r="AA463" s="50">
        <f t="shared" si="190"/>
        <v>13495.140236374249</v>
      </c>
      <c r="AB463" s="39">
        <f t="shared" si="191"/>
        <v>14983.414961804141</v>
      </c>
      <c r="AC463" s="39">
        <f t="shared" si="185"/>
        <v>1488.274725429892</v>
      </c>
      <c r="AD463" s="41">
        <f t="shared" si="186"/>
        <v>0.11028227194101015</v>
      </c>
      <c r="AF463" s="46">
        <f t="shared" si="168"/>
        <v>-100</v>
      </c>
      <c r="AG463" s="46">
        <f t="shared" si="187"/>
        <v>-100</v>
      </c>
      <c r="AH463" s="54">
        <f t="shared" si="169"/>
        <v>3024</v>
      </c>
      <c r="AI463" s="55">
        <f t="shared" si="178"/>
        <v>0.51893095768374164</v>
      </c>
      <c r="AJ463" s="55">
        <f t="shared" si="188"/>
        <v>-51.893095768374167</v>
      </c>
      <c r="AK463" s="55">
        <f t="shared" si="189"/>
        <v>-51.893095768374167</v>
      </c>
    </row>
    <row r="464" spans="2:37" s="53" customFormat="1" ht="17.25" customHeight="1" x14ac:dyDescent="0.25">
      <c r="B464" s="91" t="str">
        <f t="shared" si="170"/>
        <v/>
      </c>
      <c r="C464" s="81">
        <f>IF(Sheet3!A435="","",Sheet3!A435)</f>
        <v>40658</v>
      </c>
      <c r="D464" s="82">
        <f>IF(C464="","",Sheet3!E435)</f>
        <v>31.120000999999998</v>
      </c>
      <c r="E464" s="56">
        <f>_xlfn.XLOOKUP(WEEKNUM(C464)&amp;YEAR(C464),Sheet4!C:C,Sheet4!B:B,0)</f>
        <v>0</v>
      </c>
      <c r="F464" s="46">
        <f>IF(int=Weekly,-$D$5,IF(int=Bi_Weekly,0,IF(int=Monthly,0,IF(int=Quarterly,0,IF(int=Yearly,0,IF(int=None,0,0))))))</f>
        <v>0</v>
      </c>
      <c r="G464" s="46"/>
      <c r="H464" s="46">
        <f t="shared" si="179"/>
        <v>-10850</v>
      </c>
      <c r="I464" s="47"/>
      <c r="J464" s="38">
        <f t="shared" si="166"/>
        <v>0</v>
      </c>
      <c r="K464" s="48"/>
      <c r="L464" s="48">
        <f t="shared" si="171"/>
        <v>394.42821744937561</v>
      </c>
      <c r="M464" s="48"/>
      <c r="N464" s="38">
        <f t="shared" si="172"/>
        <v>0</v>
      </c>
      <c r="O464" s="36">
        <f t="shared" si="173"/>
        <v>0</v>
      </c>
      <c r="P464" s="84">
        <f t="shared" si="174"/>
        <v>-13494.671486357973</v>
      </c>
      <c r="Q464" s="38">
        <f t="shared" si="175"/>
        <v>0</v>
      </c>
      <c r="R464" s="48">
        <f t="shared" si="176"/>
        <v>93.949062922336907</v>
      </c>
      <c r="S464" s="38">
        <f t="shared" si="167"/>
        <v>488.37728037171252</v>
      </c>
      <c r="T464" s="50">
        <f t="shared" si="180"/>
        <v>10850</v>
      </c>
      <c r="U464" s="40">
        <f t="shared" si="181"/>
        <v>12274.606521452786</v>
      </c>
      <c r="V464" s="41">
        <f t="shared" si="182"/>
        <v>0.13130014022606318</v>
      </c>
      <c r="W464" s="39">
        <f t="shared" si="183"/>
        <v>1424.6065214527862</v>
      </c>
      <c r="X464" s="50">
        <f t="shared" si="177"/>
        <v>2645.1402363742504</v>
      </c>
      <c r="Y464" s="41">
        <f t="shared" si="184"/>
        <v>0.37509186708083297</v>
      </c>
      <c r="Z464" s="52"/>
      <c r="AA464" s="50">
        <f t="shared" si="190"/>
        <v>13495.140236374249</v>
      </c>
      <c r="AB464" s="39">
        <f t="shared" si="191"/>
        <v>15198.301453544973</v>
      </c>
      <c r="AC464" s="39">
        <f t="shared" si="185"/>
        <v>1703.1612171707238</v>
      </c>
      <c r="AD464" s="41">
        <f t="shared" si="186"/>
        <v>0.1262055219389342</v>
      </c>
      <c r="AF464" s="46">
        <f t="shared" si="168"/>
        <v>0</v>
      </c>
      <c r="AG464" s="46">
        <f t="shared" si="187"/>
        <v>0</v>
      </c>
      <c r="AH464" s="54">
        <f t="shared" si="169"/>
        <v>3031</v>
      </c>
      <c r="AI464" s="55">
        <f t="shared" si="178"/>
        <v>0.51781737193763921</v>
      </c>
      <c r="AJ464" s="55">
        <f t="shared" si="188"/>
        <v>0</v>
      </c>
      <c r="AK464" s="55">
        <f t="shared" si="189"/>
        <v>0</v>
      </c>
    </row>
    <row r="465" spans="2:37" s="53" customFormat="1" ht="17.25" customHeight="1" x14ac:dyDescent="0.25">
      <c r="B465" s="91" t="str">
        <f t="shared" si="170"/>
        <v/>
      </c>
      <c r="C465" s="81">
        <f>IF(Sheet3!A436="","",Sheet3!A436)</f>
        <v>40665</v>
      </c>
      <c r="D465" s="82">
        <f>IF(C465="","",Sheet3!E436)</f>
        <v>31.26</v>
      </c>
      <c r="E465" s="56">
        <f>_xlfn.XLOOKUP(WEEKNUM(C465)&amp;YEAR(C465),Sheet4!C:C,Sheet4!B:B,0)</f>
        <v>0</v>
      </c>
      <c r="F465" s="46">
        <f>IF(int=Weekly,-$D$5,IF(int=Bi_Weekly,-$D$5,IF(int=Monthly,0,IF(int=Quarterly,0,IF(int=Yearly,0,IF(int=None,0,0))))))</f>
        <v>0</v>
      </c>
      <c r="G465" s="46"/>
      <c r="H465" s="46">
        <f t="shared" si="179"/>
        <v>-10850</v>
      </c>
      <c r="I465" s="47"/>
      <c r="J465" s="38">
        <f t="shared" si="166"/>
        <v>0</v>
      </c>
      <c r="K465" s="48"/>
      <c r="L465" s="48">
        <f t="shared" si="171"/>
        <v>394.42821744937561</v>
      </c>
      <c r="M465" s="48"/>
      <c r="N465" s="38">
        <f t="shared" si="172"/>
        <v>0</v>
      </c>
      <c r="O465" s="36">
        <f t="shared" si="173"/>
        <v>0</v>
      </c>
      <c r="P465" s="84">
        <f t="shared" si="174"/>
        <v>-13494.671486357973</v>
      </c>
      <c r="Q465" s="38">
        <f t="shared" si="175"/>
        <v>0</v>
      </c>
      <c r="R465" s="48">
        <f t="shared" si="176"/>
        <v>93.949062922336907</v>
      </c>
      <c r="S465" s="38">
        <f t="shared" si="167"/>
        <v>488.37728037171252</v>
      </c>
      <c r="T465" s="50">
        <f t="shared" si="180"/>
        <v>10850</v>
      </c>
      <c r="U465" s="40">
        <f t="shared" si="181"/>
        <v>12329.826077467482</v>
      </c>
      <c r="V465" s="41">
        <f t="shared" si="182"/>
        <v>0.13638950022741758</v>
      </c>
      <c r="W465" s="39">
        <f t="shared" si="183"/>
        <v>1479.8260774674818</v>
      </c>
      <c r="X465" s="50">
        <f t="shared" si="177"/>
        <v>2645.1402363742504</v>
      </c>
      <c r="Y465" s="41">
        <f t="shared" si="184"/>
        <v>0.38018122708218738</v>
      </c>
      <c r="Z465" s="52"/>
      <c r="AA465" s="50">
        <f t="shared" si="190"/>
        <v>13495.140236374249</v>
      </c>
      <c r="AB465" s="39">
        <f t="shared" si="191"/>
        <v>15266.673784419734</v>
      </c>
      <c r="AC465" s="39">
        <f t="shared" si="185"/>
        <v>1771.5335480454851</v>
      </c>
      <c r="AD465" s="41">
        <f t="shared" si="186"/>
        <v>0.13127196287079457</v>
      </c>
      <c r="AF465" s="46">
        <f t="shared" si="168"/>
        <v>0</v>
      </c>
      <c r="AG465" s="46">
        <f t="shared" si="187"/>
        <v>0</v>
      </c>
      <c r="AH465" s="54">
        <f t="shared" si="169"/>
        <v>3038</v>
      </c>
      <c r="AI465" s="55">
        <f t="shared" si="178"/>
        <v>0.51670378619153678</v>
      </c>
      <c r="AJ465" s="55">
        <f t="shared" si="188"/>
        <v>0</v>
      </c>
      <c r="AK465" s="55">
        <f t="shared" si="189"/>
        <v>0</v>
      </c>
    </row>
    <row r="466" spans="2:37" s="53" customFormat="1" ht="17.25" customHeight="1" x14ac:dyDescent="0.25">
      <c r="B466" s="91" t="str">
        <f t="shared" si="170"/>
        <v/>
      </c>
      <c r="C466" s="81">
        <f>IF(Sheet3!A437="","",Sheet3!A437)</f>
        <v>40672</v>
      </c>
      <c r="D466" s="82">
        <f>IF(C466="","",Sheet3!E437)</f>
        <v>31.41</v>
      </c>
      <c r="E466" s="56">
        <f>_xlfn.XLOOKUP(WEEKNUM(C466)&amp;YEAR(C466),Sheet4!C:C,Sheet4!B:B,0)</f>
        <v>0</v>
      </c>
      <c r="F466" s="46">
        <f>IF(int=Weekly,-$D$5,IF(int=Bi_Weekly,0,IF(int=Monthly,0,IF(int=Quarterly,0,IF(int=Yearly,0,IF(int=None,0,0))))))</f>
        <v>0</v>
      </c>
      <c r="G466" s="46"/>
      <c r="H466" s="46">
        <f t="shared" si="179"/>
        <v>-10850</v>
      </c>
      <c r="I466" s="47"/>
      <c r="J466" s="38">
        <f t="shared" si="166"/>
        <v>0</v>
      </c>
      <c r="K466" s="48"/>
      <c r="L466" s="48">
        <f t="shared" si="171"/>
        <v>394.42821744937561</v>
      </c>
      <c r="M466" s="48"/>
      <c r="N466" s="38">
        <f t="shared" si="172"/>
        <v>0</v>
      </c>
      <c r="O466" s="36">
        <f t="shared" si="173"/>
        <v>0</v>
      </c>
      <c r="P466" s="84">
        <f t="shared" si="174"/>
        <v>-13494.671486357973</v>
      </c>
      <c r="Q466" s="38">
        <f t="shared" si="175"/>
        <v>0</v>
      </c>
      <c r="R466" s="48">
        <f t="shared" si="176"/>
        <v>93.949062922336907</v>
      </c>
      <c r="S466" s="38">
        <f t="shared" si="167"/>
        <v>488.37728037171252</v>
      </c>
      <c r="T466" s="50">
        <f t="shared" si="180"/>
        <v>10850</v>
      </c>
      <c r="U466" s="40">
        <f t="shared" si="181"/>
        <v>12388.990310084888</v>
      </c>
      <c r="V466" s="41">
        <f t="shared" si="182"/>
        <v>0.14184242489261645</v>
      </c>
      <c r="W466" s="39">
        <f t="shared" si="183"/>
        <v>1538.9903100848878</v>
      </c>
      <c r="X466" s="50">
        <f t="shared" si="177"/>
        <v>2645.1402363742504</v>
      </c>
      <c r="Y466" s="41">
        <f t="shared" si="184"/>
        <v>0.38563415174738602</v>
      </c>
      <c r="Z466" s="52"/>
      <c r="AA466" s="50">
        <f t="shared" si="190"/>
        <v>13495.140236374249</v>
      </c>
      <c r="AB466" s="39">
        <f t="shared" si="191"/>
        <v>15339.93037647549</v>
      </c>
      <c r="AC466" s="39">
        <f t="shared" si="185"/>
        <v>1844.7901401012405</v>
      </c>
      <c r="AD466" s="41">
        <f t="shared" si="186"/>
        <v>0.13670033121470415</v>
      </c>
      <c r="AF466" s="46">
        <f t="shared" si="168"/>
        <v>0</v>
      </c>
      <c r="AG466" s="46">
        <f t="shared" si="187"/>
        <v>0</v>
      </c>
      <c r="AH466" s="54">
        <f t="shared" si="169"/>
        <v>3045</v>
      </c>
      <c r="AI466" s="55">
        <f t="shared" si="178"/>
        <v>0.51559020044543424</v>
      </c>
      <c r="AJ466" s="55">
        <f t="shared" si="188"/>
        <v>0</v>
      </c>
      <c r="AK466" s="55">
        <f t="shared" si="189"/>
        <v>0</v>
      </c>
    </row>
    <row r="467" spans="2:37" s="53" customFormat="1" ht="17.25" customHeight="1" x14ac:dyDescent="0.25">
      <c r="B467" s="91" t="str">
        <f t="shared" si="170"/>
        <v/>
      </c>
      <c r="C467" s="81">
        <f>IF(Sheet3!A438="","",Sheet3!A438)</f>
        <v>40679</v>
      </c>
      <c r="D467" s="82">
        <f>IF(C467="","",Sheet3!E438)</f>
        <v>31.32</v>
      </c>
      <c r="E467" s="56">
        <f>_xlfn.XLOOKUP(WEEKNUM(C467)&amp;YEAR(C467),Sheet4!C:C,Sheet4!B:B,0)</f>
        <v>0</v>
      </c>
      <c r="F467" s="46">
        <f>IF(int=Weekly,-$D$5,IF(int=Bi_Weekly,-$D$5,IF(int=Monthly,-$D$5,IF(int=Quarterly,0,IF(int=Yearly,0,IF(int=None,0,0))))))</f>
        <v>-100</v>
      </c>
      <c r="G467" s="46"/>
      <c r="H467" s="46">
        <f t="shared" si="179"/>
        <v>-10950</v>
      </c>
      <c r="I467" s="47"/>
      <c r="J467" s="38">
        <f t="shared" si="166"/>
        <v>3.1928480204342273</v>
      </c>
      <c r="K467" s="48"/>
      <c r="L467" s="48">
        <f t="shared" si="171"/>
        <v>397.62106546980982</v>
      </c>
      <c r="M467" s="48"/>
      <c r="N467" s="38">
        <f t="shared" si="172"/>
        <v>0</v>
      </c>
      <c r="O467" s="36">
        <f t="shared" si="173"/>
        <v>0</v>
      </c>
      <c r="P467" s="84">
        <f t="shared" si="174"/>
        <v>-13594.671486357973</v>
      </c>
      <c r="Q467" s="38">
        <f t="shared" si="175"/>
        <v>0</v>
      </c>
      <c r="R467" s="48">
        <f t="shared" si="176"/>
        <v>93.949062922336907</v>
      </c>
      <c r="S467" s="38">
        <f t="shared" si="167"/>
        <v>491.57012839214673</v>
      </c>
      <c r="T467" s="50">
        <f t="shared" si="180"/>
        <v>10950</v>
      </c>
      <c r="U467" s="40">
        <f t="shared" si="181"/>
        <v>12453.491770514443</v>
      </c>
      <c r="V467" s="41">
        <f t="shared" si="182"/>
        <v>0.13730518452186691</v>
      </c>
      <c r="W467" s="39">
        <f t="shared" si="183"/>
        <v>1503.4917705144435</v>
      </c>
      <c r="X467" s="50">
        <f t="shared" si="177"/>
        <v>2645.1402363742504</v>
      </c>
      <c r="Y467" s="41">
        <f t="shared" si="184"/>
        <v>0.37887050291220947</v>
      </c>
      <c r="Z467" s="52"/>
      <c r="AA467" s="50">
        <f t="shared" si="190"/>
        <v>13595.140236374249</v>
      </c>
      <c r="AB467" s="39">
        <f t="shared" si="191"/>
        <v>15395.976421242036</v>
      </c>
      <c r="AC467" s="39">
        <f t="shared" si="185"/>
        <v>1800.8361848677869</v>
      </c>
      <c r="AD467" s="41">
        <f t="shared" si="186"/>
        <v>0.13246175865472787</v>
      </c>
      <c r="AF467" s="46">
        <f t="shared" si="168"/>
        <v>-100</v>
      </c>
      <c r="AG467" s="46">
        <f t="shared" si="187"/>
        <v>-100</v>
      </c>
      <c r="AH467" s="54">
        <f t="shared" si="169"/>
        <v>3052</v>
      </c>
      <c r="AI467" s="55">
        <f t="shared" si="178"/>
        <v>0.51447661469933181</v>
      </c>
      <c r="AJ467" s="55">
        <f t="shared" si="188"/>
        <v>-51.44766146993318</v>
      </c>
      <c r="AK467" s="55">
        <f t="shared" si="189"/>
        <v>-51.44766146993318</v>
      </c>
    </row>
    <row r="468" spans="2:37" s="53" customFormat="1" ht="17.25" customHeight="1" x14ac:dyDescent="0.25">
      <c r="B468" s="91" t="str">
        <f t="shared" si="170"/>
        <v/>
      </c>
      <c r="C468" s="81">
        <f>IF(Sheet3!A439="","",Sheet3!A439)</f>
        <v>40686</v>
      </c>
      <c r="D468" s="82">
        <f>IF(C468="","",Sheet3!E439)</f>
        <v>31.290001</v>
      </c>
      <c r="E468" s="56">
        <f>_xlfn.XLOOKUP(WEEKNUM(C468)&amp;YEAR(C468),Sheet4!C:C,Sheet4!B:B,0)</f>
        <v>0</v>
      </c>
      <c r="F468" s="46">
        <f>IF(int=Weekly,-$D$5,IF(int=Bi_Weekly,0,IF(int=Monthly,0,IF(int=Quarterly,0,IF(int=Yearly,0,IF(int=None,0,0))))))</f>
        <v>0</v>
      </c>
      <c r="G468" s="46"/>
      <c r="H468" s="46">
        <f t="shared" si="179"/>
        <v>-10950</v>
      </c>
      <c r="I468" s="47"/>
      <c r="J468" s="38">
        <f t="shared" si="166"/>
        <v>0</v>
      </c>
      <c r="K468" s="48"/>
      <c r="L468" s="48">
        <f t="shared" si="171"/>
        <v>397.62106546980982</v>
      </c>
      <c r="M468" s="48"/>
      <c r="N468" s="38">
        <f t="shared" si="172"/>
        <v>0</v>
      </c>
      <c r="O468" s="36">
        <f t="shared" si="173"/>
        <v>0</v>
      </c>
      <c r="P468" s="84">
        <f t="shared" si="174"/>
        <v>-13594.671486357973</v>
      </c>
      <c r="Q468" s="38">
        <f t="shared" si="175"/>
        <v>0</v>
      </c>
      <c r="R468" s="48">
        <f t="shared" si="176"/>
        <v>93.949062922336907</v>
      </c>
      <c r="S468" s="38">
        <f t="shared" si="167"/>
        <v>491.57012839214673</v>
      </c>
      <c r="T468" s="50">
        <f t="shared" si="180"/>
        <v>10950</v>
      </c>
      <c r="U468" s="40">
        <f t="shared" si="181"/>
        <v>12441.563536171414</v>
      </c>
      <c r="V468" s="41">
        <f t="shared" si="182"/>
        <v>0.13621584805218401</v>
      </c>
      <c r="W468" s="39">
        <f t="shared" si="183"/>
        <v>1491.5635361714139</v>
      </c>
      <c r="X468" s="50">
        <f t="shared" si="177"/>
        <v>2645.1402363742504</v>
      </c>
      <c r="Y468" s="41">
        <f t="shared" si="184"/>
        <v>0.37778116644252657</v>
      </c>
      <c r="Z468" s="52"/>
      <c r="AA468" s="50">
        <f t="shared" si="190"/>
        <v>13595.140236374249</v>
      </c>
      <c r="AB468" s="39">
        <f t="shared" si="191"/>
        <v>15381.229808960399</v>
      </c>
      <c r="AC468" s="39">
        <f t="shared" si="185"/>
        <v>1786.0895725861501</v>
      </c>
      <c r="AD468" s="41">
        <f t="shared" si="186"/>
        <v>0.13137706132720917</v>
      </c>
      <c r="AF468" s="46">
        <f t="shared" si="168"/>
        <v>0</v>
      </c>
      <c r="AG468" s="46">
        <f t="shared" si="187"/>
        <v>0</v>
      </c>
      <c r="AH468" s="54">
        <f t="shared" si="169"/>
        <v>3059</v>
      </c>
      <c r="AI468" s="55">
        <f t="shared" si="178"/>
        <v>0.51336302895322938</v>
      </c>
      <c r="AJ468" s="55">
        <f t="shared" si="188"/>
        <v>0</v>
      </c>
      <c r="AK468" s="55">
        <f t="shared" si="189"/>
        <v>0</v>
      </c>
    </row>
    <row r="469" spans="2:37" s="53" customFormat="1" ht="17.25" customHeight="1" x14ac:dyDescent="0.25">
      <c r="B469" s="91" t="str">
        <f t="shared" si="170"/>
        <v/>
      </c>
      <c r="C469" s="81">
        <f>IF(Sheet3!A440="","",Sheet3!A440)</f>
        <v>40693</v>
      </c>
      <c r="D469" s="82">
        <f>IF(C469="","",Sheet3!E440)</f>
        <v>30.65</v>
      </c>
      <c r="E469" s="56">
        <f>_xlfn.XLOOKUP(WEEKNUM(C469)&amp;YEAR(C469),Sheet4!C:C,Sheet4!B:B,0)</f>
        <v>0</v>
      </c>
      <c r="F469" s="46">
        <f>IF(int=Weekly,-$D$5,IF(int=Bi_Weekly,-$D$5,IF(int=Monthly,0,IF(int=Quarterly,0,IF(int=Yearly,0,IF(int=None,0,0))))))</f>
        <v>0</v>
      </c>
      <c r="G469" s="46"/>
      <c r="H469" s="46">
        <f t="shared" si="179"/>
        <v>-10950</v>
      </c>
      <c r="I469" s="47"/>
      <c r="J469" s="38">
        <f t="shared" si="166"/>
        <v>0</v>
      </c>
      <c r="K469" s="48"/>
      <c r="L469" s="48">
        <f t="shared" si="171"/>
        <v>397.62106546980982</v>
      </c>
      <c r="M469" s="48"/>
      <c r="N469" s="38">
        <f t="shared" si="172"/>
        <v>0</v>
      </c>
      <c r="O469" s="36">
        <f t="shared" si="173"/>
        <v>0</v>
      </c>
      <c r="P469" s="84">
        <f t="shared" si="174"/>
        <v>-13594.671486357973</v>
      </c>
      <c r="Q469" s="38">
        <f t="shared" si="175"/>
        <v>0</v>
      </c>
      <c r="R469" s="48">
        <f t="shared" si="176"/>
        <v>93.949062922336907</v>
      </c>
      <c r="S469" s="38">
        <f t="shared" si="167"/>
        <v>491.57012839214673</v>
      </c>
      <c r="T469" s="50">
        <f t="shared" si="180"/>
        <v>10950</v>
      </c>
      <c r="U469" s="40">
        <f t="shared" si="181"/>
        <v>12187.08565664967</v>
      </c>
      <c r="V469" s="41">
        <f t="shared" si="182"/>
        <v>0.11297585905476426</v>
      </c>
      <c r="W469" s="39">
        <f t="shared" si="183"/>
        <v>1237.0856566496695</v>
      </c>
      <c r="X469" s="50">
        <f t="shared" si="177"/>
        <v>2645.1402363742504</v>
      </c>
      <c r="Y469" s="41">
        <f t="shared" si="184"/>
        <v>0.35454117744510683</v>
      </c>
      <c r="Z469" s="52"/>
      <c r="AA469" s="50">
        <f t="shared" si="190"/>
        <v>13595.140236374249</v>
      </c>
      <c r="AB469" s="39">
        <f t="shared" si="191"/>
        <v>15066.624435219295</v>
      </c>
      <c r="AC469" s="39">
        <f t="shared" si="185"/>
        <v>1471.4841988450462</v>
      </c>
      <c r="AD469" s="41">
        <f t="shared" si="186"/>
        <v>0.1082360441496617</v>
      </c>
      <c r="AF469" s="46">
        <f t="shared" si="168"/>
        <v>0</v>
      </c>
      <c r="AG469" s="46">
        <f t="shared" si="187"/>
        <v>0</v>
      </c>
      <c r="AH469" s="54">
        <f t="shared" si="169"/>
        <v>3066</v>
      </c>
      <c r="AI469" s="55">
        <f t="shared" si="178"/>
        <v>0.51224944320712695</v>
      </c>
      <c r="AJ469" s="55">
        <f t="shared" si="188"/>
        <v>0</v>
      </c>
      <c r="AK469" s="55">
        <f t="shared" si="189"/>
        <v>0</v>
      </c>
    </row>
    <row r="470" spans="2:37" s="53" customFormat="1" ht="17.25" customHeight="1" x14ac:dyDescent="0.25">
      <c r="B470" s="91" t="str">
        <f t="shared" si="170"/>
        <v/>
      </c>
      <c r="C470" s="81">
        <f>IF(Sheet3!A441="","",Sheet3!A441)</f>
        <v>40700</v>
      </c>
      <c r="D470" s="82">
        <f>IF(C470="","",Sheet3!E441)</f>
        <v>30.34</v>
      </c>
      <c r="E470" s="56">
        <f>_xlfn.XLOOKUP(WEEKNUM(C470)&amp;YEAR(C470),Sheet4!C:C,Sheet4!B:B,0)</f>
        <v>0</v>
      </c>
      <c r="F470" s="46">
        <f>IF(int=Weekly,-$D$5,IF(int=Bi_Weekly,0,IF(int=Monthly,0,IF(int=Quarterly,0,IF(int=Yearly,0,IF(int=None,0,0))))))</f>
        <v>0</v>
      </c>
      <c r="G470" s="46"/>
      <c r="H470" s="46">
        <f t="shared" si="179"/>
        <v>-10950</v>
      </c>
      <c r="I470" s="47"/>
      <c r="J470" s="38">
        <f t="shared" si="166"/>
        <v>0</v>
      </c>
      <c r="K470" s="48"/>
      <c r="L470" s="48">
        <f t="shared" si="171"/>
        <v>397.62106546980982</v>
      </c>
      <c r="M470" s="48"/>
      <c r="N470" s="38">
        <f t="shared" si="172"/>
        <v>0</v>
      </c>
      <c r="O470" s="36">
        <f t="shared" si="173"/>
        <v>0</v>
      </c>
      <c r="P470" s="84">
        <f t="shared" si="174"/>
        <v>-13594.671486357973</v>
      </c>
      <c r="Q470" s="38">
        <f t="shared" si="175"/>
        <v>0</v>
      </c>
      <c r="R470" s="48">
        <f t="shared" si="176"/>
        <v>93.949062922336907</v>
      </c>
      <c r="S470" s="38">
        <f t="shared" si="167"/>
        <v>491.57012839214673</v>
      </c>
      <c r="T470" s="50">
        <f t="shared" si="180"/>
        <v>10950</v>
      </c>
      <c r="U470" s="40">
        <f t="shared" si="181"/>
        <v>12063.823126354029</v>
      </c>
      <c r="V470" s="41">
        <f t="shared" si="182"/>
        <v>0.10171900697297076</v>
      </c>
      <c r="W470" s="39">
        <f t="shared" si="183"/>
        <v>1113.8231263540292</v>
      </c>
      <c r="X470" s="50">
        <f t="shared" si="177"/>
        <v>2645.1402363742504</v>
      </c>
      <c r="Y470" s="41">
        <f t="shared" si="184"/>
        <v>0.34328432536331333</v>
      </c>
      <c r="Z470" s="52"/>
      <c r="AA470" s="50">
        <f t="shared" si="190"/>
        <v>13595.140236374249</v>
      </c>
      <c r="AB470" s="39">
        <f t="shared" si="191"/>
        <v>14914.237695417731</v>
      </c>
      <c r="AC470" s="39">
        <f t="shared" si="185"/>
        <v>1319.0974590434816</v>
      </c>
      <c r="AD470" s="41">
        <f t="shared" si="186"/>
        <v>9.7027131468213401E-2</v>
      </c>
      <c r="AF470" s="46">
        <f t="shared" si="168"/>
        <v>0</v>
      </c>
      <c r="AG470" s="46">
        <f t="shared" si="187"/>
        <v>0</v>
      </c>
      <c r="AH470" s="54">
        <f t="shared" si="169"/>
        <v>3073</v>
      </c>
      <c r="AI470" s="55">
        <f t="shared" si="178"/>
        <v>0.51113585746102452</v>
      </c>
      <c r="AJ470" s="55">
        <f t="shared" si="188"/>
        <v>0</v>
      </c>
      <c r="AK470" s="55">
        <f t="shared" si="189"/>
        <v>0</v>
      </c>
    </row>
    <row r="471" spans="2:37" s="53" customFormat="1" ht="17.25" customHeight="1" x14ac:dyDescent="0.25">
      <c r="B471" s="91" t="str">
        <f t="shared" si="170"/>
        <v/>
      </c>
      <c r="C471" s="81">
        <f>IF(Sheet3!A442="","",Sheet3!A442)</f>
        <v>40707</v>
      </c>
      <c r="D471" s="82">
        <f>IF(C471="","",Sheet3!E442)</f>
        <v>30.77</v>
      </c>
      <c r="E471" s="56">
        <f>_xlfn.XLOOKUP(WEEKNUM(C471)&amp;YEAR(C471),Sheet4!C:C,Sheet4!B:B,0)</f>
        <v>0</v>
      </c>
      <c r="F471" s="46">
        <f>IF(int=Weekly,-$D$5,IF(int=Bi_Weekly,-$D$5,IF(int=Monthly,-$D$5,IF(int=Quarterly,0,IF(int=Yearly,0,IF(int=None,0,0))))))</f>
        <v>-100</v>
      </c>
      <c r="G471" s="46"/>
      <c r="H471" s="46">
        <f t="shared" si="179"/>
        <v>-11050</v>
      </c>
      <c r="I471" s="47"/>
      <c r="J471" s="38">
        <f t="shared" si="166"/>
        <v>3.2499187520311992</v>
      </c>
      <c r="K471" s="48"/>
      <c r="L471" s="48">
        <f t="shared" si="171"/>
        <v>400.87098422184101</v>
      </c>
      <c r="M471" s="48"/>
      <c r="N471" s="38">
        <f t="shared" si="172"/>
        <v>0</v>
      </c>
      <c r="O471" s="36">
        <f t="shared" si="173"/>
        <v>0</v>
      </c>
      <c r="P471" s="84">
        <f t="shared" si="174"/>
        <v>-13694.671486357973</v>
      </c>
      <c r="Q471" s="38">
        <f t="shared" si="175"/>
        <v>0</v>
      </c>
      <c r="R471" s="48">
        <f t="shared" si="176"/>
        <v>93.949062922336907</v>
      </c>
      <c r="S471" s="38">
        <f t="shared" si="167"/>
        <v>494.82004714417792</v>
      </c>
      <c r="T471" s="50">
        <f t="shared" si="180"/>
        <v>11050</v>
      </c>
      <c r="U471" s="40">
        <f t="shared" si="181"/>
        <v>12334.800184506048</v>
      </c>
      <c r="V471" s="41">
        <f t="shared" si="182"/>
        <v>0.11627150991004953</v>
      </c>
      <c r="W471" s="39">
        <f t="shared" si="183"/>
        <v>1284.800184506048</v>
      </c>
      <c r="X471" s="50">
        <f t="shared" si="177"/>
        <v>2645.1402363742504</v>
      </c>
      <c r="Y471" s="41">
        <f t="shared" si="184"/>
        <v>0.35565071682174643</v>
      </c>
      <c r="Z471" s="52"/>
      <c r="AA471" s="50">
        <f t="shared" si="190"/>
        <v>13695.140236374249</v>
      </c>
      <c r="AB471" s="39">
        <f t="shared" si="191"/>
        <v>15225.612850626354</v>
      </c>
      <c r="AC471" s="39">
        <f t="shared" si="185"/>
        <v>1530.4726142521049</v>
      </c>
      <c r="AD471" s="41">
        <f t="shared" si="186"/>
        <v>0.11175297133410678</v>
      </c>
      <c r="AF471" s="46">
        <f t="shared" si="168"/>
        <v>-100</v>
      </c>
      <c r="AG471" s="46">
        <f t="shared" si="187"/>
        <v>-100</v>
      </c>
      <c r="AH471" s="54">
        <f t="shared" si="169"/>
        <v>3080</v>
      </c>
      <c r="AI471" s="55">
        <f t="shared" si="178"/>
        <v>0.51002227171492209</v>
      </c>
      <c r="AJ471" s="55">
        <f t="shared" si="188"/>
        <v>-51.002227171492208</v>
      </c>
      <c r="AK471" s="55">
        <f t="shared" si="189"/>
        <v>-51.002227171492208</v>
      </c>
    </row>
    <row r="472" spans="2:37" s="53" customFormat="1" ht="17.25" customHeight="1" x14ac:dyDescent="0.25">
      <c r="B472" s="91" t="str">
        <f t="shared" si="170"/>
        <v/>
      </c>
      <c r="C472" s="81">
        <f>IF(Sheet3!A443="","",Sheet3!A443)</f>
        <v>40714</v>
      </c>
      <c r="D472" s="82">
        <f>IF(C472="","",Sheet3!E443)</f>
        <v>30.440000999999999</v>
      </c>
      <c r="E472" s="56">
        <f>_xlfn.XLOOKUP(WEEKNUM(C472)&amp;YEAR(C472),Sheet4!C:C,Sheet4!B:B,0)</f>
        <v>0</v>
      </c>
      <c r="F472" s="46">
        <f>IF(int=Weekly,-$D$5,IF(int=Bi_Weekly,0,IF(int=Monthly,0,IF(int=Quarterly,0,IF(int=Yearly,0,IF(int=None,0,0))))))</f>
        <v>0</v>
      </c>
      <c r="G472" s="46"/>
      <c r="H472" s="46">
        <f t="shared" si="179"/>
        <v>-11050</v>
      </c>
      <c r="I472" s="47"/>
      <c r="J472" s="38">
        <f t="shared" si="166"/>
        <v>0</v>
      </c>
      <c r="K472" s="48"/>
      <c r="L472" s="48">
        <f t="shared" si="171"/>
        <v>400.87098422184101</v>
      </c>
      <c r="M472" s="48"/>
      <c r="N472" s="38">
        <f t="shared" si="172"/>
        <v>0</v>
      </c>
      <c r="O472" s="36">
        <f t="shared" si="173"/>
        <v>0</v>
      </c>
      <c r="P472" s="84">
        <f t="shared" si="174"/>
        <v>-13694.671486357973</v>
      </c>
      <c r="Q472" s="38">
        <f t="shared" si="175"/>
        <v>0</v>
      </c>
      <c r="R472" s="48">
        <f t="shared" si="176"/>
        <v>93.949062922336907</v>
      </c>
      <c r="S472" s="38">
        <f t="shared" si="167"/>
        <v>494.82004714417792</v>
      </c>
      <c r="T472" s="50">
        <f t="shared" si="180"/>
        <v>11050</v>
      </c>
      <c r="U472" s="40">
        <f t="shared" si="181"/>
        <v>12202.513160583823</v>
      </c>
      <c r="V472" s="41">
        <f t="shared" si="182"/>
        <v>0.10429983353699757</v>
      </c>
      <c r="W472" s="39">
        <f t="shared" si="183"/>
        <v>1152.5131605838233</v>
      </c>
      <c r="X472" s="50">
        <f t="shared" si="177"/>
        <v>2645.1402363742504</v>
      </c>
      <c r="Y472" s="41">
        <f t="shared" si="184"/>
        <v>0.34367904044869446</v>
      </c>
      <c r="Z472" s="52"/>
      <c r="AA472" s="50">
        <f t="shared" si="190"/>
        <v>13695.140236374249</v>
      </c>
      <c r="AB472" s="39">
        <f t="shared" si="191"/>
        <v>15062.322729888821</v>
      </c>
      <c r="AC472" s="39">
        <f t="shared" si="185"/>
        <v>1367.1824935145723</v>
      </c>
      <c r="AD472" s="41">
        <f t="shared" si="186"/>
        <v>9.9829754928930203E-2</v>
      </c>
      <c r="AF472" s="46">
        <f t="shared" si="168"/>
        <v>0</v>
      </c>
      <c r="AG472" s="46">
        <f t="shared" si="187"/>
        <v>0</v>
      </c>
      <c r="AH472" s="54">
        <f t="shared" si="169"/>
        <v>3087</v>
      </c>
      <c r="AI472" s="55">
        <f t="shared" si="178"/>
        <v>0.50890868596881955</v>
      </c>
      <c r="AJ472" s="55">
        <f t="shared" si="188"/>
        <v>0</v>
      </c>
      <c r="AK472" s="55">
        <f t="shared" si="189"/>
        <v>0</v>
      </c>
    </row>
    <row r="473" spans="2:37" s="53" customFormat="1" ht="17.25" customHeight="1" x14ac:dyDescent="0.25">
      <c r="B473" s="91" t="str">
        <f t="shared" si="170"/>
        <v/>
      </c>
      <c r="C473" s="81">
        <f>IF(Sheet3!A444="","",Sheet3!A444)</f>
        <v>40721</v>
      </c>
      <c r="D473" s="82">
        <f>IF(C473="","",Sheet3!E444)</f>
        <v>31.68</v>
      </c>
      <c r="E473" s="56">
        <f>_xlfn.XLOOKUP(WEEKNUM(C473)&amp;YEAR(C473),Sheet4!C:C,Sheet4!B:B,0)</f>
        <v>0</v>
      </c>
      <c r="F473" s="46">
        <f>IF(int=Weekly,-$D$5,IF(int=Bi_Weekly,-$D$5,IF(int=Monthly,0,IF(int=Quarterly,-$D$5,IF(int=Yearly,0,IF(int=None,0,0))))))</f>
        <v>0</v>
      </c>
      <c r="G473" s="46"/>
      <c r="H473" s="46">
        <f t="shared" si="179"/>
        <v>-11050</v>
      </c>
      <c r="I473" s="47"/>
      <c r="J473" s="38">
        <f t="shared" si="166"/>
        <v>0</v>
      </c>
      <c r="K473" s="48"/>
      <c r="L473" s="48">
        <f t="shared" si="171"/>
        <v>400.87098422184101</v>
      </c>
      <c r="M473" s="48"/>
      <c r="N473" s="38">
        <f t="shared" si="172"/>
        <v>0</v>
      </c>
      <c r="O473" s="36">
        <f t="shared" si="173"/>
        <v>0</v>
      </c>
      <c r="P473" s="84">
        <f t="shared" si="174"/>
        <v>-13694.671486357973</v>
      </c>
      <c r="Q473" s="38">
        <f t="shared" si="175"/>
        <v>0</v>
      </c>
      <c r="R473" s="48">
        <f t="shared" si="176"/>
        <v>93.949062922336907</v>
      </c>
      <c r="S473" s="38">
        <f t="shared" si="167"/>
        <v>494.82004714417792</v>
      </c>
      <c r="T473" s="50">
        <f t="shared" si="180"/>
        <v>11050</v>
      </c>
      <c r="U473" s="40">
        <f t="shared" si="181"/>
        <v>12699.592780147923</v>
      </c>
      <c r="V473" s="41">
        <f t="shared" si="182"/>
        <v>0.14928441449302476</v>
      </c>
      <c r="W473" s="39">
        <f t="shared" si="183"/>
        <v>1649.5927801479229</v>
      </c>
      <c r="X473" s="50">
        <f t="shared" si="177"/>
        <v>2645.1402363742504</v>
      </c>
      <c r="Y473" s="41">
        <f t="shared" si="184"/>
        <v>0.38866362140472166</v>
      </c>
      <c r="Z473" s="52"/>
      <c r="AA473" s="50">
        <f t="shared" si="190"/>
        <v>13695.140236374249</v>
      </c>
      <c r="AB473" s="39">
        <f t="shared" si="191"/>
        <v>15675.899093527556</v>
      </c>
      <c r="AC473" s="39">
        <f t="shared" si="185"/>
        <v>1980.758857153307</v>
      </c>
      <c r="AD473" s="41">
        <f t="shared" si="186"/>
        <v>0.14463224347950954</v>
      </c>
      <c r="AF473" s="46">
        <f t="shared" si="168"/>
        <v>0</v>
      </c>
      <c r="AG473" s="46">
        <f t="shared" si="187"/>
        <v>0</v>
      </c>
      <c r="AH473" s="54">
        <f t="shared" si="169"/>
        <v>3094</v>
      </c>
      <c r="AI473" s="55">
        <f t="shared" si="178"/>
        <v>0.50779510022271712</v>
      </c>
      <c r="AJ473" s="55">
        <f t="shared" si="188"/>
        <v>0</v>
      </c>
      <c r="AK473" s="55">
        <f t="shared" si="189"/>
        <v>0</v>
      </c>
    </row>
    <row r="474" spans="2:37" s="53" customFormat="1" ht="17.25" customHeight="1" x14ac:dyDescent="0.25">
      <c r="B474" s="91" t="str">
        <f t="shared" si="170"/>
        <v/>
      </c>
      <c r="C474" s="81">
        <f>IF(Sheet3!A445="","",Sheet3!A445)</f>
        <v>40728</v>
      </c>
      <c r="D474" s="82">
        <f>IF(C474="","",Sheet3!E445)</f>
        <v>31.139999</v>
      </c>
      <c r="E474" s="56">
        <f>_xlfn.XLOOKUP(WEEKNUM(C474)&amp;YEAR(C474),Sheet4!C:C,Sheet4!B:B,0)</f>
        <v>0.43</v>
      </c>
      <c r="F474" s="46">
        <f>IF(int=Weekly,-$D$5,IF(int=Bi_Weekly,0,IF(int=Monthly,0,IF(int=Quarterly,0,IF(int=Yearly,0,IF(int=None,0,0))))))</f>
        <v>0</v>
      </c>
      <c r="G474" s="46"/>
      <c r="H474" s="46">
        <f t="shared" si="179"/>
        <v>-11050</v>
      </c>
      <c r="I474" s="47"/>
      <c r="J474" s="38">
        <f t="shared" si="166"/>
        <v>0</v>
      </c>
      <c r="K474" s="48"/>
      <c r="L474" s="48">
        <f t="shared" si="171"/>
        <v>400.87098422184101</v>
      </c>
      <c r="M474" s="48"/>
      <c r="N474" s="38">
        <f t="shared" si="172"/>
        <v>172.37452321539163</v>
      </c>
      <c r="O474" s="36">
        <f t="shared" si="173"/>
        <v>-172.37452321539163</v>
      </c>
      <c r="P474" s="84">
        <f t="shared" si="174"/>
        <v>-13867.046009573365</v>
      </c>
      <c r="Q474" s="38">
        <f t="shared" si="175"/>
        <v>5.5354697736307452</v>
      </c>
      <c r="R474" s="48">
        <f t="shared" si="176"/>
        <v>99.484532695967658</v>
      </c>
      <c r="S474" s="38">
        <f t="shared" si="167"/>
        <v>500.3555169178087</v>
      </c>
      <c r="T474" s="50">
        <f t="shared" si="180"/>
        <v>11050</v>
      </c>
      <c r="U474" s="40">
        <f t="shared" si="181"/>
        <v>12483.122047797146</v>
      </c>
      <c r="V474" s="41">
        <f t="shared" si="182"/>
        <v>0.1296943029680675</v>
      </c>
      <c r="W474" s="39">
        <f t="shared" si="183"/>
        <v>1433.1220477971456</v>
      </c>
      <c r="X474" s="50">
        <f t="shared" si="177"/>
        <v>2817.5147595896419</v>
      </c>
      <c r="Y474" s="41">
        <f t="shared" si="184"/>
        <v>0.38467301424314826</v>
      </c>
      <c r="Z474" s="52"/>
      <c r="AA474" s="50">
        <f t="shared" si="190"/>
        <v>13867.514759589641</v>
      </c>
      <c r="AB474" s="39">
        <f t="shared" si="191"/>
        <v>15581.070296465046</v>
      </c>
      <c r="AC474" s="39">
        <f t="shared" si="185"/>
        <v>1713.5555368754049</v>
      </c>
      <c r="AD474" s="41">
        <f t="shared" si="186"/>
        <v>0.12356615922766179</v>
      </c>
      <c r="AF474" s="46">
        <f t="shared" si="168"/>
        <v>172.37452321539163</v>
      </c>
      <c r="AG474" s="46">
        <f t="shared" si="187"/>
        <v>0</v>
      </c>
      <c r="AH474" s="54">
        <f t="shared" si="169"/>
        <v>3101</v>
      </c>
      <c r="AI474" s="55">
        <f t="shared" si="178"/>
        <v>0.50668151447661469</v>
      </c>
      <c r="AJ474" s="55">
        <f t="shared" si="188"/>
        <v>87.338984479959009</v>
      </c>
      <c r="AK474" s="55">
        <f t="shared" si="189"/>
        <v>0</v>
      </c>
    </row>
    <row r="475" spans="2:37" s="53" customFormat="1" ht="17.25" customHeight="1" x14ac:dyDescent="0.25">
      <c r="B475" s="91" t="str">
        <f t="shared" si="170"/>
        <v/>
      </c>
      <c r="C475" s="81">
        <f>IF(Sheet3!A446="","",Sheet3!A446)</f>
        <v>40735</v>
      </c>
      <c r="D475" s="82">
        <f>IF(C475="","",Sheet3!E446)</f>
        <v>30.309999000000001</v>
      </c>
      <c r="E475" s="56">
        <f>_xlfn.XLOOKUP(WEEKNUM(C475)&amp;YEAR(C475),Sheet4!C:C,Sheet4!B:B,0)</f>
        <v>0</v>
      </c>
      <c r="F475" s="46">
        <f>IF(int=Weekly,-$D$5,IF(int=Bi_Weekly,-$D$5,IF(int=Monthly,-$D$5,IF(int=Quarterly,0,IF(int=Yearly,0,IF(int=None,0,0))))))</f>
        <v>-100</v>
      </c>
      <c r="G475" s="46"/>
      <c r="H475" s="46">
        <f t="shared" si="179"/>
        <v>-11150</v>
      </c>
      <c r="I475" s="47"/>
      <c r="J475" s="38">
        <f t="shared" si="166"/>
        <v>3.2992412833797848</v>
      </c>
      <c r="K475" s="48"/>
      <c r="L475" s="48">
        <f t="shared" si="171"/>
        <v>404.1702255052208</v>
      </c>
      <c r="M475" s="48"/>
      <c r="N475" s="38">
        <f t="shared" si="172"/>
        <v>0</v>
      </c>
      <c r="O475" s="36">
        <f t="shared" si="173"/>
        <v>0</v>
      </c>
      <c r="P475" s="84">
        <f t="shared" si="174"/>
        <v>-13967.046009573365</v>
      </c>
      <c r="Q475" s="38">
        <f t="shared" si="175"/>
        <v>0</v>
      </c>
      <c r="R475" s="48">
        <f t="shared" si="176"/>
        <v>99.484532695967658</v>
      </c>
      <c r="S475" s="38">
        <f t="shared" si="167"/>
        <v>503.65475820118843</v>
      </c>
      <c r="T475" s="50">
        <f t="shared" si="180"/>
        <v>11150</v>
      </c>
      <c r="U475" s="40">
        <f t="shared" si="181"/>
        <v>12250.399130893018</v>
      </c>
      <c r="V475" s="41">
        <f t="shared" si="182"/>
        <v>9.8690505012826835E-2</v>
      </c>
      <c r="W475" s="39">
        <f t="shared" si="183"/>
        <v>1100.3991308930181</v>
      </c>
      <c r="X475" s="50">
        <f t="shared" si="177"/>
        <v>2817.5147595896419</v>
      </c>
      <c r="Y475" s="41">
        <f t="shared" si="184"/>
        <v>0.35138241170248063</v>
      </c>
      <c r="Z475" s="52"/>
      <c r="AA475" s="50">
        <f t="shared" si="190"/>
        <v>13967.514759589641</v>
      </c>
      <c r="AB475" s="39">
        <f t="shared" si="191"/>
        <v>15265.775217423265</v>
      </c>
      <c r="AC475" s="39">
        <f t="shared" si="185"/>
        <v>1298.2604578336231</v>
      </c>
      <c r="AD475" s="41">
        <f t="shared" si="186"/>
        <v>9.2948565308819786E-2</v>
      </c>
      <c r="AF475" s="46">
        <f t="shared" si="168"/>
        <v>-100</v>
      </c>
      <c r="AG475" s="46">
        <f t="shared" si="187"/>
        <v>-100</v>
      </c>
      <c r="AH475" s="54">
        <f t="shared" si="169"/>
        <v>3108</v>
      </c>
      <c r="AI475" s="55">
        <f t="shared" si="178"/>
        <v>0.50556792873051226</v>
      </c>
      <c r="AJ475" s="55">
        <f t="shared" si="188"/>
        <v>-50.556792873051229</v>
      </c>
      <c r="AK475" s="55">
        <f t="shared" si="189"/>
        <v>-50.556792873051229</v>
      </c>
    </row>
    <row r="476" spans="2:37" s="53" customFormat="1" ht="17.25" customHeight="1" x14ac:dyDescent="0.25">
      <c r="B476" s="91" t="str">
        <f t="shared" si="170"/>
        <v/>
      </c>
      <c r="C476" s="81">
        <f>IF(Sheet3!A447="","",Sheet3!A447)</f>
        <v>40742</v>
      </c>
      <c r="D476" s="82">
        <f>IF(C476="","",Sheet3!E447)</f>
        <v>30.32</v>
      </c>
      <c r="E476" s="56">
        <f>_xlfn.XLOOKUP(WEEKNUM(C476)&amp;YEAR(C476),Sheet4!C:C,Sheet4!B:B,0)</f>
        <v>0</v>
      </c>
      <c r="F476" s="46">
        <f>IF(int=Weekly,-$D$5,IF(int=Bi_Weekly,0,IF(int=Monthly,0,IF(int=Quarterly,0,IF(int=Yearly,0,IF(int=None,0,0))))))</f>
        <v>0</v>
      </c>
      <c r="G476" s="46"/>
      <c r="H476" s="46">
        <f t="shared" si="179"/>
        <v>-11150</v>
      </c>
      <c r="I476" s="47"/>
      <c r="J476" s="38">
        <f t="shared" si="166"/>
        <v>0</v>
      </c>
      <c r="K476" s="48"/>
      <c r="L476" s="48">
        <f t="shared" si="171"/>
        <v>404.1702255052208</v>
      </c>
      <c r="M476" s="48"/>
      <c r="N476" s="38">
        <f t="shared" si="172"/>
        <v>0</v>
      </c>
      <c r="O476" s="36">
        <f t="shared" si="173"/>
        <v>0</v>
      </c>
      <c r="P476" s="84">
        <f t="shared" si="174"/>
        <v>-13967.046009573365</v>
      </c>
      <c r="Q476" s="38">
        <f t="shared" si="175"/>
        <v>0</v>
      </c>
      <c r="R476" s="48">
        <f t="shared" si="176"/>
        <v>99.484532695967658</v>
      </c>
      <c r="S476" s="38">
        <f t="shared" si="167"/>
        <v>503.65475820118843</v>
      </c>
      <c r="T476" s="50">
        <f t="shared" si="180"/>
        <v>11150</v>
      </c>
      <c r="U476" s="40">
        <f t="shared" si="181"/>
        <v>12254.441237318295</v>
      </c>
      <c r="V476" s="41">
        <f t="shared" si="182"/>
        <v>9.9053025768456981E-2</v>
      </c>
      <c r="W476" s="39">
        <f t="shared" si="183"/>
        <v>1104.441237318295</v>
      </c>
      <c r="X476" s="50">
        <f t="shared" si="177"/>
        <v>2817.5147595896419</v>
      </c>
      <c r="Y476" s="41">
        <f t="shared" si="184"/>
        <v>0.35174493245811078</v>
      </c>
      <c r="Z476" s="52"/>
      <c r="AA476" s="50">
        <f t="shared" si="190"/>
        <v>13967.514759589641</v>
      </c>
      <c r="AB476" s="39">
        <f t="shared" si="191"/>
        <v>15270.812268660035</v>
      </c>
      <c r="AC476" s="39">
        <f t="shared" si="185"/>
        <v>1303.2975090703931</v>
      </c>
      <c r="AD476" s="41">
        <f t="shared" si="186"/>
        <v>9.3309191470557939E-2</v>
      </c>
      <c r="AF476" s="46">
        <f t="shared" si="168"/>
        <v>0</v>
      </c>
      <c r="AG476" s="46">
        <f t="shared" si="187"/>
        <v>0</v>
      </c>
      <c r="AH476" s="54">
        <f t="shared" si="169"/>
        <v>3115</v>
      </c>
      <c r="AI476" s="55">
        <f t="shared" si="178"/>
        <v>0.50445434298440983</v>
      </c>
      <c r="AJ476" s="55">
        <f t="shared" si="188"/>
        <v>0</v>
      </c>
      <c r="AK476" s="55">
        <f t="shared" si="189"/>
        <v>0</v>
      </c>
    </row>
    <row r="477" spans="2:37" s="53" customFormat="1" ht="17.25" customHeight="1" x14ac:dyDescent="0.25">
      <c r="B477" s="91" t="str">
        <f t="shared" si="170"/>
        <v/>
      </c>
      <c r="C477" s="81">
        <f>IF(Sheet3!A448="","",Sheet3!A448)</f>
        <v>40749</v>
      </c>
      <c r="D477" s="82">
        <f>IF(C477="","",Sheet3!E448)</f>
        <v>29.26</v>
      </c>
      <c r="E477" s="56">
        <f>_xlfn.XLOOKUP(WEEKNUM(C477)&amp;YEAR(C477),Sheet4!C:C,Sheet4!B:B,0)</f>
        <v>0</v>
      </c>
      <c r="F477" s="46">
        <f>IF(int=Weekly,-$D$5,IF(int=Bi_Weekly,-$D$5,IF(int=Monthly,0,IF(int=Quarterly,0,IF(int=Yearly,0,IF(int=None,0,0))))))</f>
        <v>0</v>
      </c>
      <c r="G477" s="46"/>
      <c r="H477" s="46">
        <f t="shared" si="179"/>
        <v>-11150</v>
      </c>
      <c r="I477" s="47"/>
      <c r="J477" s="38">
        <f t="shared" si="166"/>
        <v>0</v>
      </c>
      <c r="K477" s="48"/>
      <c r="L477" s="48">
        <f t="shared" si="171"/>
        <v>404.1702255052208</v>
      </c>
      <c r="M477" s="48"/>
      <c r="N477" s="38">
        <f t="shared" si="172"/>
        <v>0</v>
      </c>
      <c r="O477" s="36">
        <f t="shared" si="173"/>
        <v>0</v>
      </c>
      <c r="P477" s="84">
        <f t="shared" si="174"/>
        <v>-13967.046009573365</v>
      </c>
      <c r="Q477" s="38">
        <f t="shared" si="175"/>
        <v>0</v>
      </c>
      <c r="R477" s="48">
        <f t="shared" si="176"/>
        <v>99.484532695967658</v>
      </c>
      <c r="S477" s="38">
        <f t="shared" si="167"/>
        <v>503.65475820118843</v>
      </c>
      <c r="T477" s="50">
        <f t="shared" si="180"/>
        <v>11150</v>
      </c>
      <c r="U477" s="40">
        <f t="shared" si="181"/>
        <v>11826.020798282761</v>
      </c>
      <c r="V477" s="41">
        <f t="shared" si="182"/>
        <v>6.0629668007422532E-2</v>
      </c>
      <c r="W477" s="39">
        <f t="shared" si="183"/>
        <v>676.02079828276146</v>
      </c>
      <c r="X477" s="50">
        <f t="shared" si="177"/>
        <v>2817.5147595896419</v>
      </c>
      <c r="Y477" s="41">
        <f t="shared" si="184"/>
        <v>0.31332157469707655</v>
      </c>
      <c r="Z477" s="52"/>
      <c r="AA477" s="50">
        <f t="shared" si="190"/>
        <v>13967.514759589641</v>
      </c>
      <c r="AB477" s="39">
        <f t="shared" si="191"/>
        <v>14736.938224966776</v>
      </c>
      <c r="AC477" s="39">
        <f t="shared" si="185"/>
        <v>769.42346537713456</v>
      </c>
      <c r="AD477" s="41">
        <f t="shared" si="186"/>
        <v>5.508664058141588E-2</v>
      </c>
      <c r="AF477" s="46">
        <f t="shared" si="168"/>
        <v>0</v>
      </c>
      <c r="AG477" s="46">
        <f t="shared" si="187"/>
        <v>0</v>
      </c>
      <c r="AH477" s="54">
        <f t="shared" si="169"/>
        <v>3122</v>
      </c>
      <c r="AI477" s="55">
        <f t="shared" si="178"/>
        <v>0.5033407572383074</v>
      </c>
      <c r="AJ477" s="55">
        <f t="shared" si="188"/>
        <v>0</v>
      </c>
      <c r="AK477" s="55">
        <f t="shared" si="189"/>
        <v>0</v>
      </c>
    </row>
    <row r="478" spans="2:37" s="53" customFormat="1" ht="17.25" customHeight="1" x14ac:dyDescent="0.25">
      <c r="B478" s="91" t="str">
        <f t="shared" si="170"/>
        <v/>
      </c>
      <c r="C478" s="81">
        <f>IF(Sheet3!A449="","",Sheet3!A449)</f>
        <v>40756</v>
      </c>
      <c r="D478" s="82">
        <f>IF(C478="","",Sheet3!E449)</f>
        <v>28.93</v>
      </c>
      <c r="E478" s="56">
        <f>_xlfn.XLOOKUP(WEEKNUM(C478)&amp;YEAR(C478),Sheet4!C:C,Sheet4!B:B,0)</f>
        <v>0</v>
      </c>
      <c r="F478" s="46">
        <f>IF(int=Weekly,-$D$5,IF(int=Bi_Weekly,0,IF(int=Monthly,0,IF(int=Quarterly,0,IF(int=Yearly,0,IF(int=None,0,0))))))</f>
        <v>0</v>
      </c>
      <c r="G478" s="46"/>
      <c r="H478" s="46">
        <f t="shared" si="179"/>
        <v>-11150</v>
      </c>
      <c r="I478" s="47"/>
      <c r="J478" s="38">
        <f t="shared" si="166"/>
        <v>0</v>
      </c>
      <c r="K478" s="48"/>
      <c r="L478" s="48">
        <f t="shared" si="171"/>
        <v>404.1702255052208</v>
      </c>
      <c r="M478" s="48"/>
      <c r="N478" s="38">
        <f t="shared" si="172"/>
        <v>0</v>
      </c>
      <c r="O478" s="36">
        <f t="shared" si="173"/>
        <v>0</v>
      </c>
      <c r="P478" s="84">
        <f t="shared" si="174"/>
        <v>-13967.046009573365</v>
      </c>
      <c r="Q478" s="38">
        <f t="shared" si="175"/>
        <v>0</v>
      </c>
      <c r="R478" s="48">
        <f t="shared" si="176"/>
        <v>99.484532695967658</v>
      </c>
      <c r="S478" s="38">
        <f t="shared" si="167"/>
        <v>503.65475820118843</v>
      </c>
      <c r="T478" s="50">
        <f t="shared" si="180"/>
        <v>11150</v>
      </c>
      <c r="U478" s="40">
        <f t="shared" si="181"/>
        <v>11692.644623866037</v>
      </c>
      <c r="V478" s="41">
        <f t="shared" si="182"/>
        <v>4.8667679270496533E-2</v>
      </c>
      <c r="W478" s="39">
        <f t="shared" si="183"/>
        <v>542.64462386603736</v>
      </c>
      <c r="X478" s="50">
        <f t="shared" si="177"/>
        <v>2817.5147595896419</v>
      </c>
      <c r="Y478" s="41">
        <f t="shared" si="184"/>
        <v>0.30135958596015056</v>
      </c>
      <c r="Z478" s="52"/>
      <c r="AA478" s="50">
        <f t="shared" si="190"/>
        <v>13967.514759589641</v>
      </c>
      <c r="AB478" s="39">
        <f t="shared" si="191"/>
        <v>14570.732154760382</v>
      </c>
      <c r="AC478" s="39">
        <f t="shared" si="185"/>
        <v>603.21739517074093</v>
      </c>
      <c r="AD478" s="41">
        <f t="shared" si="186"/>
        <v>4.31871671913997E-2</v>
      </c>
      <c r="AF478" s="46">
        <f t="shared" si="168"/>
        <v>0</v>
      </c>
      <c r="AG478" s="46">
        <f t="shared" si="187"/>
        <v>0</v>
      </c>
      <c r="AH478" s="54">
        <f t="shared" si="169"/>
        <v>3129</v>
      </c>
      <c r="AI478" s="55">
        <f t="shared" si="178"/>
        <v>0.50222717149220486</v>
      </c>
      <c r="AJ478" s="55">
        <f t="shared" si="188"/>
        <v>0</v>
      </c>
      <c r="AK478" s="55">
        <f t="shared" si="189"/>
        <v>0</v>
      </c>
    </row>
    <row r="479" spans="2:37" s="53" customFormat="1" ht="17.25" customHeight="1" x14ac:dyDescent="0.25">
      <c r="B479" s="91" t="str">
        <f t="shared" si="170"/>
        <v/>
      </c>
      <c r="C479" s="81">
        <f>IF(Sheet3!A450="","",Sheet3!A450)</f>
        <v>40763</v>
      </c>
      <c r="D479" s="82">
        <f>IF(C479="","",Sheet3!E450)</f>
        <v>28.219999000000001</v>
      </c>
      <c r="E479" s="56">
        <f>_xlfn.XLOOKUP(WEEKNUM(C479)&amp;YEAR(C479),Sheet4!C:C,Sheet4!B:B,0)</f>
        <v>0</v>
      </c>
      <c r="F479" s="46">
        <f>IF(int=Weekly,-$D$5,IF(int=Bi_Weekly,-$D$5,IF(int=Monthly,-$D$5,IF(int=Quarterly,0,IF(int=Yearly,0,IF(int=None,0,0))))))</f>
        <v>-100</v>
      </c>
      <c r="G479" s="46"/>
      <c r="H479" s="46">
        <f t="shared" si="179"/>
        <v>-11250</v>
      </c>
      <c r="I479" s="47"/>
      <c r="J479" s="38">
        <f t="shared" ref="J479:J542" si="192">IF(D$24=0,"",ABS($F479*D$24)/D479)</f>
        <v>3.5435862347124814</v>
      </c>
      <c r="K479" s="48"/>
      <c r="L479" s="48">
        <f t="shared" si="171"/>
        <v>407.71381173993331</v>
      </c>
      <c r="M479" s="48"/>
      <c r="N479" s="38">
        <f t="shared" si="172"/>
        <v>0</v>
      </c>
      <c r="O479" s="36">
        <f t="shared" si="173"/>
        <v>0</v>
      </c>
      <c r="P479" s="84">
        <f t="shared" si="174"/>
        <v>-14067.046009573365</v>
      </c>
      <c r="Q479" s="38">
        <f t="shared" si="175"/>
        <v>0</v>
      </c>
      <c r="R479" s="48">
        <f t="shared" si="176"/>
        <v>99.484532695967658</v>
      </c>
      <c r="S479" s="38">
        <f t="shared" ref="S479:S542" si="193">IF(D479=0,"",L479+R479)</f>
        <v>507.19834443590094</v>
      </c>
      <c r="T479" s="50">
        <f t="shared" si="180"/>
        <v>11250</v>
      </c>
      <c r="U479" s="40">
        <f t="shared" si="181"/>
        <v>11505.683359587107</v>
      </c>
      <c r="V479" s="41">
        <f t="shared" si="182"/>
        <v>2.2727409741076121E-2</v>
      </c>
      <c r="W479" s="39">
        <f t="shared" si="183"/>
        <v>255.68335958710668</v>
      </c>
      <c r="X479" s="50">
        <f t="shared" si="177"/>
        <v>2817.5147595896419</v>
      </c>
      <c r="Y479" s="41">
        <f t="shared" si="184"/>
        <v>0.27317316614904419</v>
      </c>
      <c r="Z479" s="52"/>
      <c r="AA479" s="50">
        <f t="shared" si="190"/>
        <v>14067.514759589641</v>
      </c>
      <c r="AB479" s="39">
        <f t="shared" si="191"/>
        <v>14313.136772782782</v>
      </c>
      <c r="AC479" s="39">
        <f t="shared" si="185"/>
        <v>245.62201319314045</v>
      </c>
      <c r="AD479" s="41">
        <f t="shared" si="186"/>
        <v>1.746022786474799E-2</v>
      </c>
      <c r="AF479" s="46">
        <f t="shared" ref="AF479:AF542" si="194">F479+ABS(O479)</f>
        <v>-100</v>
      </c>
      <c r="AG479" s="46">
        <f t="shared" si="187"/>
        <v>-100</v>
      </c>
      <c r="AH479" s="54">
        <f t="shared" ref="AH479:AH542" si="195">DATEDIF($C$31,C479,"d")</f>
        <v>3136</v>
      </c>
      <c r="AI479" s="55">
        <f t="shared" si="178"/>
        <v>0.50111358574610243</v>
      </c>
      <c r="AJ479" s="55">
        <f t="shared" si="188"/>
        <v>-50.111358574610243</v>
      </c>
      <c r="AK479" s="55">
        <f t="shared" si="189"/>
        <v>-50.111358574610243</v>
      </c>
    </row>
    <row r="480" spans="2:37" s="53" customFormat="1" ht="17.25" customHeight="1" x14ac:dyDescent="0.25">
      <c r="B480" s="91" t="str">
        <f t="shared" ref="B480:B543" si="196">IF(C479="","",IF(C$30&lt;C480,"",B479+1))</f>
        <v/>
      </c>
      <c r="C480" s="81">
        <f>IF(Sheet3!A451="","",Sheet3!A451)</f>
        <v>40770</v>
      </c>
      <c r="D480" s="82">
        <f>IF(C480="","",Sheet3!E451)</f>
        <v>27.99</v>
      </c>
      <c r="E480" s="56">
        <f>_xlfn.XLOOKUP(WEEKNUM(C480)&amp;YEAR(C480),Sheet4!C:C,Sheet4!B:B,0)</f>
        <v>0</v>
      </c>
      <c r="F480" s="46">
        <f>IF(int=Weekly,-$D$5,IF(int=Bi_Weekly,0,IF(int=Monthly,0,IF(int=Quarterly,0,IF(int=Yearly,0,IF(int=None,0,0))))))</f>
        <v>0</v>
      </c>
      <c r="G480" s="46"/>
      <c r="H480" s="46">
        <f t="shared" si="179"/>
        <v>-11250</v>
      </c>
      <c r="I480" s="47"/>
      <c r="J480" s="38">
        <f t="shared" si="192"/>
        <v>0</v>
      </c>
      <c r="K480" s="48"/>
      <c r="L480" s="48">
        <f t="shared" ref="L480:L543" si="197">IF(D480=0,"",L479+J480)</f>
        <v>407.71381173993331</v>
      </c>
      <c r="M480" s="48"/>
      <c r="N480" s="38">
        <f t="shared" ref="N480:N543" si="198">IF(D480=0,"",L480*E480)</f>
        <v>0</v>
      </c>
      <c r="O480" s="36">
        <f t="shared" ref="O480:O543" si="199">-(IF(D480=0,"",N480))</f>
        <v>0</v>
      </c>
      <c r="P480" s="84">
        <f t="shared" ref="P480:P543" si="200">P479+F480+O480</f>
        <v>-14067.046009573365</v>
      </c>
      <c r="Q480" s="38">
        <f t="shared" ref="Q480:Q543" si="201">IF(D480=0,"",ABS($O480)/D480)</f>
        <v>0</v>
      </c>
      <c r="R480" s="48">
        <f t="shared" ref="R480:R543" si="202">IF(D480=0,"",Q480+R479)</f>
        <v>99.484532695967658</v>
      </c>
      <c r="S480" s="38">
        <f t="shared" si="193"/>
        <v>507.19834443590094</v>
      </c>
      <c r="T480" s="50">
        <f t="shared" si="180"/>
        <v>11250</v>
      </c>
      <c r="U480" s="40">
        <f t="shared" si="181"/>
        <v>11411.909590600733</v>
      </c>
      <c r="V480" s="41">
        <f t="shared" si="182"/>
        <v>1.4391963608954006E-2</v>
      </c>
      <c r="W480" s="39">
        <f t="shared" si="183"/>
        <v>161.90959060073328</v>
      </c>
      <c r="X480" s="50">
        <f t="shared" ref="X480:X543" si="203">ABS(O480)+X479</f>
        <v>2817.5147595896419</v>
      </c>
      <c r="Y480" s="41">
        <f t="shared" si="184"/>
        <v>0.2648377200169223</v>
      </c>
      <c r="Z480" s="52"/>
      <c r="AA480" s="50">
        <f t="shared" si="190"/>
        <v>14067.514759589641</v>
      </c>
      <c r="AB480" s="39">
        <f t="shared" si="191"/>
        <v>14196.481660760868</v>
      </c>
      <c r="AC480" s="39">
        <f t="shared" si="185"/>
        <v>128.96690117122671</v>
      </c>
      <c r="AD480" s="41">
        <f t="shared" si="186"/>
        <v>9.1677103863219145E-3</v>
      </c>
      <c r="AF480" s="46">
        <f t="shared" si="194"/>
        <v>0</v>
      </c>
      <c r="AG480" s="46">
        <f t="shared" si="187"/>
        <v>0</v>
      </c>
      <c r="AH480" s="54">
        <f t="shared" si="195"/>
        <v>3143</v>
      </c>
      <c r="AI480" s="55">
        <f t="shared" ref="AI480:AI543" si="204">(AH$30-AH480)/AH$30</f>
        <v>0.5</v>
      </c>
      <c r="AJ480" s="55">
        <f t="shared" si="188"/>
        <v>0</v>
      </c>
      <c r="AK480" s="55">
        <f t="shared" si="189"/>
        <v>0</v>
      </c>
    </row>
    <row r="481" spans="2:37" s="53" customFormat="1" ht="17.25" customHeight="1" x14ac:dyDescent="0.25">
      <c r="B481" s="91" t="str">
        <f t="shared" si="196"/>
        <v/>
      </c>
      <c r="C481" s="81">
        <f>IF(Sheet3!A452="","",Sheet3!A452)</f>
        <v>40777</v>
      </c>
      <c r="D481" s="82">
        <f>IF(C481="","",Sheet3!E452)</f>
        <v>29.040001</v>
      </c>
      <c r="E481" s="56">
        <f>_xlfn.XLOOKUP(WEEKNUM(C481)&amp;YEAR(C481),Sheet4!C:C,Sheet4!B:B,0)</f>
        <v>0</v>
      </c>
      <c r="F481" s="46">
        <f>IF(int=Weekly,-$D$5,IF(int=Bi_Weekly,-$D$5,IF(int=Monthly,0,IF(int=Quarterly,0,IF(int=Yearly,0,IF(int=None,0,0))))))</f>
        <v>0</v>
      </c>
      <c r="G481" s="46"/>
      <c r="H481" s="46">
        <f t="shared" ref="H481:H544" si="205">H480+F481</f>
        <v>-11250</v>
      </c>
      <c r="I481" s="47"/>
      <c r="J481" s="38">
        <f t="shared" si="192"/>
        <v>0</v>
      </c>
      <c r="K481" s="48"/>
      <c r="L481" s="48">
        <f t="shared" si="197"/>
        <v>407.71381173993331</v>
      </c>
      <c r="M481" s="48"/>
      <c r="N481" s="38">
        <f t="shared" si="198"/>
        <v>0</v>
      </c>
      <c r="O481" s="36">
        <f t="shared" si="199"/>
        <v>0</v>
      </c>
      <c r="P481" s="84">
        <f t="shared" si="200"/>
        <v>-14067.046009573365</v>
      </c>
      <c r="Q481" s="38">
        <f t="shared" si="201"/>
        <v>0</v>
      </c>
      <c r="R481" s="48">
        <f t="shared" si="202"/>
        <v>99.484532695967658</v>
      </c>
      <c r="S481" s="38">
        <f t="shared" si="193"/>
        <v>507.19834443590094</v>
      </c>
      <c r="T481" s="50">
        <f t="shared" ref="T481:T544" si="206">IF(D481=0,"",D481*J481)+T480</f>
        <v>11250</v>
      </c>
      <c r="U481" s="40">
        <f t="shared" ref="U481:U544" si="207">IF(D481=0,"",L481*D481)</f>
        <v>11840.009500641476</v>
      </c>
      <c r="V481" s="41">
        <f t="shared" ref="V481:V544" si="208">(U481/T481)-1</f>
        <v>5.2445288945909052E-2</v>
      </c>
      <c r="W481" s="39">
        <f t="shared" ref="W481:W544" si="209">U481-T481</f>
        <v>590.00950064147582</v>
      </c>
      <c r="X481" s="50">
        <f t="shared" si="203"/>
        <v>2817.5147595896419</v>
      </c>
      <c r="Y481" s="41">
        <f t="shared" ref="Y481:Y544" si="210">((U481+X481)/T481)-1</f>
        <v>0.30289104535387712</v>
      </c>
      <c r="Z481" s="52"/>
      <c r="AA481" s="50">
        <f t="shared" si="190"/>
        <v>14067.514759589641</v>
      </c>
      <c r="AB481" s="39">
        <f t="shared" si="191"/>
        <v>14729.040429616909</v>
      </c>
      <c r="AC481" s="39">
        <f t="shared" ref="AC481:AC544" si="211">AB481-AA481</f>
        <v>661.52567002726755</v>
      </c>
      <c r="AD481" s="41">
        <f t="shared" ref="AD481:AD544" si="212">(AB481/AA481)-1</f>
        <v>4.7025056048106473E-2</v>
      </c>
      <c r="AF481" s="46">
        <f t="shared" si="194"/>
        <v>0</v>
      </c>
      <c r="AG481" s="46">
        <f t="shared" ref="AG481:AG544" si="213">F481</f>
        <v>0</v>
      </c>
      <c r="AH481" s="54">
        <f t="shared" si="195"/>
        <v>3150</v>
      </c>
      <c r="AI481" s="55">
        <f t="shared" si="204"/>
        <v>0.49888641425389757</v>
      </c>
      <c r="AJ481" s="55">
        <f t="shared" ref="AJ481:AJ544" si="214">AI481*AF481</f>
        <v>0</v>
      </c>
      <c r="AK481" s="55">
        <f t="shared" ref="AK481:AK544" si="215">$AI481*AG481</f>
        <v>0</v>
      </c>
    </row>
    <row r="482" spans="2:37" s="53" customFormat="1" ht="17.25" customHeight="1" x14ac:dyDescent="0.25">
      <c r="B482" s="91" t="str">
        <f t="shared" si="196"/>
        <v/>
      </c>
      <c r="C482" s="81">
        <f>IF(Sheet3!A453="","",Sheet3!A453)</f>
        <v>40784</v>
      </c>
      <c r="D482" s="82">
        <f>IF(C482="","",Sheet3!E453)</f>
        <v>28.049999</v>
      </c>
      <c r="E482" s="56">
        <f>_xlfn.XLOOKUP(WEEKNUM(C482)&amp;YEAR(C482),Sheet4!C:C,Sheet4!B:B,0)</f>
        <v>0</v>
      </c>
      <c r="F482" s="46">
        <f>IF(int=Weekly,-$D$5,IF(int=Bi_Weekly,0,IF(int=Monthly,0,IF(int=Quarterly,0,IF(int=Yearly,0,IF(int=None,0,0))))))</f>
        <v>0</v>
      </c>
      <c r="G482" s="46"/>
      <c r="H482" s="46">
        <f t="shared" si="205"/>
        <v>-11250</v>
      </c>
      <c r="I482" s="47"/>
      <c r="J482" s="38">
        <f t="shared" si="192"/>
        <v>0</v>
      </c>
      <c r="K482" s="48"/>
      <c r="L482" s="48">
        <f t="shared" si="197"/>
        <v>407.71381173993331</v>
      </c>
      <c r="M482" s="48"/>
      <c r="N482" s="38">
        <f t="shared" si="198"/>
        <v>0</v>
      </c>
      <c r="O482" s="36">
        <f t="shared" si="199"/>
        <v>0</v>
      </c>
      <c r="P482" s="84">
        <f t="shared" si="200"/>
        <v>-14067.046009573365</v>
      </c>
      <c r="Q482" s="38">
        <f t="shared" si="201"/>
        <v>0</v>
      </c>
      <c r="R482" s="48">
        <f t="shared" si="202"/>
        <v>99.484532695967658</v>
      </c>
      <c r="S482" s="38">
        <f t="shared" si="193"/>
        <v>507.19834443590094</v>
      </c>
      <c r="T482" s="50">
        <f t="shared" si="206"/>
        <v>11250</v>
      </c>
      <c r="U482" s="40">
        <f t="shared" si="207"/>
        <v>11436.372011591317</v>
      </c>
      <c r="V482" s="41">
        <f t="shared" si="208"/>
        <v>1.6566401030339239E-2</v>
      </c>
      <c r="W482" s="39">
        <f t="shared" si="209"/>
        <v>186.37201159131655</v>
      </c>
      <c r="X482" s="50">
        <f t="shared" si="203"/>
        <v>2817.5147595896419</v>
      </c>
      <c r="Y482" s="41">
        <f t="shared" si="210"/>
        <v>0.26701215743830731</v>
      </c>
      <c r="Z482" s="52"/>
      <c r="AA482" s="50">
        <f t="shared" si="190"/>
        <v>14067.514759589641</v>
      </c>
      <c r="AB482" s="39">
        <f t="shared" si="191"/>
        <v>14226.913054228677</v>
      </c>
      <c r="AC482" s="39">
        <f t="shared" si="211"/>
        <v>159.39829463903516</v>
      </c>
      <c r="AD482" s="41">
        <f t="shared" si="212"/>
        <v>1.133094916643862E-2</v>
      </c>
      <c r="AF482" s="46">
        <f t="shared" si="194"/>
        <v>0</v>
      </c>
      <c r="AG482" s="46">
        <f t="shared" si="213"/>
        <v>0</v>
      </c>
      <c r="AH482" s="54">
        <f t="shared" si="195"/>
        <v>3157</v>
      </c>
      <c r="AI482" s="55">
        <f t="shared" si="204"/>
        <v>0.49777282850779508</v>
      </c>
      <c r="AJ482" s="55">
        <f t="shared" si="214"/>
        <v>0</v>
      </c>
      <c r="AK482" s="55">
        <f t="shared" si="215"/>
        <v>0</v>
      </c>
    </row>
    <row r="483" spans="2:37" s="53" customFormat="1" ht="17.25" customHeight="1" x14ac:dyDescent="0.25">
      <c r="B483" s="91" t="str">
        <f t="shared" si="196"/>
        <v/>
      </c>
      <c r="C483" s="81">
        <f>IF(Sheet3!A454="","",Sheet3!A454)</f>
        <v>40791</v>
      </c>
      <c r="D483" s="82">
        <f>IF(C483="","",Sheet3!E454)</f>
        <v>27.540001</v>
      </c>
      <c r="E483" s="56">
        <f>_xlfn.XLOOKUP(WEEKNUM(C483)&amp;YEAR(C483),Sheet4!C:C,Sheet4!B:B,0)</f>
        <v>0</v>
      </c>
      <c r="F483" s="46">
        <f>IF(int=Weekly,-$D$5,IF(int=Bi_Weekly,-$D$5,IF(int=Monthly,-$D$5,IF(int=Quarterly,0,IF(int=Yearly,0,IF(int=None,0,0))))))</f>
        <v>-100</v>
      </c>
      <c r="G483" s="46"/>
      <c r="H483" s="46">
        <f t="shared" si="205"/>
        <v>-11350</v>
      </c>
      <c r="I483" s="47"/>
      <c r="J483" s="38">
        <f t="shared" si="192"/>
        <v>3.631081930607047</v>
      </c>
      <c r="K483" s="48"/>
      <c r="L483" s="48">
        <f t="shared" si="197"/>
        <v>411.34489367054033</v>
      </c>
      <c r="M483" s="48"/>
      <c r="N483" s="38">
        <f t="shared" si="198"/>
        <v>0</v>
      </c>
      <c r="O483" s="36">
        <f t="shared" si="199"/>
        <v>0</v>
      </c>
      <c r="P483" s="84">
        <f t="shared" si="200"/>
        <v>-14167.046009573365</v>
      </c>
      <c r="Q483" s="38">
        <f t="shared" si="201"/>
        <v>0</v>
      </c>
      <c r="R483" s="48">
        <f t="shared" si="202"/>
        <v>99.484532695967658</v>
      </c>
      <c r="S483" s="38">
        <f t="shared" si="193"/>
        <v>510.82942636650796</v>
      </c>
      <c r="T483" s="50">
        <f t="shared" si="206"/>
        <v>11350</v>
      </c>
      <c r="U483" s="40">
        <f t="shared" si="207"/>
        <v>11328.438783031574</v>
      </c>
      <c r="V483" s="41">
        <f t="shared" si="208"/>
        <v>-1.8996666932534767E-3</v>
      </c>
      <c r="W483" s="39">
        <f t="shared" si="209"/>
        <v>-21.561216968426379</v>
      </c>
      <c r="X483" s="50">
        <f t="shared" si="203"/>
        <v>2817.5147595896419</v>
      </c>
      <c r="Y483" s="41">
        <f t="shared" si="210"/>
        <v>0.24633951917367525</v>
      </c>
      <c r="Z483" s="52"/>
      <c r="AA483" s="50">
        <f t="shared" si="190"/>
        <v>14167.514759589641</v>
      </c>
      <c r="AB483" s="39">
        <f t="shared" si="191"/>
        <v>14068.242912963055</v>
      </c>
      <c r="AC483" s="39">
        <f t="shared" si="211"/>
        <v>-99.271846626586921</v>
      </c>
      <c r="AD483" s="41">
        <f t="shared" si="212"/>
        <v>-7.0070049907230425E-3</v>
      </c>
      <c r="AF483" s="46">
        <f t="shared" si="194"/>
        <v>-100</v>
      </c>
      <c r="AG483" s="46">
        <f t="shared" si="213"/>
        <v>-100</v>
      </c>
      <c r="AH483" s="54">
        <f t="shared" si="195"/>
        <v>3164</v>
      </c>
      <c r="AI483" s="55">
        <f t="shared" si="204"/>
        <v>0.49665924276169265</v>
      </c>
      <c r="AJ483" s="55">
        <f t="shared" si="214"/>
        <v>-49.665924276169264</v>
      </c>
      <c r="AK483" s="55">
        <f t="shared" si="215"/>
        <v>-49.665924276169264</v>
      </c>
    </row>
    <row r="484" spans="2:37" s="53" customFormat="1" ht="17.25" customHeight="1" x14ac:dyDescent="0.25">
      <c r="B484" s="91" t="str">
        <f t="shared" si="196"/>
        <v/>
      </c>
      <c r="C484" s="81">
        <f>IF(Sheet3!A455="","",Sheet3!A455)</f>
        <v>40798</v>
      </c>
      <c r="D484" s="82">
        <f>IF(C484="","",Sheet3!E455)</f>
        <v>28.940000999999999</v>
      </c>
      <c r="E484" s="56">
        <f>_xlfn.XLOOKUP(WEEKNUM(C484)&amp;YEAR(C484),Sheet4!C:C,Sheet4!B:B,0)</f>
        <v>0</v>
      </c>
      <c r="F484" s="46">
        <f>IF(int=Weekly,-$D$5,IF(int=Bi_Weekly,0,IF(int=Monthly,0,IF(int=Quarterly,0,IF(int=Yearly,0,IF(int=None,0,0))))))</f>
        <v>0</v>
      </c>
      <c r="G484" s="46"/>
      <c r="H484" s="46">
        <f t="shared" si="205"/>
        <v>-11350</v>
      </c>
      <c r="I484" s="47"/>
      <c r="J484" s="38">
        <f t="shared" si="192"/>
        <v>0</v>
      </c>
      <c r="K484" s="48"/>
      <c r="L484" s="48">
        <f t="shared" si="197"/>
        <v>411.34489367054033</v>
      </c>
      <c r="M484" s="48"/>
      <c r="N484" s="38">
        <f t="shared" si="198"/>
        <v>0</v>
      </c>
      <c r="O484" s="36">
        <f t="shared" si="199"/>
        <v>0</v>
      </c>
      <c r="P484" s="84">
        <f t="shared" si="200"/>
        <v>-14167.046009573365</v>
      </c>
      <c r="Q484" s="38">
        <f t="shared" si="201"/>
        <v>0</v>
      </c>
      <c r="R484" s="48">
        <f t="shared" si="202"/>
        <v>99.484532695967658</v>
      </c>
      <c r="S484" s="38">
        <f t="shared" si="193"/>
        <v>510.82942636650796</v>
      </c>
      <c r="T484" s="50">
        <f t="shared" si="206"/>
        <v>11350</v>
      </c>
      <c r="U484" s="40">
        <f t="shared" si="207"/>
        <v>11904.32163417033</v>
      </c>
      <c r="V484" s="41">
        <f t="shared" si="208"/>
        <v>4.883891049958855E-2</v>
      </c>
      <c r="W484" s="39">
        <f t="shared" si="209"/>
        <v>554.32163417033007</v>
      </c>
      <c r="X484" s="50">
        <f t="shared" si="203"/>
        <v>2817.5147595896419</v>
      </c>
      <c r="Y484" s="41">
        <f t="shared" si="210"/>
        <v>0.29707809636651739</v>
      </c>
      <c r="Z484" s="52"/>
      <c r="AA484" s="50">
        <f t="shared" si="190"/>
        <v>14167.514759589641</v>
      </c>
      <c r="AB484" s="39">
        <f t="shared" si="191"/>
        <v>14783.404109876166</v>
      </c>
      <c r="AC484" s="39">
        <f t="shared" si="211"/>
        <v>615.88935028652486</v>
      </c>
      <c r="AD484" s="41">
        <f t="shared" si="212"/>
        <v>4.3471939908842794E-2</v>
      </c>
      <c r="AF484" s="46">
        <f t="shared" si="194"/>
        <v>0</v>
      </c>
      <c r="AG484" s="46">
        <f t="shared" si="213"/>
        <v>0</v>
      </c>
      <c r="AH484" s="54">
        <f t="shared" si="195"/>
        <v>3171</v>
      </c>
      <c r="AI484" s="55">
        <f t="shared" si="204"/>
        <v>0.49554565701559022</v>
      </c>
      <c r="AJ484" s="55">
        <f t="shared" si="214"/>
        <v>0</v>
      </c>
      <c r="AK484" s="55">
        <f t="shared" si="215"/>
        <v>0</v>
      </c>
    </row>
    <row r="485" spans="2:37" s="53" customFormat="1" ht="17.25" customHeight="1" x14ac:dyDescent="0.25">
      <c r="B485" s="91" t="str">
        <f t="shared" si="196"/>
        <v/>
      </c>
      <c r="C485" s="81">
        <f>IF(Sheet3!A456="","",Sheet3!A456)</f>
        <v>40805</v>
      </c>
      <c r="D485" s="82">
        <f>IF(C485="","",Sheet3!E456)</f>
        <v>27.85</v>
      </c>
      <c r="E485" s="56">
        <f>_xlfn.XLOOKUP(WEEKNUM(C485)&amp;YEAR(C485),Sheet4!C:C,Sheet4!B:B,0)</f>
        <v>0</v>
      </c>
      <c r="F485" s="46">
        <f>IF(int=Weekly,-$D$5,IF(int=Bi_Weekly,-$D$5,IF(int=Monthly,0,IF(int=Quarterly,0,IF(int=Yearly,0,IF(int=None,0,0))))))</f>
        <v>0</v>
      </c>
      <c r="G485" s="46"/>
      <c r="H485" s="46">
        <f t="shared" si="205"/>
        <v>-11350</v>
      </c>
      <c r="I485" s="47"/>
      <c r="J485" s="38">
        <f t="shared" si="192"/>
        <v>0</v>
      </c>
      <c r="K485" s="48"/>
      <c r="L485" s="48">
        <f t="shared" si="197"/>
        <v>411.34489367054033</v>
      </c>
      <c r="M485" s="48"/>
      <c r="N485" s="38">
        <f t="shared" si="198"/>
        <v>0</v>
      </c>
      <c r="O485" s="36">
        <f t="shared" si="199"/>
        <v>0</v>
      </c>
      <c r="P485" s="84">
        <f t="shared" si="200"/>
        <v>-14167.046009573365</v>
      </c>
      <c r="Q485" s="38">
        <f t="shared" si="201"/>
        <v>0</v>
      </c>
      <c r="R485" s="48">
        <f t="shared" si="202"/>
        <v>99.484532695967658</v>
      </c>
      <c r="S485" s="38">
        <f t="shared" si="193"/>
        <v>510.82942636650796</v>
      </c>
      <c r="T485" s="50">
        <f t="shared" si="206"/>
        <v>11350</v>
      </c>
      <c r="U485" s="40">
        <f t="shared" si="207"/>
        <v>11455.955288724548</v>
      </c>
      <c r="V485" s="41">
        <f t="shared" si="208"/>
        <v>9.335267729035035E-3</v>
      </c>
      <c r="W485" s="39">
        <f t="shared" si="209"/>
        <v>105.95528872454815</v>
      </c>
      <c r="X485" s="50">
        <f t="shared" si="203"/>
        <v>2817.5147595896419</v>
      </c>
      <c r="Y485" s="41">
        <f t="shared" si="210"/>
        <v>0.25757445359596387</v>
      </c>
      <c r="Z485" s="52"/>
      <c r="AA485" s="50">
        <f t="shared" si="190"/>
        <v>14167.514759589641</v>
      </c>
      <c r="AB485" s="39">
        <f t="shared" si="191"/>
        <v>14226.599524307247</v>
      </c>
      <c r="AC485" s="39">
        <f t="shared" si="211"/>
        <v>59.08476471760514</v>
      </c>
      <c r="AD485" s="41">
        <f t="shared" si="212"/>
        <v>4.1704396092201446E-3</v>
      </c>
      <c r="AF485" s="46">
        <f t="shared" si="194"/>
        <v>0</v>
      </c>
      <c r="AG485" s="46">
        <f t="shared" si="213"/>
        <v>0</v>
      </c>
      <c r="AH485" s="54">
        <f t="shared" si="195"/>
        <v>3178</v>
      </c>
      <c r="AI485" s="55">
        <f t="shared" si="204"/>
        <v>0.49443207126948774</v>
      </c>
      <c r="AJ485" s="55">
        <f t="shared" si="214"/>
        <v>0</v>
      </c>
      <c r="AK485" s="55">
        <f t="shared" si="215"/>
        <v>0</v>
      </c>
    </row>
    <row r="486" spans="2:37" s="53" customFormat="1" ht="17.25" customHeight="1" x14ac:dyDescent="0.25">
      <c r="B486" s="91" t="str">
        <f t="shared" si="196"/>
        <v/>
      </c>
      <c r="C486" s="81">
        <f>IF(Sheet3!A457="","",Sheet3!A457)</f>
        <v>40812</v>
      </c>
      <c r="D486" s="82">
        <f>IF(C486="","",Sheet3!E457)</f>
        <v>28.52</v>
      </c>
      <c r="E486" s="56">
        <f>_xlfn.XLOOKUP(WEEKNUM(C486)&amp;YEAR(C486),Sheet4!C:C,Sheet4!B:B,0)</f>
        <v>0</v>
      </c>
      <c r="F486" s="46">
        <f>IF(int=Weekly,-$D$5,IF(int=Bi_Weekly,0,IF(int=Monthly,0,IF(int=Quarterly,-$D$5,IF(int=Yearly,0,IF(int=None,0,0))))))</f>
        <v>0</v>
      </c>
      <c r="G486" s="46"/>
      <c r="H486" s="46">
        <f t="shared" si="205"/>
        <v>-11350</v>
      </c>
      <c r="I486" s="47"/>
      <c r="J486" s="38">
        <f t="shared" si="192"/>
        <v>0</v>
      </c>
      <c r="K486" s="48"/>
      <c r="L486" s="48">
        <f t="shared" si="197"/>
        <v>411.34489367054033</v>
      </c>
      <c r="M486" s="48"/>
      <c r="N486" s="38">
        <f t="shared" si="198"/>
        <v>0</v>
      </c>
      <c r="O486" s="36">
        <f t="shared" si="199"/>
        <v>0</v>
      </c>
      <c r="P486" s="84">
        <f t="shared" si="200"/>
        <v>-14167.046009573365</v>
      </c>
      <c r="Q486" s="38">
        <f t="shared" si="201"/>
        <v>0</v>
      </c>
      <c r="R486" s="48">
        <f t="shared" si="202"/>
        <v>99.484532695967658</v>
      </c>
      <c r="S486" s="38">
        <f t="shared" si="193"/>
        <v>510.82942636650796</v>
      </c>
      <c r="T486" s="50">
        <f t="shared" si="206"/>
        <v>11350</v>
      </c>
      <c r="U486" s="40">
        <f t="shared" si="207"/>
        <v>11731.55636748381</v>
      </c>
      <c r="V486" s="41">
        <f t="shared" si="208"/>
        <v>3.3617301099895247E-2</v>
      </c>
      <c r="W486" s="39">
        <f t="shared" si="209"/>
        <v>381.55636748381039</v>
      </c>
      <c r="X486" s="50">
        <f t="shared" si="203"/>
        <v>2817.5147595896419</v>
      </c>
      <c r="Y486" s="41">
        <f t="shared" si="210"/>
        <v>0.28185648696682386</v>
      </c>
      <c r="Z486" s="52"/>
      <c r="AA486" s="50">
        <f t="shared" si="190"/>
        <v>14167.514759589641</v>
      </c>
      <c r="AB486" s="39">
        <f t="shared" si="191"/>
        <v>14568.855239972807</v>
      </c>
      <c r="AC486" s="39">
        <f t="shared" si="211"/>
        <v>401.34048038316541</v>
      </c>
      <c r="AD486" s="41">
        <f t="shared" si="212"/>
        <v>2.8328220382583869E-2</v>
      </c>
      <c r="AF486" s="46">
        <f t="shared" si="194"/>
        <v>0</v>
      </c>
      <c r="AG486" s="46">
        <f t="shared" si="213"/>
        <v>0</v>
      </c>
      <c r="AH486" s="54">
        <f t="shared" si="195"/>
        <v>3185</v>
      </c>
      <c r="AI486" s="55">
        <f t="shared" si="204"/>
        <v>0.49331848552338531</v>
      </c>
      <c r="AJ486" s="55">
        <f t="shared" si="214"/>
        <v>0</v>
      </c>
      <c r="AK486" s="55">
        <f t="shared" si="215"/>
        <v>0</v>
      </c>
    </row>
    <row r="487" spans="2:37" s="53" customFormat="1" ht="17.25" customHeight="1" x14ac:dyDescent="0.25">
      <c r="B487" s="91" t="str">
        <f t="shared" si="196"/>
        <v/>
      </c>
      <c r="C487" s="81">
        <f>IF(Sheet3!A458="","",Sheet3!A458)</f>
        <v>40819</v>
      </c>
      <c r="D487" s="82">
        <f>IF(C487="","",Sheet3!E458)</f>
        <v>28.440000999999999</v>
      </c>
      <c r="E487" s="56">
        <f>_xlfn.XLOOKUP(WEEKNUM(C487)&amp;YEAR(C487),Sheet4!C:C,Sheet4!B:B,0)</f>
        <v>0.43</v>
      </c>
      <c r="F487" s="46">
        <f>IF(int=Weekly,-$D$5,IF(int=Bi_Weekly,-$D$5,IF(int=Monthly,-$D$5,IF(int=Quarterly,0,IF(int=Yearly,0,IF(int=None,0,0))))))</f>
        <v>-100</v>
      </c>
      <c r="G487" s="46"/>
      <c r="H487" s="46">
        <f t="shared" si="205"/>
        <v>-11450</v>
      </c>
      <c r="I487" s="47"/>
      <c r="J487" s="38">
        <f t="shared" si="192"/>
        <v>3.5161742786155319</v>
      </c>
      <c r="K487" s="48"/>
      <c r="L487" s="48">
        <f t="shared" si="197"/>
        <v>414.86106794915588</v>
      </c>
      <c r="M487" s="48"/>
      <c r="N487" s="38">
        <f t="shared" si="198"/>
        <v>178.39025921813703</v>
      </c>
      <c r="O487" s="36">
        <f t="shared" si="199"/>
        <v>-178.39025921813703</v>
      </c>
      <c r="P487" s="84">
        <f t="shared" si="200"/>
        <v>-14445.436268791502</v>
      </c>
      <c r="Q487" s="38">
        <f t="shared" si="201"/>
        <v>6.2725124101837073</v>
      </c>
      <c r="R487" s="48">
        <f t="shared" si="202"/>
        <v>105.75704510615137</v>
      </c>
      <c r="S487" s="38">
        <f t="shared" si="193"/>
        <v>520.61811305530728</v>
      </c>
      <c r="T487" s="50">
        <f t="shared" si="206"/>
        <v>11450</v>
      </c>
      <c r="U487" s="40">
        <f t="shared" si="207"/>
        <v>11798.649187335061</v>
      </c>
      <c r="V487" s="41">
        <f t="shared" si="208"/>
        <v>3.0449710684284703E-2</v>
      </c>
      <c r="W487" s="39">
        <f t="shared" si="209"/>
        <v>348.64918733506056</v>
      </c>
      <c r="X487" s="50">
        <f t="shared" si="203"/>
        <v>2995.905018807779</v>
      </c>
      <c r="Y487" s="41">
        <f t="shared" si="210"/>
        <v>0.29210080402994221</v>
      </c>
      <c r="Z487" s="52"/>
      <c r="AA487" s="50">
        <f t="shared" si="190"/>
        <v>14445.905018807778</v>
      </c>
      <c r="AB487" s="39">
        <f t="shared" si="191"/>
        <v>14806.379655911051</v>
      </c>
      <c r="AC487" s="39">
        <f t="shared" si="211"/>
        <v>360.47463710327247</v>
      </c>
      <c r="AD487" s="41">
        <f t="shared" si="212"/>
        <v>2.4953413208376629E-2</v>
      </c>
      <c r="AF487" s="46">
        <f t="shared" si="194"/>
        <v>78.390259218137032</v>
      </c>
      <c r="AG487" s="46">
        <f t="shared" si="213"/>
        <v>-100</v>
      </c>
      <c r="AH487" s="54">
        <f t="shared" si="195"/>
        <v>3192</v>
      </c>
      <c r="AI487" s="55">
        <f t="shared" si="204"/>
        <v>0.49220489977728288</v>
      </c>
      <c r="AJ487" s="55">
        <f t="shared" si="214"/>
        <v>38.584069681978363</v>
      </c>
      <c r="AK487" s="55">
        <f t="shared" si="215"/>
        <v>-49.220489977728285</v>
      </c>
    </row>
    <row r="488" spans="2:37" s="53" customFormat="1" ht="17.25" customHeight="1" x14ac:dyDescent="0.25">
      <c r="B488" s="91" t="str">
        <f t="shared" si="196"/>
        <v/>
      </c>
      <c r="C488" s="81">
        <f>IF(Sheet3!A459="","",Sheet3!A459)</f>
        <v>40826</v>
      </c>
      <c r="D488" s="82">
        <f>IF(C488="","",Sheet3!E459)</f>
        <v>29.17</v>
      </c>
      <c r="E488" s="56">
        <f>_xlfn.XLOOKUP(WEEKNUM(C488)&amp;YEAR(C488),Sheet4!C:C,Sheet4!B:B,0)</f>
        <v>0</v>
      </c>
      <c r="F488" s="46">
        <f>IF(int=Weekly,-$D$5,IF(int=Bi_Weekly,0,IF(int=Monthly,0,IF(int=Quarterly,0,IF(int=Yearly,0,IF(int=None,0,0))))))</f>
        <v>0</v>
      </c>
      <c r="G488" s="46"/>
      <c r="H488" s="46">
        <f t="shared" si="205"/>
        <v>-11450</v>
      </c>
      <c r="I488" s="47"/>
      <c r="J488" s="38">
        <f t="shared" si="192"/>
        <v>0</v>
      </c>
      <c r="K488" s="48"/>
      <c r="L488" s="48">
        <f t="shared" si="197"/>
        <v>414.86106794915588</v>
      </c>
      <c r="M488" s="48"/>
      <c r="N488" s="38">
        <f t="shared" si="198"/>
        <v>0</v>
      </c>
      <c r="O488" s="36">
        <f t="shared" si="199"/>
        <v>0</v>
      </c>
      <c r="P488" s="84">
        <f t="shared" si="200"/>
        <v>-14445.436268791502</v>
      </c>
      <c r="Q488" s="38">
        <f t="shared" si="201"/>
        <v>0</v>
      </c>
      <c r="R488" s="48">
        <f t="shared" si="202"/>
        <v>105.75704510615137</v>
      </c>
      <c r="S488" s="38">
        <f t="shared" si="193"/>
        <v>520.61811305530728</v>
      </c>
      <c r="T488" s="50">
        <f t="shared" si="206"/>
        <v>11450</v>
      </c>
      <c r="U488" s="40">
        <f t="shared" si="207"/>
        <v>12101.497352076878</v>
      </c>
      <c r="V488" s="41">
        <f t="shared" si="208"/>
        <v>5.6899332059116015E-2</v>
      </c>
      <c r="W488" s="39">
        <f t="shared" si="209"/>
        <v>651.49735207687809</v>
      </c>
      <c r="X488" s="50">
        <f t="shared" si="203"/>
        <v>2995.905018807779</v>
      </c>
      <c r="Y488" s="41">
        <f t="shared" si="210"/>
        <v>0.31855042540477352</v>
      </c>
      <c r="Z488" s="52"/>
      <c r="AA488" s="50">
        <f t="shared" si="190"/>
        <v>14445.905018807778</v>
      </c>
      <c r="AB488" s="39">
        <f t="shared" si="191"/>
        <v>15186.430357823314</v>
      </c>
      <c r="AC488" s="39">
        <f t="shared" si="211"/>
        <v>740.52533901553579</v>
      </c>
      <c r="AD488" s="41">
        <f t="shared" si="212"/>
        <v>5.1261955415836669E-2</v>
      </c>
      <c r="AF488" s="46">
        <f t="shared" si="194"/>
        <v>0</v>
      </c>
      <c r="AG488" s="46">
        <f t="shared" si="213"/>
        <v>0</v>
      </c>
      <c r="AH488" s="54">
        <f t="shared" si="195"/>
        <v>3199</v>
      </c>
      <c r="AI488" s="55">
        <f t="shared" si="204"/>
        <v>0.49109131403118039</v>
      </c>
      <c r="AJ488" s="55">
        <f t="shared" si="214"/>
        <v>0</v>
      </c>
      <c r="AK488" s="55">
        <f t="shared" si="215"/>
        <v>0</v>
      </c>
    </row>
    <row r="489" spans="2:37" s="53" customFormat="1" ht="17.25" customHeight="1" x14ac:dyDescent="0.25">
      <c r="B489" s="91" t="str">
        <f t="shared" si="196"/>
        <v/>
      </c>
      <c r="C489" s="81">
        <f>IF(Sheet3!A460="","",Sheet3!A460)</f>
        <v>40833</v>
      </c>
      <c r="D489" s="82">
        <f>IF(C489="","",Sheet3!E460)</f>
        <v>29.129999000000002</v>
      </c>
      <c r="E489" s="56">
        <f>_xlfn.XLOOKUP(WEEKNUM(C489)&amp;YEAR(C489),Sheet4!C:C,Sheet4!B:B,0)</f>
        <v>0</v>
      </c>
      <c r="F489" s="46">
        <f>IF(int=Weekly,-$D$5,IF(int=Bi_Weekly,-$D$5,IF(int=Monthly,0,IF(int=Quarterly,0,IF(int=Yearly,0,IF(int=None,0,0))))))</f>
        <v>0</v>
      </c>
      <c r="G489" s="46"/>
      <c r="H489" s="46">
        <f t="shared" si="205"/>
        <v>-11450</v>
      </c>
      <c r="I489" s="47"/>
      <c r="J489" s="38">
        <f t="shared" si="192"/>
        <v>0</v>
      </c>
      <c r="K489" s="48"/>
      <c r="L489" s="48">
        <f t="shared" si="197"/>
        <v>414.86106794915588</v>
      </c>
      <c r="M489" s="48"/>
      <c r="N489" s="38">
        <f t="shared" si="198"/>
        <v>0</v>
      </c>
      <c r="O489" s="36">
        <f t="shared" si="199"/>
        <v>0</v>
      </c>
      <c r="P489" s="84">
        <f t="shared" si="200"/>
        <v>-14445.436268791502</v>
      </c>
      <c r="Q489" s="38">
        <f t="shared" si="201"/>
        <v>0</v>
      </c>
      <c r="R489" s="48">
        <f t="shared" si="202"/>
        <v>105.75704510615137</v>
      </c>
      <c r="S489" s="38">
        <f t="shared" si="193"/>
        <v>520.61811305530728</v>
      </c>
      <c r="T489" s="50">
        <f t="shared" si="206"/>
        <v>11450</v>
      </c>
      <c r="U489" s="40">
        <f t="shared" si="207"/>
        <v>12084.902494497843</v>
      </c>
      <c r="V489" s="41">
        <f t="shared" si="208"/>
        <v>5.5449999519462168E-2</v>
      </c>
      <c r="W489" s="39">
        <f t="shared" si="209"/>
        <v>634.90249449784278</v>
      </c>
      <c r="X489" s="50">
        <f t="shared" si="203"/>
        <v>2995.905018807779</v>
      </c>
      <c r="Y489" s="41">
        <f t="shared" si="210"/>
        <v>0.31710109286511989</v>
      </c>
      <c r="Z489" s="52"/>
      <c r="AA489" s="50">
        <f t="shared" si="190"/>
        <v>14445.905018807778</v>
      </c>
      <c r="AB489" s="39">
        <f t="shared" si="191"/>
        <v>15165.605112682988</v>
      </c>
      <c r="AC489" s="39">
        <f t="shared" si="211"/>
        <v>719.70009387520986</v>
      </c>
      <c r="AD489" s="41">
        <f t="shared" si="212"/>
        <v>4.9820353445367394E-2</v>
      </c>
      <c r="AF489" s="46">
        <f t="shared" si="194"/>
        <v>0</v>
      </c>
      <c r="AG489" s="46">
        <f t="shared" si="213"/>
        <v>0</v>
      </c>
      <c r="AH489" s="54">
        <f t="shared" si="195"/>
        <v>3206</v>
      </c>
      <c r="AI489" s="55">
        <f t="shared" si="204"/>
        <v>0.48997772828507796</v>
      </c>
      <c r="AJ489" s="55">
        <f t="shared" si="214"/>
        <v>0</v>
      </c>
      <c r="AK489" s="55">
        <f t="shared" si="215"/>
        <v>0</v>
      </c>
    </row>
    <row r="490" spans="2:37" s="53" customFormat="1" ht="17.25" customHeight="1" x14ac:dyDescent="0.25">
      <c r="B490" s="91" t="str">
        <f t="shared" si="196"/>
        <v/>
      </c>
      <c r="C490" s="81">
        <f>IF(Sheet3!A461="","",Sheet3!A461)</f>
        <v>40840</v>
      </c>
      <c r="D490" s="82">
        <f>IF(C490="","",Sheet3!E461)</f>
        <v>29.74</v>
      </c>
      <c r="E490" s="56">
        <f>_xlfn.XLOOKUP(WEEKNUM(C490)&amp;YEAR(C490),Sheet4!C:C,Sheet4!B:B,0)</f>
        <v>0</v>
      </c>
      <c r="F490" s="46">
        <f>IF(int=Weekly,-$D$5,IF(int=Bi_Weekly,0,IF(int=Monthly,0,IF(int=Quarterly,0,IF(int=Yearly,0,IF(int=None,0,0))))))</f>
        <v>0</v>
      </c>
      <c r="G490" s="46"/>
      <c r="H490" s="46">
        <f t="shared" si="205"/>
        <v>-11450</v>
      </c>
      <c r="I490" s="47"/>
      <c r="J490" s="38">
        <f t="shared" si="192"/>
        <v>0</v>
      </c>
      <c r="K490" s="48"/>
      <c r="L490" s="48">
        <f t="shared" si="197"/>
        <v>414.86106794915588</v>
      </c>
      <c r="M490" s="48"/>
      <c r="N490" s="38">
        <f t="shared" si="198"/>
        <v>0</v>
      </c>
      <c r="O490" s="36">
        <f t="shared" si="199"/>
        <v>0</v>
      </c>
      <c r="P490" s="84">
        <f t="shared" si="200"/>
        <v>-14445.436268791502</v>
      </c>
      <c r="Q490" s="38">
        <f t="shared" si="201"/>
        <v>0</v>
      </c>
      <c r="R490" s="48">
        <f t="shared" si="202"/>
        <v>105.75704510615137</v>
      </c>
      <c r="S490" s="38">
        <f t="shared" si="193"/>
        <v>520.61811305530728</v>
      </c>
      <c r="T490" s="50">
        <f t="shared" si="206"/>
        <v>11450</v>
      </c>
      <c r="U490" s="40">
        <f t="shared" si="207"/>
        <v>12337.968160807895</v>
      </c>
      <c r="V490" s="41">
        <f t="shared" si="208"/>
        <v>7.7551804437370864E-2</v>
      </c>
      <c r="W490" s="39">
        <f t="shared" si="209"/>
        <v>887.9681608078954</v>
      </c>
      <c r="X490" s="50">
        <f t="shared" si="203"/>
        <v>2995.905018807779</v>
      </c>
      <c r="Y490" s="41">
        <f t="shared" si="210"/>
        <v>0.33920289778302837</v>
      </c>
      <c r="Z490" s="52"/>
      <c r="AA490" s="50">
        <f t="shared" si="190"/>
        <v>14445.905018807778</v>
      </c>
      <c r="AB490" s="39">
        <f t="shared" si="191"/>
        <v>15483.182682264836</v>
      </c>
      <c r="AC490" s="39">
        <f t="shared" si="211"/>
        <v>1037.2776634570582</v>
      </c>
      <c r="AD490" s="41">
        <f t="shared" si="212"/>
        <v>7.1804269937160603E-2</v>
      </c>
      <c r="AF490" s="46">
        <f t="shared" si="194"/>
        <v>0</v>
      </c>
      <c r="AG490" s="46">
        <f t="shared" si="213"/>
        <v>0</v>
      </c>
      <c r="AH490" s="54">
        <f t="shared" si="195"/>
        <v>3213</v>
      </c>
      <c r="AI490" s="55">
        <f t="shared" si="204"/>
        <v>0.48886414253897548</v>
      </c>
      <c r="AJ490" s="55">
        <f t="shared" si="214"/>
        <v>0</v>
      </c>
      <c r="AK490" s="55">
        <f t="shared" si="215"/>
        <v>0</v>
      </c>
    </row>
    <row r="491" spans="2:37" s="53" customFormat="1" ht="17.25" customHeight="1" x14ac:dyDescent="0.25">
      <c r="B491" s="91" t="str">
        <f t="shared" si="196"/>
        <v/>
      </c>
      <c r="C491" s="81">
        <f>IF(Sheet3!A462="","",Sheet3!A462)</f>
        <v>40847</v>
      </c>
      <c r="D491" s="82">
        <f>IF(C491="","",Sheet3!E462)</f>
        <v>29.16</v>
      </c>
      <c r="E491" s="56">
        <f>_xlfn.XLOOKUP(WEEKNUM(C491)&amp;YEAR(C491),Sheet4!C:C,Sheet4!B:B,0)</f>
        <v>0</v>
      </c>
      <c r="F491" s="46">
        <f>IF(int=Weekly,-$D$5,IF(int=Bi_Weekly,-$D$5,IF(int=Monthly,-$D$5,IF(int=Quarterly,0,IF(int=Yearly,0,IF(int=None,0,0))))))</f>
        <v>-100</v>
      </c>
      <c r="G491" s="46"/>
      <c r="H491" s="46">
        <f t="shared" si="205"/>
        <v>-11550</v>
      </c>
      <c r="I491" s="47"/>
      <c r="J491" s="38">
        <f t="shared" si="192"/>
        <v>3.4293552812071328</v>
      </c>
      <c r="K491" s="48"/>
      <c r="L491" s="48">
        <f t="shared" si="197"/>
        <v>418.29042323036299</v>
      </c>
      <c r="M491" s="48"/>
      <c r="N491" s="38">
        <f t="shared" si="198"/>
        <v>0</v>
      </c>
      <c r="O491" s="36">
        <f t="shared" si="199"/>
        <v>0</v>
      </c>
      <c r="P491" s="84">
        <f t="shared" si="200"/>
        <v>-14545.436268791502</v>
      </c>
      <c r="Q491" s="38">
        <f t="shared" si="201"/>
        <v>0</v>
      </c>
      <c r="R491" s="48">
        <f t="shared" si="202"/>
        <v>105.75704510615137</v>
      </c>
      <c r="S491" s="38">
        <f t="shared" si="193"/>
        <v>524.04746833651438</v>
      </c>
      <c r="T491" s="50">
        <f t="shared" si="206"/>
        <v>11550</v>
      </c>
      <c r="U491" s="40">
        <f t="shared" si="207"/>
        <v>12197.348741397385</v>
      </c>
      <c r="V491" s="41">
        <f t="shared" si="208"/>
        <v>5.6047510077695595E-2</v>
      </c>
      <c r="W491" s="39">
        <f t="shared" si="209"/>
        <v>647.34874139738531</v>
      </c>
      <c r="X491" s="50">
        <f t="shared" si="203"/>
        <v>2995.905018807779</v>
      </c>
      <c r="Y491" s="41">
        <f t="shared" si="210"/>
        <v>0.31543322599178913</v>
      </c>
      <c r="Z491" s="52"/>
      <c r="AA491" s="50">
        <f t="shared" si="190"/>
        <v>14545.905018807778</v>
      </c>
      <c r="AB491" s="39">
        <f t="shared" si="191"/>
        <v>15281.224176692758</v>
      </c>
      <c r="AC491" s="39">
        <f t="shared" si="211"/>
        <v>735.31915788498009</v>
      </c>
      <c r="AD491" s="41">
        <f t="shared" si="212"/>
        <v>5.0551626518543724E-2</v>
      </c>
      <c r="AF491" s="46">
        <f t="shared" si="194"/>
        <v>-100</v>
      </c>
      <c r="AG491" s="46">
        <f t="shared" si="213"/>
        <v>-100</v>
      </c>
      <c r="AH491" s="54">
        <f t="shared" si="195"/>
        <v>3220</v>
      </c>
      <c r="AI491" s="55">
        <f t="shared" si="204"/>
        <v>0.48775055679287305</v>
      </c>
      <c r="AJ491" s="55">
        <f t="shared" si="214"/>
        <v>-48.775055679287306</v>
      </c>
      <c r="AK491" s="55">
        <f t="shared" si="215"/>
        <v>-48.775055679287306</v>
      </c>
    </row>
    <row r="492" spans="2:37" s="53" customFormat="1" ht="17.25" customHeight="1" x14ac:dyDescent="0.25">
      <c r="B492" s="91" t="str">
        <f t="shared" si="196"/>
        <v/>
      </c>
      <c r="C492" s="81">
        <f>IF(Sheet3!A463="","",Sheet3!A463)</f>
        <v>40854</v>
      </c>
      <c r="D492" s="82">
        <f>IF(C492="","",Sheet3!E463)</f>
        <v>29.42</v>
      </c>
      <c r="E492" s="56">
        <f>_xlfn.XLOOKUP(WEEKNUM(C492)&amp;YEAR(C492),Sheet4!C:C,Sheet4!B:B,0)</f>
        <v>0</v>
      </c>
      <c r="F492" s="46">
        <f>IF(int=Weekly,-$D$5,IF(int=Bi_Weekly,0,IF(int=Monthly,0,IF(int=Quarterly,0,IF(int=Yearly,0,IF(int=None,0,0))))))</f>
        <v>0</v>
      </c>
      <c r="G492" s="46"/>
      <c r="H492" s="46">
        <f t="shared" si="205"/>
        <v>-11550</v>
      </c>
      <c r="I492" s="47"/>
      <c r="J492" s="38">
        <f t="shared" si="192"/>
        <v>0</v>
      </c>
      <c r="K492" s="48"/>
      <c r="L492" s="48">
        <f t="shared" si="197"/>
        <v>418.29042323036299</v>
      </c>
      <c r="M492" s="48"/>
      <c r="N492" s="38">
        <f t="shared" si="198"/>
        <v>0</v>
      </c>
      <c r="O492" s="36">
        <f t="shared" si="199"/>
        <v>0</v>
      </c>
      <c r="P492" s="84">
        <f t="shared" si="200"/>
        <v>-14545.436268791502</v>
      </c>
      <c r="Q492" s="38">
        <f t="shared" si="201"/>
        <v>0</v>
      </c>
      <c r="R492" s="48">
        <f t="shared" si="202"/>
        <v>105.75704510615137</v>
      </c>
      <c r="S492" s="38">
        <f t="shared" si="193"/>
        <v>524.04746833651438</v>
      </c>
      <c r="T492" s="50">
        <f t="shared" si="206"/>
        <v>11550</v>
      </c>
      <c r="U492" s="40">
        <f t="shared" si="207"/>
        <v>12306.10425143728</v>
      </c>
      <c r="V492" s="41">
        <f t="shared" si="208"/>
        <v>6.5463571553011191E-2</v>
      </c>
      <c r="W492" s="39">
        <f t="shared" si="209"/>
        <v>756.10425143728025</v>
      </c>
      <c r="X492" s="50">
        <f t="shared" si="203"/>
        <v>2995.905018807779</v>
      </c>
      <c r="Y492" s="41">
        <f t="shared" si="210"/>
        <v>0.32484928746710473</v>
      </c>
      <c r="Z492" s="52"/>
      <c r="AA492" s="50">
        <f t="shared" si="190"/>
        <v>14545.905018807778</v>
      </c>
      <c r="AB492" s="39">
        <f t="shared" si="191"/>
        <v>15417.476518460255</v>
      </c>
      <c r="AC492" s="39">
        <f t="shared" si="211"/>
        <v>871.57149965247663</v>
      </c>
      <c r="AD492" s="41">
        <f t="shared" si="212"/>
        <v>5.9918684916857368E-2</v>
      </c>
      <c r="AF492" s="46">
        <f t="shared" si="194"/>
        <v>0</v>
      </c>
      <c r="AG492" s="46">
        <f t="shared" si="213"/>
        <v>0</v>
      </c>
      <c r="AH492" s="54">
        <f t="shared" si="195"/>
        <v>3227</v>
      </c>
      <c r="AI492" s="55">
        <f t="shared" si="204"/>
        <v>0.48663697104677062</v>
      </c>
      <c r="AJ492" s="55">
        <f t="shared" si="214"/>
        <v>0</v>
      </c>
      <c r="AK492" s="55">
        <f t="shared" si="215"/>
        <v>0</v>
      </c>
    </row>
    <row r="493" spans="2:37" s="53" customFormat="1" ht="17.25" customHeight="1" x14ac:dyDescent="0.25">
      <c r="B493" s="91" t="str">
        <f t="shared" si="196"/>
        <v/>
      </c>
      <c r="C493" s="81">
        <f>IF(Sheet3!A464="","",Sheet3!A464)</f>
        <v>40861</v>
      </c>
      <c r="D493" s="82">
        <f>IF(C493="","",Sheet3!E464)</f>
        <v>28.639999</v>
      </c>
      <c r="E493" s="56">
        <f>_xlfn.XLOOKUP(WEEKNUM(C493)&amp;YEAR(C493),Sheet4!C:C,Sheet4!B:B,0)</f>
        <v>0</v>
      </c>
      <c r="F493" s="46">
        <f>IF(int=Weekly,-$D$5,IF(int=Bi_Weekly,-$D$5,IF(int=Monthly,0,IF(int=Quarterly,0,IF(int=Yearly,0,IF(int=None,0,0))))))</f>
        <v>0</v>
      </c>
      <c r="G493" s="46"/>
      <c r="H493" s="46">
        <f t="shared" si="205"/>
        <v>-11550</v>
      </c>
      <c r="I493" s="47"/>
      <c r="J493" s="38">
        <f t="shared" si="192"/>
        <v>0</v>
      </c>
      <c r="K493" s="48"/>
      <c r="L493" s="48">
        <f t="shared" si="197"/>
        <v>418.29042323036299</v>
      </c>
      <c r="M493" s="48"/>
      <c r="N493" s="38">
        <f t="shared" si="198"/>
        <v>0</v>
      </c>
      <c r="O493" s="36">
        <f t="shared" si="199"/>
        <v>0</v>
      </c>
      <c r="P493" s="84">
        <f t="shared" si="200"/>
        <v>-14545.436268791502</v>
      </c>
      <c r="Q493" s="38">
        <f t="shared" si="201"/>
        <v>0</v>
      </c>
      <c r="R493" s="48">
        <f t="shared" si="202"/>
        <v>105.75704510615137</v>
      </c>
      <c r="S493" s="38">
        <f t="shared" si="193"/>
        <v>524.04746833651438</v>
      </c>
      <c r="T493" s="50">
        <f t="shared" si="206"/>
        <v>11550</v>
      </c>
      <c r="U493" s="40">
        <f t="shared" si="207"/>
        <v>11979.837303027172</v>
      </c>
      <c r="V493" s="41">
        <f t="shared" si="208"/>
        <v>3.7215350911443457E-2</v>
      </c>
      <c r="W493" s="39">
        <f t="shared" si="209"/>
        <v>429.83730302717231</v>
      </c>
      <c r="X493" s="50">
        <f t="shared" si="203"/>
        <v>2995.905018807779</v>
      </c>
      <c r="Y493" s="41">
        <f t="shared" si="210"/>
        <v>0.29660106682553677</v>
      </c>
      <c r="Z493" s="52"/>
      <c r="AA493" s="50">
        <f t="shared" si="190"/>
        <v>14545.905018807778</v>
      </c>
      <c r="AB493" s="39">
        <f t="shared" si="191"/>
        <v>15008.718969110301</v>
      </c>
      <c r="AC493" s="39">
        <f t="shared" si="211"/>
        <v>462.81395030252315</v>
      </c>
      <c r="AD493" s="41">
        <f t="shared" si="212"/>
        <v>3.181747369476895E-2</v>
      </c>
      <c r="AF493" s="46">
        <f t="shared" si="194"/>
        <v>0</v>
      </c>
      <c r="AG493" s="46">
        <f t="shared" si="213"/>
        <v>0</v>
      </c>
      <c r="AH493" s="54">
        <f t="shared" si="195"/>
        <v>3234</v>
      </c>
      <c r="AI493" s="55">
        <f t="shared" si="204"/>
        <v>0.48552338530066813</v>
      </c>
      <c r="AJ493" s="55">
        <f t="shared" si="214"/>
        <v>0</v>
      </c>
      <c r="AK493" s="55">
        <f t="shared" si="215"/>
        <v>0</v>
      </c>
    </row>
    <row r="494" spans="2:37" s="53" customFormat="1" ht="17.25" customHeight="1" x14ac:dyDescent="0.25">
      <c r="B494" s="91" t="str">
        <f t="shared" si="196"/>
        <v/>
      </c>
      <c r="C494" s="81">
        <f>IF(Sheet3!A465="","",Sheet3!A465)</f>
        <v>40868</v>
      </c>
      <c r="D494" s="82">
        <f>IF(C494="","",Sheet3!E465)</f>
        <v>27.41</v>
      </c>
      <c r="E494" s="56">
        <f>_xlfn.XLOOKUP(WEEKNUM(C494)&amp;YEAR(C494),Sheet4!C:C,Sheet4!B:B,0)</f>
        <v>0</v>
      </c>
      <c r="F494" s="46">
        <f>IF(int=Weekly,-$D$5,IF(int=Bi_Weekly,0,IF(int=Monthly,0,IF(int=Quarterly,0,IF(int=Yearly,0,IF(int=None,0,0))))))</f>
        <v>0</v>
      </c>
      <c r="G494" s="46"/>
      <c r="H494" s="46">
        <f t="shared" si="205"/>
        <v>-11550</v>
      </c>
      <c r="I494" s="47"/>
      <c r="J494" s="38">
        <f t="shared" si="192"/>
        <v>0</v>
      </c>
      <c r="K494" s="48"/>
      <c r="L494" s="48">
        <f t="shared" si="197"/>
        <v>418.29042323036299</v>
      </c>
      <c r="M494" s="48"/>
      <c r="N494" s="38">
        <f t="shared" si="198"/>
        <v>0</v>
      </c>
      <c r="O494" s="36">
        <f t="shared" si="199"/>
        <v>0</v>
      </c>
      <c r="P494" s="84">
        <f t="shared" si="200"/>
        <v>-14545.436268791502</v>
      </c>
      <c r="Q494" s="38">
        <f t="shared" si="201"/>
        <v>0</v>
      </c>
      <c r="R494" s="48">
        <f t="shared" si="202"/>
        <v>105.75704510615137</v>
      </c>
      <c r="S494" s="38">
        <f t="shared" si="193"/>
        <v>524.04746833651438</v>
      </c>
      <c r="T494" s="50">
        <f t="shared" si="206"/>
        <v>11550</v>
      </c>
      <c r="U494" s="40">
        <f t="shared" si="207"/>
        <v>11465.340500744249</v>
      </c>
      <c r="V494" s="41">
        <f t="shared" si="208"/>
        <v>-7.3298267753897361E-3</v>
      </c>
      <c r="W494" s="39">
        <f t="shared" si="209"/>
        <v>-84.659499255751143</v>
      </c>
      <c r="X494" s="50">
        <f t="shared" si="203"/>
        <v>2995.905018807779</v>
      </c>
      <c r="Y494" s="41">
        <f t="shared" si="210"/>
        <v>0.25205588913870369</v>
      </c>
      <c r="Z494" s="52"/>
      <c r="AA494" s="50">
        <f t="shared" si="190"/>
        <v>14545.905018807778</v>
      </c>
      <c r="AB494" s="39">
        <f t="shared" si="191"/>
        <v>14364.141107103858</v>
      </c>
      <c r="AC494" s="39">
        <f t="shared" si="211"/>
        <v>-181.7639117039198</v>
      </c>
      <c r="AD494" s="41">
        <f t="shared" si="212"/>
        <v>-1.2495881931643305E-2</v>
      </c>
      <c r="AF494" s="46">
        <f t="shared" si="194"/>
        <v>0</v>
      </c>
      <c r="AG494" s="46">
        <f t="shared" si="213"/>
        <v>0</v>
      </c>
      <c r="AH494" s="54">
        <f t="shared" si="195"/>
        <v>3241</v>
      </c>
      <c r="AI494" s="55">
        <f t="shared" si="204"/>
        <v>0.4844097995545657</v>
      </c>
      <c r="AJ494" s="55">
        <f t="shared" si="214"/>
        <v>0</v>
      </c>
      <c r="AK494" s="55">
        <f t="shared" si="215"/>
        <v>0</v>
      </c>
    </row>
    <row r="495" spans="2:37" s="53" customFormat="1" ht="17.25" customHeight="1" x14ac:dyDescent="0.25">
      <c r="B495" s="91" t="str">
        <f t="shared" si="196"/>
        <v/>
      </c>
      <c r="C495" s="81">
        <f>IF(Sheet3!A466="","",Sheet3!A466)</f>
        <v>40875</v>
      </c>
      <c r="D495" s="82">
        <f>IF(C495="","",Sheet3!E466)</f>
        <v>28.959999</v>
      </c>
      <c r="E495" s="56">
        <f>_xlfn.XLOOKUP(WEEKNUM(C495)&amp;YEAR(C495),Sheet4!C:C,Sheet4!B:B,0)</f>
        <v>0</v>
      </c>
      <c r="F495" s="46">
        <f>IF(int=Weekly,-$D$5,IF(int=Bi_Weekly,-$D$5,IF(int=Monthly,-$D$5,IF(int=Quarterly,0,IF(int=Yearly,0,IF(int=None,0,0))))))</f>
        <v>-100</v>
      </c>
      <c r="G495" s="46"/>
      <c r="H495" s="46">
        <f t="shared" si="205"/>
        <v>-11650</v>
      </c>
      <c r="I495" s="47"/>
      <c r="J495" s="38">
        <f t="shared" si="192"/>
        <v>3.4530387932679143</v>
      </c>
      <c r="K495" s="48"/>
      <c r="L495" s="48">
        <f t="shared" si="197"/>
        <v>421.74346202363091</v>
      </c>
      <c r="M495" s="48"/>
      <c r="N495" s="38">
        <f t="shared" si="198"/>
        <v>0</v>
      </c>
      <c r="O495" s="36">
        <f t="shared" si="199"/>
        <v>0</v>
      </c>
      <c r="P495" s="84">
        <f t="shared" si="200"/>
        <v>-14645.436268791502</v>
      </c>
      <c r="Q495" s="38">
        <f t="shared" si="201"/>
        <v>0</v>
      </c>
      <c r="R495" s="48">
        <f t="shared" si="202"/>
        <v>105.75704510615137</v>
      </c>
      <c r="S495" s="38">
        <f t="shared" si="193"/>
        <v>527.50050712978225</v>
      </c>
      <c r="T495" s="50">
        <f t="shared" si="206"/>
        <v>11650</v>
      </c>
      <c r="U495" s="40">
        <f t="shared" si="207"/>
        <v>12213.690238460889</v>
      </c>
      <c r="V495" s="41">
        <f t="shared" si="208"/>
        <v>4.8385428194067659E-2</v>
      </c>
      <c r="W495" s="39">
        <f t="shared" si="209"/>
        <v>563.6902384608893</v>
      </c>
      <c r="X495" s="50">
        <f t="shared" si="203"/>
        <v>2995.905018807779</v>
      </c>
      <c r="Y495" s="41">
        <f t="shared" si="210"/>
        <v>0.30554465727628055</v>
      </c>
      <c r="Z495" s="52"/>
      <c r="AA495" s="50">
        <f t="shared" si="190"/>
        <v>14645.905018807778</v>
      </c>
      <c r="AB495" s="39">
        <f t="shared" si="191"/>
        <v>15276.414158977988</v>
      </c>
      <c r="AC495" s="39">
        <f t="shared" si="211"/>
        <v>630.50914017021023</v>
      </c>
      <c r="AD495" s="41">
        <f t="shared" si="212"/>
        <v>4.3050199995188443E-2</v>
      </c>
      <c r="AF495" s="46">
        <f t="shared" si="194"/>
        <v>-100</v>
      </c>
      <c r="AG495" s="46">
        <f t="shared" si="213"/>
        <v>-100</v>
      </c>
      <c r="AH495" s="54">
        <f t="shared" si="195"/>
        <v>3248</v>
      </c>
      <c r="AI495" s="55">
        <f t="shared" si="204"/>
        <v>0.48329621380846327</v>
      </c>
      <c r="AJ495" s="55">
        <f t="shared" si="214"/>
        <v>-48.329621380846326</v>
      </c>
      <c r="AK495" s="55">
        <f t="shared" si="215"/>
        <v>-48.329621380846326</v>
      </c>
    </row>
    <row r="496" spans="2:37" s="53" customFormat="1" ht="17.25" customHeight="1" x14ac:dyDescent="0.25">
      <c r="B496" s="91" t="str">
        <f t="shared" si="196"/>
        <v/>
      </c>
      <c r="C496" s="81">
        <f>IF(Sheet3!A467="","",Sheet3!A467)</f>
        <v>40882</v>
      </c>
      <c r="D496" s="82">
        <f>IF(C496="","",Sheet3!E467)</f>
        <v>29.030000999999999</v>
      </c>
      <c r="E496" s="56">
        <f>_xlfn.XLOOKUP(WEEKNUM(C496)&amp;YEAR(C496),Sheet4!C:C,Sheet4!B:B,0)</f>
        <v>0</v>
      </c>
      <c r="F496" s="46">
        <f>IF(int=Weekly,-$D$5,IF(int=Bi_Weekly,0,IF(int=Monthly,0,IF(int=Quarterly,0,IF(int=Yearly,0,IF(int=None,0,0))))))</f>
        <v>0</v>
      </c>
      <c r="G496" s="46"/>
      <c r="H496" s="46">
        <f t="shared" si="205"/>
        <v>-11650</v>
      </c>
      <c r="I496" s="47"/>
      <c r="J496" s="38">
        <f t="shared" si="192"/>
        <v>0</v>
      </c>
      <c r="K496" s="48"/>
      <c r="L496" s="48">
        <f t="shared" si="197"/>
        <v>421.74346202363091</v>
      </c>
      <c r="M496" s="48"/>
      <c r="N496" s="38">
        <f t="shared" si="198"/>
        <v>0</v>
      </c>
      <c r="O496" s="36">
        <f t="shared" si="199"/>
        <v>0</v>
      </c>
      <c r="P496" s="84">
        <f t="shared" si="200"/>
        <v>-14645.436268791502</v>
      </c>
      <c r="Q496" s="38">
        <f t="shared" si="201"/>
        <v>0</v>
      </c>
      <c r="R496" s="48">
        <f t="shared" si="202"/>
        <v>105.75704510615137</v>
      </c>
      <c r="S496" s="38">
        <f t="shared" si="193"/>
        <v>527.50050712978225</v>
      </c>
      <c r="T496" s="50">
        <f t="shared" si="206"/>
        <v>11650</v>
      </c>
      <c r="U496" s="40">
        <f t="shared" si="207"/>
        <v>12243.213124289467</v>
      </c>
      <c r="V496" s="41">
        <f t="shared" si="208"/>
        <v>5.0919581484074383E-2</v>
      </c>
      <c r="W496" s="39">
        <f t="shared" si="209"/>
        <v>593.21312428946658</v>
      </c>
      <c r="X496" s="50">
        <f t="shared" si="203"/>
        <v>2995.905018807779</v>
      </c>
      <c r="Y496" s="41">
        <f t="shared" si="210"/>
        <v>0.30807881056628728</v>
      </c>
      <c r="Z496" s="52"/>
      <c r="AA496" s="50">
        <f t="shared" si="190"/>
        <v>14645.905018807778</v>
      </c>
      <c r="AB496" s="39">
        <f t="shared" si="191"/>
        <v>15313.340249478086</v>
      </c>
      <c r="AC496" s="39">
        <f t="shared" si="211"/>
        <v>667.43523067030765</v>
      </c>
      <c r="AD496" s="41">
        <f t="shared" si="212"/>
        <v>4.557145699178089E-2</v>
      </c>
      <c r="AF496" s="46">
        <f t="shared" si="194"/>
        <v>0</v>
      </c>
      <c r="AG496" s="46">
        <f t="shared" si="213"/>
        <v>0</v>
      </c>
      <c r="AH496" s="54">
        <f t="shared" si="195"/>
        <v>3255</v>
      </c>
      <c r="AI496" s="55">
        <f t="shared" si="204"/>
        <v>0.48218262806236079</v>
      </c>
      <c r="AJ496" s="55">
        <f t="shared" si="214"/>
        <v>0</v>
      </c>
      <c r="AK496" s="55">
        <f t="shared" si="215"/>
        <v>0</v>
      </c>
    </row>
    <row r="497" spans="2:37" s="53" customFormat="1" ht="17.25" customHeight="1" x14ac:dyDescent="0.25">
      <c r="B497" s="91" t="str">
        <f t="shared" si="196"/>
        <v/>
      </c>
      <c r="C497" s="81">
        <f>IF(Sheet3!A468="","",Sheet3!A468)</f>
        <v>40889</v>
      </c>
      <c r="D497" s="82">
        <f>IF(C497="","",Sheet3!E468)</f>
        <v>28.85</v>
      </c>
      <c r="E497" s="56">
        <f>_xlfn.XLOOKUP(WEEKNUM(C497)&amp;YEAR(C497),Sheet4!C:C,Sheet4!B:B,0)</f>
        <v>0</v>
      </c>
      <c r="F497" s="46">
        <f>IF(int=Weekly,-$D$5,IF(int=Bi_Weekly,-$D$5,IF(int=Monthly,0,IF(int=Quarterly,0,IF(int=Yearly,0,IF(int=None,0,0))))))</f>
        <v>0</v>
      </c>
      <c r="G497" s="46"/>
      <c r="H497" s="46">
        <f t="shared" si="205"/>
        <v>-11650</v>
      </c>
      <c r="I497" s="47"/>
      <c r="J497" s="38">
        <f t="shared" si="192"/>
        <v>0</v>
      </c>
      <c r="K497" s="48"/>
      <c r="L497" s="48">
        <f t="shared" si="197"/>
        <v>421.74346202363091</v>
      </c>
      <c r="M497" s="48"/>
      <c r="N497" s="38">
        <f t="shared" si="198"/>
        <v>0</v>
      </c>
      <c r="O497" s="36">
        <f t="shared" si="199"/>
        <v>0</v>
      </c>
      <c r="P497" s="84">
        <f t="shared" si="200"/>
        <v>-14645.436268791502</v>
      </c>
      <c r="Q497" s="38">
        <f t="shared" si="201"/>
        <v>0</v>
      </c>
      <c r="R497" s="48">
        <f t="shared" si="202"/>
        <v>105.75704510615137</v>
      </c>
      <c r="S497" s="38">
        <f t="shared" si="193"/>
        <v>527.50050712978225</v>
      </c>
      <c r="T497" s="50">
        <f t="shared" si="206"/>
        <v>11650</v>
      </c>
      <c r="U497" s="40">
        <f t="shared" si="207"/>
        <v>12167.298879381753</v>
      </c>
      <c r="V497" s="41">
        <f t="shared" si="208"/>
        <v>4.4403337285987332E-2</v>
      </c>
      <c r="W497" s="39">
        <f t="shared" si="209"/>
        <v>517.29887938175307</v>
      </c>
      <c r="X497" s="50">
        <f t="shared" si="203"/>
        <v>2995.905018807779</v>
      </c>
      <c r="Y497" s="41">
        <f t="shared" si="210"/>
        <v>0.3015625663682</v>
      </c>
      <c r="Z497" s="52"/>
      <c r="AA497" s="50">
        <f t="shared" ref="AA497:AA560" si="216">(D497*Q497)+(D497*J497)+AA496</f>
        <v>14645.905018807778</v>
      </c>
      <c r="AB497" s="39">
        <f t="shared" ref="AB497:AB560" si="217">(L497*D497)+(D497*R497)</f>
        <v>15218.389630694221</v>
      </c>
      <c r="AC497" s="39">
        <f t="shared" si="211"/>
        <v>572.48461188644251</v>
      </c>
      <c r="AD497" s="41">
        <f t="shared" si="212"/>
        <v>3.90883739278165E-2</v>
      </c>
      <c r="AF497" s="46">
        <f t="shared" si="194"/>
        <v>0</v>
      </c>
      <c r="AG497" s="46">
        <f t="shared" si="213"/>
        <v>0</v>
      </c>
      <c r="AH497" s="54">
        <f t="shared" si="195"/>
        <v>3262</v>
      </c>
      <c r="AI497" s="55">
        <f t="shared" si="204"/>
        <v>0.48106904231625836</v>
      </c>
      <c r="AJ497" s="55">
        <f t="shared" si="214"/>
        <v>0</v>
      </c>
      <c r="AK497" s="55">
        <f t="shared" si="215"/>
        <v>0</v>
      </c>
    </row>
    <row r="498" spans="2:37" s="53" customFormat="1" ht="17.25" customHeight="1" x14ac:dyDescent="0.25">
      <c r="B498" s="91" t="str">
        <f t="shared" si="196"/>
        <v/>
      </c>
      <c r="C498" s="81">
        <f>IF(Sheet3!A469="","",Sheet3!A469)</f>
        <v>40896</v>
      </c>
      <c r="D498" s="82">
        <f>IF(C498="","",Sheet3!E469)</f>
        <v>29.870000999999998</v>
      </c>
      <c r="E498" s="56">
        <f>_xlfn.XLOOKUP(WEEKNUM(C498)&amp;YEAR(C498),Sheet4!C:C,Sheet4!B:B,0)</f>
        <v>0</v>
      </c>
      <c r="F498" s="46">
        <f>IF(int=Weekly,-$D$5,IF(int=Bi_Weekly,0,IF(int=Monthly,0,IF(int=Quarterly,0,IF(int=Yearly,0,IF(int=None,0,0))))))</f>
        <v>0</v>
      </c>
      <c r="G498" s="46"/>
      <c r="H498" s="46">
        <f t="shared" si="205"/>
        <v>-11650</v>
      </c>
      <c r="I498" s="47"/>
      <c r="J498" s="38">
        <f t="shared" si="192"/>
        <v>0</v>
      </c>
      <c r="K498" s="48"/>
      <c r="L498" s="48">
        <f t="shared" si="197"/>
        <v>421.74346202363091</v>
      </c>
      <c r="M498" s="48"/>
      <c r="N498" s="38">
        <f t="shared" si="198"/>
        <v>0</v>
      </c>
      <c r="O498" s="36">
        <f t="shared" si="199"/>
        <v>0</v>
      </c>
      <c r="P498" s="84">
        <f t="shared" si="200"/>
        <v>-14645.436268791502</v>
      </c>
      <c r="Q498" s="38">
        <f t="shared" si="201"/>
        <v>0</v>
      </c>
      <c r="R498" s="48">
        <f t="shared" si="202"/>
        <v>105.75704510615137</v>
      </c>
      <c r="S498" s="38">
        <f t="shared" si="193"/>
        <v>527.50050712978225</v>
      </c>
      <c r="T498" s="50">
        <f t="shared" si="206"/>
        <v>11650</v>
      </c>
      <c r="U498" s="40">
        <f t="shared" si="207"/>
        <v>12597.477632389317</v>
      </c>
      <c r="V498" s="41">
        <f t="shared" si="208"/>
        <v>8.1328552136421983E-2</v>
      </c>
      <c r="W498" s="39">
        <f t="shared" si="209"/>
        <v>947.47763238931657</v>
      </c>
      <c r="X498" s="50">
        <f t="shared" si="203"/>
        <v>2995.905018807779</v>
      </c>
      <c r="Y498" s="41">
        <f t="shared" si="210"/>
        <v>0.33848778121863465</v>
      </c>
      <c r="Z498" s="52"/>
      <c r="AA498" s="50">
        <f t="shared" si="216"/>
        <v>14645.905018807778</v>
      </c>
      <c r="AB498" s="39">
        <f t="shared" si="217"/>
        <v>15756.440675467104</v>
      </c>
      <c r="AC498" s="39">
        <f t="shared" si="211"/>
        <v>1110.5356566593255</v>
      </c>
      <c r="AD498" s="41">
        <f t="shared" si="212"/>
        <v>7.5825676544618581E-2</v>
      </c>
      <c r="AF498" s="46">
        <f t="shared" si="194"/>
        <v>0</v>
      </c>
      <c r="AG498" s="46">
        <f t="shared" si="213"/>
        <v>0</v>
      </c>
      <c r="AH498" s="54">
        <f t="shared" si="195"/>
        <v>3269</v>
      </c>
      <c r="AI498" s="55">
        <f t="shared" si="204"/>
        <v>0.47995545657015593</v>
      </c>
      <c r="AJ498" s="55">
        <f t="shared" si="214"/>
        <v>0</v>
      </c>
      <c r="AK498" s="55">
        <f t="shared" si="215"/>
        <v>0</v>
      </c>
    </row>
    <row r="499" spans="2:37" s="53" customFormat="1" ht="17.25" customHeight="1" x14ac:dyDescent="0.25">
      <c r="B499" s="91" t="str">
        <f t="shared" si="196"/>
        <v/>
      </c>
      <c r="C499" s="81">
        <f>IF(Sheet3!A470="","",Sheet3!A470)</f>
        <v>40903</v>
      </c>
      <c r="D499" s="82">
        <f>IF(C499="","",Sheet3!E470)</f>
        <v>30.24</v>
      </c>
      <c r="E499" s="56">
        <f>_xlfn.XLOOKUP(WEEKNUM(C499)&amp;YEAR(C499),Sheet4!C:C,Sheet4!B:B,0)</f>
        <v>0</v>
      </c>
      <c r="F499" s="46">
        <f>IF(int=Weekly,-$D$5,IF(int=Bi_Weekly,-$D$5,IF(int=Monthly,-$D$5,IF(int=Quarterly,-$D$5,IF(int=Yearly,-$D$5,IF(int=None,0,0))))))</f>
        <v>-100</v>
      </c>
      <c r="G499" s="46"/>
      <c r="H499" s="46">
        <f t="shared" si="205"/>
        <v>-11750</v>
      </c>
      <c r="I499" s="47"/>
      <c r="J499" s="38">
        <f t="shared" si="192"/>
        <v>3.306878306878307</v>
      </c>
      <c r="K499" s="48"/>
      <c r="L499" s="48">
        <f t="shared" si="197"/>
        <v>425.05034033050924</v>
      </c>
      <c r="M499" s="48"/>
      <c r="N499" s="38">
        <f t="shared" si="198"/>
        <v>0</v>
      </c>
      <c r="O499" s="36">
        <f t="shared" si="199"/>
        <v>0</v>
      </c>
      <c r="P499" s="84">
        <f t="shared" si="200"/>
        <v>-14745.436268791502</v>
      </c>
      <c r="Q499" s="38">
        <f t="shared" si="201"/>
        <v>0</v>
      </c>
      <c r="R499" s="48">
        <f t="shared" si="202"/>
        <v>105.75704510615137</v>
      </c>
      <c r="S499" s="38">
        <f t="shared" si="193"/>
        <v>530.80738543666064</v>
      </c>
      <c r="T499" s="50">
        <f t="shared" si="206"/>
        <v>11750</v>
      </c>
      <c r="U499" s="40">
        <f t="shared" si="207"/>
        <v>12853.5222915946</v>
      </c>
      <c r="V499" s="41">
        <f t="shared" si="208"/>
        <v>9.3916790774008385E-2</v>
      </c>
      <c r="W499" s="39">
        <f t="shared" si="209"/>
        <v>1103.5222915945997</v>
      </c>
      <c r="X499" s="50">
        <f t="shared" si="203"/>
        <v>2995.905018807779</v>
      </c>
      <c r="Y499" s="41">
        <f t="shared" si="210"/>
        <v>0.34888743067254269</v>
      </c>
      <c r="Z499" s="52"/>
      <c r="AA499" s="50">
        <f t="shared" si="216"/>
        <v>14745.905018807778</v>
      </c>
      <c r="AB499" s="39">
        <f t="shared" si="217"/>
        <v>16051.615335604616</v>
      </c>
      <c r="AC499" s="39">
        <f t="shared" si="211"/>
        <v>1305.710316796838</v>
      </c>
      <c r="AD499" s="41">
        <f t="shared" si="212"/>
        <v>8.8547316365557682E-2</v>
      </c>
      <c r="AF499" s="46">
        <f t="shared" si="194"/>
        <v>-100</v>
      </c>
      <c r="AG499" s="46">
        <f t="shared" si="213"/>
        <v>-100</v>
      </c>
      <c r="AH499" s="54">
        <f t="shared" si="195"/>
        <v>3276</v>
      </c>
      <c r="AI499" s="55">
        <f t="shared" si="204"/>
        <v>0.47884187082405344</v>
      </c>
      <c r="AJ499" s="55">
        <f t="shared" si="214"/>
        <v>-47.884187082405347</v>
      </c>
      <c r="AK499" s="55">
        <f t="shared" si="215"/>
        <v>-47.884187082405347</v>
      </c>
    </row>
    <row r="500" spans="2:37" s="53" customFormat="1" ht="17.25" customHeight="1" x14ac:dyDescent="0.25">
      <c r="B500" s="91" t="str">
        <f t="shared" si="196"/>
        <v/>
      </c>
      <c r="C500" s="81">
        <f>IF(Sheet3!A471="","",Sheet3!A471)</f>
        <v>40910</v>
      </c>
      <c r="D500" s="82">
        <f>IF(C500="","",Sheet3!E471)</f>
        <v>29.68</v>
      </c>
      <c r="E500" s="56">
        <f>_xlfn.XLOOKUP(WEEKNUM(C500)&amp;YEAR(C500),Sheet4!C:C,Sheet4!B:B,0)</f>
        <v>0.44</v>
      </c>
      <c r="F500" s="46">
        <f>IF(int=Weekly,-$D$5,IF(int=Bi_Weekly,0,IF(int=Monthly,0,IF(int=Quarterly,0,IF(int=Yearly,0,IF(int=None,0,0))))))</f>
        <v>0</v>
      </c>
      <c r="G500" s="46"/>
      <c r="H500" s="46">
        <f t="shared" si="205"/>
        <v>-11750</v>
      </c>
      <c r="I500" s="47"/>
      <c r="J500" s="38">
        <f t="shared" si="192"/>
        <v>0</v>
      </c>
      <c r="K500" s="48"/>
      <c r="L500" s="48">
        <f t="shared" si="197"/>
        <v>425.05034033050924</v>
      </c>
      <c r="M500" s="48"/>
      <c r="N500" s="38">
        <f t="shared" si="198"/>
        <v>187.02214974542406</v>
      </c>
      <c r="O500" s="36">
        <f t="shared" si="199"/>
        <v>-187.02214974542406</v>
      </c>
      <c r="P500" s="84">
        <f t="shared" si="200"/>
        <v>-14932.458418536926</v>
      </c>
      <c r="Q500" s="38">
        <f t="shared" si="201"/>
        <v>6.3012853687811345</v>
      </c>
      <c r="R500" s="48">
        <f t="shared" si="202"/>
        <v>112.0583304749325</v>
      </c>
      <c r="S500" s="38">
        <f t="shared" si="193"/>
        <v>537.10867080544176</v>
      </c>
      <c r="T500" s="50">
        <f t="shared" si="206"/>
        <v>11750</v>
      </c>
      <c r="U500" s="40">
        <f t="shared" si="207"/>
        <v>12615.494101009514</v>
      </c>
      <c r="V500" s="41">
        <f t="shared" si="208"/>
        <v>7.365907242634151E-2</v>
      </c>
      <c r="W500" s="39">
        <f t="shared" si="209"/>
        <v>865.49410100951354</v>
      </c>
      <c r="X500" s="50">
        <f t="shared" si="203"/>
        <v>3182.927168553203</v>
      </c>
      <c r="Y500" s="41">
        <f t="shared" si="210"/>
        <v>0.34454649102661428</v>
      </c>
      <c r="Z500" s="52"/>
      <c r="AA500" s="50">
        <f t="shared" si="216"/>
        <v>14932.927168553202</v>
      </c>
      <c r="AB500" s="39">
        <f t="shared" si="217"/>
        <v>15941.38534950551</v>
      </c>
      <c r="AC500" s="39">
        <f t="shared" si="211"/>
        <v>1008.4581809523079</v>
      </c>
      <c r="AD500" s="41">
        <f t="shared" si="212"/>
        <v>6.7532518545726949E-2</v>
      </c>
      <c r="AF500" s="46">
        <f t="shared" si="194"/>
        <v>187.02214974542406</v>
      </c>
      <c r="AG500" s="46">
        <f t="shared" si="213"/>
        <v>0</v>
      </c>
      <c r="AH500" s="54">
        <f t="shared" si="195"/>
        <v>3283</v>
      </c>
      <c r="AI500" s="55">
        <f t="shared" si="204"/>
        <v>0.47772828507795101</v>
      </c>
      <c r="AJ500" s="55">
        <f t="shared" si="214"/>
        <v>89.345770869473185</v>
      </c>
      <c r="AK500" s="55">
        <f t="shared" si="215"/>
        <v>0</v>
      </c>
    </row>
    <row r="501" spans="2:37" s="53" customFormat="1" ht="17.25" customHeight="1" x14ac:dyDescent="0.25">
      <c r="B501" s="91" t="str">
        <f t="shared" si="196"/>
        <v/>
      </c>
      <c r="C501" s="81">
        <f>IF(Sheet3!A472="","",Sheet3!A472)</f>
        <v>40917</v>
      </c>
      <c r="D501" s="82">
        <f>IF(C501="","",Sheet3!E472)</f>
        <v>30.07</v>
      </c>
      <c r="E501" s="56">
        <f>_xlfn.XLOOKUP(WEEKNUM(C501)&amp;YEAR(C501),Sheet4!C:C,Sheet4!B:B,0)</f>
        <v>0</v>
      </c>
      <c r="F501" s="46">
        <f>IF(int=Weekly,-$D$5,IF(int=Bi_Weekly,-$D$5,IF(int=Monthly,0,IF(int=Quarterly,0,IF(int=Yearly,0,IF(int=None,0,0))))))</f>
        <v>0</v>
      </c>
      <c r="G501" s="46"/>
      <c r="H501" s="46">
        <f t="shared" si="205"/>
        <v>-11750</v>
      </c>
      <c r="I501" s="47"/>
      <c r="J501" s="38">
        <f t="shared" si="192"/>
        <v>0</v>
      </c>
      <c r="K501" s="48"/>
      <c r="L501" s="48">
        <f t="shared" si="197"/>
        <v>425.05034033050924</v>
      </c>
      <c r="M501" s="48"/>
      <c r="N501" s="38">
        <f t="shared" si="198"/>
        <v>0</v>
      </c>
      <c r="O501" s="36">
        <f t="shared" si="199"/>
        <v>0</v>
      </c>
      <c r="P501" s="84">
        <f t="shared" si="200"/>
        <v>-14932.458418536926</v>
      </c>
      <c r="Q501" s="38">
        <f t="shared" si="201"/>
        <v>0</v>
      </c>
      <c r="R501" s="48">
        <f t="shared" si="202"/>
        <v>112.0583304749325</v>
      </c>
      <c r="S501" s="38">
        <f t="shared" si="193"/>
        <v>537.10867080544176</v>
      </c>
      <c r="T501" s="50">
        <f t="shared" si="206"/>
        <v>11750</v>
      </c>
      <c r="U501" s="40">
        <f t="shared" si="207"/>
        <v>12781.263733738413</v>
      </c>
      <c r="V501" s="41">
        <f t="shared" si="208"/>
        <v>8.7767126275609675E-2</v>
      </c>
      <c r="W501" s="39">
        <f t="shared" si="209"/>
        <v>1031.2637337384131</v>
      </c>
      <c r="X501" s="50">
        <f t="shared" si="203"/>
        <v>3182.927168553203</v>
      </c>
      <c r="Y501" s="41">
        <f t="shared" si="210"/>
        <v>0.35865454487588222</v>
      </c>
      <c r="Z501" s="52"/>
      <c r="AA501" s="50">
        <f t="shared" si="216"/>
        <v>14932.927168553202</v>
      </c>
      <c r="AB501" s="39">
        <f t="shared" si="217"/>
        <v>16150.857731119633</v>
      </c>
      <c r="AC501" s="39">
        <f t="shared" si="211"/>
        <v>1217.930562566431</v>
      </c>
      <c r="AD501" s="41">
        <f t="shared" si="212"/>
        <v>8.1560068486186355E-2</v>
      </c>
      <c r="AF501" s="46">
        <f t="shared" si="194"/>
        <v>0</v>
      </c>
      <c r="AG501" s="46">
        <f t="shared" si="213"/>
        <v>0</v>
      </c>
      <c r="AH501" s="54">
        <f t="shared" si="195"/>
        <v>3290</v>
      </c>
      <c r="AI501" s="55">
        <f t="shared" si="204"/>
        <v>0.47661469933184858</v>
      </c>
      <c r="AJ501" s="55">
        <f t="shared" si="214"/>
        <v>0</v>
      </c>
      <c r="AK501" s="55">
        <f t="shared" si="215"/>
        <v>0</v>
      </c>
    </row>
    <row r="502" spans="2:37" s="53" customFormat="1" ht="17.25" customHeight="1" x14ac:dyDescent="0.25">
      <c r="B502" s="91" t="str">
        <f t="shared" si="196"/>
        <v/>
      </c>
      <c r="C502" s="81">
        <f>IF(Sheet3!A473="","",Sheet3!A473)</f>
        <v>40924</v>
      </c>
      <c r="D502" s="82">
        <f>IF(C502="","",Sheet3!E473)</f>
        <v>30.51</v>
      </c>
      <c r="E502" s="56">
        <f>_xlfn.XLOOKUP(WEEKNUM(C502)&amp;YEAR(C502),Sheet4!C:C,Sheet4!B:B,0)</f>
        <v>0</v>
      </c>
      <c r="F502" s="46">
        <f>IF(int=Weekly,-$D$5,IF(int=Bi_Weekly,0,IF(int=Monthly,0,IF(int=Quarterly,0,IF(int=Yearly,0,IF(int=None,0,0))))))</f>
        <v>0</v>
      </c>
      <c r="G502" s="46"/>
      <c r="H502" s="46">
        <f t="shared" si="205"/>
        <v>-11750</v>
      </c>
      <c r="I502" s="47"/>
      <c r="J502" s="38">
        <f t="shared" si="192"/>
        <v>0</v>
      </c>
      <c r="K502" s="48"/>
      <c r="L502" s="48">
        <f t="shared" si="197"/>
        <v>425.05034033050924</v>
      </c>
      <c r="M502" s="48"/>
      <c r="N502" s="38">
        <f t="shared" si="198"/>
        <v>0</v>
      </c>
      <c r="O502" s="36">
        <f t="shared" si="199"/>
        <v>0</v>
      </c>
      <c r="P502" s="84">
        <f t="shared" si="200"/>
        <v>-14932.458418536926</v>
      </c>
      <c r="Q502" s="38">
        <f t="shared" si="201"/>
        <v>0</v>
      </c>
      <c r="R502" s="48">
        <f t="shared" si="202"/>
        <v>112.0583304749325</v>
      </c>
      <c r="S502" s="38">
        <f t="shared" si="193"/>
        <v>537.10867080544176</v>
      </c>
      <c r="T502" s="50">
        <f t="shared" si="206"/>
        <v>11750</v>
      </c>
      <c r="U502" s="40">
        <f t="shared" si="207"/>
        <v>12968.285883483837</v>
      </c>
      <c r="V502" s="41">
        <f t="shared" si="208"/>
        <v>0.10368390497734792</v>
      </c>
      <c r="W502" s="39">
        <f t="shared" si="209"/>
        <v>1218.2858834838371</v>
      </c>
      <c r="X502" s="50">
        <f t="shared" si="203"/>
        <v>3182.927168553203</v>
      </c>
      <c r="Y502" s="41">
        <f t="shared" si="210"/>
        <v>0.37457132357762046</v>
      </c>
      <c r="Z502" s="52"/>
      <c r="AA502" s="50">
        <f t="shared" si="216"/>
        <v>14932.927168553202</v>
      </c>
      <c r="AB502" s="39">
        <f t="shared" si="217"/>
        <v>16387.185546274028</v>
      </c>
      <c r="AC502" s="39">
        <f t="shared" si="211"/>
        <v>1454.2583777208256</v>
      </c>
      <c r="AD502" s="41">
        <f t="shared" si="212"/>
        <v>9.7386022265166128E-2</v>
      </c>
      <c r="AF502" s="46">
        <f t="shared" si="194"/>
        <v>0</v>
      </c>
      <c r="AG502" s="46">
        <f t="shared" si="213"/>
        <v>0</v>
      </c>
      <c r="AH502" s="54">
        <f t="shared" si="195"/>
        <v>3297</v>
      </c>
      <c r="AI502" s="55">
        <f t="shared" si="204"/>
        <v>0.47550111358574609</v>
      </c>
      <c r="AJ502" s="55">
        <f t="shared" si="214"/>
        <v>0</v>
      </c>
      <c r="AK502" s="55">
        <f t="shared" si="215"/>
        <v>0</v>
      </c>
    </row>
    <row r="503" spans="2:37" s="53" customFormat="1" ht="17.25" customHeight="1" x14ac:dyDescent="0.25">
      <c r="B503" s="91" t="str">
        <f t="shared" si="196"/>
        <v/>
      </c>
      <c r="C503" s="81">
        <f>IF(Sheet3!A474="","",Sheet3!A474)</f>
        <v>40931</v>
      </c>
      <c r="D503" s="82">
        <f>IF(C503="","",Sheet3!E474)</f>
        <v>29.16</v>
      </c>
      <c r="E503" s="56">
        <f>_xlfn.XLOOKUP(WEEKNUM(C503)&amp;YEAR(C503),Sheet4!C:C,Sheet4!B:B,0)</f>
        <v>0</v>
      </c>
      <c r="F503" s="46">
        <f>IF(int=Weekly,-$D$5,IF(int=Bi_Weekly,-$D$5,IF(int=Monthly,-$D$5,IF(int=Quarterly,0,IF(int=Yearly,0,IF(int=None,0,0))))))</f>
        <v>-100</v>
      </c>
      <c r="G503" s="46"/>
      <c r="H503" s="46">
        <f t="shared" si="205"/>
        <v>-11850</v>
      </c>
      <c r="I503" s="47"/>
      <c r="J503" s="38">
        <f t="shared" si="192"/>
        <v>3.4293552812071328</v>
      </c>
      <c r="K503" s="48"/>
      <c r="L503" s="48">
        <f t="shared" si="197"/>
        <v>428.47969561171635</v>
      </c>
      <c r="M503" s="48"/>
      <c r="N503" s="38">
        <f t="shared" si="198"/>
        <v>0</v>
      </c>
      <c r="O503" s="36">
        <f t="shared" si="199"/>
        <v>0</v>
      </c>
      <c r="P503" s="84">
        <f t="shared" si="200"/>
        <v>-15032.458418536926</v>
      </c>
      <c r="Q503" s="38">
        <f t="shared" si="201"/>
        <v>0</v>
      </c>
      <c r="R503" s="48">
        <f t="shared" si="202"/>
        <v>112.0583304749325</v>
      </c>
      <c r="S503" s="38">
        <f t="shared" si="193"/>
        <v>540.53802608664887</v>
      </c>
      <c r="T503" s="50">
        <f t="shared" si="206"/>
        <v>11850</v>
      </c>
      <c r="U503" s="40">
        <f t="shared" si="207"/>
        <v>12494.467924037648</v>
      </c>
      <c r="V503" s="41">
        <f t="shared" si="208"/>
        <v>5.4385478821742383E-2</v>
      </c>
      <c r="W503" s="39">
        <f t="shared" si="209"/>
        <v>644.46792403764812</v>
      </c>
      <c r="X503" s="50">
        <f t="shared" si="203"/>
        <v>3182.927168553203</v>
      </c>
      <c r="Y503" s="41">
        <f t="shared" si="210"/>
        <v>0.32298692764479742</v>
      </c>
      <c r="Z503" s="52"/>
      <c r="AA503" s="50">
        <f t="shared" si="216"/>
        <v>15032.927168553202</v>
      </c>
      <c r="AB503" s="39">
        <f t="shared" si="217"/>
        <v>15762.08884068668</v>
      </c>
      <c r="AC503" s="39">
        <f t="shared" si="211"/>
        <v>729.16167213347762</v>
      </c>
      <c r="AD503" s="41">
        <f t="shared" si="212"/>
        <v>4.8504304182274138E-2</v>
      </c>
      <c r="AF503" s="46">
        <f t="shared" si="194"/>
        <v>-100</v>
      </c>
      <c r="AG503" s="46">
        <f t="shared" si="213"/>
        <v>-100</v>
      </c>
      <c r="AH503" s="54">
        <f t="shared" si="195"/>
        <v>3304</v>
      </c>
      <c r="AI503" s="55">
        <f t="shared" si="204"/>
        <v>0.47438752783964366</v>
      </c>
      <c r="AJ503" s="55">
        <f t="shared" si="214"/>
        <v>-47.438752783964368</v>
      </c>
      <c r="AK503" s="55">
        <f t="shared" si="215"/>
        <v>-47.438752783964368</v>
      </c>
    </row>
    <row r="504" spans="2:37" s="53" customFormat="1" ht="17.25" customHeight="1" x14ac:dyDescent="0.25">
      <c r="B504" s="91" t="str">
        <f t="shared" si="196"/>
        <v/>
      </c>
      <c r="C504" s="81">
        <f>IF(Sheet3!A475="","",Sheet3!A475)</f>
        <v>40938</v>
      </c>
      <c r="D504" s="82">
        <f>IF(C504="","",Sheet3!E475)</f>
        <v>29.950001</v>
      </c>
      <c r="E504" s="56">
        <f>_xlfn.XLOOKUP(WEEKNUM(C504)&amp;YEAR(C504),Sheet4!C:C,Sheet4!B:B,0)</f>
        <v>0</v>
      </c>
      <c r="F504" s="46">
        <f>IF(int=Weekly,-$D$5,IF(int=Bi_Weekly,0,IF(int=Monthly,0,IF(int=Quarterly,0,IF(int=Yearly,0,IF(int=None,0,0))))))</f>
        <v>0</v>
      </c>
      <c r="G504" s="46"/>
      <c r="H504" s="46">
        <f t="shared" si="205"/>
        <v>-11850</v>
      </c>
      <c r="I504" s="47"/>
      <c r="J504" s="38">
        <f t="shared" si="192"/>
        <v>0</v>
      </c>
      <c r="K504" s="48"/>
      <c r="L504" s="48">
        <f t="shared" si="197"/>
        <v>428.47969561171635</v>
      </c>
      <c r="M504" s="48"/>
      <c r="N504" s="38">
        <f t="shared" si="198"/>
        <v>0</v>
      </c>
      <c r="O504" s="36">
        <f t="shared" si="199"/>
        <v>0</v>
      </c>
      <c r="P504" s="84">
        <f t="shared" si="200"/>
        <v>-15032.458418536926</v>
      </c>
      <c r="Q504" s="38">
        <f t="shared" si="201"/>
        <v>0</v>
      </c>
      <c r="R504" s="48">
        <f t="shared" si="202"/>
        <v>112.0583304749325</v>
      </c>
      <c r="S504" s="38">
        <f t="shared" si="193"/>
        <v>540.53802608664887</v>
      </c>
      <c r="T504" s="50">
        <f t="shared" si="206"/>
        <v>11850</v>
      </c>
      <c r="U504" s="40">
        <f t="shared" si="207"/>
        <v>12832.967312050601</v>
      </c>
      <c r="V504" s="41">
        <f t="shared" si="208"/>
        <v>8.2950828021147727E-2</v>
      </c>
      <c r="W504" s="39">
        <f t="shared" si="209"/>
        <v>982.96731205060132</v>
      </c>
      <c r="X504" s="50">
        <f t="shared" si="203"/>
        <v>3182.927168553203</v>
      </c>
      <c r="Y504" s="41">
        <f t="shared" si="210"/>
        <v>0.35155227684420298</v>
      </c>
      <c r="Z504" s="52"/>
      <c r="AA504" s="50">
        <f t="shared" si="216"/>
        <v>15032.927168553202</v>
      </c>
      <c r="AB504" s="39">
        <f t="shared" si="217"/>
        <v>16189.114421833161</v>
      </c>
      <c r="AC504" s="39">
        <f t="shared" si="211"/>
        <v>1156.1872532799589</v>
      </c>
      <c r="AD504" s="41">
        <f t="shared" si="212"/>
        <v>7.6910320945247523E-2</v>
      </c>
      <c r="AF504" s="46">
        <f t="shared" si="194"/>
        <v>0</v>
      </c>
      <c r="AG504" s="46">
        <f t="shared" si="213"/>
        <v>0</v>
      </c>
      <c r="AH504" s="54">
        <f t="shared" si="195"/>
        <v>3311</v>
      </c>
      <c r="AI504" s="55">
        <f t="shared" si="204"/>
        <v>0.47327394209354118</v>
      </c>
      <c r="AJ504" s="55">
        <f t="shared" si="214"/>
        <v>0</v>
      </c>
      <c r="AK504" s="55">
        <f t="shared" si="215"/>
        <v>0</v>
      </c>
    </row>
    <row r="505" spans="2:37" s="53" customFormat="1" ht="17.25" customHeight="1" x14ac:dyDescent="0.25">
      <c r="B505" s="91" t="str">
        <f t="shared" si="196"/>
        <v/>
      </c>
      <c r="C505" s="81">
        <f>IF(Sheet3!A476="","",Sheet3!A476)</f>
        <v>40945</v>
      </c>
      <c r="D505" s="82">
        <f>IF(C505="","",Sheet3!E476)</f>
        <v>29.84</v>
      </c>
      <c r="E505" s="56">
        <f>_xlfn.XLOOKUP(WEEKNUM(C505)&amp;YEAR(C505),Sheet4!C:C,Sheet4!B:B,0)</f>
        <v>0</v>
      </c>
      <c r="F505" s="46">
        <f>IF(int=Weekly,-$D$5,IF(int=Bi_Weekly,-$D$5,IF(int=Monthly,0,IF(int=Quarterly,0,IF(int=Yearly,0,IF(int=None,0,0))))))</f>
        <v>0</v>
      </c>
      <c r="G505" s="46"/>
      <c r="H505" s="46">
        <f t="shared" si="205"/>
        <v>-11850</v>
      </c>
      <c r="I505" s="47"/>
      <c r="J505" s="38">
        <f t="shared" si="192"/>
        <v>0</v>
      </c>
      <c r="K505" s="48"/>
      <c r="L505" s="48">
        <f t="shared" si="197"/>
        <v>428.47969561171635</v>
      </c>
      <c r="M505" s="48"/>
      <c r="N505" s="38">
        <f t="shared" si="198"/>
        <v>0</v>
      </c>
      <c r="O505" s="36">
        <f t="shared" si="199"/>
        <v>0</v>
      </c>
      <c r="P505" s="84">
        <f t="shared" si="200"/>
        <v>-15032.458418536926</v>
      </c>
      <c r="Q505" s="38">
        <f t="shared" si="201"/>
        <v>0</v>
      </c>
      <c r="R505" s="48">
        <f t="shared" si="202"/>
        <v>112.0583304749325</v>
      </c>
      <c r="S505" s="38">
        <f t="shared" si="193"/>
        <v>540.53802608664887</v>
      </c>
      <c r="T505" s="50">
        <f t="shared" si="206"/>
        <v>11850</v>
      </c>
      <c r="U505" s="40">
        <f t="shared" si="207"/>
        <v>12785.834117053615</v>
      </c>
      <c r="V505" s="41">
        <f t="shared" si="208"/>
        <v>7.8973343211275582E-2</v>
      </c>
      <c r="W505" s="39">
        <f t="shared" si="209"/>
        <v>935.83411705361505</v>
      </c>
      <c r="X505" s="50">
        <f t="shared" si="203"/>
        <v>3182.927168553203</v>
      </c>
      <c r="Y505" s="41">
        <f t="shared" si="210"/>
        <v>0.34757479203433062</v>
      </c>
      <c r="Z505" s="52"/>
      <c r="AA505" s="50">
        <f t="shared" si="216"/>
        <v>15032.927168553202</v>
      </c>
      <c r="AB505" s="39">
        <f t="shared" si="217"/>
        <v>16129.654698425602</v>
      </c>
      <c r="AC505" s="39">
        <f t="shared" si="211"/>
        <v>1096.7275298723998</v>
      </c>
      <c r="AD505" s="41">
        <f t="shared" si="212"/>
        <v>7.2955021838102319E-2</v>
      </c>
      <c r="AF505" s="46">
        <f t="shared" si="194"/>
        <v>0</v>
      </c>
      <c r="AG505" s="46">
        <f t="shared" si="213"/>
        <v>0</v>
      </c>
      <c r="AH505" s="54">
        <f t="shared" si="195"/>
        <v>3318</v>
      </c>
      <c r="AI505" s="55">
        <f t="shared" si="204"/>
        <v>0.47216035634743875</v>
      </c>
      <c r="AJ505" s="55">
        <f t="shared" si="214"/>
        <v>0</v>
      </c>
      <c r="AK505" s="55">
        <f t="shared" si="215"/>
        <v>0</v>
      </c>
    </row>
    <row r="506" spans="2:37" s="53" customFormat="1" ht="17.25" customHeight="1" x14ac:dyDescent="0.25">
      <c r="B506" s="91" t="str">
        <f t="shared" si="196"/>
        <v/>
      </c>
      <c r="C506" s="81">
        <f>IF(Sheet3!A477="","",Sheet3!A477)</f>
        <v>40952</v>
      </c>
      <c r="D506" s="82">
        <f>IF(C506="","",Sheet3!E477)</f>
        <v>30.01</v>
      </c>
      <c r="E506" s="56">
        <f>_xlfn.XLOOKUP(WEEKNUM(C506)&amp;YEAR(C506),Sheet4!C:C,Sheet4!B:B,0)</f>
        <v>0</v>
      </c>
      <c r="F506" s="46">
        <f>IF(int=Weekly,-$D$5,IF(int=Bi_Weekly,0,IF(int=Monthly,0,IF(int=Quarterly,0,IF(int=Yearly,0,IF(int=None,0,0))))))</f>
        <v>0</v>
      </c>
      <c r="G506" s="46"/>
      <c r="H506" s="46">
        <f t="shared" si="205"/>
        <v>-11850</v>
      </c>
      <c r="I506" s="47"/>
      <c r="J506" s="38">
        <f t="shared" si="192"/>
        <v>0</v>
      </c>
      <c r="K506" s="48"/>
      <c r="L506" s="48">
        <f t="shared" si="197"/>
        <v>428.47969561171635</v>
      </c>
      <c r="M506" s="48"/>
      <c r="N506" s="38">
        <f t="shared" si="198"/>
        <v>0</v>
      </c>
      <c r="O506" s="36">
        <f t="shared" si="199"/>
        <v>0</v>
      </c>
      <c r="P506" s="84">
        <f t="shared" si="200"/>
        <v>-15032.458418536926</v>
      </c>
      <c r="Q506" s="38">
        <f t="shared" si="201"/>
        <v>0</v>
      </c>
      <c r="R506" s="48">
        <f t="shared" si="202"/>
        <v>112.0583304749325</v>
      </c>
      <c r="S506" s="38">
        <f t="shared" si="193"/>
        <v>540.53802608664887</v>
      </c>
      <c r="T506" s="50">
        <f t="shared" si="206"/>
        <v>11850</v>
      </c>
      <c r="U506" s="40">
        <f t="shared" si="207"/>
        <v>12858.675665307608</v>
      </c>
      <c r="V506" s="41">
        <f t="shared" si="208"/>
        <v>8.5120309308658992E-2</v>
      </c>
      <c r="W506" s="39">
        <f t="shared" si="209"/>
        <v>1008.6756653076081</v>
      </c>
      <c r="X506" s="50">
        <f t="shared" si="203"/>
        <v>3182.927168553203</v>
      </c>
      <c r="Y506" s="41">
        <f t="shared" si="210"/>
        <v>0.35372175813171403</v>
      </c>
      <c r="Z506" s="52"/>
      <c r="AA506" s="50">
        <f t="shared" si="216"/>
        <v>15032.927168553202</v>
      </c>
      <c r="AB506" s="39">
        <f t="shared" si="217"/>
        <v>16221.546162860333</v>
      </c>
      <c r="AC506" s="39">
        <f t="shared" si="211"/>
        <v>1188.6189943071313</v>
      </c>
      <c r="AD506" s="41">
        <f t="shared" si="212"/>
        <v>7.9067701252059308E-2</v>
      </c>
      <c r="AF506" s="46">
        <f t="shared" si="194"/>
        <v>0</v>
      </c>
      <c r="AG506" s="46">
        <f t="shared" si="213"/>
        <v>0</v>
      </c>
      <c r="AH506" s="54">
        <f t="shared" si="195"/>
        <v>3325</v>
      </c>
      <c r="AI506" s="55">
        <f t="shared" si="204"/>
        <v>0.47104677060133632</v>
      </c>
      <c r="AJ506" s="55">
        <f t="shared" si="214"/>
        <v>0</v>
      </c>
      <c r="AK506" s="55">
        <f t="shared" si="215"/>
        <v>0</v>
      </c>
    </row>
    <row r="507" spans="2:37" s="53" customFormat="1" ht="17.25" customHeight="1" x14ac:dyDescent="0.25">
      <c r="B507" s="91" t="str">
        <f t="shared" si="196"/>
        <v/>
      </c>
      <c r="C507" s="81">
        <f>IF(Sheet3!A478="","",Sheet3!A478)</f>
        <v>40959</v>
      </c>
      <c r="D507" s="82">
        <f>IF(C507="","",Sheet3!E478)</f>
        <v>30.34</v>
      </c>
      <c r="E507" s="56">
        <f>_xlfn.XLOOKUP(WEEKNUM(C507)&amp;YEAR(C507),Sheet4!C:C,Sheet4!B:B,0)</f>
        <v>0</v>
      </c>
      <c r="F507" s="46">
        <f>IF(int=Weekly,-$D$5,IF(int=Bi_Weekly,-$D$5,IF(int=Monthly,-$D$5,IF(int=Quarterly,0,IF(int=Yearly,0,IF(int=None,0,0))))))</f>
        <v>-100</v>
      </c>
      <c r="G507" s="46"/>
      <c r="H507" s="46">
        <f t="shared" si="205"/>
        <v>-11950</v>
      </c>
      <c r="I507" s="47"/>
      <c r="J507" s="38">
        <f t="shared" si="192"/>
        <v>3.2959789057350033</v>
      </c>
      <c r="K507" s="48"/>
      <c r="L507" s="48">
        <f t="shared" si="197"/>
        <v>431.77567451745136</v>
      </c>
      <c r="M507" s="48"/>
      <c r="N507" s="38">
        <f t="shared" si="198"/>
        <v>0</v>
      </c>
      <c r="O507" s="36">
        <f t="shared" si="199"/>
        <v>0</v>
      </c>
      <c r="P507" s="84">
        <f t="shared" si="200"/>
        <v>-15132.458418536926</v>
      </c>
      <c r="Q507" s="38">
        <f t="shared" si="201"/>
        <v>0</v>
      </c>
      <c r="R507" s="48">
        <f t="shared" si="202"/>
        <v>112.0583304749325</v>
      </c>
      <c r="S507" s="38">
        <f t="shared" si="193"/>
        <v>543.83400499238383</v>
      </c>
      <c r="T507" s="50">
        <f t="shared" si="206"/>
        <v>11950</v>
      </c>
      <c r="U507" s="40">
        <f t="shared" si="207"/>
        <v>13100.073964859474</v>
      </c>
      <c r="V507" s="41">
        <f t="shared" si="208"/>
        <v>9.62404991514203E-2</v>
      </c>
      <c r="W507" s="39">
        <f t="shared" si="209"/>
        <v>1150.0739648594736</v>
      </c>
      <c r="X507" s="50">
        <f t="shared" si="203"/>
        <v>3182.927168553203</v>
      </c>
      <c r="Y507" s="41">
        <f t="shared" si="210"/>
        <v>0.36259423710566319</v>
      </c>
      <c r="Z507" s="52"/>
      <c r="AA507" s="50">
        <f t="shared" si="216"/>
        <v>15132.927168553202</v>
      </c>
      <c r="AB507" s="39">
        <f t="shared" si="217"/>
        <v>16499.923711468924</v>
      </c>
      <c r="AC507" s="39">
        <f t="shared" si="211"/>
        <v>1366.9965429157219</v>
      </c>
      <c r="AD507" s="41">
        <f t="shared" si="212"/>
        <v>9.0332592477970319E-2</v>
      </c>
      <c r="AF507" s="46">
        <f t="shared" si="194"/>
        <v>-100</v>
      </c>
      <c r="AG507" s="46">
        <f t="shared" si="213"/>
        <v>-100</v>
      </c>
      <c r="AH507" s="54">
        <f t="shared" si="195"/>
        <v>3332</v>
      </c>
      <c r="AI507" s="55">
        <f t="shared" si="204"/>
        <v>0.46993318485523383</v>
      </c>
      <c r="AJ507" s="55">
        <f t="shared" si="214"/>
        <v>-46.993318485523382</v>
      </c>
      <c r="AK507" s="55">
        <f t="shared" si="215"/>
        <v>-46.993318485523382</v>
      </c>
    </row>
    <row r="508" spans="2:37" s="53" customFormat="1" ht="17.25" customHeight="1" x14ac:dyDescent="0.25">
      <c r="B508" s="91" t="str">
        <f t="shared" si="196"/>
        <v/>
      </c>
      <c r="C508" s="81">
        <f>IF(Sheet3!A479="","",Sheet3!A479)</f>
        <v>40966</v>
      </c>
      <c r="D508" s="82">
        <f>IF(C508="","",Sheet3!E479)</f>
        <v>30.870000999999998</v>
      </c>
      <c r="E508" s="56">
        <f>_xlfn.XLOOKUP(WEEKNUM(C508)&amp;YEAR(C508),Sheet4!C:C,Sheet4!B:B,0)</f>
        <v>0</v>
      </c>
      <c r="F508" s="46">
        <f>IF(int=Weekly,-$D$5,IF(int=Bi_Weekly,0,IF(int=Monthly,0,IF(int=Quarterly,0,IF(int=Yearly,0,IF(int=None,0,0))))))</f>
        <v>0</v>
      </c>
      <c r="G508" s="46"/>
      <c r="H508" s="46">
        <f t="shared" si="205"/>
        <v>-11950</v>
      </c>
      <c r="I508" s="47"/>
      <c r="J508" s="38">
        <f t="shared" si="192"/>
        <v>0</v>
      </c>
      <c r="K508" s="48"/>
      <c r="L508" s="48">
        <f t="shared" si="197"/>
        <v>431.77567451745136</v>
      </c>
      <c r="M508" s="48"/>
      <c r="N508" s="38">
        <f t="shared" si="198"/>
        <v>0</v>
      </c>
      <c r="O508" s="36">
        <f t="shared" si="199"/>
        <v>0</v>
      </c>
      <c r="P508" s="84">
        <f t="shared" si="200"/>
        <v>-15132.458418536926</v>
      </c>
      <c r="Q508" s="38">
        <f t="shared" si="201"/>
        <v>0</v>
      </c>
      <c r="R508" s="48">
        <f t="shared" si="202"/>
        <v>112.0583304749325</v>
      </c>
      <c r="S508" s="38">
        <f t="shared" si="193"/>
        <v>543.83400499238383</v>
      </c>
      <c r="T508" s="50">
        <f t="shared" si="206"/>
        <v>11950</v>
      </c>
      <c r="U508" s="40">
        <f t="shared" si="207"/>
        <v>13328.915504129398</v>
      </c>
      <c r="V508" s="41">
        <f t="shared" si="208"/>
        <v>0.11539041875559808</v>
      </c>
      <c r="W508" s="39">
        <f t="shared" si="209"/>
        <v>1378.915504129398</v>
      </c>
      <c r="X508" s="50">
        <f t="shared" si="203"/>
        <v>3182.927168553203</v>
      </c>
      <c r="Y508" s="41">
        <f t="shared" si="210"/>
        <v>0.38174415670984096</v>
      </c>
      <c r="Z508" s="52"/>
      <c r="AA508" s="50">
        <f t="shared" si="216"/>
        <v>15132.927168553202</v>
      </c>
      <c r="AB508" s="39">
        <f t="shared" si="217"/>
        <v>16788.156277948896</v>
      </c>
      <c r="AC508" s="39">
        <f t="shared" si="211"/>
        <v>1655.2291093956937</v>
      </c>
      <c r="AD508" s="41">
        <f t="shared" si="212"/>
        <v>0.1093793085078294</v>
      </c>
      <c r="AF508" s="46">
        <f t="shared" si="194"/>
        <v>0</v>
      </c>
      <c r="AG508" s="46">
        <f t="shared" si="213"/>
        <v>0</v>
      </c>
      <c r="AH508" s="54">
        <f t="shared" si="195"/>
        <v>3339</v>
      </c>
      <c r="AI508" s="55">
        <f t="shared" si="204"/>
        <v>0.4688195991091314</v>
      </c>
      <c r="AJ508" s="55">
        <f t="shared" si="214"/>
        <v>0</v>
      </c>
      <c r="AK508" s="55">
        <f t="shared" si="215"/>
        <v>0</v>
      </c>
    </row>
    <row r="509" spans="2:37" s="53" customFormat="1" ht="17.25" customHeight="1" x14ac:dyDescent="0.25">
      <c r="B509" s="91" t="str">
        <f t="shared" si="196"/>
        <v/>
      </c>
      <c r="C509" s="81">
        <f>IF(Sheet3!A480="","",Sheet3!A480)</f>
        <v>40973</v>
      </c>
      <c r="D509" s="82">
        <f>IF(C509="","",Sheet3!E480)</f>
        <v>31.18</v>
      </c>
      <c r="E509" s="56">
        <f>_xlfn.XLOOKUP(WEEKNUM(C509)&amp;YEAR(C509),Sheet4!C:C,Sheet4!B:B,0)</f>
        <v>0</v>
      </c>
      <c r="F509" s="46">
        <f>IF(int=Weekly,-$D$5,IF(int=Bi_Weekly,-$D$5,IF(int=Monthly,0,IF(int=Quarterly,0,IF(int=Yearly,0,IF(int=None,0,0))))))</f>
        <v>0</v>
      </c>
      <c r="G509" s="46"/>
      <c r="H509" s="46">
        <f t="shared" si="205"/>
        <v>-11950</v>
      </c>
      <c r="I509" s="47"/>
      <c r="J509" s="38">
        <f t="shared" si="192"/>
        <v>0</v>
      </c>
      <c r="K509" s="48"/>
      <c r="L509" s="48">
        <f t="shared" si="197"/>
        <v>431.77567451745136</v>
      </c>
      <c r="M509" s="48"/>
      <c r="N509" s="38">
        <f t="shared" si="198"/>
        <v>0</v>
      </c>
      <c r="O509" s="36">
        <f t="shared" si="199"/>
        <v>0</v>
      </c>
      <c r="P509" s="84">
        <f t="shared" si="200"/>
        <v>-15132.458418536926</v>
      </c>
      <c r="Q509" s="38">
        <f t="shared" si="201"/>
        <v>0</v>
      </c>
      <c r="R509" s="48">
        <f t="shared" si="202"/>
        <v>112.0583304749325</v>
      </c>
      <c r="S509" s="38">
        <f t="shared" si="193"/>
        <v>543.83400499238383</v>
      </c>
      <c r="T509" s="50">
        <f t="shared" si="206"/>
        <v>11950</v>
      </c>
      <c r="U509" s="40">
        <f t="shared" si="207"/>
        <v>13462.765531454133</v>
      </c>
      <c r="V509" s="41">
        <f t="shared" si="208"/>
        <v>0.12659125786227055</v>
      </c>
      <c r="W509" s="39">
        <f t="shared" si="209"/>
        <v>1512.7655314541335</v>
      </c>
      <c r="X509" s="50">
        <f t="shared" si="203"/>
        <v>3182.927168553203</v>
      </c>
      <c r="Y509" s="41">
        <f t="shared" si="210"/>
        <v>0.39294499581651365</v>
      </c>
      <c r="Z509" s="52"/>
      <c r="AA509" s="50">
        <f t="shared" si="216"/>
        <v>15132.927168553202</v>
      </c>
      <c r="AB509" s="39">
        <f t="shared" si="217"/>
        <v>16956.744275662528</v>
      </c>
      <c r="AC509" s="39">
        <f t="shared" si="211"/>
        <v>1823.8171071093257</v>
      </c>
      <c r="AD509" s="41">
        <f t="shared" si="212"/>
        <v>0.1205197835683296</v>
      </c>
      <c r="AF509" s="46">
        <f t="shared" si="194"/>
        <v>0</v>
      </c>
      <c r="AG509" s="46">
        <f t="shared" si="213"/>
        <v>0</v>
      </c>
      <c r="AH509" s="54">
        <f t="shared" si="195"/>
        <v>3346</v>
      </c>
      <c r="AI509" s="55">
        <f t="shared" si="204"/>
        <v>0.46770601336302897</v>
      </c>
      <c r="AJ509" s="55">
        <f t="shared" si="214"/>
        <v>0</v>
      </c>
      <c r="AK509" s="55">
        <f t="shared" si="215"/>
        <v>0</v>
      </c>
    </row>
    <row r="510" spans="2:37" s="53" customFormat="1" ht="17.25" customHeight="1" x14ac:dyDescent="0.25">
      <c r="B510" s="91" t="str">
        <f t="shared" si="196"/>
        <v/>
      </c>
      <c r="C510" s="81">
        <f>IF(Sheet3!A481="","",Sheet3!A481)</f>
        <v>40980</v>
      </c>
      <c r="D510" s="82">
        <f>IF(C510="","",Sheet3!E481)</f>
        <v>31.59</v>
      </c>
      <c r="E510" s="56">
        <f>_xlfn.XLOOKUP(WEEKNUM(C510)&amp;YEAR(C510),Sheet4!C:C,Sheet4!B:B,0)</f>
        <v>0</v>
      </c>
      <c r="F510" s="46">
        <f>IF(int=Weekly,-$D$5,IF(int=Bi_Weekly,0,IF(int=Monthly,0,IF(int=Quarterly,0,IF(int=Yearly,0,IF(int=None,0,0))))))</f>
        <v>0</v>
      </c>
      <c r="G510" s="46"/>
      <c r="H510" s="46">
        <f t="shared" si="205"/>
        <v>-11950</v>
      </c>
      <c r="I510" s="47"/>
      <c r="J510" s="38">
        <f t="shared" si="192"/>
        <v>0</v>
      </c>
      <c r="K510" s="48"/>
      <c r="L510" s="48">
        <f t="shared" si="197"/>
        <v>431.77567451745136</v>
      </c>
      <c r="M510" s="48"/>
      <c r="N510" s="38">
        <f t="shared" si="198"/>
        <v>0</v>
      </c>
      <c r="O510" s="36">
        <f t="shared" si="199"/>
        <v>0</v>
      </c>
      <c r="P510" s="84">
        <f t="shared" si="200"/>
        <v>-15132.458418536926</v>
      </c>
      <c r="Q510" s="38">
        <f t="shared" si="201"/>
        <v>0</v>
      </c>
      <c r="R510" s="48">
        <f t="shared" si="202"/>
        <v>112.0583304749325</v>
      </c>
      <c r="S510" s="38">
        <f t="shared" si="193"/>
        <v>543.83400499238383</v>
      </c>
      <c r="T510" s="50">
        <f t="shared" si="206"/>
        <v>11950</v>
      </c>
      <c r="U510" s="40">
        <f t="shared" si="207"/>
        <v>13639.793558006288</v>
      </c>
      <c r="V510" s="41">
        <f t="shared" si="208"/>
        <v>0.14140531866161399</v>
      </c>
      <c r="W510" s="39">
        <f t="shared" si="209"/>
        <v>1689.7935580062876</v>
      </c>
      <c r="X510" s="50">
        <f t="shared" si="203"/>
        <v>3182.927168553203</v>
      </c>
      <c r="Y510" s="41">
        <f t="shared" si="210"/>
        <v>0.4077590566158571</v>
      </c>
      <c r="Z510" s="52"/>
      <c r="AA510" s="50">
        <f t="shared" si="216"/>
        <v>15132.927168553202</v>
      </c>
      <c r="AB510" s="39">
        <f t="shared" si="217"/>
        <v>17179.716217709407</v>
      </c>
      <c r="AC510" s="39">
        <f t="shared" si="211"/>
        <v>2046.7890491562048</v>
      </c>
      <c r="AD510" s="41">
        <f t="shared" si="212"/>
        <v>0.13525400779100494</v>
      </c>
      <c r="AF510" s="46">
        <f t="shared" si="194"/>
        <v>0</v>
      </c>
      <c r="AG510" s="46">
        <f t="shared" si="213"/>
        <v>0</v>
      </c>
      <c r="AH510" s="54">
        <f t="shared" si="195"/>
        <v>3353</v>
      </c>
      <c r="AI510" s="55">
        <f t="shared" si="204"/>
        <v>0.46659242761692649</v>
      </c>
      <c r="AJ510" s="55">
        <f t="shared" si="214"/>
        <v>0</v>
      </c>
      <c r="AK510" s="55">
        <f t="shared" si="215"/>
        <v>0</v>
      </c>
    </row>
    <row r="511" spans="2:37" s="53" customFormat="1" ht="17.25" customHeight="1" x14ac:dyDescent="0.25">
      <c r="B511" s="91" t="str">
        <f t="shared" si="196"/>
        <v/>
      </c>
      <c r="C511" s="81">
        <f>IF(Sheet3!A482="","",Sheet3!A482)</f>
        <v>40987</v>
      </c>
      <c r="D511" s="82">
        <f>IF(C511="","",Sheet3!E482)</f>
        <v>31.52</v>
      </c>
      <c r="E511" s="56">
        <f>_xlfn.XLOOKUP(WEEKNUM(C511)&amp;YEAR(C511),Sheet4!C:C,Sheet4!B:B,0)</f>
        <v>0</v>
      </c>
      <c r="F511" s="46">
        <f>IF(int=Weekly,-$D$5,IF(int=Bi_Weekly,-$D$5,IF(int=Monthly,-$D$5,IF(int=Quarterly,0,IF(int=Yearly,0,IF(int=None,0,0))))))</f>
        <v>-100</v>
      </c>
      <c r="G511" s="46"/>
      <c r="H511" s="46">
        <f t="shared" si="205"/>
        <v>-12050</v>
      </c>
      <c r="I511" s="47"/>
      <c r="J511" s="38">
        <f t="shared" si="192"/>
        <v>3.1725888324873095</v>
      </c>
      <c r="K511" s="48"/>
      <c r="L511" s="48">
        <f t="shared" si="197"/>
        <v>434.94826334993866</v>
      </c>
      <c r="M511" s="48"/>
      <c r="N511" s="38">
        <f t="shared" si="198"/>
        <v>0</v>
      </c>
      <c r="O511" s="36">
        <f t="shared" si="199"/>
        <v>0</v>
      </c>
      <c r="P511" s="84">
        <f t="shared" si="200"/>
        <v>-15232.458418536926</v>
      </c>
      <c r="Q511" s="38">
        <f t="shared" si="201"/>
        <v>0</v>
      </c>
      <c r="R511" s="48">
        <f t="shared" si="202"/>
        <v>112.0583304749325</v>
      </c>
      <c r="S511" s="38">
        <f t="shared" si="193"/>
        <v>547.00659382487117</v>
      </c>
      <c r="T511" s="50">
        <f t="shared" si="206"/>
        <v>12050</v>
      </c>
      <c r="U511" s="40">
        <f t="shared" si="207"/>
        <v>13709.569260790066</v>
      </c>
      <c r="V511" s="41">
        <f t="shared" si="208"/>
        <v>0.13772359010705948</v>
      </c>
      <c r="W511" s="39">
        <f t="shared" si="209"/>
        <v>1659.5692607900655</v>
      </c>
      <c r="X511" s="50">
        <f t="shared" si="203"/>
        <v>3182.927168553203</v>
      </c>
      <c r="Y511" s="41">
        <f t="shared" si="210"/>
        <v>0.40186692359695164</v>
      </c>
      <c r="Z511" s="52"/>
      <c r="AA511" s="50">
        <f t="shared" si="216"/>
        <v>15232.927168553202</v>
      </c>
      <c r="AB511" s="39">
        <f t="shared" si="217"/>
        <v>17241.647837359938</v>
      </c>
      <c r="AC511" s="39">
        <f t="shared" si="211"/>
        <v>2008.7206688067363</v>
      </c>
      <c r="AD511" s="41">
        <f t="shared" si="212"/>
        <v>0.13186701719112337</v>
      </c>
      <c r="AF511" s="46">
        <f t="shared" si="194"/>
        <v>-100</v>
      </c>
      <c r="AG511" s="46">
        <f t="shared" si="213"/>
        <v>-100</v>
      </c>
      <c r="AH511" s="54">
        <f t="shared" si="195"/>
        <v>3360</v>
      </c>
      <c r="AI511" s="55">
        <f t="shared" si="204"/>
        <v>0.46547884187082406</v>
      </c>
      <c r="AJ511" s="55">
        <f t="shared" si="214"/>
        <v>-46.547884187082403</v>
      </c>
      <c r="AK511" s="55">
        <f t="shared" si="215"/>
        <v>-46.547884187082403</v>
      </c>
    </row>
    <row r="512" spans="2:37" s="53" customFormat="1" ht="17.25" customHeight="1" x14ac:dyDescent="0.25">
      <c r="B512" s="91" t="str">
        <f t="shared" si="196"/>
        <v/>
      </c>
      <c r="C512" s="81">
        <f>IF(Sheet3!A483="","",Sheet3!A483)</f>
        <v>40994</v>
      </c>
      <c r="D512" s="82">
        <f>IF(C512="","",Sheet3!E483)</f>
        <v>31.23</v>
      </c>
      <c r="E512" s="56">
        <f>_xlfn.XLOOKUP(WEEKNUM(C512)&amp;YEAR(C512),Sheet4!C:C,Sheet4!B:B,0)</f>
        <v>0</v>
      </c>
      <c r="F512" s="46">
        <f>IF(int=Weekly,-$D$5,IF(int=Bi_Weekly,0,IF(int=Monthly,0,IF(int=Quarterly,-$D$5,IF(int=Yearly,0,IF(int=None,0,0))))))</f>
        <v>0</v>
      </c>
      <c r="G512" s="46"/>
      <c r="H512" s="46">
        <f t="shared" si="205"/>
        <v>-12050</v>
      </c>
      <c r="I512" s="47"/>
      <c r="J512" s="38">
        <f t="shared" si="192"/>
        <v>0</v>
      </c>
      <c r="K512" s="48"/>
      <c r="L512" s="48">
        <f t="shared" si="197"/>
        <v>434.94826334993866</v>
      </c>
      <c r="M512" s="48"/>
      <c r="N512" s="38">
        <f t="shared" si="198"/>
        <v>0</v>
      </c>
      <c r="O512" s="36">
        <f t="shared" si="199"/>
        <v>0</v>
      </c>
      <c r="P512" s="84">
        <f t="shared" si="200"/>
        <v>-15232.458418536926</v>
      </c>
      <c r="Q512" s="38">
        <f t="shared" si="201"/>
        <v>0</v>
      </c>
      <c r="R512" s="48">
        <f t="shared" si="202"/>
        <v>112.0583304749325</v>
      </c>
      <c r="S512" s="38">
        <f t="shared" si="193"/>
        <v>547.00659382487117</v>
      </c>
      <c r="T512" s="50">
        <f t="shared" si="206"/>
        <v>12050</v>
      </c>
      <c r="U512" s="40">
        <f t="shared" si="207"/>
        <v>13583.434264418584</v>
      </c>
      <c r="V512" s="41">
        <f t="shared" si="208"/>
        <v>0.12725595555340941</v>
      </c>
      <c r="W512" s="39">
        <f t="shared" si="209"/>
        <v>1533.4342644185836</v>
      </c>
      <c r="X512" s="50">
        <f t="shared" si="203"/>
        <v>3182.927168553203</v>
      </c>
      <c r="Y512" s="41">
        <f t="shared" si="210"/>
        <v>0.39139928904330179</v>
      </c>
      <c r="Z512" s="52"/>
      <c r="AA512" s="50">
        <f t="shared" si="216"/>
        <v>15232.927168553202</v>
      </c>
      <c r="AB512" s="39">
        <f t="shared" si="217"/>
        <v>17083.015925150725</v>
      </c>
      <c r="AC512" s="39">
        <f t="shared" si="211"/>
        <v>1850.0887565975227</v>
      </c>
      <c r="AD512" s="41">
        <f t="shared" si="212"/>
        <v>0.12145326608117957</v>
      </c>
      <c r="AF512" s="46">
        <f t="shared" si="194"/>
        <v>0</v>
      </c>
      <c r="AG512" s="46">
        <f t="shared" si="213"/>
        <v>0</v>
      </c>
      <c r="AH512" s="54">
        <f t="shared" si="195"/>
        <v>3367</v>
      </c>
      <c r="AI512" s="55">
        <f t="shared" si="204"/>
        <v>0.46436525612472163</v>
      </c>
      <c r="AJ512" s="55">
        <f t="shared" si="214"/>
        <v>0</v>
      </c>
      <c r="AK512" s="55">
        <f t="shared" si="215"/>
        <v>0</v>
      </c>
    </row>
    <row r="513" spans="2:37" s="53" customFormat="1" ht="17.25" customHeight="1" x14ac:dyDescent="0.25">
      <c r="B513" s="91" t="str">
        <f t="shared" si="196"/>
        <v/>
      </c>
      <c r="C513" s="81">
        <f>IF(Sheet3!A484="","",Sheet3!A484)</f>
        <v>41001</v>
      </c>
      <c r="D513" s="82">
        <f>IF(C513="","",Sheet3!E484)</f>
        <v>30.940000999999999</v>
      </c>
      <c r="E513" s="56">
        <f>_xlfn.XLOOKUP(WEEKNUM(C513)&amp;YEAR(C513),Sheet4!C:C,Sheet4!B:B,0)</f>
        <v>0.44</v>
      </c>
      <c r="F513" s="46">
        <f>IF(int=Weekly,-$D$5,IF(int=Bi_Weekly,-$D$5,IF(int=Monthly,0,IF(int=Quarterly,0,IF(int=Yearly,0,IF(int=None,0,0))))))</f>
        <v>0</v>
      </c>
      <c r="G513" s="46"/>
      <c r="H513" s="46">
        <f t="shared" si="205"/>
        <v>-12050</v>
      </c>
      <c r="I513" s="47"/>
      <c r="J513" s="38">
        <f t="shared" si="192"/>
        <v>0</v>
      </c>
      <c r="K513" s="48"/>
      <c r="L513" s="48">
        <f t="shared" si="197"/>
        <v>434.94826334993866</v>
      </c>
      <c r="M513" s="48"/>
      <c r="N513" s="38">
        <f t="shared" si="198"/>
        <v>191.37723587397301</v>
      </c>
      <c r="O513" s="36">
        <f t="shared" si="199"/>
        <v>-191.37723587397301</v>
      </c>
      <c r="P513" s="84">
        <f t="shared" si="200"/>
        <v>-15423.835654410899</v>
      </c>
      <c r="Q513" s="38">
        <f t="shared" si="201"/>
        <v>6.1854308238055005</v>
      </c>
      <c r="R513" s="48">
        <f t="shared" si="202"/>
        <v>118.24376129873801</v>
      </c>
      <c r="S513" s="38">
        <f t="shared" si="193"/>
        <v>553.19202464867669</v>
      </c>
      <c r="T513" s="50">
        <f t="shared" si="206"/>
        <v>12050</v>
      </c>
      <c r="U513" s="40">
        <f t="shared" si="207"/>
        <v>13457.299702995364</v>
      </c>
      <c r="V513" s="41">
        <f t="shared" si="208"/>
        <v>0.11678835709505098</v>
      </c>
      <c r="W513" s="39">
        <f t="shared" si="209"/>
        <v>1407.299702995364</v>
      </c>
      <c r="X513" s="50">
        <f t="shared" si="203"/>
        <v>3374.304404427176</v>
      </c>
      <c r="Y513" s="41">
        <f t="shared" si="210"/>
        <v>0.39681361887323985</v>
      </c>
      <c r="Z513" s="52"/>
      <c r="AA513" s="50">
        <f t="shared" si="216"/>
        <v>15424.304404427176</v>
      </c>
      <c r="AB513" s="39">
        <f t="shared" si="217"/>
        <v>17115.76179582208</v>
      </c>
      <c r="AC513" s="39">
        <f t="shared" si="211"/>
        <v>1691.4573913949043</v>
      </c>
      <c r="AD513" s="41">
        <f t="shared" si="212"/>
        <v>0.10966182636472155</v>
      </c>
      <c r="AF513" s="46">
        <f t="shared" si="194"/>
        <v>191.37723587397301</v>
      </c>
      <c r="AG513" s="46">
        <f t="shared" si="213"/>
        <v>0</v>
      </c>
      <c r="AH513" s="54">
        <f t="shared" si="195"/>
        <v>3374</v>
      </c>
      <c r="AI513" s="55">
        <f t="shared" si="204"/>
        <v>0.46325167037861914</v>
      </c>
      <c r="AJ513" s="55">
        <f t="shared" si="214"/>
        <v>88.655824191060987</v>
      </c>
      <c r="AK513" s="55">
        <f t="shared" si="215"/>
        <v>0</v>
      </c>
    </row>
    <row r="514" spans="2:37" s="53" customFormat="1" ht="17.25" customHeight="1" x14ac:dyDescent="0.25">
      <c r="B514" s="91" t="str">
        <f t="shared" si="196"/>
        <v/>
      </c>
      <c r="C514" s="81">
        <f>IF(Sheet3!A485="","",Sheet3!A485)</f>
        <v>41008</v>
      </c>
      <c r="D514" s="82">
        <f>IF(C514="","",Sheet3!E485)</f>
        <v>30.540001</v>
      </c>
      <c r="E514" s="56">
        <f>_xlfn.XLOOKUP(WEEKNUM(C514)&amp;YEAR(C514),Sheet4!C:C,Sheet4!B:B,0)</f>
        <v>0</v>
      </c>
      <c r="F514" s="46">
        <f>IF(int=Weekly,-$D$5,IF(int=Bi_Weekly,0,IF(int=Monthly,0,IF(int=Quarterly,0,IF(int=Yearly,0,IF(int=None,0,0))))))</f>
        <v>0</v>
      </c>
      <c r="G514" s="46"/>
      <c r="H514" s="46">
        <f t="shared" si="205"/>
        <v>-12050</v>
      </c>
      <c r="I514" s="47"/>
      <c r="J514" s="38">
        <f t="shared" si="192"/>
        <v>0</v>
      </c>
      <c r="K514" s="48"/>
      <c r="L514" s="48">
        <f t="shared" si="197"/>
        <v>434.94826334993866</v>
      </c>
      <c r="M514" s="48"/>
      <c r="N514" s="38">
        <f t="shared" si="198"/>
        <v>0</v>
      </c>
      <c r="O514" s="36">
        <f t="shared" si="199"/>
        <v>0</v>
      </c>
      <c r="P514" s="84">
        <f t="shared" si="200"/>
        <v>-15423.835654410899</v>
      </c>
      <c r="Q514" s="38">
        <f t="shared" si="201"/>
        <v>0</v>
      </c>
      <c r="R514" s="48">
        <f t="shared" si="202"/>
        <v>118.24376129873801</v>
      </c>
      <c r="S514" s="38">
        <f t="shared" si="193"/>
        <v>553.19202464867669</v>
      </c>
      <c r="T514" s="50">
        <f t="shared" si="206"/>
        <v>12050</v>
      </c>
      <c r="U514" s="40">
        <f t="shared" si="207"/>
        <v>13283.32039765539</v>
      </c>
      <c r="V514" s="41">
        <f t="shared" si="208"/>
        <v>0.10235024046932706</v>
      </c>
      <c r="W514" s="39">
        <f t="shared" si="209"/>
        <v>1233.3203976553905</v>
      </c>
      <c r="X514" s="50">
        <f t="shared" si="203"/>
        <v>3374.304404427176</v>
      </c>
      <c r="Y514" s="41">
        <f t="shared" si="210"/>
        <v>0.38237550224751593</v>
      </c>
      <c r="Z514" s="52"/>
      <c r="AA514" s="50">
        <f t="shared" si="216"/>
        <v>15424.304404427176</v>
      </c>
      <c r="AB514" s="39">
        <f t="shared" si="217"/>
        <v>16894.484985962612</v>
      </c>
      <c r="AC514" s="39">
        <f t="shared" si="211"/>
        <v>1470.1805815354364</v>
      </c>
      <c r="AD514" s="41">
        <f t="shared" si="212"/>
        <v>9.5315843294266012E-2</v>
      </c>
      <c r="AF514" s="46">
        <f t="shared" si="194"/>
        <v>0</v>
      </c>
      <c r="AG514" s="46">
        <f t="shared" si="213"/>
        <v>0</v>
      </c>
      <c r="AH514" s="54">
        <f t="shared" si="195"/>
        <v>3381</v>
      </c>
      <c r="AI514" s="55">
        <f t="shared" si="204"/>
        <v>0.46213808463251671</v>
      </c>
      <c r="AJ514" s="55">
        <f t="shared" si="214"/>
        <v>0</v>
      </c>
      <c r="AK514" s="55">
        <f t="shared" si="215"/>
        <v>0</v>
      </c>
    </row>
    <row r="515" spans="2:37" s="53" customFormat="1" ht="17.25" customHeight="1" x14ac:dyDescent="0.25">
      <c r="B515" s="91" t="str">
        <f t="shared" si="196"/>
        <v/>
      </c>
      <c r="C515" s="81">
        <f>IF(Sheet3!A486="","",Sheet3!A486)</f>
        <v>41015</v>
      </c>
      <c r="D515" s="82">
        <f>IF(C515="","",Sheet3!E486)</f>
        <v>30.860001</v>
      </c>
      <c r="E515" s="56">
        <f>_xlfn.XLOOKUP(WEEKNUM(C515)&amp;YEAR(C515),Sheet4!C:C,Sheet4!B:B,0)</f>
        <v>0</v>
      </c>
      <c r="F515" s="46">
        <f>IF(int=Weekly,-$D$5,IF(int=Bi_Weekly,-$D$5,IF(int=Monthly,-$D$5,IF(int=Quarterly,0,IF(int=Yearly,0,IF(int=None,0,0))))))</f>
        <v>-100</v>
      </c>
      <c r="G515" s="46"/>
      <c r="H515" s="46">
        <f t="shared" si="205"/>
        <v>-12150</v>
      </c>
      <c r="I515" s="47"/>
      <c r="J515" s="38">
        <f t="shared" si="192"/>
        <v>3.2404405949306354</v>
      </c>
      <c r="K515" s="48"/>
      <c r="L515" s="48">
        <f t="shared" si="197"/>
        <v>438.1887039448693</v>
      </c>
      <c r="M515" s="48"/>
      <c r="N515" s="38">
        <f t="shared" si="198"/>
        <v>0</v>
      </c>
      <c r="O515" s="36">
        <f t="shared" si="199"/>
        <v>0</v>
      </c>
      <c r="P515" s="84">
        <f t="shared" si="200"/>
        <v>-15523.835654410899</v>
      </c>
      <c r="Q515" s="38">
        <f t="shared" si="201"/>
        <v>0</v>
      </c>
      <c r="R515" s="48">
        <f t="shared" si="202"/>
        <v>118.24376129873801</v>
      </c>
      <c r="S515" s="38">
        <f t="shared" si="193"/>
        <v>556.43246524360734</v>
      </c>
      <c r="T515" s="50">
        <f t="shared" si="206"/>
        <v>12150</v>
      </c>
      <c r="U515" s="40">
        <f t="shared" si="207"/>
        <v>13522.503841927371</v>
      </c>
      <c r="V515" s="41">
        <f t="shared" si="208"/>
        <v>0.11296327917097715</v>
      </c>
      <c r="W515" s="39">
        <f t="shared" si="209"/>
        <v>1372.5038419273715</v>
      </c>
      <c r="X515" s="50">
        <f t="shared" si="203"/>
        <v>3374.304404427176</v>
      </c>
      <c r="Y515" s="41">
        <f t="shared" si="210"/>
        <v>0.39068380628432475</v>
      </c>
      <c r="Z515" s="52"/>
      <c r="AA515" s="50">
        <f t="shared" si="216"/>
        <v>15524.304404427176</v>
      </c>
      <c r="AB515" s="39">
        <f t="shared" si="217"/>
        <v>17171.506433850187</v>
      </c>
      <c r="AC515" s="39">
        <f t="shared" si="211"/>
        <v>1647.2020294230115</v>
      </c>
      <c r="AD515" s="41">
        <f t="shared" si="212"/>
        <v>0.10610472369720259</v>
      </c>
      <c r="AF515" s="46">
        <f t="shared" si="194"/>
        <v>-100</v>
      </c>
      <c r="AG515" s="46">
        <f t="shared" si="213"/>
        <v>-100</v>
      </c>
      <c r="AH515" s="54">
        <f t="shared" si="195"/>
        <v>3388</v>
      </c>
      <c r="AI515" s="55">
        <f t="shared" si="204"/>
        <v>0.46102449888641428</v>
      </c>
      <c r="AJ515" s="55">
        <f t="shared" si="214"/>
        <v>-46.102449888641431</v>
      </c>
      <c r="AK515" s="55">
        <f t="shared" si="215"/>
        <v>-46.102449888641431</v>
      </c>
    </row>
    <row r="516" spans="2:37" s="53" customFormat="1" ht="17.25" customHeight="1" x14ac:dyDescent="0.25">
      <c r="B516" s="91" t="str">
        <f t="shared" si="196"/>
        <v/>
      </c>
      <c r="C516" s="81">
        <f>IF(Sheet3!A487="","",Sheet3!A487)</f>
        <v>41022</v>
      </c>
      <c r="D516" s="82">
        <f>IF(C516="","",Sheet3!E487)</f>
        <v>32.669998</v>
      </c>
      <c r="E516" s="56">
        <f>_xlfn.XLOOKUP(WEEKNUM(C516)&amp;YEAR(C516),Sheet4!C:C,Sheet4!B:B,0)</f>
        <v>0</v>
      </c>
      <c r="F516" s="46">
        <f>IF(int=Weekly,-$D$5,IF(int=Bi_Weekly,0,IF(int=Monthly,0,IF(int=Quarterly,0,IF(int=Yearly,0,IF(int=None,0,0))))))</f>
        <v>0</v>
      </c>
      <c r="G516" s="46"/>
      <c r="H516" s="46">
        <f t="shared" si="205"/>
        <v>-12150</v>
      </c>
      <c r="I516" s="47"/>
      <c r="J516" s="38">
        <f t="shared" si="192"/>
        <v>0</v>
      </c>
      <c r="K516" s="48"/>
      <c r="L516" s="48">
        <f t="shared" si="197"/>
        <v>438.1887039448693</v>
      </c>
      <c r="M516" s="48"/>
      <c r="N516" s="38">
        <f t="shared" si="198"/>
        <v>0</v>
      </c>
      <c r="O516" s="36">
        <f t="shared" si="199"/>
        <v>0</v>
      </c>
      <c r="P516" s="84">
        <f t="shared" si="200"/>
        <v>-15523.835654410899</v>
      </c>
      <c r="Q516" s="38">
        <f t="shared" si="201"/>
        <v>0</v>
      </c>
      <c r="R516" s="48">
        <f t="shared" si="202"/>
        <v>118.24376129873801</v>
      </c>
      <c r="S516" s="38">
        <f t="shared" si="193"/>
        <v>556.43246524360734</v>
      </c>
      <c r="T516" s="50">
        <f t="shared" si="206"/>
        <v>12150</v>
      </c>
      <c r="U516" s="40">
        <f t="shared" si="207"/>
        <v>14315.624081501472</v>
      </c>
      <c r="V516" s="41">
        <f t="shared" si="208"/>
        <v>0.17824066514415415</v>
      </c>
      <c r="W516" s="39">
        <f t="shared" si="209"/>
        <v>2165.6240815014717</v>
      </c>
      <c r="X516" s="50">
        <f t="shared" si="203"/>
        <v>3374.304404427176</v>
      </c>
      <c r="Y516" s="41">
        <f t="shared" si="210"/>
        <v>0.45596119225750198</v>
      </c>
      <c r="Z516" s="52"/>
      <c r="AA516" s="50">
        <f t="shared" si="216"/>
        <v>15524.304404427176</v>
      </c>
      <c r="AB516" s="39">
        <f t="shared" si="217"/>
        <v>18178.647526643719</v>
      </c>
      <c r="AC516" s="39">
        <f t="shared" si="211"/>
        <v>2654.3431222165436</v>
      </c>
      <c r="AD516" s="41">
        <f t="shared" si="212"/>
        <v>0.17097984251452747</v>
      </c>
      <c r="AF516" s="46">
        <f t="shared" si="194"/>
        <v>0</v>
      </c>
      <c r="AG516" s="46">
        <f t="shared" si="213"/>
        <v>0</v>
      </c>
      <c r="AH516" s="54">
        <f t="shared" si="195"/>
        <v>3395</v>
      </c>
      <c r="AI516" s="55">
        <f t="shared" si="204"/>
        <v>0.45991091314031179</v>
      </c>
      <c r="AJ516" s="55">
        <f t="shared" si="214"/>
        <v>0</v>
      </c>
      <c r="AK516" s="55">
        <f t="shared" si="215"/>
        <v>0</v>
      </c>
    </row>
    <row r="517" spans="2:37" s="53" customFormat="1" ht="17.25" customHeight="1" x14ac:dyDescent="0.25">
      <c r="B517" s="91" t="str">
        <f t="shared" si="196"/>
        <v/>
      </c>
      <c r="C517" s="81">
        <f>IF(Sheet3!A488="","",Sheet3!A488)</f>
        <v>41029</v>
      </c>
      <c r="D517" s="82">
        <f>IF(C517="","",Sheet3!E488)</f>
        <v>32.860000999999997</v>
      </c>
      <c r="E517" s="56">
        <f>_xlfn.XLOOKUP(WEEKNUM(C517)&amp;YEAR(C517),Sheet4!C:C,Sheet4!B:B,0)</f>
        <v>0</v>
      </c>
      <c r="F517" s="46">
        <f>IF(int=Weekly,-$D$5,IF(int=Bi_Weekly,-$D$5,IF(int=Monthly,0,IF(int=Quarterly,0,IF(int=Yearly,0,IF(int=None,0,0))))))</f>
        <v>0</v>
      </c>
      <c r="G517" s="46"/>
      <c r="H517" s="46">
        <f t="shared" si="205"/>
        <v>-12150</v>
      </c>
      <c r="I517" s="47"/>
      <c r="J517" s="38">
        <f t="shared" si="192"/>
        <v>0</v>
      </c>
      <c r="K517" s="48"/>
      <c r="L517" s="48">
        <f t="shared" si="197"/>
        <v>438.1887039448693</v>
      </c>
      <c r="M517" s="48"/>
      <c r="N517" s="38">
        <f t="shared" si="198"/>
        <v>0</v>
      </c>
      <c r="O517" s="36">
        <f t="shared" si="199"/>
        <v>0</v>
      </c>
      <c r="P517" s="84">
        <f t="shared" si="200"/>
        <v>-15523.835654410899</v>
      </c>
      <c r="Q517" s="38">
        <f t="shared" si="201"/>
        <v>0</v>
      </c>
      <c r="R517" s="48">
        <f t="shared" si="202"/>
        <v>118.24376129873801</v>
      </c>
      <c r="S517" s="38">
        <f t="shared" si="193"/>
        <v>556.43246524360734</v>
      </c>
      <c r="T517" s="50">
        <f t="shared" si="206"/>
        <v>12150</v>
      </c>
      <c r="U517" s="40">
        <f t="shared" si="207"/>
        <v>14398.881249817108</v>
      </c>
      <c r="V517" s="41">
        <f t="shared" si="208"/>
        <v>0.18509310698083192</v>
      </c>
      <c r="W517" s="39">
        <f t="shared" si="209"/>
        <v>2248.8812498171083</v>
      </c>
      <c r="X517" s="50">
        <f t="shared" si="203"/>
        <v>3374.304404427176</v>
      </c>
      <c r="Y517" s="41">
        <f t="shared" si="210"/>
        <v>0.46281363409417975</v>
      </c>
      <c r="Z517" s="52"/>
      <c r="AA517" s="50">
        <f t="shared" si="216"/>
        <v>15524.304404427176</v>
      </c>
      <c r="AB517" s="39">
        <f t="shared" si="217"/>
        <v>18284.371364337399</v>
      </c>
      <c r="AC517" s="39">
        <f t="shared" si="211"/>
        <v>2760.0669599102239</v>
      </c>
      <c r="AD517" s="41">
        <f t="shared" si="212"/>
        <v>0.17779005667546155</v>
      </c>
      <c r="AF517" s="46">
        <f t="shared" si="194"/>
        <v>0</v>
      </c>
      <c r="AG517" s="46">
        <f t="shared" si="213"/>
        <v>0</v>
      </c>
      <c r="AH517" s="54">
        <f t="shared" si="195"/>
        <v>3402</v>
      </c>
      <c r="AI517" s="55">
        <f t="shared" si="204"/>
        <v>0.45879732739420936</v>
      </c>
      <c r="AJ517" s="55">
        <f t="shared" si="214"/>
        <v>0</v>
      </c>
      <c r="AK517" s="55">
        <f t="shared" si="215"/>
        <v>0</v>
      </c>
    </row>
    <row r="518" spans="2:37" s="53" customFormat="1" ht="17.25" customHeight="1" x14ac:dyDescent="0.25">
      <c r="B518" s="91" t="str">
        <f t="shared" si="196"/>
        <v/>
      </c>
      <c r="C518" s="81">
        <f>IF(Sheet3!A489="","",Sheet3!A489)</f>
        <v>41036</v>
      </c>
      <c r="D518" s="82">
        <f>IF(C518="","",Sheet3!E489)</f>
        <v>33.590000000000003</v>
      </c>
      <c r="E518" s="56">
        <f>_xlfn.XLOOKUP(WEEKNUM(C518)&amp;YEAR(C518),Sheet4!C:C,Sheet4!B:B,0)</f>
        <v>0</v>
      </c>
      <c r="F518" s="46">
        <f>IF(int=Weekly,-$D$5,IF(int=Bi_Weekly,0,IF(int=Monthly,0,IF(int=Quarterly,0,IF(int=Yearly,0,IF(int=None,0,0))))))</f>
        <v>0</v>
      </c>
      <c r="G518" s="46"/>
      <c r="H518" s="46">
        <f t="shared" si="205"/>
        <v>-12150</v>
      </c>
      <c r="I518" s="47"/>
      <c r="J518" s="38">
        <f t="shared" si="192"/>
        <v>0</v>
      </c>
      <c r="K518" s="48"/>
      <c r="L518" s="48">
        <f t="shared" si="197"/>
        <v>438.1887039448693</v>
      </c>
      <c r="M518" s="48"/>
      <c r="N518" s="38">
        <f t="shared" si="198"/>
        <v>0</v>
      </c>
      <c r="O518" s="36">
        <f t="shared" si="199"/>
        <v>0</v>
      </c>
      <c r="P518" s="84">
        <f t="shared" si="200"/>
        <v>-15523.835654410899</v>
      </c>
      <c r="Q518" s="38">
        <f t="shared" si="201"/>
        <v>0</v>
      </c>
      <c r="R518" s="48">
        <f t="shared" si="202"/>
        <v>118.24376129873801</v>
      </c>
      <c r="S518" s="38">
        <f t="shared" si="193"/>
        <v>556.43246524360734</v>
      </c>
      <c r="T518" s="50">
        <f t="shared" si="206"/>
        <v>12150</v>
      </c>
      <c r="U518" s="40">
        <f t="shared" si="207"/>
        <v>14718.758565508162</v>
      </c>
      <c r="V518" s="41">
        <f t="shared" si="208"/>
        <v>0.21142045806651533</v>
      </c>
      <c r="W518" s="39">
        <f t="shared" si="209"/>
        <v>2568.7585655081621</v>
      </c>
      <c r="X518" s="50">
        <f t="shared" si="203"/>
        <v>3374.304404427176</v>
      </c>
      <c r="Y518" s="41">
        <f t="shared" si="210"/>
        <v>0.48914098517986315</v>
      </c>
      <c r="Z518" s="52"/>
      <c r="AA518" s="50">
        <f t="shared" si="216"/>
        <v>15524.304404427176</v>
      </c>
      <c r="AB518" s="39">
        <f t="shared" si="217"/>
        <v>18690.566507532771</v>
      </c>
      <c r="AC518" s="39">
        <f t="shared" si="211"/>
        <v>3166.2621031055951</v>
      </c>
      <c r="AD518" s="41">
        <f t="shared" si="212"/>
        <v>0.20395516736985964</v>
      </c>
      <c r="AF518" s="46">
        <f t="shared" si="194"/>
        <v>0</v>
      </c>
      <c r="AG518" s="46">
        <f t="shared" si="213"/>
        <v>0</v>
      </c>
      <c r="AH518" s="54">
        <f t="shared" si="195"/>
        <v>3409</v>
      </c>
      <c r="AI518" s="55">
        <f t="shared" si="204"/>
        <v>0.45768374164810688</v>
      </c>
      <c r="AJ518" s="55">
        <f t="shared" si="214"/>
        <v>0</v>
      </c>
      <c r="AK518" s="55">
        <f t="shared" si="215"/>
        <v>0</v>
      </c>
    </row>
    <row r="519" spans="2:37" s="53" customFormat="1" ht="17.25" customHeight="1" x14ac:dyDescent="0.25">
      <c r="B519" s="91" t="str">
        <f t="shared" si="196"/>
        <v/>
      </c>
      <c r="C519" s="81">
        <f>IF(Sheet3!A490="","",Sheet3!A490)</f>
        <v>41043</v>
      </c>
      <c r="D519" s="82">
        <f>IF(C519="","",Sheet3!E490)</f>
        <v>33.659999999999997</v>
      </c>
      <c r="E519" s="56">
        <f>_xlfn.XLOOKUP(WEEKNUM(C519)&amp;YEAR(C519),Sheet4!C:C,Sheet4!B:B,0)</f>
        <v>0</v>
      </c>
      <c r="F519" s="46">
        <f>IF(int=Weekly,-$D$5,IF(int=Bi_Weekly,-$D$5,IF(int=Monthly,-$D$5,IF(int=Quarterly,0,IF(int=Yearly,0,IF(int=None,0,0))))))</f>
        <v>-100</v>
      </c>
      <c r="G519" s="46"/>
      <c r="H519" s="46">
        <f t="shared" si="205"/>
        <v>-12250</v>
      </c>
      <c r="I519" s="47"/>
      <c r="J519" s="38">
        <f t="shared" si="192"/>
        <v>2.9708853238265007</v>
      </c>
      <c r="K519" s="48"/>
      <c r="L519" s="48">
        <f t="shared" si="197"/>
        <v>441.15958926869581</v>
      </c>
      <c r="M519" s="48"/>
      <c r="N519" s="38">
        <f t="shared" si="198"/>
        <v>0</v>
      </c>
      <c r="O519" s="36">
        <f t="shared" si="199"/>
        <v>0</v>
      </c>
      <c r="P519" s="84">
        <f t="shared" si="200"/>
        <v>-15623.835654410899</v>
      </c>
      <c r="Q519" s="38">
        <f t="shared" si="201"/>
        <v>0</v>
      </c>
      <c r="R519" s="48">
        <f t="shared" si="202"/>
        <v>118.24376129873801</v>
      </c>
      <c r="S519" s="38">
        <f t="shared" si="193"/>
        <v>559.40335056743379</v>
      </c>
      <c r="T519" s="50">
        <f t="shared" si="206"/>
        <v>12250</v>
      </c>
      <c r="U519" s="40">
        <f t="shared" si="207"/>
        <v>14849.4317747843</v>
      </c>
      <c r="V519" s="41">
        <f t="shared" si="208"/>
        <v>0.2121985122272898</v>
      </c>
      <c r="W519" s="39">
        <f t="shared" si="209"/>
        <v>2599.4317747842997</v>
      </c>
      <c r="X519" s="50">
        <f t="shared" si="203"/>
        <v>3374.304404427176</v>
      </c>
      <c r="Y519" s="41">
        <f t="shared" si="210"/>
        <v>0.48765193299685516</v>
      </c>
      <c r="Z519" s="52"/>
      <c r="AA519" s="50">
        <f t="shared" si="216"/>
        <v>15624.304404427176</v>
      </c>
      <c r="AB519" s="39">
        <f t="shared" si="217"/>
        <v>18829.516780099821</v>
      </c>
      <c r="AC519" s="39">
        <f t="shared" si="211"/>
        <v>3205.2123756726451</v>
      </c>
      <c r="AD519" s="41">
        <f t="shared" si="212"/>
        <v>0.20514272461079552</v>
      </c>
      <c r="AF519" s="46">
        <f t="shared" si="194"/>
        <v>-100</v>
      </c>
      <c r="AG519" s="46">
        <f t="shared" si="213"/>
        <v>-100</v>
      </c>
      <c r="AH519" s="54">
        <f t="shared" si="195"/>
        <v>3416</v>
      </c>
      <c r="AI519" s="55">
        <f t="shared" si="204"/>
        <v>0.45657015590200445</v>
      </c>
      <c r="AJ519" s="55">
        <f t="shared" si="214"/>
        <v>-45.657015590200444</v>
      </c>
      <c r="AK519" s="55">
        <f t="shared" si="215"/>
        <v>-45.657015590200444</v>
      </c>
    </row>
    <row r="520" spans="2:37" s="53" customFormat="1" ht="17.25" customHeight="1" x14ac:dyDescent="0.25">
      <c r="B520" s="91" t="str">
        <f t="shared" si="196"/>
        <v/>
      </c>
      <c r="C520" s="81">
        <f>IF(Sheet3!A491="","",Sheet3!A491)</f>
        <v>41050</v>
      </c>
      <c r="D520" s="82">
        <f>IF(C520="","",Sheet3!E491)</f>
        <v>33.689999</v>
      </c>
      <c r="E520" s="56">
        <f>_xlfn.XLOOKUP(WEEKNUM(C520)&amp;YEAR(C520),Sheet4!C:C,Sheet4!B:B,0)</f>
        <v>0</v>
      </c>
      <c r="F520" s="46">
        <f>IF(int=Weekly,-$D$5,IF(int=Bi_Weekly,0,IF(int=Monthly,0,IF(int=Quarterly,0,IF(int=Yearly,0,IF(int=None,0,0))))))</f>
        <v>0</v>
      </c>
      <c r="G520" s="46"/>
      <c r="H520" s="46">
        <f t="shared" si="205"/>
        <v>-12250</v>
      </c>
      <c r="I520" s="47"/>
      <c r="J520" s="38">
        <f t="shared" si="192"/>
        <v>0</v>
      </c>
      <c r="K520" s="48"/>
      <c r="L520" s="48">
        <f t="shared" si="197"/>
        <v>441.15958926869581</v>
      </c>
      <c r="M520" s="48"/>
      <c r="N520" s="38">
        <f t="shared" si="198"/>
        <v>0</v>
      </c>
      <c r="O520" s="36">
        <f t="shared" si="199"/>
        <v>0</v>
      </c>
      <c r="P520" s="84">
        <f t="shared" si="200"/>
        <v>-15623.835654410899</v>
      </c>
      <c r="Q520" s="38">
        <f t="shared" si="201"/>
        <v>0</v>
      </c>
      <c r="R520" s="48">
        <f t="shared" si="202"/>
        <v>118.24376129873801</v>
      </c>
      <c r="S520" s="38">
        <f t="shared" si="193"/>
        <v>559.40335056743379</v>
      </c>
      <c r="T520" s="50">
        <f t="shared" si="206"/>
        <v>12250</v>
      </c>
      <c r="U520" s="40">
        <f t="shared" si="207"/>
        <v>14862.666121302773</v>
      </c>
      <c r="V520" s="41">
        <f t="shared" si="208"/>
        <v>0.21327886704512422</v>
      </c>
      <c r="W520" s="39">
        <f t="shared" si="209"/>
        <v>2612.6661213027728</v>
      </c>
      <c r="X520" s="50">
        <f t="shared" si="203"/>
        <v>3374.304404427176</v>
      </c>
      <c r="Y520" s="41">
        <f t="shared" si="210"/>
        <v>0.4887322878146898</v>
      </c>
      <c r="Z520" s="52"/>
      <c r="AA520" s="50">
        <f t="shared" si="216"/>
        <v>15624.304404427176</v>
      </c>
      <c r="AB520" s="39">
        <f t="shared" si="217"/>
        <v>18846.298321213493</v>
      </c>
      <c r="AC520" s="39">
        <f t="shared" si="211"/>
        <v>3221.9939167863176</v>
      </c>
      <c r="AD520" s="41">
        <f t="shared" si="212"/>
        <v>0.20621679105748614</v>
      </c>
      <c r="AF520" s="46">
        <f t="shared" si="194"/>
        <v>0</v>
      </c>
      <c r="AG520" s="46">
        <f t="shared" si="213"/>
        <v>0</v>
      </c>
      <c r="AH520" s="54">
        <f t="shared" si="195"/>
        <v>3423</v>
      </c>
      <c r="AI520" s="55">
        <f t="shared" si="204"/>
        <v>0.45545657015590202</v>
      </c>
      <c r="AJ520" s="55">
        <f t="shared" si="214"/>
        <v>0</v>
      </c>
      <c r="AK520" s="55">
        <f t="shared" si="215"/>
        <v>0</v>
      </c>
    </row>
    <row r="521" spans="2:37" s="53" customFormat="1" ht="17.25" customHeight="1" x14ac:dyDescent="0.25">
      <c r="B521" s="91" t="str">
        <f t="shared" si="196"/>
        <v/>
      </c>
      <c r="C521" s="81">
        <f>IF(Sheet3!A492="","",Sheet3!A492)</f>
        <v>41057</v>
      </c>
      <c r="D521" s="82">
        <f>IF(C521="","",Sheet3!E492)</f>
        <v>33.900002000000001</v>
      </c>
      <c r="E521" s="56">
        <f>_xlfn.XLOOKUP(WEEKNUM(C521)&amp;YEAR(C521),Sheet4!C:C,Sheet4!B:B,0)</f>
        <v>0</v>
      </c>
      <c r="F521" s="46">
        <f>IF(int=Weekly,-$D$5,IF(int=Bi_Weekly,-$D$5,IF(int=Monthly,0,IF(int=Quarterly,0,IF(int=Yearly,0,IF(int=None,0,0))))))</f>
        <v>0</v>
      </c>
      <c r="G521" s="46"/>
      <c r="H521" s="46">
        <f t="shared" si="205"/>
        <v>-12250</v>
      </c>
      <c r="I521" s="47"/>
      <c r="J521" s="38">
        <f t="shared" si="192"/>
        <v>0</v>
      </c>
      <c r="K521" s="48"/>
      <c r="L521" s="48">
        <f t="shared" si="197"/>
        <v>441.15958926869581</v>
      </c>
      <c r="M521" s="48"/>
      <c r="N521" s="38">
        <f t="shared" si="198"/>
        <v>0</v>
      </c>
      <c r="O521" s="36">
        <f t="shared" si="199"/>
        <v>0</v>
      </c>
      <c r="P521" s="84">
        <f t="shared" si="200"/>
        <v>-15623.835654410899</v>
      </c>
      <c r="Q521" s="38">
        <f t="shared" si="201"/>
        <v>0</v>
      </c>
      <c r="R521" s="48">
        <f t="shared" si="202"/>
        <v>118.24376129873801</v>
      </c>
      <c r="S521" s="38">
        <f t="shared" si="193"/>
        <v>559.40335056743379</v>
      </c>
      <c r="T521" s="50">
        <f t="shared" si="206"/>
        <v>12250</v>
      </c>
      <c r="U521" s="40">
        <f t="shared" si="207"/>
        <v>14955.310958527967</v>
      </c>
      <c r="V521" s="41">
        <f t="shared" si="208"/>
        <v>0.22084171090024229</v>
      </c>
      <c r="W521" s="39">
        <f t="shared" si="209"/>
        <v>2705.3109585279672</v>
      </c>
      <c r="X521" s="50">
        <f t="shared" si="203"/>
        <v>3374.304404427176</v>
      </c>
      <c r="Y521" s="41">
        <f t="shared" si="210"/>
        <v>0.49629513166980765</v>
      </c>
      <c r="Z521" s="52"/>
      <c r="AA521" s="50">
        <f t="shared" si="216"/>
        <v>15624.304404427176</v>
      </c>
      <c r="AB521" s="39">
        <f t="shared" si="217"/>
        <v>18963.774703042709</v>
      </c>
      <c r="AC521" s="39">
        <f t="shared" si="211"/>
        <v>3339.4702986155335</v>
      </c>
      <c r="AD521" s="41">
        <f t="shared" si="212"/>
        <v>0.21373561421840237</v>
      </c>
      <c r="AF521" s="46">
        <f t="shared" si="194"/>
        <v>0</v>
      </c>
      <c r="AG521" s="46">
        <f t="shared" si="213"/>
        <v>0</v>
      </c>
      <c r="AH521" s="54">
        <f t="shared" si="195"/>
        <v>3430</v>
      </c>
      <c r="AI521" s="55">
        <f t="shared" si="204"/>
        <v>0.45434298440979953</v>
      </c>
      <c r="AJ521" s="55">
        <f t="shared" si="214"/>
        <v>0</v>
      </c>
      <c r="AK521" s="55">
        <f t="shared" si="215"/>
        <v>0</v>
      </c>
    </row>
    <row r="522" spans="2:37" s="53" customFormat="1" ht="17.25" customHeight="1" x14ac:dyDescent="0.25">
      <c r="B522" s="91" t="str">
        <f t="shared" si="196"/>
        <v/>
      </c>
      <c r="C522" s="81">
        <f>IF(Sheet3!A493="","",Sheet3!A493)</f>
        <v>41064</v>
      </c>
      <c r="D522" s="82">
        <f>IF(C522="","",Sheet3!E493)</f>
        <v>34.549999</v>
      </c>
      <c r="E522" s="56">
        <f>_xlfn.XLOOKUP(WEEKNUM(C522)&amp;YEAR(C522),Sheet4!C:C,Sheet4!B:B,0)</f>
        <v>0</v>
      </c>
      <c r="F522" s="46">
        <f>IF(int=Weekly,-$D$5,IF(int=Bi_Weekly,0,IF(int=Monthly,0,IF(int=Quarterly,0,IF(int=Yearly,0,IF(int=None,0,0))))))</f>
        <v>0</v>
      </c>
      <c r="G522" s="46"/>
      <c r="H522" s="46">
        <f t="shared" si="205"/>
        <v>-12250</v>
      </c>
      <c r="I522" s="47"/>
      <c r="J522" s="38">
        <f t="shared" si="192"/>
        <v>0</v>
      </c>
      <c r="K522" s="48"/>
      <c r="L522" s="48">
        <f t="shared" si="197"/>
        <v>441.15958926869581</v>
      </c>
      <c r="M522" s="48"/>
      <c r="N522" s="38">
        <f t="shared" si="198"/>
        <v>0</v>
      </c>
      <c r="O522" s="36">
        <f t="shared" si="199"/>
        <v>0</v>
      </c>
      <c r="P522" s="84">
        <f t="shared" si="200"/>
        <v>-15623.835654410899</v>
      </c>
      <c r="Q522" s="38">
        <f t="shared" si="201"/>
        <v>0</v>
      </c>
      <c r="R522" s="48">
        <f t="shared" si="202"/>
        <v>118.24376129873801</v>
      </c>
      <c r="S522" s="38">
        <f t="shared" si="193"/>
        <v>559.40335056743379</v>
      </c>
      <c r="T522" s="50">
        <f t="shared" si="206"/>
        <v>12250</v>
      </c>
      <c r="U522" s="40">
        <f t="shared" si="207"/>
        <v>15242.06336807385</v>
      </c>
      <c r="V522" s="41">
        <f t="shared" si="208"/>
        <v>0.24425007086317141</v>
      </c>
      <c r="W522" s="39">
        <f t="shared" si="209"/>
        <v>2992.0633680738501</v>
      </c>
      <c r="X522" s="50">
        <f t="shared" si="203"/>
        <v>3374.304404427176</v>
      </c>
      <c r="Y522" s="41">
        <f t="shared" si="210"/>
        <v>0.51970349163273699</v>
      </c>
      <c r="Z522" s="52"/>
      <c r="AA522" s="50">
        <f t="shared" si="216"/>
        <v>15624.304404427176</v>
      </c>
      <c r="AB522" s="39">
        <f t="shared" si="217"/>
        <v>19327.385202701487</v>
      </c>
      <c r="AC522" s="39">
        <f t="shared" si="211"/>
        <v>3703.0807982743117</v>
      </c>
      <c r="AD522" s="41">
        <f t="shared" si="212"/>
        <v>0.23700772222698352</v>
      </c>
      <c r="AF522" s="46">
        <f t="shared" si="194"/>
        <v>0</v>
      </c>
      <c r="AG522" s="46">
        <f t="shared" si="213"/>
        <v>0</v>
      </c>
      <c r="AH522" s="54">
        <f t="shared" si="195"/>
        <v>3437</v>
      </c>
      <c r="AI522" s="55">
        <f t="shared" si="204"/>
        <v>0.4532293986636971</v>
      </c>
      <c r="AJ522" s="55">
        <f t="shared" si="214"/>
        <v>0</v>
      </c>
      <c r="AK522" s="55">
        <f t="shared" si="215"/>
        <v>0</v>
      </c>
    </row>
    <row r="523" spans="2:37" s="53" customFormat="1" ht="17.25" customHeight="1" x14ac:dyDescent="0.25">
      <c r="B523" s="91" t="str">
        <f t="shared" si="196"/>
        <v/>
      </c>
      <c r="C523" s="81">
        <f>IF(Sheet3!A494="","",Sheet3!A494)</f>
        <v>41071</v>
      </c>
      <c r="D523" s="82">
        <f>IF(C523="","",Sheet3!E494)</f>
        <v>35.709999000000003</v>
      </c>
      <c r="E523" s="56">
        <f>_xlfn.XLOOKUP(WEEKNUM(C523)&amp;YEAR(C523),Sheet4!C:C,Sheet4!B:B,0)</f>
        <v>0</v>
      </c>
      <c r="F523" s="46">
        <f>IF(int=Weekly,-$D$5,IF(int=Bi_Weekly,-$D$5,IF(int=Monthly,-$D$5,IF(int=Quarterly,0,IF(int=Yearly,0,IF(int=None,0,0))))))</f>
        <v>-100</v>
      </c>
      <c r="G523" s="46"/>
      <c r="H523" s="46">
        <f t="shared" si="205"/>
        <v>-12350</v>
      </c>
      <c r="I523" s="47"/>
      <c r="J523" s="38">
        <f t="shared" si="192"/>
        <v>2.8003361187436604</v>
      </c>
      <c r="K523" s="48"/>
      <c r="L523" s="48">
        <f t="shared" si="197"/>
        <v>443.95992538743945</v>
      </c>
      <c r="M523" s="48"/>
      <c r="N523" s="38">
        <f t="shared" si="198"/>
        <v>0</v>
      </c>
      <c r="O523" s="36">
        <f t="shared" si="199"/>
        <v>0</v>
      </c>
      <c r="P523" s="84">
        <f t="shared" si="200"/>
        <v>-15723.835654410899</v>
      </c>
      <c r="Q523" s="38">
        <f t="shared" si="201"/>
        <v>0</v>
      </c>
      <c r="R523" s="48">
        <f t="shared" si="202"/>
        <v>118.24376129873801</v>
      </c>
      <c r="S523" s="38">
        <f t="shared" si="193"/>
        <v>562.20368668617743</v>
      </c>
      <c r="T523" s="50">
        <f t="shared" si="206"/>
        <v>12350</v>
      </c>
      <c r="U523" s="40">
        <f t="shared" si="207"/>
        <v>15853.808491625539</v>
      </c>
      <c r="V523" s="41">
        <f t="shared" si="208"/>
        <v>0.28370918960530678</v>
      </c>
      <c r="W523" s="39">
        <f t="shared" si="209"/>
        <v>3503.8084916255393</v>
      </c>
      <c r="X523" s="50">
        <f t="shared" si="203"/>
        <v>3374.304404427176</v>
      </c>
      <c r="Y523" s="41">
        <f t="shared" si="210"/>
        <v>0.55693221830386364</v>
      </c>
      <c r="Z523" s="52"/>
      <c r="AA523" s="50">
        <f t="shared" si="216"/>
        <v>15724.304404427176</v>
      </c>
      <c r="AB523" s="39">
        <f t="shared" si="217"/>
        <v>20076.293089359715</v>
      </c>
      <c r="AC523" s="39">
        <f t="shared" si="211"/>
        <v>4351.9886849325394</v>
      </c>
      <c r="AD523" s="41">
        <f t="shared" si="212"/>
        <v>0.27676828004596743</v>
      </c>
      <c r="AF523" s="46">
        <f t="shared" si="194"/>
        <v>-100</v>
      </c>
      <c r="AG523" s="46">
        <f t="shared" si="213"/>
        <v>-100</v>
      </c>
      <c r="AH523" s="54">
        <f t="shared" si="195"/>
        <v>3444</v>
      </c>
      <c r="AI523" s="55">
        <f t="shared" si="204"/>
        <v>0.45211581291759467</v>
      </c>
      <c r="AJ523" s="55">
        <f t="shared" si="214"/>
        <v>-45.211581291759465</v>
      </c>
      <c r="AK523" s="55">
        <f t="shared" si="215"/>
        <v>-45.211581291759465</v>
      </c>
    </row>
    <row r="524" spans="2:37" s="53" customFormat="1" ht="17.25" customHeight="1" x14ac:dyDescent="0.25">
      <c r="B524" s="91" t="str">
        <f t="shared" si="196"/>
        <v/>
      </c>
      <c r="C524" s="81">
        <f>IF(Sheet3!A495="","",Sheet3!A495)</f>
        <v>41078</v>
      </c>
      <c r="D524" s="82">
        <f>IF(C524="","",Sheet3!E495)</f>
        <v>35.169998</v>
      </c>
      <c r="E524" s="56">
        <f>_xlfn.XLOOKUP(WEEKNUM(C524)&amp;YEAR(C524),Sheet4!C:C,Sheet4!B:B,0)</f>
        <v>0</v>
      </c>
      <c r="F524" s="46">
        <f>IF(int=Weekly,-$D$5,IF(int=Bi_Weekly,0,IF(int=Monthly,0,IF(int=Quarterly,0,IF(int=Yearly,0,IF(int=None,0,0))))))</f>
        <v>0</v>
      </c>
      <c r="G524" s="46"/>
      <c r="H524" s="46">
        <f t="shared" si="205"/>
        <v>-12350</v>
      </c>
      <c r="I524" s="47"/>
      <c r="J524" s="38">
        <f t="shared" si="192"/>
        <v>0</v>
      </c>
      <c r="K524" s="48"/>
      <c r="L524" s="48">
        <f t="shared" si="197"/>
        <v>443.95992538743945</v>
      </c>
      <c r="M524" s="48"/>
      <c r="N524" s="38">
        <f t="shared" si="198"/>
        <v>0</v>
      </c>
      <c r="O524" s="36">
        <f t="shared" si="199"/>
        <v>0</v>
      </c>
      <c r="P524" s="84">
        <f t="shared" si="200"/>
        <v>-15723.835654410899</v>
      </c>
      <c r="Q524" s="38">
        <f t="shared" si="201"/>
        <v>0</v>
      </c>
      <c r="R524" s="48">
        <f t="shared" si="202"/>
        <v>118.24376129873801</v>
      </c>
      <c r="S524" s="38">
        <f t="shared" si="193"/>
        <v>562.20368668617743</v>
      </c>
      <c r="T524" s="50">
        <f t="shared" si="206"/>
        <v>12350</v>
      </c>
      <c r="U524" s="40">
        <f t="shared" si="207"/>
        <v>15614.069687956395</v>
      </c>
      <c r="V524" s="41">
        <f t="shared" si="208"/>
        <v>0.26429714072521415</v>
      </c>
      <c r="W524" s="39">
        <f t="shared" si="209"/>
        <v>3264.0696879563948</v>
      </c>
      <c r="X524" s="50">
        <f t="shared" si="203"/>
        <v>3374.304404427176</v>
      </c>
      <c r="Y524" s="41">
        <f t="shared" si="210"/>
        <v>0.53752016942377101</v>
      </c>
      <c r="Z524" s="52"/>
      <c r="AA524" s="50">
        <f t="shared" si="216"/>
        <v>15724.304404427176</v>
      </c>
      <c r="AB524" s="39">
        <f t="shared" si="217"/>
        <v>19772.702536345489</v>
      </c>
      <c r="AC524" s="39">
        <f t="shared" si="211"/>
        <v>4048.3981319183131</v>
      </c>
      <c r="AD524" s="41">
        <f t="shared" si="212"/>
        <v>0.25746119051081751</v>
      </c>
      <c r="AF524" s="46">
        <f t="shared" si="194"/>
        <v>0</v>
      </c>
      <c r="AG524" s="46">
        <f t="shared" si="213"/>
        <v>0</v>
      </c>
      <c r="AH524" s="54">
        <f t="shared" si="195"/>
        <v>3451</v>
      </c>
      <c r="AI524" s="55">
        <f t="shared" si="204"/>
        <v>0.45100222717149219</v>
      </c>
      <c r="AJ524" s="55">
        <f t="shared" si="214"/>
        <v>0</v>
      </c>
      <c r="AK524" s="55">
        <f t="shared" si="215"/>
        <v>0</v>
      </c>
    </row>
    <row r="525" spans="2:37" s="53" customFormat="1" ht="17.25" customHeight="1" x14ac:dyDescent="0.25">
      <c r="B525" s="91" t="str">
        <f t="shared" si="196"/>
        <v/>
      </c>
      <c r="C525" s="81">
        <f>IF(Sheet3!A496="","",Sheet3!A496)</f>
        <v>41085</v>
      </c>
      <c r="D525" s="82">
        <f>IF(C525="","",Sheet3!E496)</f>
        <v>35.659999999999997</v>
      </c>
      <c r="E525" s="56">
        <f>_xlfn.XLOOKUP(WEEKNUM(C525)&amp;YEAR(C525),Sheet4!C:C,Sheet4!B:B,0)</f>
        <v>0</v>
      </c>
      <c r="F525" s="46">
        <f>IF(int=Weekly,-$D$5,IF(int=Bi_Weekly,-$D$5,IF(int=Monthly,0,IF(int=Quarterly,-$D$5,IF(int=Yearly,0,IF(int=None,0,0))))))</f>
        <v>0</v>
      </c>
      <c r="G525" s="46"/>
      <c r="H525" s="46">
        <f t="shared" si="205"/>
        <v>-12350</v>
      </c>
      <c r="I525" s="47"/>
      <c r="J525" s="38">
        <f t="shared" si="192"/>
        <v>0</v>
      </c>
      <c r="K525" s="48"/>
      <c r="L525" s="48">
        <f t="shared" si="197"/>
        <v>443.95992538743945</v>
      </c>
      <c r="M525" s="48"/>
      <c r="N525" s="38">
        <f t="shared" si="198"/>
        <v>0</v>
      </c>
      <c r="O525" s="36">
        <f t="shared" si="199"/>
        <v>0</v>
      </c>
      <c r="P525" s="84">
        <f t="shared" si="200"/>
        <v>-15723.835654410899</v>
      </c>
      <c r="Q525" s="38">
        <f t="shared" si="201"/>
        <v>0</v>
      </c>
      <c r="R525" s="48">
        <f t="shared" si="202"/>
        <v>118.24376129873801</v>
      </c>
      <c r="S525" s="38">
        <f t="shared" si="193"/>
        <v>562.20368668617743</v>
      </c>
      <c r="T525" s="50">
        <f t="shared" si="206"/>
        <v>12350</v>
      </c>
      <c r="U525" s="40">
        <f t="shared" si="207"/>
        <v>15831.61093931609</v>
      </c>
      <c r="V525" s="41">
        <f t="shared" si="208"/>
        <v>0.28191181694867118</v>
      </c>
      <c r="W525" s="39">
        <f t="shared" si="209"/>
        <v>3481.6109393160896</v>
      </c>
      <c r="X525" s="50">
        <f t="shared" si="203"/>
        <v>3374.304404427176</v>
      </c>
      <c r="Y525" s="41">
        <f t="shared" si="210"/>
        <v>0.55513484564722804</v>
      </c>
      <c r="Z525" s="52"/>
      <c r="AA525" s="50">
        <f t="shared" si="216"/>
        <v>15724.304404427176</v>
      </c>
      <c r="AB525" s="39">
        <f t="shared" si="217"/>
        <v>20048.183467229086</v>
      </c>
      <c r="AC525" s="39">
        <f t="shared" si="211"/>
        <v>4323.8790628019105</v>
      </c>
      <c r="AD525" s="41">
        <f t="shared" si="212"/>
        <v>0.27498062563483083</v>
      </c>
      <c r="AF525" s="46">
        <f t="shared" si="194"/>
        <v>0</v>
      </c>
      <c r="AG525" s="46">
        <f t="shared" si="213"/>
        <v>0</v>
      </c>
      <c r="AH525" s="54">
        <f t="shared" si="195"/>
        <v>3458</v>
      </c>
      <c r="AI525" s="55">
        <f t="shared" si="204"/>
        <v>0.44988864142538976</v>
      </c>
      <c r="AJ525" s="55">
        <f t="shared" si="214"/>
        <v>0</v>
      </c>
      <c r="AK525" s="55">
        <f t="shared" si="215"/>
        <v>0</v>
      </c>
    </row>
    <row r="526" spans="2:37" s="53" customFormat="1" ht="17.25" customHeight="1" x14ac:dyDescent="0.25">
      <c r="B526" s="91" t="str">
        <f t="shared" si="196"/>
        <v/>
      </c>
      <c r="C526" s="81">
        <f>IF(Sheet3!A497="","",Sheet3!A497)</f>
        <v>41092</v>
      </c>
      <c r="D526" s="82">
        <f>IF(C526="","",Sheet3!E497)</f>
        <v>35.439999</v>
      </c>
      <c r="E526" s="56">
        <f>_xlfn.XLOOKUP(WEEKNUM(C526)&amp;YEAR(C526),Sheet4!C:C,Sheet4!B:B,0)</f>
        <v>0.44</v>
      </c>
      <c r="F526" s="46">
        <f>IF(int=Weekly,-$D$5,IF(int=Bi_Weekly,0,IF(int=Monthly,0,IF(int=Quarterly,0,IF(int=Yearly,0,IF(int=None,0,0))))))</f>
        <v>0</v>
      </c>
      <c r="G526" s="46"/>
      <c r="H526" s="46">
        <f t="shared" si="205"/>
        <v>-12350</v>
      </c>
      <c r="I526" s="47"/>
      <c r="J526" s="38">
        <f t="shared" si="192"/>
        <v>0</v>
      </c>
      <c r="K526" s="48"/>
      <c r="L526" s="48">
        <f t="shared" si="197"/>
        <v>443.95992538743945</v>
      </c>
      <c r="M526" s="48"/>
      <c r="N526" s="38">
        <f t="shared" si="198"/>
        <v>195.34236717047335</v>
      </c>
      <c r="O526" s="36">
        <f t="shared" si="199"/>
        <v>-195.34236717047335</v>
      </c>
      <c r="P526" s="84">
        <f t="shared" si="200"/>
        <v>-15919.178021581372</v>
      </c>
      <c r="Q526" s="38">
        <f t="shared" si="201"/>
        <v>5.5119179650787613</v>
      </c>
      <c r="R526" s="48">
        <f t="shared" si="202"/>
        <v>123.75567926381677</v>
      </c>
      <c r="S526" s="38">
        <f t="shared" si="193"/>
        <v>567.71560465125617</v>
      </c>
      <c r="T526" s="50">
        <f t="shared" si="206"/>
        <v>12350</v>
      </c>
      <c r="U526" s="40">
        <f t="shared" si="207"/>
        <v>15733.93931177093</v>
      </c>
      <c r="V526" s="41">
        <f t="shared" si="208"/>
        <v>0.27400318313934657</v>
      </c>
      <c r="W526" s="39">
        <f t="shared" si="209"/>
        <v>3383.9393117709296</v>
      </c>
      <c r="X526" s="50">
        <f t="shared" si="203"/>
        <v>3569.6467715976491</v>
      </c>
      <c r="Y526" s="41">
        <f t="shared" si="210"/>
        <v>0.56304340756020888</v>
      </c>
      <c r="Z526" s="52"/>
      <c r="AA526" s="50">
        <f t="shared" si="216"/>
        <v>15919.646771597649</v>
      </c>
      <c r="AB526" s="39">
        <f t="shared" si="217"/>
        <v>20119.840461124917</v>
      </c>
      <c r="AC526" s="39">
        <f t="shared" si="211"/>
        <v>4200.1936895272684</v>
      </c>
      <c r="AD526" s="41">
        <f t="shared" si="212"/>
        <v>0.26383711584737313</v>
      </c>
      <c r="AF526" s="46">
        <f t="shared" si="194"/>
        <v>195.34236717047335</v>
      </c>
      <c r="AG526" s="46">
        <f t="shared" si="213"/>
        <v>0</v>
      </c>
      <c r="AH526" s="54">
        <f t="shared" si="195"/>
        <v>3465</v>
      </c>
      <c r="AI526" s="55">
        <f t="shared" si="204"/>
        <v>0.44877505567928733</v>
      </c>
      <c r="AJ526" s="55">
        <f t="shared" si="214"/>
        <v>87.664781703452974</v>
      </c>
      <c r="AK526" s="55">
        <f t="shared" si="215"/>
        <v>0</v>
      </c>
    </row>
    <row r="527" spans="2:37" s="53" customFormat="1" ht="17.25" customHeight="1" x14ac:dyDescent="0.25">
      <c r="B527" s="91" t="str">
        <f t="shared" si="196"/>
        <v/>
      </c>
      <c r="C527" s="81">
        <f>IF(Sheet3!A498="","",Sheet3!A498)</f>
        <v>41099</v>
      </c>
      <c r="D527" s="82">
        <f>IF(C527="","",Sheet3!E498)</f>
        <v>35.349997999999999</v>
      </c>
      <c r="E527" s="56">
        <f>_xlfn.XLOOKUP(WEEKNUM(C527)&amp;YEAR(C527),Sheet4!C:C,Sheet4!B:B,0)</f>
        <v>0</v>
      </c>
      <c r="F527" s="46">
        <f>IF(int=Weekly,-$D$5,IF(int=Bi_Weekly,-$D$5,IF(int=Monthly,-$D$5,IF(int=Quarterly,0,IF(int=Yearly,0,IF(int=None,0,0))))))</f>
        <v>-100</v>
      </c>
      <c r="G527" s="46"/>
      <c r="H527" s="46">
        <f t="shared" si="205"/>
        <v>-12450</v>
      </c>
      <c r="I527" s="47"/>
      <c r="J527" s="38">
        <f t="shared" si="192"/>
        <v>2.8288544740511727</v>
      </c>
      <c r="K527" s="48"/>
      <c r="L527" s="48">
        <f t="shared" si="197"/>
        <v>446.78877986149064</v>
      </c>
      <c r="M527" s="48"/>
      <c r="N527" s="38">
        <f t="shared" si="198"/>
        <v>0</v>
      </c>
      <c r="O527" s="36">
        <f t="shared" si="199"/>
        <v>0</v>
      </c>
      <c r="P527" s="84">
        <f t="shared" si="200"/>
        <v>-16019.178021581372</v>
      </c>
      <c r="Q527" s="38">
        <f t="shared" si="201"/>
        <v>0</v>
      </c>
      <c r="R527" s="48">
        <f t="shared" si="202"/>
        <v>123.75567926381677</v>
      </c>
      <c r="S527" s="38">
        <f t="shared" si="193"/>
        <v>570.54445912530741</v>
      </c>
      <c r="T527" s="50">
        <f t="shared" si="206"/>
        <v>12450</v>
      </c>
      <c r="U527" s="40">
        <f t="shared" si="207"/>
        <v>15793.982474526134</v>
      </c>
      <c r="V527" s="41">
        <f t="shared" si="208"/>
        <v>0.26859296984145664</v>
      </c>
      <c r="W527" s="39">
        <f t="shared" si="209"/>
        <v>3343.982474526134</v>
      </c>
      <c r="X527" s="50">
        <f t="shared" si="203"/>
        <v>3569.6467715976491</v>
      </c>
      <c r="Y527" s="41">
        <f t="shared" si="210"/>
        <v>0.55531158603403874</v>
      </c>
      <c r="Z527" s="52"/>
      <c r="AA527" s="50">
        <f t="shared" si="216"/>
        <v>16019.646771597649</v>
      </c>
      <c r="AB527" s="39">
        <f t="shared" si="217"/>
        <v>20168.745488990699</v>
      </c>
      <c r="AC527" s="39">
        <f t="shared" si="211"/>
        <v>4149.0987173930498</v>
      </c>
      <c r="AD527" s="41">
        <f t="shared" si="212"/>
        <v>0.25900063693971553</v>
      </c>
      <c r="AF527" s="46">
        <f t="shared" si="194"/>
        <v>-100</v>
      </c>
      <c r="AG527" s="46">
        <f t="shared" si="213"/>
        <v>-100</v>
      </c>
      <c r="AH527" s="54">
        <f t="shared" si="195"/>
        <v>3472</v>
      </c>
      <c r="AI527" s="55">
        <f t="shared" si="204"/>
        <v>0.44766146993318484</v>
      </c>
      <c r="AJ527" s="55">
        <f t="shared" si="214"/>
        <v>-44.766146993318486</v>
      </c>
      <c r="AK527" s="55">
        <f t="shared" si="215"/>
        <v>-44.766146993318486</v>
      </c>
    </row>
    <row r="528" spans="2:37" s="53" customFormat="1" ht="17.25" customHeight="1" x14ac:dyDescent="0.25">
      <c r="B528" s="91" t="str">
        <f t="shared" si="196"/>
        <v/>
      </c>
      <c r="C528" s="81">
        <f>IF(Sheet3!A499="","",Sheet3!A499)</f>
        <v>41106</v>
      </c>
      <c r="D528" s="82">
        <f>IF(C528="","",Sheet3!E499)</f>
        <v>35.290000999999997</v>
      </c>
      <c r="E528" s="56">
        <f>_xlfn.XLOOKUP(WEEKNUM(C528)&amp;YEAR(C528),Sheet4!C:C,Sheet4!B:B,0)</f>
        <v>0</v>
      </c>
      <c r="F528" s="46">
        <f>IF(int=Weekly,-$D$5,IF(int=Bi_Weekly,0,IF(int=Monthly,0,IF(int=Quarterly,0,IF(int=Yearly,0,IF(int=None,0,0))))))</f>
        <v>0</v>
      </c>
      <c r="G528" s="46"/>
      <c r="H528" s="46">
        <f t="shared" si="205"/>
        <v>-12450</v>
      </c>
      <c r="I528" s="47"/>
      <c r="J528" s="38">
        <f t="shared" si="192"/>
        <v>0</v>
      </c>
      <c r="K528" s="48"/>
      <c r="L528" s="48">
        <f t="shared" si="197"/>
        <v>446.78877986149064</v>
      </c>
      <c r="M528" s="48"/>
      <c r="N528" s="38">
        <f t="shared" si="198"/>
        <v>0</v>
      </c>
      <c r="O528" s="36">
        <f t="shared" si="199"/>
        <v>0</v>
      </c>
      <c r="P528" s="84">
        <f t="shared" si="200"/>
        <v>-16019.178021581372</v>
      </c>
      <c r="Q528" s="38">
        <f t="shared" si="201"/>
        <v>0</v>
      </c>
      <c r="R528" s="48">
        <f t="shared" si="202"/>
        <v>123.75567926381677</v>
      </c>
      <c r="S528" s="38">
        <f t="shared" si="193"/>
        <v>570.54445912530741</v>
      </c>
      <c r="T528" s="50">
        <f t="shared" si="206"/>
        <v>12450</v>
      </c>
      <c r="U528" s="40">
        <f t="shared" si="207"/>
        <v>15767.176488100784</v>
      </c>
      <c r="V528" s="41">
        <f t="shared" si="208"/>
        <v>0.26643987856231188</v>
      </c>
      <c r="W528" s="39">
        <f t="shared" si="209"/>
        <v>3317.1764881007839</v>
      </c>
      <c r="X528" s="50">
        <f t="shared" si="203"/>
        <v>3569.6467715976491</v>
      </c>
      <c r="Y528" s="41">
        <f t="shared" si="210"/>
        <v>0.55315849475489443</v>
      </c>
      <c r="Z528" s="52"/>
      <c r="AA528" s="50">
        <f t="shared" si="216"/>
        <v>16019.646771597649</v>
      </c>
      <c r="AB528" s="39">
        <f t="shared" si="217"/>
        <v>20134.514533076555</v>
      </c>
      <c r="AC528" s="39">
        <f t="shared" si="211"/>
        <v>4114.8677614789067</v>
      </c>
      <c r="AD528" s="41">
        <f t="shared" si="212"/>
        <v>0.25686382603481883</v>
      </c>
      <c r="AF528" s="46">
        <f t="shared" si="194"/>
        <v>0</v>
      </c>
      <c r="AG528" s="46">
        <f t="shared" si="213"/>
        <v>0</v>
      </c>
      <c r="AH528" s="54">
        <f t="shared" si="195"/>
        <v>3479</v>
      </c>
      <c r="AI528" s="55">
        <f t="shared" si="204"/>
        <v>0.44654788418708241</v>
      </c>
      <c r="AJ528" s="55">
        <f t="shared" si="214"/>
        <v>0</v>
      </c>
      <c r="AK528" s="55">
        <f t="shared" si="215"/>
        <v>0</v>
      </c>
    </row>
    <row r="529" spans="2:37" s="53" customFormat="1" ht="17.25" customHeight="1" x14ac:dyDescent="0.25">
      <c r="B529" s="91" t="str">
        <f t="shared" si="196"/>
        <v/>
      </c>
      <c r="C529" s="81">
        <f>IF(Sheet3!A500="","",Sheet3!A500)</f>
        <v>41113</v>
      </c>
      <c r="D529" s="82">
        <f>IF(C529="","",Sheet3!E500)</f>
        <v>37.139999000000003</v>
      </c>
      <c r="E529" s="56">
        <f>_xlfn.XLOOKUP(WEEKNUM(C529)&amp;YEAR(C529),Sheet4!C:C,Sheet4!B:B,0)</f>
        <v>0</v>
      </c>
      <c r="F529" s="46">
        <f>IF(int=Weekly,-$D$5,IF(int=Bi_Weekly,-$D$5,IF(int=Monthly,0,IF(int=Quarterly,0,IF(int=Yearly,0,IF(int=None,0,0))))))</f>
        <v>0</v>
      </c>
      <c r="G529" s="46"/>
      <c r="H529" s="46">
        <f t="shared" si="205"/>
        <v>-12450</v>
      </c>
      <c r="I529" s="47"/>
      <c r="J529" s="38">
        <f t="shared" si="192"/>
        <v>0</v>
      </c>
      <c r="K529" s="48"/>
      <c r="L529" s="48">
        <f t="shared" si="197"/>
        <v>446.78877986149064</v>
      </c>
      <c r="M529" s="48"/>
      <c r="N529" s="38">
        <f t="shared" si="198"/>
        <v>0</v>
      </c>
      <c r="O529" s="36">
        <f t="shared" si="199"/>
        <v>0</v>
      </c>
      <c r="P529" s="84">
        <f t="shared" si="200"/>
        <v>-16019.178021581372</v>
      </c>
      <c r="Q529" s="38">
        <f t="shared" si="201"/>
        <v>0</v>
      </c>
      <c r="R529" s="48">
        <f t="shared" si="202"/>
        <v>123.75567926381677</v>
      </c>
      <c r="S529" s="38">
        <f t="shared" si="193"/>
        <v>570.54445912530741</v>
      </c>
      <c r="T529" s="50">
        <f t="shared" si="206"/>
        <v>12450</v>
      </c>
      <c r="U529" s="40">
        <f t="shared" si="207"/>
        <v>16593.734837266984</v>
      </c>
      <c r="V529" s="41">
        <f t="shared" si="208"/>
        <v>0.33283010741100272</v>
      </c>
      <c r="W529" s="39">
        <f t="shared" si="209"/>
        <v>4143.734837266984</v>
      </c>
      <c r="X529" s="50">
        <f t="shared" si="203"/>
        <v>3569.6467715976491</v>
      </c>
      <c r="Y529" s="41">
        <f t="shared" si="210"/>
        <v>0.61954872360358504</v>
      </c>
      <c r="Z529" s="52"/>
      <c r="AA529" s="50">
        <f t="shared" si="216"/>
        <v>16019.646771597649</v>
      </c>
      <c r="AB529" s="39">
        <f t="shared" si="217"/>
        <v>21190.020641369461</v>
      </c>
      <c r="AC529" s="39">
        <f t="shared" si="211"/>
        <v>5170.3738697718127</v>
      </c>
      <c r="AD529" s="41">
        <f t="shared" si="212"/>
        <v>0.32275205212007108</v>
      </c>
      <c r="AF529" s="46">
        <f t="shared" si="194"/>
        <v>0</v>
      </c>
      <c r="AG529" s="46">
        <f t="shared" si="213"/>
        <v>0</v>
      </c>
      <c r="AH529" s="54">
        <f t="shared" si="195"/>
        <v>3486</v>
      </c>
      <c r="AI529" s="55">
        <f t="shared" si="204"/>
        <v>0.44543429844097998</v>
      </c>
      <c r="AJ529" s="55">
        <f t="shared" si="214"/>
        <v>0</v>
      </c>
      <c r="AK529" s="55">
        <f t="shared" si="215"/>
        <v>0</v>
      </c>
    </row>
    <row r="530" spans="2:37" s="53" customFormat="1" ht="17.25" customHeight="1" x14ac:dyDescent="0.25">
      <c r="B530" s="91" t="str">
        <f t="shared" si="196"/>
        <v/>
      </c>
      <c r="C530" s="81">
        <f>IF(Sheet3!A501="","",Sheet3!A501)</f>
        <v>41120</v>
      </c>
      <c r="D530" s="82">
        <f>IF(C530="","",Sheet3!E501)</f>
        <v>37.580002</v>
      </c>
      <c r="E530" s="56">
        <f>_xlfn.XLOOKUP(WEEKNUM(C530)&amp;YEAR(C530),Sheet4!C:C,Sheet4!B:B,0)</f>
        <v>0</v>
      </c>
      <c r="F530" s="46">
        <f>IF(int=Weekly,-$D$5,IF(int=Bi_Weekly,0,IF(int=Monthly,0,IF(int=Quarterly,0,IF(int=Yearly,0,IF(int=None,0,0))))))</f>
        <v>0</v>
      </c>
      <c r="G530" s="46"/>
      <c r="H530" s="46">
        <f t="shared" si="205"/>
        <v>-12450</v>
      </c>
      <c r="I530" s="47"/>
      <c r="J530" s="38">
        <f t="shared" si="192"/>
        <v>0</v>
      </c>
      <c r="K530" s="48"/>
      <c r="L530" s="48">
        <f t="shared" si="197"/>
        <v>446.78877986149064</v>
      </c>
      <c r="M530" s="48"/>
      <c r="N530" s="38">
        <f t="shared" si="198"/>
        <v>0</v>
      </c>
      <c r="O530" s="36">
        <f t="shared" si="199"/>
        <v>0</v>
      </c>
      <c r="P530" s="84">
        <f t="shared" si="200"/>
        <v>-16019.178021581372</v>
      </c>
      <c r="Q530" s="38">
        <f t="shared" si="201"/>
        <v>0</v>
      </c>
      <c r="R530" s="48">
        <f t="shared" si="202"/>
        <v>123.75567926381677</v>
      </c>
      <c r="S530" s="38">
        <f t="shared" si="193"/>
        <v>570.54445912530741</v>
      </c>
      <c r="T530" s="50">
        <f t="shared" si="206"/>
        <v>12450</v>
      </c>
      <c r="U530" s="40">
        <f t="shared" si="207"/>
        <v>16790.323240772377</v>
      </c>
      <c r="V530" s="41">
        <f t="shared" si="208"/>
        <v>0.34862034062428737</v>
      </c>
      <c r="W530" s="39">
        <f t="shared" si="209"/>
        <v>4340.3232407723772</v>
      </c>
      <c r="X530" s="50">
        <f t="shared" si="203"/>
        <v>3569.6467715976491</v>
      </c>
      <c r="Y530" s="41">
        <f t="shared" si="210"/>
        <v>0.63533895681686969</v>
      </c>
      <c r="Z530" s="52"/>
      <c r="AA530" s="50">
        <f t="shared" si="216"/>
        <v>16019.646771597649</v>
      </c>
      <c r="AB530" s="39">
        <f t="shared" si="217"/>
        <v>21441.06191501797</v>
      </c>
      <c r="AC530" s="39">
        <f t="shared" si="211"/>
        <v>5421.4151434203213</v>
      </c>
      <c r="AD530" s="41">
        <f t="shared" si="212"/>
        <v>0.33842288913837515</v>
      </c>
      <c r="AF530" s="46">
        <f t="shared" si="194"/>
        <v>0</v>
      </c>
      <c r="AG530" s="46">
        <f t="shared" si="213"/>
        <v>0</v>
      </c>
      <c r="AH530" s="54">
        <f t="shared" si="195"/>
        <v>3493</v>
      </c>
      <c r="AI530" s="55">
        <f t="shared" si="204"/>
        <v>0.4443207126948775</v>
      </c>
      <c r="AJ530" s="55">
        <f t="shared" si="214"/>
        <v>0</v>
      </c>
      <c r="AK530" s="55">
        <f t="shared" si="215"/>
        <v>0</v>
      </c>
    </row>
    <row r="531" spans="2:37" s="53" customFormat="1" ht="17.25" customHeight="1" x14ac:dyDescent="0.25">
      <c r="B531" s="91" t="str">
        <f t="shared" si="196"/>
        <v/>
      </c>
      <c r="C531" s="81">
        <f>IF(Sheet3!A502="","",Sheet3!A502)</f>
        <v>41127</v>
      </c>
      <c r="D531" s="82">
        <f>IF(C531="","",Sheet3!E502)</f>
        <v>37.490001999999997</v>
      </c>
      <c r="E531" s="56">
        <f>_xlfn.XLOOKUP(WEEKNUM(C531)&amp;YEAR(C531),Sheet4!C:C,Sheet4!B:B,0)</f>
        <v>0</v>
      </c>
      <c r="F531" s="46">
        <f>IF(int=Weekly,-$D$5,IF(int=Bi_Weekly,-$D$5,IF(int=Monthly,-$D$5,IF(int=Quarterly,0,IF(int=Yearly,0,IF(int=None,0,0))))))</f>
        <v>-100</v>
      </c>
      <c r="G531" s="46"/>
      <c r="H531" s="46">
        <f t="shared" si="205"/>
        <v>-12550</v>
      </c>
      <c r="I531" s="47"/>
      <c r="J531" s="38">
        <f t="shared" si="192"/>
        <v>2.6673778251598921</v>
      </c>
      <c r="K531" s="48"/>
      <c r="L531" s="48">
        <f t="shared" si="197"/>
        <v>449.45615768665056</v>
      </c>
      <c r="M531" s="48"/>
      <c r="N531" s="38">
        <f t="shared" si="198"/>
        <v>0</v>
      </c>
      <c r="O531" s="36">
        <f t="shared" si="199"/>
        <v>0</v>
      </c>
      <c r="P531" s="84">
        <f t="shared" si="200"/>
        <v>-16119.178021581372</v>
      </c>
      <c r="Q531" s="38">
        <f t="shared" si="201"/>
        <v>0</v>
      </c>
      <c r="R531" s="48">
        <f t="shared" si="202"/>
        <v>123.75567926381677</v>
      </c>
      <c r="S531" s="38">
        <f t="shared" si="193"/>
        <v>573.21183695046739</v>
      </c>
      <c r="T531" s="50">
        <f t="shared" si="206"/>
        <v>12550</v>
      </c>
      <c r="U531" s="40">
        <f t="shared" si="207"/>
        <v>16850.112250584843</v>
      </c>
      <c r="V531" s="41">
        <f t="shared" si="208"/>
        <v>0.34263842634142172</v>
      </c>
      <c r="W531" s="39">
        <f t="shared" si="209"/>
        <v>4300.1122505848434</v>
      </c>
      <c r="X531" s="50">
        <f t="shared" si="203"/>
        <v>3569.6467715976491</v>
      </c>
      <c r="Y531" s="41">
        <f t="shared" si="210"/>
        <v>0.62707243204641383</v>
      </c>
      <c r="Z531" s="52"/>
      <c r="AA531" s="50">
        <f t="shared" si="216"/>
        <v>16119.646771597649</v>
      </c>
      <c r="AB531" s="39">
        <f t="shared" si="217"/>
        <v>21489.712913696691</v>
      </c>
      <c r="AC531" s="39">
        <f t="shared" si="211"/>
        <v>5370.0661420990418</v>
      </c>
      <c r="AD531" s="41">
        <f t="shared" si="212"/>
        <v>0.33313795383909661</v>
      </c>
      <c r="AF531" s="46">
        <f t="shared" si="194"/>
        <v>-100</v>
      </c>
      <c r="AG531" s="46">
        <f t="shared" si="213"/>
        <v>-100</v>
      </c>
      <c r="AH531" s="54">
        <f t="shared" si="195"/>
        <v>3500</v>
      </c>
      <c r="AI531" s="55">
        <f t="shared" si="204"/>
        <v>0.44320712694877507</v>
      </c>
      <c r="AJ531" s="55">
        <f t="shared" si="214"/>
        <v>-44.320712694877507</v>
      </c>
      <c r="AK531" s="55">
        <f t="shared" si="215"/>
        <v>-44.320712694877507</v>
      </c>
    </row>
    <row r="532" spans="2:37" s="53" customFormat="1" ht="17.25" customHeight="1" x14ac:dyDescent="0.25">
      <c r="B532" s="91" t="str">
        <f t="shared" si="196"/>
        <v/>
      </c>
      <c r="C532" s="81">
        <f>IF(Sheet3!A503="","",Sheet3!A503)</f>
        <v>41134</v>
      </c>
      <c r="D532" s="82">
        <f>IF(C532="","",Sheet3!E503)</f>
        <v>37.169998</v>
      </c>
      <c r="E532" s="56">
        <f>_xlfn.XLOOKUP(WEEKNUM(C532)&amp;YEAR(C532),Sheet4!C:C,Sheet4!B:B,0)</f>
        <v>0</v>
      </c>
      <c r="F532" s="46">
        <f>IF(int=Weekly,-$D$5,IF(int=Bi_Weekly,0,IF(int=Monthly,0,IF(int=Quarterly,0,IF(int=Yearly,0,IF(int=None,0,0))))))</f>
        <v>0</v>
      </c>
      <c r="G532" s="46"/>
      <c r="H532" s="46">
        <f t="shared" si="205"/>
        <v>-12550</v>
      </c>
      <c r="I532" s="47"/>
      <c r="J532" s="38">
        <f t="shared" si="192"/>
        <v>0</v>
      </c>
      <c r="K532" s="48"/>
      <c r="L532" s="48">
        <f t="shared" si="197"/>
        <v>449.45615768665056</v>
      </c>
      <c r="M532" s="48"/>
      <c r="N532" s="38">
        <f t="shared" si="198"/>
        <v>0</v>
      </c>
      <c r="O532" s="36">
        <f t="shared" si="199"/>
        <v>0</v>
      </c>
      <c r="P532" s="84">
        <f t="shared" si="200"/>
        <v>-16119.178021581372</v>
      </c>
      <c r="Q532" s="38">
        <f t="shared" si="201"/>
        <v>0</v>
      </c>
      <c r="R532" s="48">
        <f t="shared" si="202"/>
        <v>123.75567926381677</v>
      </c>
      <c r="S532" s="38">
        <f t="shared" si="193"/>
        <v>573.21183695046739</v>
      </c>
      <c r="T532" s="50">
        <f t="shared" si="206"/>
        <v>12550</v>
      </c>
      <c r="U532" s="40">
        <f t="shared" si="207"/>
        <v>16706.284482300485</v>
      </c>
      <c r="V532" s="41">
        <f t="shared" si="208"/>
        <v>0.33117804639844506</v>
      </c>
      <c r="W532" s="39">
        <f t="shared" si="209"/>
        <v>4156.2844823004853</v>
      </c>
      <c r="X532" s="50">
        <f t="shared" si="203"/>
        <v>3569.6467715976491</v>
      </c>
      <c r="Y532" s="41">
        <f t="shared" si="210"/>
        <v>0.61561205210343717</v>
      </c>
      <c r="Z532" s="52"/>
      <c r="AA532" s="50">
        <f t="shared" si="216"/>
        <v>16119.646771597649</v>
      </c>
      <c r="AB532" s="39">
        <f t="shared" si="217"/>
        <v>21306.282833025194</v>
      </c>
      <c r="AC532" s="39">
        <f t="shared" si="211"/>
        <v>5186.6360614275454</v>
      </c>
      <c r="AD532" s="41">
        <f t="shared" si="212"/>
        <v>0.32175866722875401</v>
      </c>
      <c r="AF532" s="46">
        <f t="shared" si="194"/>
        <v>0</v>
      </c>
      <c r="AG532" s="46">
        <f t="shared" si="213"/>
        <v>0</v>
      </c>
      <c r="AH532" s="54">
        <f t="shared" si="195"/>
        <v>3507</v>
      </c>
      <c r="AI532" s="55">
        <f t="shared" si="204"/>
        <v>0.44209354120267258</v>
      </c>
      <c r="AJ532" s="55">
        <f t="shared" si="214"/>
        <v>0</v>
      </c>
      <c r="AK532" s="55">
        <f t="shared" si="215"/>
        <v>0</v>
      </c>
    </row>
    <row r="533" spans="2:37" s="53" customFormat="1" ht="17.25" customHeight="1" x14ac:dyDescent="0.25">
      <c r="B533" s="91" t="str">
        <f t="shared" si="196"/>
        <v/>
      </c>
      <c r="C533" s="81">
        <f>IF(Sheet3!A504="","",Sheet3!A504)</f>
        <v>41141</v>
      </c>
      <c r="D533" s="82">
        <f>IF(C533="","",Sheet3!E504)</f>
        <v>36.950001</v>
      </c>
      <c r="E533" s="56">
        <f>_xlfn.XLOOKUP(WEEKNUM(C533)&amp;YEAR(C533),Sheet4!C:C,Sheet4!B:B,0)</f>
        <v>0</v>
      </c>
      <c r="F533" s="46">
        <f>IF(int=Weekly,-$D$5,IF(int=Bi_Weekly,-$D$5,IF(int=Monthly,0,IF(int=Quarterly,0,IF(int=Yearly,0,IF(int=None,0,0))))))</f>
        <v>0</v>
      </c>
      <c r="G533" s="46"/>
      <c r="H533" s="46">
        <f t="shared" si="205"/>
        <v>-12550</v>
      </c>
      <c r="I533" s="47"/>
      <c r="J533" s="38">
        <f t="shared" si="192"/>
        <v>0</v>
      </c>
      <c r="K533" s="48"/>
      <c r="L533" s="48">
        <f t="shared" si="197"/>
        <v>449.45615768665056</v>
      </c>
      <c r="M533" s="48"/>
      <c r="N533" s="38">
        <f t="shared" si="198"/>
        <v>0</v>
      </c>
      <c r="O533" s="36">
        <f t="shared" si="199"/>
        <v>0</v>
      </c>
      <c r="P533" s="84">
        <f t="shared" si="200"/>
        <v>-16119.178021581372</v>
      </c>
      <c r="Q533" s="38">
        <f t="shared" si="201"/>
        <v>0</v>
      </c>
      <c r="R533" s="48">
        <f t="shared" si="202"/>
        <v>123.75567926381677</v>
      </c>
      <c r="S533" s="38">
        <f t="shared" si="193"/>
        <v>573.21183695046739</v>
      </c>
      <c r="T533" s="50">
        <f t="shared" si="206"/>
        <v>12550</v>
      </c>
      <c r="U533" s="40">
        <f t="shared" si="207"/>
        <v>16607.405475977896</v>
      </c>
      <c r="V533" s="41">
        <f t="shared" si="208"/>
        <v>0.3232992411137765</v>
      </c>
      <c r="W533" s="39">
        <f t="shared" si="209"/>
        <v>4057.4054759778955</v>
      </c>
      <c r="X533" s="50">
        <f t="shared" si="203"/>
        <v>3569.6467715976491</v>
      </c>
      <c r="Y533" s="41">
        <f t="shared" si="210"/>
        <v>0.60773324681876861</v>
      </c>
      <c r="Z533" s="52"/>
      <c r="AA533" s="50">
        <f t="shared" si="216"/>
        <v>16119.646771597649</v>
      </c>
      <c r="AB533" s="39">
        <f t="shared" si="217"/>
        <v>21180.177948531604</v>
      </c>
      <c r="AC533" s="39">
        <f t="shared" si="211"/>
        <v>5060.5311769339551</v>
      </c>
      <c r="AD533" s="41">
        <f t="shared" si="212"/>
        <v>0.31393561215314381</v>
      </c>
      <c r="AF533" s="46">
        <f t="shared" si="194"/>
        <v>0</v>
      </c>
      <c r="AG533" s="46">
        <f t="shared" si="213"/>
        <v>0</v>
      </c>
      <c r="AH533" s="54">
        <f t="shared" si="195"/>
        <v>3514</v>
      </c>
      <c r="AI533" s="55">
        <f t="shared" si="204"/>
        <v>0.44097995545657015</v>
      </c>
      <c r="AJ533" s="55">
        <f t="shared" si="214"/>
        <v>0</v>
      </c>
      <c r="AK533" s="55">
        <f t="shared" si="215"/>
        <v>0</v>
      </c>
    </row>
    <row r="534" spans="2:37" s="53" customFormat="1" ht="17.25" customHeight="1" x14ac:dyDescent="0.25">
      <c r="B534" s="91" t="str">
        <f t="shared" si="196"/>
        <v/>
      </c>
      <c r="C534" s="81">
        <f>IF(Sheet3!A505="","",Sheet3!A505)</f>
        <v>41148</v>
      </c>
      <c r="D534" s="82">
        <f>IF(C534="","",Sheet3!E505)</f>
        <v>36.639999000000003</v>
      </c>
      <c r="E534" s="56">
        <f>_xlfn.XLOOKUP(WEEKNUM(C534)&amp;YEAR(C534),Sheet4!C:C,Sheet4!B:B,0)</f>
        <v>0</v>
      </c>
      <c r="F534" s="46">
        <f>IF(int=Weekly,-$D$5,IF(int=Bi_Weekly,0,IF(int=Monthly,0,IF(int=Quarterly,0,IF(int=Yearly,0,IF(int=None,0,0))))))</f>
        <v>0</v>
      </c>
      <c r="G534" s="46"/>
      <c r="H534" s="46">
        <f t="shared" si="205"/>
        <v>-12550</v>
      </c>
      <c r="I534" s="47"/>
      <c r="J534" s="38">
        <f t="shared" si="192"/>
        <v>0</v>
      </c>
      <c r="K534" s="48"/>
      <c r="L534" s="48">
        <f t="shared" si="197"/>
        <v>449.45615768665056</v>
      </c>
      <c r="M534" s="48"/>
      <c r="N534" s="38">
        <f t="shared" si="198"/>
        <v>0</v>
      </c>
      <c r="O534" s="36">
        <f t="shared" si="199"/>
        <v>0</v>
      </c>
      <c r="P534" s="84">
        <f t="shared" si="200"/>
        <v>-16119.178021581372</v>
      </c>
      <c r="Q534" s="38">
        <f t="shared" si="201"/>
        <v>0</v>
      </c>
      <c r="R534" s="48">
        <f t="shared" si="202"/>
        <v>123.75567926381677</v>
      </c>
      <c r="S534" s="38">
        <f t="shared" si="193"/>
        <v>573.21183695046739</v>
      </c>
      <c r="T534" s="50">
        <f t="shared" si="206"/>
        <v>12550</v>
      </c>
      <c r="U534" s="40">
        <f t="shared" si="207"/>
        <v>16468.07316818272</v>
      </c>
      <c r="V534" s="41">
        <f t="shared" si="208"/>
        <v>0.31219706519384216</v>
      </c>
      <c r="W534" s="39">
        <f t="shared" si="209"/>
        <v>3918.0731681827201</v>
      </c>
      <c r="X534" s="50">
        <f t="shared" si="203"/>
        <v>3569.6467715976491</v>
      </c>
      <c r="Y534" s="41">
        <f t="shared" si="210"/>
        <v>0.59663107089883427</v>
      </c>
      <c r="Z534" s="52"/>
      <c r="AA534" s="50">
        <f t="shared" si="216"/>
        <v>16119.646771597649</v>
      </c>
      <c r="AB534" s="39">
        <f t="shared" si="217"/>
        <v>21002.481132653287</v>
      </c>
      <c r="AC534" s="39">
        <f t="shared" si="211"/>
        <v>4882.8343610556385</v>
      </c>
      <c r="AD534" s="41">
        <f t="shared" si="212"/>
        <v>0.30291199492404819</v>
      </c>
      <c r="AF534" s="46">
        <f t="shared" si="194"/>
        <v>0</v>
      </c>
      <c r="AG534" s="46">
        <f t="shared" si="213"/>
        <v>0</v>
      </c>
      <c r="AH534" s="54">
        <f t="shared" si="195"/>
        <v>3521</v>
      </c>
      <c r="AI534" s="55">
        <f t="shared" si="204"/>
        <v>0.43986636971046772</v>
      </c>
      <c r="AJ534" s="55">
        <f t="shared" si="214"/>
        <v>0</v>
      </c>
      <c r="AK534" s="55">
        <f t="shared" si="215"/>
        <v>0</v>
      </c>
    </row>
    <row r="535" spans="2:37" s="53" customFormat="1" ht="17.25" customHeight="1" x14ac:dyDescent="0.25">
      <c r="B535" s="91" t="str">
        <f t="shared" si="196"/>
        <v/>
      </c>
      <c r="C535" s="81">
        <f>IF(Sheet3!A506="","",Sheet3!A506)</f>
        <v>41155</v>
      </c>
      <c r="D535" s="82">
        <f>IF(C535="","",Sheet3!E506)</f>
        <v>37.299999</v>
      </c>
      <c r="E535" s="56">
        <f>_xlfn.XLOOKUP(WEEKNUM(C535)&amp;YEAR(C535),Sheet4!C:C,Sheet4!B:B,0)</f>
        <v>0</v>
      </c>
      <c r="F535" s="46">
        <f>IF(int=Weekly,-$D$5,IF(int=Bi_Weekly,-$D$5,IF(int=Monthly,-$D$5,IF(int=Quarterly,0,IF(int=Yearly,0,IF(int=None,0,0))))))</f>
        <v>-100</v>
      </c>
      <c r="G535" s="46"/>
      <c r="H535" s="46">
        <f t="shared" si="205"/>
        <v>-12650</v>
      </c>
      <c r="I535" s="47"/>
      <c r="J535" s="38">
        <f t="shared" si="192"/>
        <v>2.6809652193288263</v>
      </c>
      <c r="K535" s="48"/>
      <c r="L535" s="48">
        <f t="shared" si="197"/>
        <v>452.13712290597937</v>
      </c>
      <c r="M535" s="48"/>
      <c r="N535" s="38">
        <f t="shared" si="198"/>
        <v>0</v>
      </c>
      <c r="O535" s="36">
        <f t="shared" si="199"/>
        <v>0</v>
      </c>
      <c r="P535" s="84">
        <f t="shared" si="200"/>
        <v>-16219.178021581372</v>
      </c>
      <c r="Q535" s="38">
        <f t="shared" si="201"/>
        <v>0</v>
      </c>
      <c r="R535" s="48">
        <f t="shared" si="202"/>
        <v>123.75567926381677</v>
      </c>
      <c r="S535" s="38">
        <f t="shared" si="193"/>
        <v>575.89280216979614</v>
      </c>
      <c r="T535" s="50">
        <f t="shared" si="206"/>
        <v>12650</v>
      </c>
      <c r="U535" s="40">
        <f t="shared" si="207"/>
        <v>16864.714232255908</v>
      </c>
      <c r="V535" s="41">
        <f t="shared" si="208"/>
        <v>0.33317899069216672</v>
      </c>
      <c r="W535" s="39">
        <f t="shared" si="209"/>
        <v>4214.7142322559084</v>
      </c>
      <c r="X535" s="50">
        <f t="shared" si="203"/>
        <v>3569.6467715976491</v>
      </c>
      <c r="Y535" s="41">
        <f t="shared" si="210"/>
        <v>0.61536450623348293</v>
      </c>
      <c r="Z535" s="52"/>
      <c r="AA535" s="50">
        <f t="shared" si="216"/>
        <v>16219.646771597649</v>
      </c>
      <c r="AB535" s="39">
        <f t="shared" si="217"/>
        <v>21480.800945040595</v>
      </c>
      <c r="AC535" s="39">
        <f t="shared" si="211"/>
        <v>5261.1541734429466</v>
      </c>
      <c r="AD535" s="41">
        <f t="shared" si="212"/>
        <v>0.32436922009027924</v>
      </c>
      <c r="AF535" s="46">
        <f t="shared" si="194"/>
        <v>-100</v>
      </c>
      <c r="AG535" s="46">
        <f t="shared" si="213"/>
        <v>-100</v>
      </c>
      <c r="AH535" s="54">
        <f t="shared" si="195"/>
        <v>3528</v>
      </c>
      <c r="AI535" s="55">
        <f t="shared" si="204"/>
        <v>0.43875278396436523</v>
      </c>
      <c r="AJ535" s="55">
        <f t="shared" si="214"/>
        <v>-43.875278396436521</v>
      </c>
      <c r="AK535" s="55">
        <f t="shared" si="215"/>
        <v>-43.875278396436521</v>
      </c>
    </row>
    <row r="536" spans="2:37" s="53" customFormat="1" ht="17.25" customHeight="1" x14ac:dyDescent="0.25">
      <c r="B536" s="91" t="str">
        <f t="shared" si="196"/>
        <v/>
      </c>
      <c r="C536" s="81">
        <f>IF(Sheet3!A507="","",Sheet3!A507)</f>
        <v>41162</v>
      </c>
      <c r="D536" s="82">
        <f>IF(C536="","",Sheet3!E507)</f>
        <v>37.259998000000003</v>
      </c>
      <c r="E536" s="56">
        <f>_xlfn.XLOOKUP(WEEKNUM(C536)&amp;YEAR(C536),Sheet4!C:C,Sheet4!B:B,0)</f>
        <v>0</v>
      </c>
      <c r="F536" s="46">
        <f>IF(int=Weekly,-$D$5,IF(int=Bi_Weekly,0,IF(int=Monthly,0,IF(int=Quarterly,0,IF(int=Yearly,0,IF(int=None,0,0))))))</f>
        <v>0</v>
      </c>
      <c r="G536" s="46"/>
      <c r="H536" s="46">
        <f t="shared" si="205"/>
        <v>-12650</v>
      </c>
      <c r="I536" s="47"/>
      <c r="J536" s="38">
        <f t="shared" si="192"/>
        <v>0</v>
      </c>
      <c r="K536" s="48"/>
      <c r="L536" s="48">
        <f t="shared" si="197"/>
        <v>452.13712290597937</v>
      </c>
      <c r="M536" s="48"/>
      <c r="N536" s="38">
        <f t="shared" si="198"/>
        <v>0</v>
      </c>
      <c r="O536" s="36">
        <f t="shared" si="199"/>
        <v>0</v>
      </c>
      <c r="P536" s="84">
        <f t="shared" si="200"/>
        <v>-16219.178021581372</v>
      </c>
      <c r="Q536" s="38">
        <f t="shared" si="201"/>
        <v>0</v>
      </c>
      <c r="R536" s="48">
        <f t="shared" si="202"/>
        <v>123.75567926381677</v>
      </c>
      <c r="S536" s="38">
        <f t="shared" si="193"/>
        <v>575.89280216979614</v>
      </c>
      <c r="T536" s="50">
        <f t="shared" si="206"/>
        <v>12650</v>
      </c>
      <c r="U536" s="40">
        <f t="shared" si="207"/>
        <v>16846.628295202547</v>
      </c>
      <c r="V536" s="41">
        <f t="shared" si="208"/>
        <v>0.33174927234802731</v>
      </c>
      <c r="W536" s="39">
        <f t="shared" si="209"/>
        <v>4196.6282952025467</v>
      </c>
      <c r="X536" s="50">
        <f t="shared" si="203"/>
        <v>3569.6467715976491</v>
      </c>
      <c r="Y536" s="41">
        <f t="shared" si="210"/>
        <v>0.61393478788934375</v>
      </c>
      <c r="Z536" s="52"/>
      <c r="AA536" s="50">
        <f t="shared" si="216"/>
        <v>16219.646771597649</v>
      </c>
      <c r="AB536" s="39">
        <f t="shared" si="217"/>
        <v>21457.764657061001</v>
      </c>
      <c r="AC536" s="39">
        <f t="shared" si="211"/>
        <v>5238.1178854633526</v>
      </c>
      <c r="AD536" s="41">
        <f t="shared" si="212"/>
        <v>0.32294894945775643</v>
      </c>
      <c r="AF536" s="46">
        <f t="shared" si="194"/>
        <v>0</v>
      </c>
      <c r="AG536" s="46">
        <f t="shared" si="213"/>
        <v>0</v>
      </c>
      <c r="AH536" s="54">
        <f t="shared" si="195"/>
        <v>3535</v>
      </c>
      <c r="AI536" s="55">
        <f t="shared" si="204"/>
        <v>0.4376391982182628</v>
      </c>
      <c r="AJ536" s="55">
        <f t="shared" si="214"/>
        <v>0</v>
      </c>
      <c r="AK536" s="55">
        <f t="shared" si="215"/>
        <v>0</v>
      </c>
    </row>
    <row r="537" spans="2:37" s="53" customFormat="1" ht="17.25" customHeight="1" x14ac:dyDescent="0.25">
      <c r="B537" s="91" t="str">
        <f t="shared" si="196"/>
        <v/>
      </c>
      <c r="C537" s="81">
        <f>IF(Sheet3!A508="","",Sheet3!A508)</f>
        <v>41169</v>
      </c>
      <c r="D537" s="82">
        <f>IF(C537="","",Sheet3!E508)</f>
        <v>38.080002</v>
      </c>
      <c r="E537" s="56">
        <f>_xlfn.XLOOKUP(WEEKNUM(C537)&amp;YEAR(C537),Sheet4!C:C,Sheet4!B:B,0)</f>
        <v>0</v>
      </c>
      <c r="F537" s="46">
        <f>IF(int=Weekly,-$D$5,IF(int=Bi_Weekly,-$D$5,IF(int=Monthly,0,IF(int=Quarterly,0,IF(int=Yearly,0,IF(int=None,0,0))))))</f>
        <v>0</v>
      </c>
      <c r="G537" s="46"/>
      <c r="H537" s="46">
        <f t="shared" si="205"/>
        <v>-12650</v>
      </c>
      <c r="I537" s="47"/>
      <c r="J537" s="38">
        <f t="shared" si="192"/>
        <v>0</v>
      </c>
      <c r="K537" s="48"/>
      <c r="L537" s="48">
        <f t="shared" si="197"/>
        <v>452.13712290597937</v>
      </c>
      <c r="M537" s="48"/>
      <c r="N537" s="38">
        <f t="shared" si="198"/>
        <v>0</v>
      </c>
      <c r="O537" s="36">
        <f t="shared" si="199"/>
        <v>0</v>
      </c>
      <c r="P537" s="84">
        <f t="shared" si="200"/>
        <v>-16219.178021581372</v>
      </c>
      <c r="Q537" s="38">
        <f t="shared" si="201"/>
        <v>0</v>
      </c>
      <c r="R537" s="48">
        <f t="shared" si="202"/>
        <v>123.75567926381677</v>
      </c>
      <c r="S537" s="38">
        <f t="shared" si="193"/>
        <v>575.89280216979614</v>
      </c>
      <c r="T537" s="50">
        <f t="shared" si="206"/>
        <v>12650</v>
      </c>
      <c r="U537" s="40">
        <f t="shared" si="207"/>
        <v>17217.382544533939</v>
      </c>
      <c r="V537" s="41">
        <f t="shared" si="208"/>
        <v>0.36105790865880949</v>
      </c>
      <c r="W537" s="39">
        <f t="shared" si="209"/>
        <v>4567.3825445339389</v>
      </c>
      <c r="X537" s="50">
        <f t="shared" si="203"/>
        <v>3569.6467715976491</v>
      </c>
      <c r="Y537" s="41">
        <f t="shared" si="210"/>
        <v>0.6432434242001257</v>
      </c>
      <c r="Z537" s="52"/>
      <c r="AA537" s="50">
        <f t="shared" si="216"/>
        <v>16219.646771597649</v>
      </c>
      <c r="AB537" s="39">
        <f t="shared" si="217"/>
        <v>21929.999058411442</v>
      </c>
      <c r="AC537" s="39">
        <f t="shared" si="211"/>
        <v>5710.3522868137934</v>
      </c>
      <c r="AD537" s="41">
        <f t="shared" si="212"/>
        <v>0.35206391157748484</v>
      </c>
      <c r="AF537" s="46">
        <f t="shared" si="194"/>
        <v>0</v>
      </c>
      <c r="AG537" s="46">
        <f t="shared" si="213"/>
        <v>0</v>
      </c>
      <c r="AH537" s="54">
        <f t="shared" si="195"/>
        <v>3542</v>
      </c>
      <c r="AI537" s="55">
        <f t="shared" si="204"/>
        <v>0.43652561247216037</v>
      </c>
      <c r="AJ537" s="55">
        <f t="shared" si="214"/>
        <v>0</v>
      </c>
      <c r="AK537" s="55">
        <f t="shared" si="215"/>
        <v>0</v>
      </c>
    </row>
    <row r="538" spans="2:37" s="53" customFormat="1" ht="17.25" customHeight="1" x14ac:dyDescent="0.25">
      <c r="B538" s="91" t="str">
        <f t="shared" si="196"/>
        <v/>
      </c>
      <c r="C538" s="81">
        <f>IF(Sheet3!A509="","",Sheet3!A509)</f>
        <v>41176</v>
      </c>
      <c r="D538" s="82">
        <f>IF(C538="","",Sheet3!E509)</f>
        <v>37.700001</v>
      </c>
      <c r="E538" s="56">
        <f>_xlfn.XLOOKUP(WEEKNUM(C538)&amp;YEAR(C538),Sheet4!C:C,Sheet4!B:B,0)</f>
        <v>0</v>
      </c>
      <c r="F538" s="46">
        <f>IF(int=Weekly,-$D$5,IF(int=Bi_Weekly,0,IF(int=Monthly,0,IF(int=Quarterly,-$D$5,IF(int=Yearly,0,IF(int=None,0,0))))))</f>
        <v>0</v>
      </c>
      <c r="G538" s="46"/>
      <c r="H538" s="46">
        <f t="shared" si="205"/>
        <v>-12650</v>
      </c>
      <c r="I538" s="47"/>
      <c r="J538" s="38">
        <f t="shared" si="192"/>
        <v>0</v>
      </c>
      <c r="K538" s="48"/>
      <c r="L538" s="48">
        <f t="shared" si="197"/>
        <v>452.13712290597937</v>
      </c>
      <c r="M538" s="48"/>
      <c r="N538" s="38">
        <f t="shared" si="198"/>
        <v>0</v>
      </c>
      <c r="O538" s="36">
        <f t="shared" si="199"/>
        <v>0</v>
      </c>
      <c r="P538" s="84">
        <f t="shared" si="200"/>
        <v>-16219.178021581372</v>
      </c>
      <c r="Q538" s="38">
        <f t="shared" si="201"/>
        <v>0</v>
      </c>
      <c r="R538" s="48">
        <f t="shared" si="202"/>
        <v>123.75567926381677</v>
      </c>
      <c r="S538" s="38">
        <f t="shared" si="193"/>
        <v>575.89280216979614</v>
      </c>
      <c r="T538" s="50">
        <f t="shared" si="206"/>
        <v>12650</v>
      </c>
      <c r="U538" s="40">
        <f t="shared" si="207"/>
        <v>17045.569985692546</v>
      </c>
      <c r="V538" s="41">
        <f t="shared" si="208"/>
        <v>0.34747588819703923</v>
      </c>
      <c r="W538" s="39">
        <f t="shared" si="209"/>
        <v>4395.5699856925457</v>
      </c>
      <c r="X538" s="50">
        <f t="shared" si="203"/>
        <v>3569.6467715976491</v>
      </c>
      <c r="Y538" s="41">
        <f t="shared" si="210"/>
        <v>0.62966140373835544</v>
      </c>
      <c r="Z538" s="52"/>
      <c r="AA538" s="50">
        <f t="shared" si="216"/>
        <v>16219.646771597649</v>
      </c>
      <c r="AB538" s="39">
        <f t="shared" si="217"/>
        <v>21711.159217694119</v>
      </c>
      <c r="AC538" s="39">
        <f t="shared" si="211"/>
        <v>5491.5124460964707</v>
      </c>
      <c r="AD538" s="41">
        <f t="shared" si="212"/>
        <v>0.33857164236848258</v>
      </c>
      <c r="AF538" s="46">
        <f t="shared" si="194"/>
        <v>0</v>
      </c>
      <c r="AG538" s="46">
        <f t="shared" si="213"/>
        <v>0</v>
      </c>
      <c r="AH538" s="54">
        <f t="shared" si="195"/>
        <v>3549</v>
      </c>
      <c r="AI538" s="55">
        <f t="shared" si="204"/>
        <v>0.43541202672605789</v>
      </c>
      <c r="AJ538" s="55">
        <f t="shared" si="214"/>
        <v>0</v>
      </c>
      <c r="AK538" s="55">
        <f t="shared" si="215"/>
        <v>0</v>
      </c>
    </row>
    <row r="539" spans="2:37" s="53" customFormat="1" ht="17.25" customHeight="1" x14ac:dyDescent="0.25">
      <c r="B539" s="91" t="str">
        <f t="shared" si="196"/>
        <v/>
      </c>
      <c r="C539" s="81">
        <f>IF(Sheet3!A510="","",Sheet3!A510)</f>
        <v>41183</v>
      </c>
      <c r="D539" s="82">
        <f>IF(C539="","",Sheet3!E510)</f>
        <v>37.860000999999997</v>
      </c>
      <c r="E539" s="56">
        <f>_xlfn.XLOOKUP(WEEKNUM(C539)&amp;YEAR(C539),Sheet4!C:C,Sheet4!B:B,0)</f>
        <v>0.44</v>
      </c>
      <c r="F539" s="46">
        <f>IF(int=Weekly,-$D$5,IF(int=Bi_Weekly,-$D$5,IF(int=Monthly,-$D$5,IF(int=Quarterly,0,IF(int=Yearly,0,IF(int=None,0,0))))))</f>
        <v>-100</v>
      </c>
      <c r="G539" s="46"/>
      <c r="H539" s="46">
        <f t="shared" si="205"/>
        <v>-12750</v>
      </c>
      <c r="I539" s="47"/>
      <c r="J539" s="38">
        <f t="shared" si="192"/>
        <v>2.6413100200393553</v>
      </c>
      <c r="K539" s="48"/>
      <c r="L539" s="48">
        <f t="shared" si="197"/>
        <v>454.7784329260187</v>
      </c>
      <c r="M539" s="48"/>
      <c r="N539" s="38">
        <f t="shared" si="198"/>
        <v>200.10251048744823</v>
      </c>
      <c r="O539" s="36">
        <f t="shared" si="199"/>
        <v>-200.10251048744823</v>
      </c>
      <c r="P539" s="84">
        <f t="shared" si="200"/>
        <v>-16519.28053206882</v>
      </c>
      <c r="Q539" s="38">
        <f t="shared" si="201"/>
        <v>5.2853276598552714</v>
      </c>
      <c r="R539" s="48">
        <f t="shared" si="202"/>
        <v>129.04100692367206</v>
      </c>
      <c r="S539" s="38">
        <f t="shared" si="193"/>
        <v>583.81943984969075</v>
      </c>
      <c r="T539" s="50">
        <f t="shared" si="206"/>
        <v>12750</v>
      </c>
      <c r="U539" s="40">
        <f t="shared" si="207"/>
        <v>17217.911925357501</v>
      </c>
      <c r="V539" s="41">
        <f t="shared" si="208"/>
        <v>0.35042446473392164</v>
      </c>
      <c r="W539" s="39">
        <f t="shared" si="209"/>
        <v>4467.9119253575009</v>
      </c>
      <c r="X539" s="50">
        <f t="shared" si="203"/>
        <v>3769.7492820850975</v>
      </c>
      <c r="Y539" s="41">
        <f t="shared" si="210"/>
        <v>0.64609107509353714</v>
      </c>
      <c r="Z539" s="52"/>
      <c r="AA539" s="50">
        <f t="shared" si="216"/>
        <v>16519.749282085097</v>
      </c>
      <c r="AB539" s="39">
        <f t="shared" si="217"/>
        <v>22103.40457652873</v>
      </c>
      <c r="AC539" s="39">
        <f t="shared" si="211"/>
        <v>5583.6552944436335</v>
      </c>
      <c r="AD539" s="41">
        <f t="shared" si="212"/>
        <v>0.33799879157360158</v>
      </c>
      <c r="AF539" s="46">
        <f t="shared" si="194"/>
        <v>100.10251048744823</v>
      </c>
      <c r="AG539" s="46">
        <f t="shared" si="213"/>
        <v>-100</v>
      </c>
      <c r="AH539" s="54">
        <f t="shared" si="195"/>
        <v>3556</v>
      </c>
      <c r="AI539" s="55">
        <f t="shared" si="204"/>
        <v>0.43429844097995546</v>
      </c>
      <c r="AJ539" s="55">
        <f t="shared" si="214"/>
        <v>43.474364242878409</v>
      </c>
      <c r="AK539" s="55">
        <f t="shared" si="215"/>
        <v>-43.429844097995549</v>
      </c>
    </row>
    <row r="540" spans="2:37" s="53" customFormat="1" ht="17.25" customHeight="1" x14ac:dyDescent="0.25">
      <c r="B540" s="91" t="str">
        <f t="shared" si="196"/>
        <v/>
      </c>
      <c r="C540" s="81">
        <f>IF(Sheet3!A511="","",Sheet3!A511)</f>
        <v>41190</v>
      </c>
      <c r="D540" s="82">
        <f>IF(C540="","",Sheet3!E511)</f>
        <v>35.630001</v>
      </c>
      <c r="E540" s="56">
        <f>_xlfn.XLOOKUP(WEEKNUM(C540)&amp;YEAR(C540),Sheet4!C:C,Sheet4!B:B,0)</f>
        <v>0</v>
      </c>
      <c r="F540" s="46">
        <f>IF(int=Weekly,-$D$5,IF(int=Bi_Weekly,0,IF(int=Monthly,0,IF(int=Quarterly,0,IF(int=Yearly,0,IF(int=None,0,0))))))</f>
        <v>0</v>
      </c>
      <c r="G540" s="46"/>
      <c r="H540" s="46">
        <f t="shared" si="205"/>
        <v>-12750</v>
      </c>
      <c r="I540" s="47"/>
      <c r="J540" s="38">
        <f t="shared" si="192"/>
        <v>0</v>
      </c>
      <c r="K540" s="48"/>
      <c r="L540" s="48">
        <f t="shared" si="197"/>
        <v>454.7784329260187</v>
      </c>
      <c r="M540" s="48"/>
      <c r="N540" s="38">
        <f t="shared" si="198"/>
        <v>0</v>
      </c>
      <c r="O540" s="36">
        <f t="shared" si="199"/>
        <v>0</v>
      </c>
      <c r="P540" s="84">
        <f t="shared" si="200"/>
        <v>-16519.28053206882</v>
      </c>
      <c r="Q540" s="38">
        <f t="shared" si="201"/>
        <v>0</v>
      </c>
      <c r="R540" s="48">
        <f t="shared" si="202"/>
        <v>129.04100692367206</v>
      </c>
      <c r="S540" s="38">
        <f t="shared" si="193"/>
        <v>583.81943984969075</v>
      </c>
      <c r="T540" s="50">
        <f t="shared" si="206"/>
        <v>12750</v>
      </c>
      <c r="U540" s="40">
        <f t="shared" si="207"/>
        <v>16203.75601993248</v>
      </c>
      <c r="V540" s="41">
        <f t="shared" si="208"/>
        <v>0.27088282509274353</v>
      </c>
      <c r="W540" s="39">
        <f t="shared" si="209"/>
        <v>3453.7560199324798</v>
      </c>
      <c r="X540" s="50">
        <f t="shared" si="203"/>
        <v>3769.7492820850975</v>
      </c>
      <c r="Y540" s="41">
        <f t="shared" si="210"/>
        <v>0.56654943545235903</v>
      </c>
      <c r="Z540" s="52"/>
      <c r="AA540" s="50">
        <f t="shared" si="216"/>
        <v>16519.749282085097</v>
      </c>
      <c r="AB540" s="39">
        <f t="shared" si="217"/>
        <v>20801.487225663921</v>
      </c>
      <c r="AC540" s="39">
        <f t="shared" si="211"/>
        <v>4281.7379435788243</v>
      </c>
      <c r="AD540" s="41">
        <f t="shared" si="212"/>
        <v>0.25918903915946045</v>
      </c>
      <c r="AF540" s="46">
        <f t="shared" si="194"/>
        <v>0</v>
      </c>
      <c r="AG540" s="46">
        <f t="shared" si="213"/>
        <v>0</v>
      </c>
      <c r="AH540" s="54">
        <f t="shared" si="195"/>
        <v>3563</v>
      </c>
      <c r="AI540" s="55">
        <f t="shared" si="204"/>
        <v>0.43318485523385303</v>
      </c>
      <c r="AJ540" s="55">
        <f t="shared" si="214"/>
        <v>0</v>
      </c>
      <c r="AK540" s="55">
        <f t="shared" si="215"/>
        <v>0</v>
      </c>
    </row>
    <row r="541" spans="2:37" s="53" customFormat="1" ht="17.25" customHeight="1" x14ac:dyDescent="0.25">
      <c r="B541" s="91" t="str">
        <f t="shared" si="196"/>
        <v/>
      </c>
      <c r="C541" s="81">
        <f>IF(Sheet3!A512="","",Sheet3!A512)</f>
        <v>41197</v>
      </c>
      <c r="D541" s="82">
        <f>IF(C541="","",Sheet3!E512)</f>
        <v>35.32</v>
      </c>
      <c r="E541" s="56">
        <f>_xlfn.XLOOKUP(WEEKNUM(C541)&amp;YEAR(C541),Sheet4!C:C,Sheet4!B:B,0)</f>
        <v>0</v>
      </c>
      <c r="F541" s="46">
        <f>IF(int=Weekly,-$D$5,IF(int=Bi_Weekly,-$D$5,IF(int=Monthly,0,IF(int=Quarterly,0,IF(int=Yearly,0,IF(int=None,0,0))))))</f>
        <v>0</v>
      </c>
      <c r="G541" s="46"/>
      <c r="H541" s="46">
        <f t="shared" si="205"/>
        <v>-12750</v>
      </c>
      <c r="I541" s="47"/>
      <c r="J541" s="38">
        <f t="shared" si="192"/>
        <v>0</v>
      </c>
      <c r="K541" s="48"/>
      <c r="L541" s="48">
        <f t="shared" si="197"/>
        <v>454.7784329260187</v>
      </c>
      <c r="M541" s="48"/>
      <c r="N541" s="38">
        <f t="shared" si="198"/>
        <v>0</v>
      </c>
      <c r="O541" s="36">
        <f t="shared" si="199"/>
        <v>0</v>
      </c>
      <c r="P541" s="84">
        <f t="shared" si="200"/>
        <v>-16519.28053206882</v>
      </c>
      <c r="Q541" s="38">
        <f t="shared" si="201"/>
        <v>0</v>
      </c>
      <c r="R541" s="48">
        <f t="shared" si="202"/>
        <v>129.04100692367206</v>
      </c>
      <c r="S541" s="38">
        <f t="shared" si="193"/>
        <v>583.81943984969075</v>
      </c>
      <c r="T541" s="50">
        <f t="shared" si="206"/>
        <v>12750</v>
      </c>
      <c r="U541" s="40">
        <f t="shared" si="207"/>
        <v>16062.774250946981</v>
      </c>
      <c r="V541" s="41">
        <f t="shared" si="208"/>
        <v>0.25982543144682202</v>
      </c>
      <c r="W541" s="39">
        <f t="shared" si="209"/>
        <v>3312.7742509469808</v>
      </c>
      <c r="X541" s="50">
        <f t="shared" si="203"/>
        <v>3769.7492820850975</v>
      </c>
      <c r="Y541" s="41">
        <f t="shared" si="210"/>
        <v>0.55549204180643752</v>
      </c>
      <c r="Z541" s="52"/>
      <c r="AA541" s="50">
        <f t="shared" si="216"/>
        <v>16519.749282085097</v>
      </c>
      <c r="AB541" s="39">
        <f t="shared" si="217"/>
        <v>20620.502615491077</v>
      </c>
      <c r="AC541" s="39">
        <f t="shared" si="211"/>
        <v>4100.7533334059808</v>
      </c>
      <c r="AD541" s="41">
        <f t="shared" si="212"/>
        <v>0.24823338801231443</v>
      </c>
      <c r="AF541" s="46">
        <f t="shared" si="194"/>
        <v>0</v>
      </c>
      <c r="AG541" s="46">
        <f t="shared" si="213"/>
        <v>0</v>
      </c>
      <c r="AH541" s="54">
        <f t="shared" si="195"/>
        <v>3570</v>
      </c>
      <c r="AI541" s="55">
        <f t="shared" si="204"/>
        <v>0.43207126948775054</v>
      </c>
      <c r="AJ541" s="55">
        <f t="shared" si="214"/>
        <v>0</v>
      </c>
      <c r="AK541" s="55">
        <f t="shared" si="215"/>
        <v>0</v>
      </c>
    </row>
    <row r="542" spans="2:37" s="53" customFormat="1" ht="17.25" customHeight="1" x14ac:dyDescent="0.25">
      <c r="B542" s="91" t="str">
        <f t="shared" si="196"/>
        <v/>
      </c>
      <c r="C542" s="81">
        <f>IF(Sheet3!A513="","",Sheet3!A513)</f>
        <v>41204</v>
      </c>
      <c r="D542" s="82">
        <f>IF(C542="","",Sheet3!E513)</f>
        <v>34.630001</v>
      </c>
      <c r="E542" s="56">
        <f>_xlfn.XLOOKUP(WEEKNUM(C542)&amp;YEAR(C542),Sheet4!C:C,Sheet4!B:B,0)</f>
        <v>0</v>
      </c>
      <c r="F542" s="46">
        <f>IF(int=Weekly,-$D$5,IF(int=Bi_Weekly,0,IF(int=Monthly,0,IF(int=Quarterly,0,IF(int=Yearly,0,IF(int=None,0,0))))))</f>
        <v>0</v>
      </c>
      <c r="G542" s="46"/>
      <c r="H542" s="46">
        <f t="shared" si="205"/>
        <v>-12750</v>
      </c>
      <c r="I542" s="47"/>
      <c r="J542" s="38">
        <f t="shared" si="192"/>
        <v>0</v>
      </c>
      <c r="K542" s="48"/>
      <c r="L542" s="48">
        <f t="shared" si="197"/>
        <v>454.7784329260187</v>
      </c>
      <c r="M542" s="48"/>
      <c r="N542" s="38">
        <f t="shared" si="198"/>
        <v>0</v>
      </c>
      <c r="O542" s="36">
        <f t="shared" si="199"/>
        <v>0</v>
      </c>
      <c r="P542" s="84">
        <f t="shared" si="200"/>
        <v>-16519.28053206882</v>
      </c>
      <c r="Q542" s="38">
        <f t="shared" si="201"/>
        <v>0</v>
      </c>
      <c r="R542" s="48">
        <f t="shared" si="202"/>
        <v>129.04100692367206</v>
      </c>
      <c r="S542" s="38">
        <f t="shared" si="193"/>
        <v>583.81943984969075</v>
      </c>
      <c r="T542" s="50">
        <f t="shared" si="206"/>
        <v>12750</v>
      </c>
      <c r="U542" s="40">
        <f t="shared" si="207"/>
        <v>15748.97758700646</v>
      </c>
      <c r="V542" s="41">
        <f t="shared" si="208"/>
        <v>0.23521392839266353</v>
      </c>
      <c r="W542" s="39">
        <f t="shared" si="209"/>
        <v>2998.9775870064605</v>
      </c>
      <c r="X542" s="50">
        <f t="shared" si="203"/>
        <v>3769.7492820850975</v>
      </c>
      <c r="Y542" s="41">
        <f t="shared" si="210"/>
        <v>0.53088053875227903</v>
      </c>
      <c r="Z542" s="52"/>
      <c r="AA542" s="50">
        <f t="shared" si="216"/>
        <v>16519.749282085097</v>
      </c>
      <c r="AB542" s="39">
        <f t="shared" si="217"/>
        <v>20217.667785814232</v>
      </c>
      <c r="AC542" s="39">
        <f t="shared" si="211"/>
        <v>3697.9185037291354</v>
      </c>
      <c r="AD542" s="41">
        <f t="shared" si="212"/>
        <v>0.22384834300962164</v>
      </c>
      <c r="AF542" s="46">
        <f t="shared" si="194"/>
        <v>0</v>
      </c>
      <c r="AG542" s="46">
        <f t="shared" si="213"/>
        <v>0</v>
      </c>
      <c r="AH542" s="54">
        <f t="shared" si="195"/>
        <v>3577</v>
      </c>
      <c r="AI542" s="55">
        <f t="shared" si="204"/>
        <v>0.43095768374164811</v>
      </c>
      <c r="AJ542" s="55">
        <f t="shared" si="214"/>
        <v>0</v>
      </c>
      <c r="AK542" s="55">
        <f t="shared" si="215"/>
        <v>0</v>
      </c>
    </row>
    <row r="543" spans="2:37" s="53" customFormat="1" ht="17.25" customHeight="1" x14ac:dyDescent="0.25">
      <c r="B543" s="91" t="str">
        <f t="shared" si="196"/>
        <v/>
      </c>
      <c r="C543" s="81">
        <f>IF(Sheet3!A514="","",Sheet3!A514)</f>
        <v>41211</v>
      </c>
      <c r="D543" s="82">
        <f>IF(C543="","",Sheet3!E514)</f>
        <v>34.93</v>
      </c>
      <c r="E543" s="56">
        <f>_xlfn.XLOOKUP(WEEKNUM(C543)&amp;YEAR(C543),Sheet4!C:C,Sheet4!B:B,0)</f>
        <v>0</v>
      </c>
      <c r="F543" s="46">
        <f>IF(int=Weekly,-$D$5,IF(int=Bi_Weekly,-$D$5,IF(int=Monthly,-$D$5,IF(int=Quarterly,0,IF(int=Yearly,0,IF(int=None,0,0))))))</f>
        <v>-100</v>
      </c>
      <c r="G543" s="46"/>
      <c r="H543" s="46">
        <f t="shared" si="205"/>
        <v>-12850</v>
      </c>
      <c r="I543" s="47"/>
      <c r="J543" s="38">
        <f t="shared" ref="J543:J606" si="218">IF(D$24=0,"",ABS($F543*D$24)/D543)</f>
        <v>2.8628685943315202</v>
      </c>
      <c r="K543" s="48"/>
      <c r="L543" s="48">
        <f t="shared" si="197"/>
        <v>457.64130152035023</v>
      </c>
      <c r="M543" s="48"/>
      <c r="N543" s="38">
        <f t="shared" si="198"/>
        <v>0</v>
      </c>
      <c r="O543" s="36">
        <f t="shared" si="199"/>
        <v>0</v>
      </c>
      <c r="P543" s="84">
        <f t="shared" si="200"/>
        <v>-16619.28053206882</v>
      </c>
      <c r="Q543" s="38">
        <f t="shared" si="201"/>
        <v>0</v>
      </c>
      <c r="R543" s="48">
        <f t="shared" si="202"/>
        <v>129.04100692367206</v>
      </c>
      <c r="S543" s="38">
        <f t="shared" ref="S543:S606" si="219">IF(D543=0,"",L543+R543)</f>
        <v>586.68230844402228</v>
      </c>
      <c r="T543" s="50">
        <f t="shared" si="206"/>
        <v>12850</v>
      </c>
      <c r="U543" s="40">
        <f t="shared" si="207"/>
        <v>15985.410662105833</v>
      </c>
      <c r="V543" s="41">
        <f t="shared" si="208"/>
        <v>0.24400082973586246</v>
      </c>
      <c r="W543" s="39">
        <f t="shared" si="209"/>
        <v>3135.4106621058327</v>
      </c>
      <c r="X543" s="50">
        <f t="shared" si="203"/>
        <v>3769.7492820850975</v>
      </c>
      <c r="Y543" s="41">
        <f t="shared" si="210"/>
        <v>0.5373665326218624</v>
      </c>
      <c r="Z543" s="52"/>
      <c r="AA543" s="50">
        <f t="shared" si="216"/>
        <v>16619.749282085097</v>
      </c>
      <c r="AB543" s="39">
        <f t="shared" si="217"/>
        <v>20492.813033949697</v>
      </c>
      <c r="AC543" s="39">
        <f t="shared" si="211"/>
        <v>3873.0637518645999</v>
      </c>
      <c r="AD543" s="41">
        <f t="shared" si="212"/>
        <v>0.23303984230613439</v>
      </c>
      <c r="AF543" s="46">
        <f t="shared" ref="AF543:AF606" si="220">F543+ABS(O543)</f>
        <v>-100</v>
      </c>
      <c r="AG543" s="46">
        <f t="shared" si="213"/>
        <v>-100</v>
      </c>
      <c r="AH543" s="54">
        <f t="shared" ref="AH543:AH606" si="221">DATEDIF($C$31,C543,"d")</f>
        <v>3584</v>
      </c>
      <c r="AI543" s="55">
        <f t="shared" si="204"/>
        <v>0.42984409799554568</v>
      </c>
      <c r="AJ543" s="55">
        <f t="shared" si="214"/>
        <v>-42.98440979955457</v>
      </c>
      <c r="AK543" s="55">
        <f t="shared" si="215"/>
        <v>-42.98440979955457</v>
      </c>
    </row>
    <row r="544" spans="2:37" s="53" customFormat="1" ht="17.25" customHeight="1" x14ac:dyDescent="0.25">
      <c r="B544" s="91" t="str">
        <f t="shared" ref="B544:B607" si="222">IF(C543="","",IF(C$30&lt;C544,"",B543+1))</f>
        <v/>
      </c>
      <c r="C544" s="81">
        <f>IF(Sheet3!A515="","",Sheet3!A515)</f>
        <v>41218</v>
      </c>
      <c r="D544" s="82">
        <f>IF(C544="","",Sheet3!E515)</f>
        <v>33.540000999999997</v>
      </c>
      <c r="E544" s="56">
        <f>_xlfn.XLOOKUP(WEEKNUM(C544)&amp;YEAR(C544),Sheet4!C:C,Sheet4!B:B,0)</f>
        <v>0</v>
      </c>
      <c r="F544" s="46">
        <f>IF(int=Weekly,-$D$5,IF(int=Bi_Weekly,0,IF(int=Monthly,0,IF(int=Quarterly,0,IF(int=Yearly,0,IF(int=None,0,0))))))</f>
        <v>0</v>
      </c>
      <c r="G544" s="46"/>
      <c r="H544" s="46">
        <f t="shared" si="205"/>
        <v>-12850</v>
      </c>
      <c r="I544" s="47"/>
      <c r="J544" s="38">
        <f t="shared" si="218"/>
        <v>0</v>
      </c>
      <c r="K544" s="48"/>
      <c r="L544" s="48">
        <f t="shared" ref="L544:L607" si="223">IF(D544=0,"",L543+J544)</f>
        <v>457.64130152035023</v>
      </c>
      <c r="M544" s="48"/>
      <c r="N544" s="38">
        <f t="shared" ref="N544:N607" si="224">IF(D544=0,"",L544*E544)</f>
        <v>0</v>
      </c>
      <c r="O544" s="36">
        <f t="shared" ref="O544:O607" si="225">-(IF(D544=0,"",N544))</f>
        <v>0</v>
      </c>
      <c r="P544" s="84">
        <f t="shared" ref="P544:P607" si="226">P543+F544+O544</f>
        <v>-16619.28053206882</v>
      </c>
      <c r="Q544" s="38">
        <f t="shared" ref="Q544:Q607" si="227">IF(D544=0,"",ABS($O544)/D544)</f>
        <v>0</v>
      </c>
      <c r="R544" s="48">
        <f t="shared" ref="R544:R607" si="228">IF(D544=0,"",Q544+R543)</f>
        <v>129.04100692367206</v>
      </c>
      <c r="S544" s="38">
        <f t="shared" si="219"/>
        <v>586.68230844402228</v>
      </c>
      <c r="T544" s="50">
        <f t="shared" si="206"/>
        <v>12850</v>
      </c>
      <c r="U544" s="40">
        <f t="shared" si="207"/>
        <v>15349.289710633846</v>
      </c>
      <c r="V544" s="41">
        <f t="shared" si="208"/>
        <v>0.19449725374582449</v>
      </c>
      <c r="W544" s="39">
        <f t="shared" si="209"/>
        <v>2499.289710633846</v>
      </c>
      <c r="X544" s="50">
        <f t="shared" ref="X544:X607" si="229">ABS(O544)+X543</f>
        <v>3769.7492820850975</v>
      </c>
      <c r="Y544" s="41">
        <f t="shared" si="210"/>
        <v>0.48786295663182422</v>
      </c>
      <c r="Z544" s="52"/>
      <c r="AA544" s="50">
        <f t="shared" si="216"/>
        <v>16619.749282085097</v>
      </c>
      <c r="AB544" s="39">
        <f t="shared" si="217"/>
        <v>19677.325211894815</v>
      </c>
      <c r="AC544" s="39">
        <f t="shared" si="211"/>
        <v>3057.5759298097182</v>
      </c>
      <c r="AD544" s="41">
        <f t="shared" si="212"/>
        <v>0.18397244614908637</v>
      </c>
      <c r="AF544" s="46">
        <f t="shared" si="220"/>
        <v>0</v>
      </c>
      <c r="AG544" s="46">
        <f t="shared" si="213"/>
        <v>0</v>
      </c>
      <c r="AH544" s="54">
        <f t="shared" si="221"/>
        <v>3591</v>
      </c>
      <c r="AI544" s="55">
        <f t="shared" ref="AI544:AI607" si="230">(AH$30-AH544)/AH$30</f>
        <v>0.4287305122494432</v>
      </c>
      <c r="AJ544" s="55">
        <f t="shared" si="214"/>
        <v>0</v>
      </c>
      <c r="AK544" s="55">
        <f t="shared" si="215"/>
        <v>0</v>
      </c>
    </row>
    <row r="545" spans="2:37" s="53" customFormat="1" ht="17.25" customHeight="1" x14ac:dyDescent="0.25">
      <c r="B545" s="91" t="str">
        <f t="shared" si="222"/>
        <v/>
      </c>
      <c r="C545" s="81">
        <f>IF(Sheet3!A516="","",Sheet3!A516)</f>
        <v>41225</v>
      </c>
      <c r="D545" s="82">
        <f>IF(C545="","",Sheet3!E516)</f>
        <v>33.139999000000003</v>
      </c>
      <c r="E545" s="56">
        <f>_xlfn.XLOOKUP(WEEKNUM(C545)&amp;YEAR(C545),Sheet4!C:C,Sheet4!B:B,0)</f>
        <v>0</v>
      </c>
      <c r="F545" s="46">
        <f>IF(int=Weekly,-$D$5,IF(int=Bi_Weekly,-$D$5,IF(int=Monthly,0,IF(int=Quarterly,0,IF(int=Yearly,0,IF(int=None,0,0))))))</f>
        <v>0</v>
      </c>
      <c r="G545" s="46"/>
      <c r="H545" s="46">
        <f t="shared" ref="H545:H608" si="231">H544+F545</f>
        <v>-12850</v>
      </c>
      <c r="I545" s="47"/>
      <c r="J545" s="38">
        <f t="shared" si="218"/>
        <v>0</v>
      </c>
      <c r="K545" s="48"/>
      <c r="L545" s="48">
        <f t="shared" si="223"/>
        <v>457.64130152035023</v>
      </c>
      <c r="M545" s="48"/>
      <c r="N545" s="38">
        <f t="shared" si="224"/>
        <v>0</v>
      </c>
      <c r="O545" s="36">
        <f t="shared" si="225"/>
        <v>0</v>
      </c>
      <c r="P545" s="84">
        <f t="shared" si="226"/>
        <v>-16619.28053206882</v>
      </c>
      <c r="Q545" s="38">
        <f t="shared" si="227"/>
        <v>0</v>
      </c>
      <c r="R545" s="48">
        <f t="shared" si="228"/>
        <v>129.04100692367206</v>
      </c>
      <c r="S545" s="38">
        <f t="shared" si="219"/>
        <v>586.68230844402228</v>
      </c>
      <c r="T545" s="50">
        <f t="shared" ref="T545:T608" si="232">IF(D545=0,"",D545*J545)+T544</f>
        <v>12850</v>
      </c>
      <c r="U545" s="40">
        <f t="shared" ref="U545:U608" si="233">IF(D545=0,"",L545*D545)</f>
        <v>15166.232274743106</v>
      </c>
      <c r="V545" s="41">
        <f t="shared" ref="V545:V608" si="234">(U545/T545)-1</f>
        <v>0.18025153889051415</v>
      </c>
      <c r="W545" s="39">
        <f t="shared" ref="W545:W608" si="235">U545-T545</f>
        <v>2316.2322747431062</v>
      </c>
      <c r="X545" s="50">
        <f t="shared" si="229"/>
        <v>3769.7492820850975</v>
      </c>
      <c r="Y545" s="41">
        <f t="shared" ref="Y545:Y608" si="236">((U545+X545)/T545)-1</f>
        <v>0.47361724177651388</v>
      </c>
      <c r="Z545" s="52"/>
      <c r="AA545" s="50">
        <f t="shared" si="216"/>
        <v>16619.749282085097</v>
      </c>
      <c r="AB545" s="39">
        <f t="shared" si="217"/>
        <v>19442.651115152592</v>
      </c>
      <c r="AC545" s="39">
        <f t="shared" ref="AC545:AC608" si="237">AB545-AA545</f>
        <v>2822.9018330674953</v>
      </c>
      <c r="AD545" s="41">
        <f t="shared" ref="AD545:AD608" si="238">(AB545/AA545)-1</f>
        <v>0.16985225138807492</v>
      </c>
      <c r="AF545" s="46">
        <f t="shared" si="220"/>
        <v>0</v>
      </c>
      <c r="AG545" s="46">
        <f t="shared" ref="AG545:AG608" si="239">F545</f>
        <v>0</v>
      </c>
      <c r="AH545" s="54">
        <f t="shared" si="221"/>
        <v>3598</v>
      </c>
      <c r="AI545" s="55">
        <f t="shared" si="230"/>
        <v>0.42761692650334077</v>
      </c>
      <c r="AJ545" s="55">
        <f t="shared" ref="AJ545:AJ608" si="240">AI545*AF545</f>
        <v>0</v>
      </c>
      <c r="AK545" s="55">
        <f t="shared" ref="AK545:AK608" si="241">$AI545*AG545</f>
        <v>0</v>
      </c>
    </row>
    <row r="546" spans="2:37" s="53" customFormat="1" ht="17.25" customHeight="1" x14ac:dyDescent="0.25">
      <c r="B546" s="91" t="str">
        <f t="shared" si="222"/>
        <v/>
      </c>
      <c r="C546" s="81">
        <f>IF(Sheet3!A517="","",Sheet3!A517)</f>
        <v>41232</v>
      </c>
      <c r="D546" s="82">
        <f>IF(C546="","",Sheet3!E517)</f>
        <v>34.360000999999997</v>
      </c>
      <c r="E546" s="56">
        <f>_xlfn.XLOOKUP(WEEKNUM(C546)&amp;YEAR(C546),Sheet4!C:C,Sheet4!B:B,0)</f>
        <v>0</v>
      </c>
      <c r="F546" s="46">
        <f>IF(int=Weekly,-$D$5,IF(int=Bi_Weekly,0,IF(int=Monthly,0,IF(int=Quarterly,0,IF(int=Yearly,0,IF(int=None,0,0))))))</f>
        <v>0</v>
      </c>
      <c r="G546" s="46"/>
      <c r="H546" s="46">
        <f t="shared" si="231"/>
        <v>-12850</v>
      </c>
      <c r="I546" s="47"/>
      <c r="J546" s="38">
        <f t="shared" si="218"/>
        <v>0</v>
      </c>
      <c r="K546" s="48"/>
      <c r="L546" s="48">
        <f t="shared" si="223"/>
        <v>457.64130152035023</v>
      </c>
      <c r="M546" s="48"/>
      <c r="N546" s="38">
        <f t="shared" si="224"/>
        <v>0</v>
      </c>
      <c r="O546" s="36">
        <f t="shared" si="225"/>
        <v>0</v>
      </c>
      <c r="P546" s="84">
        <f t="shared" si="226"/>
        <v>-16619.28053206882</v>
      </c>
      <c r="Q546" s="38">
        <f t="shared" si="227"/>
        <v>0</v>
      </c>
      <c r="R546" s="48">
        <f t="shared" si="228"/>
        <v>129.04100692367206</v>
      </c>
      <c r="S546" s="38">
        <f t="shared" si="219"/>
        <v>586.68230844402228</v>
      </c>
      <c r="T546" s="50">
        <f t="shared" si="232"/>
        <v>12850</v>
      </c>
      <c r="U546" s="40">
        <f t="shared" si="233"/>
        <v>15724.555577880534</v>
      </c>
      <c r="V546" s="41">
        <f t="shared" si="234"/>
        <v>0.22370082318136442</v>
      </c>
      <c r="W546" s="39">
        <f t="shared" si="235"/>
        <v>2874.5555778805337</v>
      </c>
      <c r="X546" s="50">
        <f t="shared" si="229"/>
        <v>3769.7492820850975</v>
      </c>
      <c r="Y546" s="41">
        <f t="shared" si="236"/>
        <v>0.51706652606736436</v>
      </c>
      <c r="Z546" s="52"/>
      <c r="AA546" s="50">
        <f t="shared" si="216"/>
        <v>16619.749282085097</v>
      </c>
      <c r="AB546" s="39">
        <f t="shared" si="217"/>
        <v>20158.404704818913</v>
      </c>
      <c r="AC546" s="39">
        <f t="shared" si="237"/>
        <v>3538.6554227338165</v>
      </c>
      <c r="AD546" s="41">
        <f t="shared" si="238"/>
        <v>0.21291870067788765</v>
      </c>
      <c r="AF546" s="46">
        <f t="shared" si="220"/>
        <v>0</v>
      </c>
      <c r="AG546" s="46">
        <f t="shared" si="239"/>
        <v>0</v>
      </c>
      <c r="AH546" s="54">
        <f t="shared" si="221"/>
        <v>3605</v>
      </c>
      <c r="AI546" s="55">
        <f t="shared" si="230"/>
        <v>0.42650334075723828</v>
      </c>
      <c r="AJ546" s="55">
        <f t="shared" si="240"/>
        <v>0</v>
      </c>
      <c r="AK546" s="55">
        <f t="shared" si="241"/>
        <v>0</v>
      </c>
    </row>
    <row r="547" spans="2:37" s="53" customFormat="1" ht="17.25" customHeight="1" x14ac:dyDescent="0.25">
      <c r="B547" s="91" t="str">
        <f t="shared" si="222"/>
        <v/>
      </c>
      <c r="C547" s="81">
        <f>IF(Sheet3!A518="","",Sheet3!A518)</f>
        <v>41239</v>
      </c>
      <c r="D547" s="82">
        <f>IF(C547="","",Sheet3!E518)</f>
        <v>34.130001</v>
      </c>
      <c r="E547" s="56">
        <f>_xlfn.XLOOKUP(WEEKNUM(C547)&amp;YEAR(C547),Sheet4!C:C,Sheet4!B:B,0)</f>
        <v>0</v>
      </c>
      <c r="F547" s="46">
        <f>IF(int=Weekly,-$D$5,IF(int=Bi_Weekly,-$D$5,IF(int=Monthly,-$D$5,IF(int=Quarterly,0,IF(int=Yearly,0,IF(int=None,0,0))))))</f>
        <v>-100</v>
      </c>
      <c r="G547" s="46"/>
      <c r="H547" s="46">
        <f t="shared" si="231"/>
        <v>-12950</v>
      </c>
      <c r="I547" s="47"/>
      <c r="J547" s="38">
        <f t="shared" si="218"/>
        <v>2.9299735443898758</v>
      </c>
      <c r="K547" s="48"/>
      <c r="L547" s="48">
        <f t="shared" si="223"/>
        <v>460.57127506474012</v>
      </c>
      <c r="M547" s="48"/>
      <c r="N547" s="38">
        <f t="shared" si="224"/>
        <v>0</v>
      </c>
      <c r="O547" s="36">
        <f t="shared" si="225"/>
        <v>0</v>
      </c>
      <c r="P547" s="84">
        <f t="shared" si="226"/>
        <v>-16719.28053206882</v>
      </c>
      <c r="Q547" s="38">
        <f t="shared" si="227"/>
        <v>0</v>
      </c>
      <c r="R547" s="48">
        <f t="shared" si="228"/>
        <v>129.04100692367206</v>
      </c>
      <c r="S547" s="38">
        <f t="shared" si="219"/>
        <v>589.61228198841218</v>
      </c>
      <c r="T547" s="50">
        <f t="shared" si="232"/>
        <v>12950</v>
      </c>
      <c r="U547" s="40">
        <f t="shared" si="233"/>
        <v>15719.298078530855</v>
      </c>
      <c r="V547" s="41">
        <f t="shared" si="234"/>
        <v>0.21384541146956404</v>
      </c>
      <c r="W547" s="39">
        <f t="shared" si="235"/>
        <v>2769.2980785308555</v>
      </c>
      <c r="X547" s="50">
        <f t="shared" si="229"/>
        <v>3769.7492820850975</v>
      </c>
      <c r="Y547" s="41">
        <f t="shared" si="236"/>
        <v>0.50494574213250609</v>
      </c>
      <c r="Z547" s="52"/>
      <c r="AA547" s="50">
        <f t="shared" si="216"/>
        <v>16719.749282085097</v>
      </c>
      <c r="AB547" s="39">
        <f t="shared" si="217"/>
        <v>20123.46777387679</v>
      </c>
      <c r="AC547" s="39">
        <f t="shared" si="237"/>
        <v>3403.7184917916929</v>
      </c>
      <c r="AD547" s="41">
        <f t="shared" si="238"/>
        <v>0.20357473275264448</v>
      </c>
      <c r="AF547" s="46">
        <f t="shared" si="220"/>
        <v>-100</v>
      </c>
      <c r="AG547" s="46">
        <f t="shared" si="239"/>
        <v>-100</v>
      </c>
      <c r="AH547" s="54">
        <f t="shared" si="221"/>
        <v>3612</v>
      </c>
      <c r="AI547" s="55">
        <f t="shared" si="230"/>
        <v>0.42538975501113585</v>
      </c>
      <c r="AJ547" s="55">
        <f t="shared" si="240"/>
        <v>-42.538975501113583</v>
      </c>
      <c r="AK547" s="55">
        <f t="shared" si="241"/>
        <v>-42.538975501113583</v>
      </c>
    </row>
    <row r="548" spans="2:37" s="53" customFormat="1" ht="17.25" customHeight="1" x14ac:dyDescent="0.25">
      <c r="B548" s="91" t="str">
        <f t="shared" si="222"/>
        <v/>
      </c>
      <c r="C548" s="81">
        <f>IF(Sheet3!A519="","",Sheet3!A519)</f>
        <v>41246</v>
      </c>
      <c r="D548" s="82">
        <f>IF(C548="","",Sheet3!E519)</f>
        <v>33.740001999999997</v>
      </c>
      <c r="E548" s="56">
        <f>_xlfn.XLOOKUP(WEEKNUM(C548)&amp;YEAR(C548),Sheet4!C:C,Sheet4!B:B,0)</f>
        <v>0</v>
      </c>
      <c r="F548" s="46">
        <f>IF(int=Weekly,-$D$5,IF(int=Bi_Weekly,0,IF(int=Monthly,0,IF(int=Quarterly,0,IF(int=Yearly,0,IF(int=None,0,0))))))</f>
        <v>0</v>
      </c>
      <c r="G548" s="46"/>
      <c r="H548" s="46">
        <f t="shared" si="231"/>
        <v>-12950</v>
      </c>
      <c r="I548" s="47"/>
      <c r="J548" s="38">
        <f t="shared" si="218"/>
        <v>0</v>
      </c>
      <c r="K548" s="48"/>
      <c r="L548" s="48">
        <f t="shared" si="223"/>
        <v>460.57127506474012</v>
      </c>
      <c r="M548" s="48"/>
      <c r="N548" s="38">
        <f t="shared" si="224"/>
        <v>0</v>
      </c>
      <c r="O548" s="36">
        <f t="shared" si="225"/>
        <v>0</v>
      </c>
      <c r="P548" s="84">
        <f t="shared" si="226"/>
        <v>-16719.28053206882</v>
      </c>
      <c r="Q548" s="38">
        <f t="shared" si="227"/>
        <v>0</v>
      </c>
      <c r="R548" s="48">
        <f t="shared" si="228"/>
        <v>129.04100692367206</v>
      </c>
      <c r="S548" s="38">
        <f t="shared" si="219"/>
        <v>589.61228198841218</v>
      </c>
      <c r="T548" s="50">
        <f t="shared" si="232"/>
        <v>12950</v>
      </c>
      <c r="U548" s="40">
        <f t="shared" si="233"/>
        <v>15539.675741826881</v>
      </c>
      <c r="V548" s="41">
        <f t="shared" si="234"/>
        <v>0.19997496075883259</v>
      </c>
      <c r="W548" s="39">
        <f t="shared" si="235"/>
        <v>2589.6757418268808</v>
      </c>
      <c r="X548" s="50">
        <f t="shared" si="229"/>
        <v>3769.7492820850975</v>
      </c>
      <c r="Y548" s="41">
        <f t="shared" si="236"/>
        <v>0.49107529142177442</v>
      </c>
      <c r="Z548" s="52"/>
      <c r="AA548" s="50">
        <f t="shared" si="216"/>
        <v>16719.749282085097</v>
      </c>
      <c r="AB548" s="39">
        <f t="shared" si="217"/>
        <v>19893.519573513589</v>
      </c>
      <c r="AC548" s="39">
        <f t="shared" si="237"/>
        <v>3173.7702914284928</v>
      </c>
      <c r="AD548" s="41">
        <f t="shared" si="238"/>
        <v>0.1898216437269864</v>
      </c>
      <c r="AF548" s="46">
        <f t="shared" si="220"/>
        <v>0</v>
      </c>
      <c r="AG548" s="46">
        <f t="shared" si="239"/>
        <v>0</v>
      </c>
      <c r="AH548" s="54">
        <f t="shared" si="221"/>
        <v>3619</v>
      </c>
      <c r="AI548" s="55">
        <f t="shared" si="230"/>
        <v>0.42427616926503342</v>
      </c>
      <c r="AJ548" s="55">
        <f t="shared" si="240"/>
        <v>0</v>
      </c>
      <c r="AK548" s="55">
        <f t="shared" si="241"/>
        <v>0</v>
      </c>
    </row>
    <row r="549" spans="2:37" s="53" customFormat="1" ht="17.25" customHeight="1" x14ac:dyDescent="0.25">
      <c r="B549" s="91" t="str">
        <f t="shared" si="222"/>
        <v/>
      </c>
      <c r="C549" s="81">
        <f>IF(Sheet3!A520="","",Sheet3!A520)</f>
        <v>41253</v>
      </c>
      <c r="D549" s="82">
        <f>IF(C549="","",Sheet3!E520)</f>
        <v>34.009998000000003</v>
      </c>
      <c r="E549" s="56">
        <f>_xlfn.XLOOKUP(WEEKNUM(C549)&amp;YEAR(C549),Sheet4!C:C,Sheet4!B:B,0)</f>
        <v>0</v>
      </c>
      <c r="F549" s="46">
        <f>IF(int=Weekly,-$D$5,IF(int=Bi_Weekly,-$D$5,IF(int=Monthly,0,IF(int=Quarterly,0,IF(int=Yearly,0,IF(int=None,0,0))))))</f>
        <v>0</v>
      </c>
      <c r="G549" s="46"/>
      <c r="H549" s="46">
        <f t="shared" si="231"/>
        <v>-12950</v>
      </c>
      <c r="I549" s="47"/>
      <c r="J549" s="38">
        <f t="shared" si="218"/>
        <v>0</v>
      </c>
      <c r="K549" s="48"/>
      <c r="L549" s="48">
        <f t="shared" si="223"/>
        <v>460.57127506474012</v>
      </c>
      <c r="M549" s="48"/>
      <c r="N549" s="38">
        <f t="shared" si="224"/>
        <v>0</v>
      </c>
      <c r="O549" s="36">
        <f t="shared" si="225"/>
        <v>0</v>
      </c>
      <c r="P549" s="84">
        <f t="shared" si="226"/>
        <v>-16719.28053206882</v>
      </c>
      <c r="Q549" s="38">
        <f t="shared" si="227"/>
        <v>0</v>
      </c>
      <c r="R549" s="48">
        <f t="shared" si="228"/>
        <v>129.04100692367206</v>
      </c>
      <c r="S549" s="38">
        <f t="shared" si="219"/>
        <v>589.61228198841218</v>
      </c>
      <c r="T549" s="50">
        <f t="shared" si="232"/>
        <v>12950</v>
      </c>
      <c r="U549" s="40">
        <f t="shared" si="233"/>
        <v>15664.028143809262</v>
      </c>
      <c r="V549" s="41">
        <f t="shared" si="234"/>
        <v>0.20957746284241408</v>
      </c>
      <c r="W549" s="39">
        <f t="shared" si="235"/>
        <v>2714.0281438092625</v>
      </c>
      <c r="X549" s="50">
        <f t="shared" si="229"/>
        <v>3769.7492820850975</v>
      </c>
      <c r="Y549" s="41">
        <f t="shared" si="236"/>
        <v>0.50067779350535613</v>
      </c>
      <c r="Z549" s="52"/>
      <c r="AA549" s="50">
        <f t="shared" si="216"/>
        <v>16719.749282085097</v>
      </c>
      <c r="AB549" s="39">
        <f t="shared" si="217"/>
        <v>20052.712531201338</v>
      </c>
      <c r="AC549" s="39">
        <f t="shared" si="237"/>
        <v>3332.9632491162411</v>
      </c>
      <c r="AD549" s="41">
        <f t="shared" si="238"/>
        <v>0.19934289640858727</v>
      </c>
      <c r="AF549" s="46">
        <f t="shared" si="220"/>
        <v>0</v>
      </c>
      <c r="AG549" s="46">
        <f t="shared" si="239"/>
        <v>0</v>
      </c>
      <c r="AH549" s="54">
        <f t="shared" si="221"/>
        <v>3626</v>
      </c>
      <c r="AI549" s="55">
        <f t="shared" si="230"/>
        <v>0.42316258351893093</v>
      </c>
      <c r="AJ549" s="55">
        <f t="shared" si="240"/>
        <v>0</v>
      </c>
      <c r="AK549" s="55">
        <f t="shared" si="241"/>
        <v>0</v>
      </c>
    </row>
    <row r="550" spans="2:37" s="53" customFormat="1" ht="17.25" customHeight="1" x14ac:dyDescent="0.25">
      <c r="B550" s="91" t="str">
        <f t="shared" si="222"/>
        <v/>
      </c>
      <c r="C550" s="81">
        <f>IF(Sheet3!A521="","",Sheet3!A521)</f>
        <v>41260</v>
      </c>
      <c r="D550" s="82">
        <f>IF(C550="","",Sheet3!E521)</f>
        <v>33.669998</v>
      </c>
      <c r="E550" s="56">
        <f>_xlfn.XLOOKUP(WEEKNUM(C550)&amp;YEAR(C550),Sheet4!C:C,Sheet4!B:B,0)</f>
        <v>0</v>
      </c>
      <c r="F550" s="46">
        <f>IF(int=Weekly,-$D$5,IF(int=Bi_Weekly,0,IF(int=Monthly,0,IF(int=Quarterly,0,IF(int=Yearly,0,IF(int=None,0,0))))))</f>
        <v>0</v>
      </c>
      <c r="G550" s="46"/>
      <c r="H550" s="46">
        <f t="shared" si="231"/>
        <v>-12950</v>
      </c>
      <c r="I550" s="47"/>
      <c r="J550" s="38">
        <f t="shared" si="218"/>
        <v>0</v>
      </c>
      <c r="K550" s="48"/>
      <c r="L550" s="48">
        <f t="shared" si="223"/>
        <v>460.57127506474012</v>
      </c>
      <c r="M550" s="48"/>
      <c r="N550" s="38">
        <f t="shared" si="224"/>
        <v>0</v>
      </c>
      <c r="O550" s="36">
        <f t="shared" si="225"/>
        <v>0</v>
      </c>
      <c r="P550" s="84">
        <f t="shared" si="226"/>
        <v>-16719.28053206882</v>
      </c>
      <c r="Q550" s="38">
        <f t="shared" si="227"/>
        <v>0</v>
      </c>
      <c r="R550" s="48">
        <f t="shared" si="228"/>
        <v>129.04100692367206</v>
      </c>
      <c r="S550" s="38">
        <f t="shared" si="219"/>
        <v>589.61228198841218</v>
      </c>
      <c r="T550" s="50">
        <f t="shared" si="232"/>
        <v>12950</v>
      </c>
      <c r="U550" s="40">
        <f t="shared" si="233"/>
        <v>15507.433910287249</v>
      </c>
      <c r="V550" s="41">
        <f t="shared" si="234"/>
        <v>0.19748524403762535</v>
      </c>
      <c r="W550" s="39">
        <f t="shared" si="235"/>
        <v>2557.4339102872491</v>
      </c>
      <c r="X550" s="50">
        <f t="shared" si="229"/>
        <v>3769.7492820850975</v>
      </c>
      <c r="Y550" s="41">
        <f t="shared" si="236"/>
        <v>0.4885855747005674</v>
      </c>
      <c r="Z550" s="52"/>
      <c r="AA550" s="50">
        <f t="shared" si="216"/>
        <v>16719.749282085097</v>
      </c>
      <c r="AB550" s="39">
        <f t="shared" si="217"/>
        <v>19852.244355325274</v>
      </c>
      <c r="AC550" s="39">
        <f t="shared" si="237"/>
        <v>3132.4950732401776</v>
      </c>
      <c r="AD550" s="41">
        <f t="shared" si="238"/>
        <v>0.18735299318133847</v>
      </c>
      <c r="AF550" s="46">
        <f t="shared" si="220"/>
        <v>0</v>
      </c>
      <c r="AG550" s="46">
        <f t="shared" si="239"/>
        <v>0</v>
      </c>
      <c r="AH550" s="54">
        <f t="shared" si="221"/>
        <v>3633</v>
      </c>
      <c r="AI550" s="55">
        <f t="shared" si="230"/>
        <v>0.4220489977728285</v>
      </c>
      <c r="AJ550" s="55">
        <f t="shared" si="240"/>
        <v>0</v>
      </c>
      <c r="AK550" s="55">
        <f t="shared" si="241"/>
        <v>0</v>
      </c>
    </row>
    <row r="551" spans="2:37" s="53" customFormat="1" ht="17.25" customHeight="1" x14ac:dyDescent="0.25">
      <c r="B551" s="91" t="str">
        <f t="shared" si="222"/>
        <v/>
      </c>
      <c r="C551" s="81">
        <f>IF(Sheet3!A522="","",Sheet3!A522)</f>
        <v>41267</v>
      </c>
      <c r="D551" s="82">
        <f>IF(C551="","",Sheet3!E522)</f>
        <v>33.32</v>
      </c>
      <c r="E551" s="56">
        <f>_xlfn.XLOOKUP(WEEKNUM(C551)&amp;YEAR(C551),Sheet4!C:C,Sheet4!B:B,0)</f>
        <v>0</v>
      </c>
      <c r="F551" s="46">
        <f>IF(int=Weekly,-$D$5,IF(int=Bi_Weekly,-$D$5,IF(int=Monthly,-$D$5,IF(int=Quarterly,-$D$5,IF(int=Yearly,-$D$5,IF(int=None,0,0))))))</f>
        <v>-100</v>
      </c>
      <c r="G551" s="46"/>
      <c r="H551" s="46">
        <f t="shared" si="231"/>
        <v>-13050</v>
      </c>
      <c r="I551" s="47"/>
      <c r="J551" s="38">
        <f t="shared" si="218"/>
        <v>3.0012004801920766</v>
      </c>
      <c r="K551" s="48"/>
      <c r="L551" s="48">
        <f t="shared" si="223"/>
        <v>463.57247554493222</v>
      </c>
      <c r="M551" s="48"/>
      <c r="N551" s="38">
        <f t="shared" si="224"/>
        <v>0</v>
      </c>
      <c r="O551" s="36">
        <f t="shared" si="225"/>
        <v>0</v>
      </c>
      <c r="P551" s="84">
        <f t="shared" si="226"/>
        <v>-16819.28053206882</v>
      </c>
      <c r="Q551" s="38">
        <f t="shared" si="227"/>
        <v>0</v>
      </c>
      <c r="R551" s="48">
        <f t="shared" si="228"/>
        <v>129.04100692367206</v>
      </c>
      <c r="S551" s="38">
        <f t="shared" si="219"/>
        <v>592.61348246860427</v>
      </c>
      <c r="T551" s="50">
        <f t="shared" si="232"/>
        <v>13050</v>
      </c>
      <c r="U551" s="40">
        <f t="shared" si="233"/>
        <v>15446.234885157142</v>
      </c>
      <c r="V551" s="41">
        <f t="shared" si="234"/>
        <v>0.18361953142966603</v>
      </c>
      <c r="W551" s="39">
        <f t="shared" si="235"/>
        <v>2396.2348851571423</v>
      </c>
      <c r="X551" s="50">
        <f t="shared" si="229"/>
        <v>3769.7492820850975</v>
      </c>
      <c r="Y551" s="41">
        <f t="shared" si="236"/>
        <v>0.47248920821779627</v>
      </c>
      <c r="Z551" s="52"/>
      <c r="AA551" s="50">
        <f t="shared" si="216"/>
        <v>16819.749282085097</v>
      </c>
      <c r="AB551" s="39">
        <f t="shared" si="217"/>
        <v>19745.881235853896</v>
      </c>
      <c r="AC551" s="39">
        <f t="shared" si="237"/>
        <v>2926.1319537687996</v>
      </c>
      <c r="AD551" s="41">
        <f t="shared" si="238"/>
        <v>0.17397001017639746</v>
      </c>
      <c r="AF551" s="46">
        <f t="shared" si="220"/>
        <v>-100</v>
      </c>
      <c r="AG551" s="46">
        <f t="shared" si="239"/>
        <v>-100</v>
      </c>
      <c r="AH551" s="54">
        <f t="shared" si="221"/>
        <v>3640</v>
      </c>
      <c r="AI551" s="55">
        <f t="shared" si="230"/>
        <v>0.42093541202672607</v>
      </c>
      <c r="AJ551" s="55">
        <f t="shared" si="240"/>
        <v>-42.093541202672604</v>
      </c>
      <c r="AK551" s="55">
        <f t="shared" si="241"/>
        <v>-42.093541202672604</v>
      </c>
    </row>
    <row r="552" spans="2:37" s="53" customFormat="1" ht="17.25" customHeight="1" x14ac:dyDescent="0.25">
      <c r="B552" s="91" t="str">
        <f t="shared" si="222"/>
        <v/>
      </c>
      <c r="C552" s="81">
        <f>IF(Sheet3!A523="","",Sheet3!A523)</f>
        <v>41274</v>
      </c>
      <c r="D552" s="82">
        <f>IF(C552="","",Sheet3!E523)</f>
        <v>35.229999999999997</v>
      </c>
      <c r="E552" s="56">
        <f>_xlfn.XLOOKUP(WEEKNUM(C552)&amp;YEAR(C552),Sheet4!C:C,Sheet4!B:B,0)</f>
        <v>0</v>
      </c>
      <c r="F552" s="46">
        <f>IF(int=Weekly,-$D$5,IF(int=Bi_Weekly,0,IF(int=Monthly,0,IF(int=Quarterly,0,IF(int=Yearly,0,IF(int=None,0,0))))))</f>
        <v>0</v>
      </c>
      <c r="G552" s="46"/>
      <c r="H552" s="46">
        <f t="shared" si="231"/>
        <v>-13050</v>
      </c>
      <c r="I552" s="47"/>
      <c r="J552" s="38">
        <f t="shared" si="218"/>
        <v>0</v>
      </c>
      <c r="K552" s="48"/>
      <c r="L552" s="48">
        <f t="shared" si="223"/>
        <v>463.57247554493222</v>
      </c>
      <c r="M552" s="48"/>
      <c r="N552" s="38">
        <f t="shared" si="224"/>
        <v>0</v>
      </c>
      <c r="O552" s="36">
        <f t="shared" si="225"/>
        <v>0</v>
      </c>
      <c r="P552" s="84">
        <f t="shared" si="226"/>
        <v>-16819.28053206882</v>
      </c>
      <c r="Q552" s="38">
        <f t="shared" si="227"/>
        <v>0</v>
      </c>
      <c r="R552" s="48">
        <f t="shared" si="228"/>
        <v>129.04100692367206</v>
      </c>
      <c r="S552" s="38">
        <f t="shared" si="219"/>
        <v>592.61348246860427</v>
      </c>
      <c r="T552" s="50">
        <f t="shared" si="232"/>
        <v>13050</v>
      </c>
      <c r="U552" s="40">
        <f t="shared" si="233"/>
        <v>16331.658313447961</v>
      </c>
      <c r="V552" s="41">
        <f t="shared" si="234"/>
        <v>0.25146806999601234</v>
      </c>
      <c r="W552" s="39">
        <f t="shared" si="235"/>
        <v>3281.6583134479606</v>
      </c>
      <c r="X552" s="50">
        <f t="shared" si="229"/>
        <v>3769.7492820850975</v>
      </c>
      <c r="Y552" s="41">
        <f t="shared" si="236"/>
        <v>0.54033774678414237</v>
      </c>
      <c r="Z552" s="52"/>
      <c r="AA552" s="50">
        <f t="shared" si="216"/>
        <v>16819.749282085097</v>
      </c>
      <c r="AB552" s="39">
        <f t="shared" si="217"/>
        <v>20877.772987368928</v>
      </c>
      <c r="AC552" s="39">
        <f t="shared" si="237"/>
        <v>4058.0237052838311</v>
      </c>
      <c r="AD552" s="41">
        <f t="shared" si="238"/>
        <v>0.24126540991940226</v>
      </c>
      <c r="AF552" s="46">
        <f t="shared" si="220"/>
        <v>0</v>
      </c>
      <c r="AG552" s="46">
        <f t="shared" si="239"/>
        <v>0</v>
      </c>
      <c r="AH552" s="54">
        <f t="shared" si="221"/>
        <v>3647</v>
      </c>
      <c r="AI552" s="55">
        <f t="shared" si="230"/>
        <v>0.41982182628062359</v>
      </c>
      <c r="AJ552" s="55">
        <f t="shared" si="240"/>
        <v>0</v>
      </c>
      <c r="AK552" s="55">
        <f t="shared" si="241"/>
        <v>0</v>
      </c>
    </row>
    <row r="553" spans="2:37" s="53" customFormat="1" ht="17.25" customHeight="1" x14ac:dyDescent="0.25">
      <c r="B553" s="91" t="str">
        <f t="shared" si="222"/>
        <v/>
      </c>
      <c r="C553" s="81">
        <f>IF(Sheet3!A524="","",Sheet3!A524)</f>
        <v>41281</v>
      </c>
      <c r="D553" s="82">
        <f>IF(C553="","",Sheet3!E524)</f>
        <v>34.270000000000003</v>
      </c>
      <c r="E553" s="56">
        <f>_xlfn.XLOOKUP(WEEKNUM(C553)&amp;YEAR(C553),Sheet4!C:C,Sheet4!B:B,0)</f>
        <v>0.45</v>
      </c>
      <c r="F553" s="46">
        <f>IF(int=Weekly,-$D$5,IF(int=Bi_Weekly,-$D$5,IF(int=Monthly,0,IF(int=Quarterly,0,IF(int=Yearly,0,IF(int=None,0,0))))))</f>
        <v>0</v>
      </c>
      <c r="G553" s="46"/>
      <c r="H553" s="46">
        <f t="shared" si="231"/>
        <v>-13050</v>
      </c>
      <c r="I553" s="47"/>
      <c r="J553" s="38">
        <f t="shared" si="218"/>
        <v>0</v>
      </c>
      <c r="K553" s="48"/>
      <c r="L553" s="48">
        <f t="shared" si="223"/>
        <v>463.57247554493222</v>
      </c>
      <c r="M553" s="48"/>
      <c r="N553" s="38">
        <f t="shared" si="224"/>
        <v>208.60761399521951</v>
      </c>
      <c r="O553" s="36">
        <f t="shared" si="225"/>
        <v>-208.60761399521951</v>
      </c>
      <c r="P553" s="84">
        <f t="shared" si="226"/>
        <v>-17027.88814606404</v>
      </c>
      <c r="Q553" s="38">
        <f t="shared" si="227"/>
        <v>6.0871786984306828</v>
      </c>
      <c r="R553" s="48">
        <f t="shared" si="228"/>
        <v>135.12818562210273</v>
      </c>
      <c r="S553" s="38">
        <f t="shared" si="219"/>
        <v>598.70066116703492</v>
      </c>
      <c r="T553" s="50">
        <f t="shared" si="232"/>
        <v>13050</v>
      </c>
      <c r="U553" s="40">
        <f t="shared" si="233"/>
        <v>15886.628736924829</v>
      </c>
      <c r="V553" s="41">
        <f t="shared" si="234"/>
        <v>0.21736618673753472</v>
      </c>
      <c r="W553" s="39">
        <f t="shared" si="235"/>
        <v>2836.6287369248294</v>
      </c>
      <c r="X553" s="50">
        <f t="shared" si="229"/>
        <v>3978.3568960803173</v>
      </c>
      <c r="Y553" s="41">
        <f t="shared" si="236"/>
        <v>0.52222112130307652</v>
      </c>
      <c r="Z553" s="52"/>
      <c r="AA553" s="50">
        <f t="shared" si="216"/>
        <v>17028.356896080317</v>
      </c>
      <c r="AB553" s="39">
        <f t="shared" si="217"/>
        <v>20517.471658194292</v>
      </c>
      <c r="AC553" s="39">
        <f t="shared" si="237"/>
        <v>3489.1147621139753</v>
      </c>
      <c r="AD553" s="41">
        <f t="shared" si="238"/>
        <v>0.20490026039547704</v>
      </c>
      <c r="AF553" s="46">
        <f t="shared" si="220"/>
        <v>208.60761399521951</v>
      </c>
      <c r="AG553" s="46">
        <f t="shared" si="239"/>
        <v>0</v>
      </c>
      <c r="AH553" s="54">
        <f t="shared" si="221"/>
        <v>3654</v>
      </c>
      <c r="AI553" s="55">
        <f t="shared" si="230"/>
        <v>0.41870824053452116</v>
      </c>
      <c r="AJ553" s="55">
        <f t="shared" si="240"/>
        <v>87.345727018042908</v>
      </c>
      <c r="AK553" s="55">
        <f t="shared" si="241"/>
        <v>0</v>
      </c>
    </row>
    <row r="554" spans="2:37" s="53" customFormat="1" ht="17.25" customHeight="1" x14ac:dyDescent="0.25">
      <c r="B554" s="91" t="str">
        <f t="shared" si="222"/>
        <v/>
      </c>
      <c r="C554" s="81">
        <f>IF(Sheet3!A525="","",Sheet3!A525)</f>
        <v>41288</v>
      </c>
      <c r="D554" s="82">
        <f>IF(C554="","",Sheet3!E525)</f>
        <v>33.439999</v>
      </c>
      <c r="E554" s="56">
        <f>_xlfn.XLOOKUP(WEEKNUM(C554)&amp;YEAR(C554),Sheet4!C:C,Sheet4!B:B,0)</f>
        <v>0</v>
      </c>
      <c r="F554" s="46">
        <f>IF(int=Weekly,-$D$5,IF(int=Bi_Weekly,0,IF(int=Monthly,0,IF(int=Quarterly,0,IF(int=Yearly,0,IF(int=None,0,0))))))</f>
        <v>0</v>
      </c>
      <c r="G554" s="46"/>
      <c r="H554" s="46">
        <f t="shared" si="231"/>
        <v>-13050</v>
      </c>
      <c r="I554" s="47"/>
      <c r="J554" s="38">
        <f t="shared" si="218"/>
        <v>0</v>
      </c>
      <c r="K554" s="48"/>
      <c r="L554" s="48">
        <f t="shared" si="223"/>
        <v>463.57247554493222</v>
      </c>
      <c r="M554" s="48"/>
      <c r="N554" s="38">
        <f t="shared" si="224"/>
        <v>0</v>
      </c>
      <c r="O554" s="36">
        <f t="shared" si="225"/>
        <v>0</v>
      </c>
      <c r="P554" s="84">
        <f t="shared" si="226"/>
        <v>-17027.88814606404</v>
      </c>
      <c r="Q554" s="38">
        <f t="shared" si="227"/>
        <v>0</v>
      </c>
      <c r="R554" s="48">
        <f t="shared" si="228"/>
        <v>135.12818562210273</v>
      </c>
      <c r="S554" s="38">
        <f t="shared" si="219"/>
        <v>598.70066116703492</v>
      </c>
      <c r="T554" s="50">
        <f t="shared" si="232"/>
        <v>13050</v>
      </c>
      <c r="U554" s="40">
        <f t="shared" si="233"/>
        <v>15501.863118650059</v>
      </c>
      <c r="V554" s="41">
        <f t="shared" si="234"/>
        <v>0.1878822313141808</v>
      </c>
      <c r="W554" s="39">
        <f t="shared" si="235"/>
        <v>2451.8631186500588</v>
      </c>
      <c r="X554" s="50">
        <f t="shared" si="229"/>
        <v>3978.3568960803173</v>
      </c>
      <c r="Y554" s="41">
        <f t="shared" si="236"/>
        <v>0.49273716587972238</v>
      </c>
      <c r="Z554" s="52"/>
      <c r="AA554" s="50">
        <f t="shared" si="216"/>
        <v>17028.356896080317</v>
      </c>
      <c r="AB554" s="39">
        <f t="shared" si="217"/>
        <v>20020.549510724988</v>
      </c>
      <c r="AC554" s="39">
        <f t="shared" si="237"/>
        <v>2992.1926146446713</v>
      </c>
      <c r="AD554" s="41">
        <f t="shared" si="238"/>
        <v>0.17571822301501272</v>
      </c>
      <c r="AF554" s="46">
        <f t="shared" si="220"/>
        <v>0</v>
      </c>
      <c r="AG554" s="46">
        <f t="shared" si="239"/>
        <v>0</v>
      </c>
      <c r="AH554" s="54">
        <f t="shared" si="221"/>
        <v>3661</v>
      </c>
      <c r="AI554" s="55">
        <f t="shared" si="230"/>
        <v>0.41759465478841873</v>
      </c>
      <c r="AJ554" s="55">
        <f t="shared" si="240"/>
        <v>0</v>
      </c>
      <c r="AK554" s="55">
        <f t="shared" si="241"/>
        <v>0</v>
      </c>
    </row>
    <row r="555" spans="2:37" s="53" customFormat="1" ht="17.25" customHeight="1" x14ac:dyDescent="0.25">
      <c r="B555" s="91" t="str">
        <f t="shared" si="222"/>
        <v/>
      </c>
      <c r="C555" s="81">
        <f>IF(Sheet3!A526="","",Sheet3!A526)</f>
        <v>41295</v>
      </c>
      <c r="D555" s="82">
        <f>IF(C555="","",Sheet3!E526)</f>
        <v>34.020000000000003</v>
      </c>
      <c r="E555" s="56">
        <f>_xlfn.XLOOKUP(WEEKNUM(C555)&amp;YEAR(C555),Sheet4!C:C,Sheet4!B:B,0)</f>
        <v>0</v>
      </c>
      <c r="F555" s="46">
        <f>IF(int=Weekly,-$D$5,IF(int=Bi_Weekly,-$D$5,IF(int=Monthly,-$D$5,IF(int=Quarterly,0,IF(int=Yearly,0,IF(int=None,0,0))))))</f>
        <v>-100</v>
      </c>
      <c r="G555" s="46"/>
      <c r="H555" s="46">
        <f t="shared" si="231"/>
        <v>-13150</v>
      </c>
      <c r="I555" s="47"/>
      <c r="J555" s="38">
        <f t="shared" si="218"/>
        <v>2.939447383891828</v>
      </c>
      <c r="K555" s="48"/>
      <c r="L555" s="48">
        <f t="shared" si="223"/>
        <v>466.51192292882405</v>
      </c>
      <c r="M555" s="48"/>
      <c r="N555" s="38">
        <f t="shared" si="224"/>
        <v>0</v>
      </c>
      <c r="O555" s="36">
        <f t="shared" si="225"/>
        <v>0</v>
      </c>
      <c r="P555" s="84">
        <f t="shared" si="226"/>
        <v>-17127.88814606404</v>
      </c>
      <c r="Q555" s="38">
        <f t="shared" si="227"/>
        <v>0</v>
      </c>
      <c r="R555" s="48">
        <f t="shared" si="228"/>
        <v>135.12818562210273</v>
      </c>
      <c r="S555" s="38">
        <f t="shared" si="219"/>
        <v>601.64010855092681</v>
      </c>
      <c r="T555" s="50">
        <f t="shared" si="232"/>
        <v>13150</v>
      </c>
      <c r="U555" s="40">
        <f t="shared" si="233"/>
        <v>15870.735618038596</v>
      </c>
      <c r="V555" s="41">
        <f t="shared" si="234"/>
        <v>0.20690004699913267</v>
      </c>
      <c r="W555" s="39">
        <f t="shared" si="235"/>
        <v>2720.7356180385959</v>
      </c>
      <c r="X555" s="50">
        <f t="shared" si="229"/>
        <v>3978.3568960803173</v>
      </c>
      <c r="Y555" s="41">
        <f t="shared" si="236"/>
        <v>0.50943669308889095</v>
      </c>
      <c r="Z555" s="52"/>
      <c r="AA555" s="50">
        <f t="shared" si="216"/>
        <v>17128.356896080317</v>
      </c>
      <c r="AB555" s="39">
        <f t="shared" si="217"/>
        <v>20467.796492902533</v>
      </c>
      <c r="AC555" s="39">
        <f t="shared" si="237"/>
        <v>3339.4395968222161</v>
      </c>
      <c r="AD555" s="41">
        <f t="shared" si="238"/>
        <v>0.19496555431924811</v>
      </c>
      <c r="AF555" s="46">
        <f t="shared" si="220"/>
        <v>-100</v>
      </c>
      <c r="AG555" s="46">
        <f t="shared" si="239"/>
        <v>-100</v>
      </c>
      <c r="AH555" s="54">
        <f t="shared" si="221"/>
        <v>3668</v>
      </c>
      <c r="AI555" s="55">
        <f t="shared" si="230"/>
        <v>0.41648106904231624</v>
      </c>
      <c r="AJ555" s="55">
        <f t="shared" si="240"/>
        <v>-41.648106904231625</v>
      </c>
      <c r="AK555" s="55">
        <f t="shared" si="241"/>
        <v>-41.648106904231625</v>
      </c>
    </row>
    <row r="556" spans="2:37" s="53" customFormat="1" ht="17.25" customHeight="1" x14ac:dyDescent="0.25">
      <c r="B556" s="91" t="str">
        <f t="shared" si="222"/>
        <v/>
      </c>
      <c r="C556" s="81">
        <f>IF(Sheet3!A527="","",Sheet3!A527)</f>
        <v>41302</v>
      </c>
      <c r="D556" s="82">
        <f>IF(C556="","",Sheet3!E527)</f>
        <v>35.509998000000003</v>
      </c>
      <c r="E556" s="56">
        <f>_xlfn.XLOOKUP(WEEKNUM(C556)&amp;YEAR(C556),Sheet4!C:C,Sheet4!B:B,0)</f>
        <v>0</v>
      </c>
      <c r="F556" s="46">
        <f>IF(int=Weekly,-$D$5,IF(int=Bi_Weekly,0,IF(int=Monthly,0,IF(int=Quarterly,0,IF(int=Yearly,0,IF(int=None,0,0))))))</f>
        <v>0</v>
      </c>
      <c r="G556" s="46"/>
      <c r="H556" s="46">
        <f t="shared" si="231"/>
        <v>-13150</v>
      </c>
      <c r="I556" s="47"/>
      <c r="J556" s="38">
        <f t="shared" si="218"/>
        <v>0</v>
      </c>
      <c r="K556" s="48"/>
      <c r="L556" s="48">
        <f t="shared" si="223"/>
        <v>466.51192292882405</v>
      </c>
      <c r="M556" s="48"/>
      <c r="N556" s="38">
        <f t="shared" si="224"/>
        <v>0</v>
      </c>
      <c r="O556" s="36">
        <f t="shared" si="225"/>
        <v>0</v>
      </c>
      <c r="P556" s="84">
        <f t="shared" si="226"/>
        <v>-17127.88814606404</v>
      </c>
      <c r="Q556" s="38">
        <f t="shared" si="227"/>
        <v>0</v>
      </c>
      <c r="R556" s="48">
        <f t="shared" si="228"/>
        <v>135.12818562210273</v>
      </c>
      <c r="S556" s="38">
        <f t="shared" si="219"/>
        <v>601.64010855092681</v>
      </c>
      <c r="T556" s="50">
        <f t="shared" si="232"/>
        <v>13150</v>
      </c>
      <c r="U556" s="40">
        <f t="shared" si="233"/>
        <v>16565.837450178697</v>
      </c>
      <c r="V556" s="41">
        <f t="shared" si="234"/>
        <v>0.25975950191472985</v>
      </c>
      <c r="W556" s="39">
        <f t="shared" si="235"/>
        <v>3415.8374501786966</v>
      </c>
      <c r="X556" s="50">
        <f t="shared" si="229"/>
        <v>3978.3568960803173</v>
      </c>
      <c r="Y556" s="41">
        <f t="shared" si="236"/>
        <v>0.56229614800448768</v>
      </c>
      <c r="Z556" s="52"/>
      <c r="AA556" s="50">
        <f t="shared" si="216"/>
        <v>17128.356896080317</v>
      </c>
      <c r="AB556" s="39">
        <f t="shared" si="217"/>
        <v>21364.239051363194</v>
      </c>
      <c r="AC556" s="39">
        <f t="shared" si="237"/>
        <v>4235.8821552828776</v>
      </c>
      <c r="AD556" s="41">
        <f t="shared" si="238"/>
        <v>0.24730230581850066</v>
      </c>
      <c r="AF556" s="46">
        <f t="shared" si="220"/>
        <v>0</v>
      </c>
      <c r="AG556" s="46">
        <f t="shared" si="239"/>
        <v>0</v>
      </c>
      <c r="AH556" s="54">
        <f t="shared" si="221"/>
        <v>3675</v>
      </c>
      <c r="AI556" s="55">
        <f t="shared" si="230"/>
        <v>0.41536748329621381</v>
      </c>
      <c r="AJ556" s="55">
        <f t="shared" si="240"/>
        <v>0</v>
      </c>
      <c r="AK556" s="55">
        <f t="shared" si="241"/>
        <v>0</v>
      </c>
    </row>
    <row r="557" spans="2:37" s="53" customFormat="1" ht="17.25" customHeight="1" x14ac:dyDescent="0.25">
      <c r="B557" s="91" t="str">
        <f t="shared" si="222"/>
        <v/>
      </c>
      <c r="C557" s="81">
        <f>IF(Sheet3!A528="","",Sheet3!A528)</f>
        <v>41309</v>
      </c>
      <c r="D557" s="82">
        <f>IF(C557="","",Sheet3!E528)</f>
        <v>35.270000000000003</v>
      </c>
      <c r="E557" s="56">
        <f>_xlfn.XLOOKUP(WEEKNUM(C557)&amp;YEAR(C557),Sheet4!C:C,Sheet4!B:B,0)</f>
        <v>0</v>
      </c>
      <c r="F557" s="46">
        <f>IF(int=Weekly,-$D$5,IF(int=Bi_Weekly,-$D$5,IF(int=Monthly,0,IF(int=Quarterly,0,IF(int=Yearly,0,IF(int=None,0,0))))))</f>
        <v>0</v>
      </c>
      <c r="G557" s="46"/>
      <c r="H557" s="46">
        <f t="shared" si="231"/>
        <v>-13150</v>
      </c>
      <c r="I557" s="47"/>
      <c r="J557" s="38">
        <f t="shared" si="218"/>
        <v>0</v>
      </c>
      <c r="K557" s="48"/>
      <c r="L557" s="48">
        <f t="shared" si="223"/>
        <v>466.51192292882405</v>
      </c>
      <c r="M557" s="48"/>
      <c r="N557" s="38">
        <f t="shared" si="224"/>
        <v>0</v>
      </c>
      <c r="O557" s="36">
        <f t="shared" si="225"/>
        <v>0</v>
      </c>
      <c r="P557" s="84">
        <f t="shared" si="226"/>
        <v>-17127.88814606404</v>
      </c>
      <c r="Q557" s="38">
        <f t="shared" si="227"/>
        <v>0</v>
      </c>
      <c r="R557" s="48">
        <f t="shared" si="228"/>
        <v>135.12818562210273</v>
      </c>
      <c r="S557" s="38">
        <f t="shared" si="219"/>
        <v>601.64010855092681</v>
      </c>
      <c r="T557" s="50">
        <f t="shared" si="232"/>
        <v>13150</v>
      </c>
      <c r="U557" s="40">
        <f t="shared" si="233"/>
        <v>16453.875521699625</v>
      </c>
      <c r="V557" s="41">
        <f t="shared" si="234"/>
        <v>0.25124528682126424</v>
      </c>
      <c r="W557" s="39">
        <f t="shared" si="235"/>
        <v>3303.8755216996251</v>
      </c>
      <c r="X557" s="50">
        <f t="shared" si="229"/>
        <v>3978.3568960803173</v>
      </c>
      <c r="Y557" s="41">
        <f t="shared" si="236"/>
        <v>0.55378193291102229</v>
      </c>
      <c r="Z557" s="52"/>
      <c r="AA557" s="50">
        <f t="shared" si="216"/>
        <v>17128.356896080317</v>
      </c>
      <c r="AB557" s="39">
        <f t="shared" si="217"/>
        <v>21219.846628591189</v>
      </c>
      <c r="AC557" s="39">
        <f t="shared" si="237"/>
        <v>4091.4897325108723</v>
      </c>
      <c r="AD557" s="41">
        <f t="shared" si="238"/>
        <v>0.23887228397530502</v>
      </c>
      <c r="AF557" s="46">
        <f t="shared" si="220"/>
        <v>0</v>
      </c>
      <c r="AG557" s="46">
        <f t="shared" si="239"/>
        <v>0</v>
      </c>
      <c r="AH557" s="54">
        <f t="shared" si="221"/>
        <v>3682</v>
      </c>
      <c r="AI557" s="55">
        <f t="shared" si="230"/>
        <v>0.41425389755011138</v>
      </c>
      <c r="AJ557" s="55">
        <f t="shared" si="240"/>
        <v>0</v>
      </c>
      <c r="AK557" s="55">
        <f t="shared" si="241"/>
        <v>0</v>
      </c>
    </row>
    <row r="558" spans="2:37" s="53" customFormat="1" ht="17.25" customHeight="1" x14ac:dyDescent="0.25">
      <c r="B558" s="91" t="str">
        <f t="shared" si="222"/>
        <v/>
      </c>
      <c r="C558" s="81">
        <f>IF(Sheet3!A529="","",Sheet3!A529)</f>
        <v>41316</v>
      </c>
      <c r="D558" s="82">
        <f>IF(C558="","",Sheet3!E529)</f>
        <v>35.360000999999997</v>
      </c>
      <c r="E558" s="56">
        <f>_xlfn.XLOOKUP(WEEKNUM(C558)&amp;YEAR(C558),Sheet4!C:C,Sheet4!B:B,0)</f>
        <v>0</v>
      </c>
      <c r="F558" s="46">
        <f>IF(int=Weekly,-$D$5,IF(int=Bi_Weekly,0,IF(int=Monthly,0,IF(int=Quarterly,0,IF(int=Yearly,0,IF(int=None,0,0))))))</f>
        <v>0</v>
      </c>
      <c r="G558" s="46"/>
      <c r="H558" s="46">
        <f t="shared" si="231"/>
        <v>-13150</v>
      </c>
      <c r="I558" s="47"/>
      <c r="J558" s="38">
        <f t="shared" si="218"/>
        <v>0</v>
      </c>
      <c r="K558" s="48"/>
      <c r="L558" s="48">
        <f t="shared" si="223"/>
        <v>466.51192292882405</v>
      </c>
      <c r="M558" s="48"/>
      <c r="N558" s="38">
        <f t="shared" si="224"/>
        <v>0</v>
      </c>
      <c r="O558" s="36">
        <f t="shared" si="225"/>
        <v>0</v>
      </c>
      <c r="P558" s="84">
        <f t="shared" si="226"/>
        <v>-17127.88814606404</v>
      </c>
      <c r="Q558" s="38">
        <f t="shared" si="227"/>
        <v>0</v>
      </c>
      <c r="R558" s="48">
        <f t="shared" si="228"/>
        <v>135.12818562210273</v>
      </c>
      <c r="S558" s="38">
        <f t="shared" si="219"/>
        <v>601.64010855092681</v>
      </c>
      <c r="T558" s="50">
        <f t="shared" si="232"/>
        <v>13150</v>
      </c>
      <c r="U558" s="40">
        <f t="shared" si="233"/>
        <v>16495.86206127514</v>
      </c>
      <c r="V558" s="41">
        <f t="shared" si="234"/>
        <v>0.25443817956464954</v>
      </c>
      <c r="W558" s="39">
        <f t="shared" si="235"/>
        <v>3345.8620612751401</v>
      </c>
      <c r="X558" s="50">
        <f t="shared" si="229"/>
        <v>3978.3568960803173</v>
      </c>
      <c r="Y558" s="41">
        <f t="shared" si="236"/>
        <v>0.55697482565440737</v>
      </c>
      <c r="Z558" s="52"/>
      <c r="AA558" s="50">
        <f t="shared" si="216"/>
        <v>17128.356896080317</v>
      </c>
      <c r="AB558" s="39">
        <f t="shared" si="217"/>
        <v>21273.99484000088</v>
      </c>
      <c r="AC558" s="39">
        <f t="shared" si="237"/>
        <v>4145.637943920563</v>
      </c>
      <c r="AD558" s="41">
        <f t="shared" si="238"/>
        <v>0.24203360363592474</v>
      </c>
      <c r="AF558" s="46">
        <f t="shared" si="220"/>
        <v>0</v>
      </c>
      <c r="AG558" s="46">
        <f t="shared" si="239"/>
        <v>0</v>
      </c>
      <c r="AH558" s="54">
        <f t="shared" si="221"/>
        <v>3689</v>
      </c>
      <c r="AI558" s="55">
        <f t="shared" si="230"/>
        <v>0.4131403118040089</v>
      </c>
      <c r="AJ558" s="55">
        <f t="shared" si="240"/>
        <v>0</v>
      </c>
      <c r="AK558" s="55">
        <f t="shared" si="241"/>
        <v>0</v>
      </c>
    </row>
    <row r="559" spans="2:37" s="53" customFormat="1" ht="17.25" customHeight="1" x14ac:dyDescent="0.25">
      <c r="B559" s="91" t="str">
        <f t="shared" si="222"/>
        <v/>
      </c>
      <c r="C559" s="81">
        <f>IF(Sheet3!A530="","",Sheet3!A530)</f>
        <v>41323</v>
      </c>
      <c r="D559" s="82">
        <f>IF(C559="","",Sheet3!E530)</f>
        <v>35.68</v>
      </c>
      <c r="E559" s="56">
        <f>_xlfn.XLOOKUP(WEEKNUM(C559)&amp;YEAR(C559),Sheet4!C:C,Sheet4!B:B,0)</f>
        <v>0</v>
      </c>
      <c r="F559" s="46">
        <f>IF(int=Weekly,-$D$5,IF(int=Bi_Weekly,-$D$5,IF(int=Monthly,-$D$5,IF(int=Quarterly,0,IF(int=Yearly,0,IF(int=None,0,0))))))</f>
        <v>-100</v>
      </c>
      <c r="G559" s="46"/>
      <c r="H559" s="46">
        <f t="shared" si="231"/>
        <v>-13250</v>
      </c>
      <c r="I559" s="47"/>
      <c r="J559" s="38">
        <f t="shared" si="218"/>
        <v>2.8026905829596411</v>
      </c>
      <c r="K559" s="48"/>
      <c r="L559" s="48">
        <f t="shared" si="223"/>
        <v>469.3146135117837</v>
      </c>
      <c r="M559" s="48"/>
      <c r="N559" s="38">
        <f t="shared" si="224"/>
        <v>0</v>
      </c>
      <c r="O559" s="36">
        <f t="shared" si="225"/>
        <v>0</v>
      </c>
      <c r="P559" s="84">
        <f t="shared" si="226"/>
        <v>-17227.88814606404</v>
      </c>
      <c r="Q559" s="38">
        <f t="shared" si="227"/>
        <v>0</v>
      </c>
      <c r="R559" s="48">
        <f t="shared" si="228"/>
        <v>135.12818562210273</v>
      </c>
      <c r="S559" s="38">
        <f t="shared" si="219"/>
        <v>604.44279913388641</v>
      </c>
      <c r="T559" s="50">
        <f t="shared" si="232"/>
        <v>13250</v>
      </c>
      <c r="U559" s="40">
        <f t="shared" si="233"/>
        <v>16745.145410100442</v>
      </c>
      <c r="V559" s="41">
        <f t="shared" si="234"/>
        <v>0.26378455925286359</v>
      </c>
      <c r="W559" s="39">
        <f t="shared" si="235"/>
        <v>3495.1454101004419</v>
      </c>
      <c r="X559" s="50">
        <f t="shared" si="229"/>
        <v>3978.3568960803173</v>
      </c>
      <c r="Y559" s="41">
        <f t="shared" si="236"/>
        <v>0.56403790990043468</v>
      </c>
      <c r="Z559" s="52"/>
      <c r="AA559" s="50">
        <f t="shared" si="216"/>
        <v>17228.356896080317</v>
      </c>
      <c r="AB559" s="39">
        <f t="shared" si="217"/>
        <v>21566.519073097068</v>
      </c>
      <c r="AC559" s="39">
        <f t="shared" si="237"/>
        <v>4338.1621770167512</v>
      </c>
      <c r="AD559" s="41">
        <f t="shared" si="238"/>
        <v>0.25180359352804804</v>
      </c>
      <c r="AF559" s="46">
        <f t="shared" si="220"/>
        <v>-100</v>
      </c>
      <c r="AG559" s="46">
        <f t="shared" si="239"/>
        <v>-100</v>
      </c>
      <c r="AH559" s="54">
        <f t="shared" si="221"/>
        <v>3696</v>
      </c>
      <c r="AI559" s="55">
        <f t="shared" si="230"/>
        <v>0.41202672605790647</v>
      </c>
      <c r="AJ559" s="55">
        <f t="shared" si="240"/>
        <v>-41.202672605790646</v>
      </c>
      <c r="AK559" s="55">
        <f t="shared" si="241"/>
        <v>-41.202672605790646</v>
      </c>
    </row>
    <row r="560" spans="2:37" s="53" customFormat="1" ht="17.25" customHeight="1" x14ac:dyDescent="0.25">
      <c r="B560" s="91" t="str">
        <f t="shared" si="222"/>
        <v/>
      </c>
      <c r="C560" s="81">
        <f>IF(Sheet3!A531="","",Sheet3!A531)</f>
        <v>41330</v>
      </c>
      <c r="D560" s="82">
        <f>IF(C560="","",Sheet3!E531)</f>
        <v>36.009998000000003</v>
      </c>
      <c r="E560" s="56">
        <f>_xlfn.XLOOKUP(WEEKNUM(C560)&amp;YEAR(C560),Sheet4!C:C,Sheet4!B:B,0)</f>
        <v>0</v>
      </c>
      <c r="F560" s="46">
        <f>IF(int=Weekly,-$D$5,IF(int=Bi_Weekly,0,IF(int=Monthly,0,IF(int=Quarterly,0,IF(int=Yearly,0,IF(int=None,0,0))))))</f>
        <v>0</v>
      </c>
      <c r="G560" s="46"/>
      <c r="H560" s="46">
        <f t="shared" si="231"/>
        <v>-13250</v>
      </c>
      <c r="I560" s="47"/>
      <c r="J560" s="38">
        <f t="shared" si="218"/>
        <v>0</v>
      </c>
      <c r="K560" s="48"/>
      <c r="L560" s="48">
        <f t="shared" si="223"/>
        <v>469.3146135117837</v>
      </c>
      <c r="M560" s="48"/>
      <c r="N560" s="38">
        <f t="shared" si="224"/>
        <v>0</v>
      </c>
      <c r="O560" s="36">
        <f t="shared" si="225"/>
        <v>0</v>
      </c>
      <c r="P560" s="84">
        <f t="shared" si="226"/>
        <v>-17227.88814606404</v>
      </c>
      <c r="Q560" s="38">
        <f t="shared" si="227"/>
        <v>0</v>
      </c>
      <c r="R560" s="48">
        <f t="shared" si="228"/>
        <v>135.12818562210273</v>
      </c>
      <c r="S560" s="38">
        <f t="shared" si="219"/>
        <v>604.44279913388641</v>
      </c>
      <c r="T560" s="50">
        <f t="shared" si="232"/>
        <v>13250</v>
      </c>
      <c r="U560" s="40">
        <f t="shared" si="233"/>
        <v>16900.018293930105</v>
      </c>
      <c r="V560" s="41">
        <f t="shared" si="234"/>
        <v>0.27547307878717775</v>
      </c>
      <c r="W560" s="39">
        <f t="shared" si="235"/>
        <v>3650.0182939301048</v>
      </c>
      <c r="X560" s="50">
        <f t="shared" si="229"/>
        <v>3978.3568960803173</v>
      </c>
      <c r="Y560" s="41">
        <f t="shared" si="236"/>
        <v>0.57572642943474883</v>
      </c>
      <c r="Z560" s="52"/>
      <c r="AA560" s="50">
        <f t="shared" si="216"/>
        <v>17228.356896080317</v>
      </c>
      <c r="AB560" s="39">
        <f t="shared" si="217"/>
        <v>21765.983987925654</v>
      </c>
      <c r="AC560" s="39">
        <f t="shared" si="237"/>
        <v>4537.6270918453374</v>
      </c>
      <c r="AD560" s="41">
        <f t="shared" si="238"/>
        <v>0.26338130323256248</v>
      </c>
      <c r="AF560" s="46">
        <f t="shared" si="220"/>
        <v>0</v>
      </c>
      <c r="AG560" s="46">
        <f t="shared" si="239"/>
        <v>0</v>
      </c>
      <c r="AH560" s="54">
        <f t="shared" si="221"/>
        <v>3703</v>
      </c>
      <c r="AI560" s="55">
        <f t="shared" si="230"/>
        <v>0.41091314031180398</v>
      </c>
      <c r="AJ560" s="55">
        <f t="shared" si="240"/>
        <v>0</v>
      </c>
      <c r="AK560" s="55">
        <f t="shared" si="241"/>
        <v>0</v>
      </c>
    </row>
    <row r="561" spans="2:37" s="53" customFormat="1" ht="17.25" customHeight="1" x14ac:dyDescent="0.25">
      <c r="B561" s="91" t="str">
        <f t="shared" si="222"/>
        <v/>
      </c>
      <c r="C561" s="81">
        <f>IF(Sheet3!A532="","",Sheet3!A532)</f>
        <v>41337</v>
      </c>
      <c r="D561" s="82">
        <f>IF(C561="","",Sheet3!E532)</f>
        <v>36.68</v>
      </c>
      <c r="E561" s="56">
        <f>_xlfn.XLOOKUP(WEEKNUM(C561)&amp;YEAR(C561),Sheet4!C:C,Sheet4!B:B,0)</f>
        <v>0</v>
      </c>
      <c r="F561" s="46">
        <f>IF(int=Weekly,-$D$5,IF(int=Bi_Weekly,-$D$5,IF(int=Monthly,0,IF(int=Quarterly,0,IF(int=Yearly,0,IF(int=None,0,0))))))</f>
        <v>0</v>
      </c>
      <c r="G561" s="46"/>
      <c r="H561" s="46">
        <f t="shared" si="231"/>
        <v>-13250</v>
      </c>
      <c r="I561" s="47"/>
      <c r="J561" s="38">
        <f t="shared" si="218"/>
        <v>0</v>
      </c>
      <c r="K561" s="48"/>
      <c r="L561" s="48">
        <f t="shared" si="223"/>
        <v>469.3146135117837</v>
      </c>
      <c r="M561" s="48"/>
      <c r="N561" s="38">
        <f t="shared" si="224"/>
        <v>0</v>
      </c>
      <c r="O561" s="36">
        <f t="shared" si="225"/>
        <v>0</v>
      </c>
      <c r="P561" s="84">
        <f t="shared" si="226"/>
        <v>-17227.88814606404</v>
      </c>
      <c r="Q561" s="38">
        <f t="shared" si="227"/>
        <v>0</v>
      </c>
      <c r="R561" s="48">
        <f t="shared" si="228"/>
        <v>135.12818562210273</v>
      </c>
      <c r="S561" s="38">
        <f t="shared" si="219"/>
        <v>604.44279913388641</v>
      </c>
      <c r="T561" s="50">
        <f t="shared" si="232"/>
        <v>13250</v>
      </c>
      <c r="U561" s="40">
        <f t="shared" si="233"/>
        <v>17214.460023612228</v>
      </c>
      <c r="V561" s="41">
        <f t="shared" si="234"/>
        <v>0.29920453008394166</v>
      </c>
      <c r="W561" s="39">
        <f t="shared" si="235"/>
        <v>3964.4600236122278</v>
      </c>
      <c r="X561" s="50">
        <f t="shared" si="229"/>
        <v>3978.3568960803173</v>
      </c>
      <c r="Y561" s="41">
        <f t="shared" si="236"/>
        <v>0.59945788073151274</v>
      </c>
      <c r="Z561" s="52"/>
      <c r="AA561" s="50">
        <f t="shared" ref="AA561:AA624" si="242">(D561*Q561)+(D561*J561)+AA560</f>
        <v>17228.356896080317</v>
      </c>
      <c r="AB561" s="39">
        <f t="shared" ref="AB561:AB624" si="243">(L561*D561)+(D561*R561)</f>
        <v>22170.961872230957</v>
      </c>
      <c r="AC561" s="39">
        <f t="shared" si="237"/>
        <v>4942.6049761506401</v>
      </c>
      <c r="AD561" s="41">
        <f t="shared" si="238"/>
        <v>0.28688777496100926</v>
      </c>
      <c r="AF561" s="46">
        <f t="shared" si="220"/>
        <v>0</v>
      </c>
      <c r="AG561" s="46">
        <f t="shared" si="239"/>
        <v>0</v>
      </c>
      <c r="AH561" s="54">
        <f t="shared" si="221"/>
        <v>3710</v>
      </c>
      <c r="AI561" s="55">
        <f t="shared" si="230"/>
        <v>0.40979955456570155</v>
      </c>
      <c r="AJ561" s="55">
        <f t="shared" si="240"/>
        <v>0</v>
      </c>
      <c r="AK561" s="55">
        <f t="shared" si="241"/>
        <v>0</v>
      </c>
    </row>
    <row r="562" spans="2:37" s="53" customFormat="1" ht="17.25" customHeight="1" x14ac:dyDescent="0.25">
      <c r="B562" s="91" t="str">
        <f t="shared" si="222"/>
        <v/>
      </c>
      <c r="C562" s="81">
        <f>IF(Sheet3!A533="","",Sheet3!A533)</f>
        <v>41344</v>
      </c>
      <c r="D562" s="82">
        <f>IF(C562="","",Sheet3!E533)</f>
        <v>36.43</v>
      </c>
      <c r="E562" s="56">
        <f>_xlfn.XLOOKUP(WEEKNUM(C562)&amp;YEAR(C562),Sheet4!C:C,Sheet4!B:B,0)</f>
        <v>0</v>
      </c>
      <c r="F562" s="46">
        <f>IF(int=Weekly,-$D$5,IF(int=Bi_Weekly,0,IF(int=Monthly,0,IF(int=Quarterly,0,IF(int=Yearly,0,IF(int=None,0,0))))))</f>
        <v>0</v>
      </c>
      <c r="G562" s="46"/>
      <c r="H562" s="46">
        <f t="shared" si="231"/>
        <v>-13250</v>
      </c>
      <c r="I562" s="47"/>
      <c r="J562" s="38">
        <f t="shared" si="218"/>
        <v>0</v>
      </c>
      <c r="K562" s="48"/>
      <c r="L562" s="48">
        <f t="shared" si="223"/>
        <v>469.3146135117837</v>
      </c>
      <c r="M562" s="48"/>
      <c r="N562" s="38">
        <f t="shared" si="224"/>
        <v>0</v>
      </c>
      <c r="O562" s="36">
        <f t="shared" si="225"/>
        <v>0</v>
      </c>
      <c r="P562" s="84">
        <f t="shared" si="226"/>
        <v>-17227.88814606404</v>
      </c>
      <c r="Q562" s="38">
        <f t="shared" si="227"/>
        <v>0</v>
      </c>
      <c r="R562" s="48">
        <f t="shared" si="228"/>
        <v>135.12818562210273</v>
      </c>
      <c r="S562" s="38">
        <f t="shared" si="219"/>
        <v>604.44279913388641</v>
      </c>
      <c r="T562" s="50">
        <f t="shared" si="232"/>
        <v>13250</v>
      </c>
      <c r="U562" s="40">
        <f t="shared" si="233"/>
        <v>17097.131370234281</v>
      </c>
      <c r="V562" s="41">
        <f t="shared" si="234"/>
        <v>0.2903495373761722</v>
      </c>
      <c r="W562" s="39">
        <f t="shared" si="235"/>
        <v>3847.1313702342813</v>
      </c>
      <c r="X562" s="50">
        <f t="shared" si="229"/>
        <v>3978.3568960803173</v>
      </c>
      <c r="Y562" s="41">
        <f t="shared" si="236"/>
        <v>0.59060288802374328</v>
      </c>
      <c r="Z562" s="52"/>
      <c r="AA562" s="50">
        <f t="shared" si="242"/>
        <v>17228.356896080317</v>
      </c>
      <c r="AB562" s="39">
        <f t="shared" si="243"/>
        <v>22019.851172447485</v>
      </c>
      <c r="AC562" s="39">
        <f t="shared" si="237"/>
        <v>4791.4942763671679</v>
      </c>
      <c r="AD562" s="41">
        <f t="shared" si="238"/>
        <v>0.2781167296027689</v>
      </c>
      <c r="AF562" s="46">
        <f t="shared" si="220"/>
        <v>0</v>
      </c>
      <c r="AG562" s="46">
        <f t="shared" si="239"/>
        <v>0</v>
      </c>
      <c r="AH562" s="54">
        <f t="shared" si="221"/>
        <v>3717</v>
      </c>
      <c r="AI562" s="55">
        <f t="shared" si="230"/>
        <v>0.40868596881959912</v>
      </c>
      <c r="AJ562" s="55">
        <f t="shared" si="240"/>
        <v>0</v>
      </c>
      <c r="AK562" s="55">
        <f t="shared" si="241"/>
        <v>0</v>
      </c>
    </row>
    <row r="563" spans="2:37" s="53" customFormat="1" ht="17.25" customHeight="1" x14ac:dyDescent="0.25">
      <c r="B563" s="91" t="str">
        <f t="shared" si="222"/>
        <v/>
      </c>
      <c r="C563" s="81">
        <f>IF(Sheet3!A534="","",Sheet3!A534)</f>
        <v>41351</v>
      </c>
      <c r="D563" s="82">
        <f>IF(C563="","",Sheet3!E534)</f>
        <v>36.43</v>
      </c>
      <c r="E563" s="56">
        <f>_xlfn.XLOOKUP(WEEKNUM(C563)&amp;YEAR(C563),Sheet4!C:C,Sheet4!B:B,0)</f>
        <v>0</v>
      </c>
      <c r="F563" s="46">
        <f>IF(int=Weekly,-$D$5,IF(int=Bi_Weekly,-$D$5,IF(int=Monthly,-$D$5,IF(int=Quarterly,0,IF(int=Yearly,0,IF(int=None,0,0))))))</f>
        <v>-100</v>
      </c>
      <c r="G563" s="46"/>
      <c r="H563" s="46">
        <f t="shared" si="231"/>
        <v>-13350</v>
      </c>
      <c r="I563" s="47"/>
      <c r="J563" s="38">
        <f t="shared" si="218"/>
        <v>2.7449903925336261</v>
      </c>
      <c r="K563" s="48"/>
      <c r="L563" s="48">
        <f t="shared" si="223"/>
        <v>472.05960390431733</v>
      </c>
      <c r="M563" s="48"/>
      <c r="N563" s="38">
        <f t="shared" si="224"/>
        <v>0</v>
      </c>
      <c r="O563" s="36">
        <f t="shared" si="225"/>
        <v>0</v>
      </c>
      <c r="P563" s="84">
        <f t="shared" si="226"/>
        <v>-17327.88814606404</v>
      </c>
      <c r="Q563" s="38">
        <f t="shared" si="227"/>
        <v>0</v>
      </c>
      <c r="R563" s="48">
        <f t="shared" si="228"/>
        <v>135.12818562210273</v>
      </c>
      <c r="S563" s="38">
        <f t="shared" si="219"/>
        <v>607.18778952642003</v>
      </c>
      <c r="T563" s="50">
        <f t="shared" si="232"/>
        <v>13350</v>
      </c>
      <c r="U563" s="40">
        <f t="shared" si="233"/>
        <v>17197.131370234281</v>
      </c>
      <c r="V563" s="41">
        <f t="shared" si="234"/>
        <v>0.288174634474478</v>
      </c>
      <c r="W563" s="39">
        <f t="shared" si="235"/>
        <v>3847.1313702342813</v>
      </c>
      <c r="X563" s="50">
        <f t="shared" si="229"/>
        <v>3978.3568960803173</v>
      </c>
      <c r="Y563" s="41">
        <f t="shared" si="236"/>
        <v>0.58617889635315334</v>
      </c>
      <c r="Z563" s="52"/>
      <c r="AA563" s="50">
        <f t="shared" si="242"/>
        <v>17328.356896080317</v>
      </c>
      <c r="AB563" s="39">
        <f t="shared" si="243"/>
        <v>22119.851172447485</v>
      </c>
      <c r="AC563" s="39">
        <f t="shared" si="237"/>
        <v>4791.4942763671679</v>
      </c>
      <c r="AD563" s="41">
        <f t="shared" si="238"/>
        <v>0.27651174921558819</v>
      </c>
      <c r="AF563" s="46">
        <f t="shared" si="220"/>
        <v>-100</v>
      </c>
      <c r="AG563" s="46">
        <f t="shared" si="239"/>
        <v>-100</v>
      </c>
      <c r="AH563" s="54">
        <f t="shared" si="221"/>
        <v>3724</v>
      </c>
      <c r="AI563" s="55">
        <f t="shared" si="230"/>
        <v>0.40757238307349664</v>
      </c>
      <c r="AJ563" s="55">
        <f t="shared" si="240"/>
        <v>-40.757238307349667</v>
      </c>
      <c r="AK563" s="55">
        <f t="shared" si="241"/>
        <v>-40.757238307349667</v>
      </c>
    </row>
    <row r="564" spans="2:37" s="53" customFormat="1" ht="17.25" customHeight="1" x14ac:dyDescent="0.25">
      <c r="B564" s="91" t="str">
        <f t="shared" si="222"/>
        <v/>
      </c>
      <c r="C564" s="81">
        <f>IF(Sheet3!A535="","",Sheet3!A535)</f>
        <v>41358</v>
      </c>
      <c r="D564" s="82">
        <f>IF(C564="","",Sheet3!E535)</f>
        <v>36.689999</v>
      </c>
      <c r="E564" s="56">
        <f>_xlfn.XLOOKUP(WEEKNUM(C564)&amp;YEAR(C564),Sheet4!C:C,Sheet4!B:B,0)</f>
        <v>0</v>
      </c>
      <c r="F564" s="46">
        <f>IF(int=Weekly,-$D$5,IF(int=Bi_Weekly,0,IF(int=Monthly,0,IF(int=Quarterly,-$D$5,IF(int=Yearly,0,IF(int=None,0,0))))))</f>
        <v>0</v>
      </c>
      <c r="G564" s="46"/>
      <c r="H564" s="46">
        <f t="shared" si="231"/>
        <v>-13350</v>
      </c>
      <c r="I564" s="47"/>
      <c r="J564" s="38">
        <f t="shared" si="218"/>
        <v>0</v>
      </c>
      <c r="K564" s="48"/>
      <c r="L564" s="48">
        <f t="shared" si="223"/>
        <v>472.05960390431733</v>
      </c>
      <c r="M564" s="48"/>
      <c r="N564" s="38">
        <f t="shared" si="224"/>
        <v>0</v>
      </c>
      <c r="O564" s="36">
        <f t="shared" si="225"/>
        <v>0</v>
      </c>
      <c r="P564" s="84">
        <f t="shared" si="226"/>
        <v>-17327.88814606404</v>
      </c>
      <c r="Q564" s="38">
        <f t="shared" si="227"/>
        <v>0</v>
      </c>
      <c r="R564" s="48">
        <f t="shared" si="228"/>
        <v>135.12818562210273</v>
      </c>
      <c r="S564" s="38">
        <f t="shared" si="219"/>
        <v>607.18778952642003</v>
      </c>
      <c r="T564" s="50">
        <f t="shared" si="232"/>
        <v>13350</v>
      </c>
      <c r="U564" s="40">
        <f t="shared" si="233"/>
        <v>17319.866395189798</v>
      </c>
      <c r="V564" s="41">
        <f t="shared" si="234"/>
        <v>0.29736826930260651</v>
      </c>
      <c r="W564" s="39">
        <f t="shared" si="235"/>
        <v>3969.8663951897979</v>
      </c>
      <c r="X564" s="50">
        <f t="shared" si="229"/>
        <v>3978.3568960803173</v>
      </c>
      <c r="Y564" s="41">
        <f t="shared" si="236"/>
        <v>0.59537253118128208</v>
      </c>
      <c r="Z564" s="52"/>
      <c r="AA564" s="50">
        <f t="shared" si="242"/>
        <v>17328.356896080317</v>
      </c>
      <c r="AB564" s="39">
        <f t="shared" si="243"/>
        <v>22277.719390536564</v>
      </c>
      <c r="AC564" s="39">
        <f t="shared" si="237"/>
        <v>4949.3624944562471</v>
      </c>
      <c r="AD564" s="41">
        <f t="shared" si="238"/>
        <v>0.28562214664310126</v>
      </c>
      <c r="AF564" s="46">
        <f t="shared" si="220"/>
        <v>0</v>
      </c>
      <c r="AG564" s="46">
        <f t="shared" si="239"/>
        <v>0</v>
      </c>
      <c r="AH564" s="54">
        <f t="shared" si="221"/>
        <v>3731</v>
      </c>
      <c r="AI564" s="55">
        <f t="shared" si="230"/>
        <v>0.40645879732739421</v>
      </c>
      <c r="AJ564" s="55">
        <f t="shared" si="240"/>
        <v>0</v>
      </c>
      <c r="AK564" s="55">
        <f t="shared" si="241"/>
        <v>0</v>
      </c>
    </row>
    <row r="565" spans="2:37" s="53" customFormat="1" ht="17.25" customHeight="1" x14ac:dyDescent="0.25">
      <c r="B565" s="91" t="str">
        <f t="shared" si="222"/>
        <v/>
      </c>
      <c r="C565" s="81">
        <f>IF(Sheet3!A536="","",Sheet3!A536)</f>
        <v>41365</v>
      </c>
      <c r="D565" s="82">
        <f>IF(C565="","",Sheet3!E536)</f>
        <v>38.020000000000003</v>
      </c>
      <c r="E565" s="56">
        <f>_xlfn.XLOOKUP(WEEKNUM(C565)&amp;YEAR(C565),Sheet4!C:C,Sheet4!B:B,0)</f>
        <v>0</v>
      </c>
      <c r="F565" s="46">
        <f>IF(int=Weekly,-$D$5,IF(int=Bi_Weekly,-$D$5,IF(int=Monthly,0,IF(int=Quarterly,0,IF(int=Yearly,0,IF(int=None,0,0))))))</f>
        <v>0</v>
      </c>
      <c r="G565" s="46"/>
      <c r="H565" s="46">
        <f t="shared" si="231"/>
        <v>-13350</v>
      </c>
      <c r="I565" s="47"/>
      <c r="J565" s="38">
        <f t="shared" si="218"/>
        <v>0</v>
      </c>
      <c r="K565" s="48"/>
      <c r="L565" s="48">
        <f t="shared" si="223"/>
        <v>472.05960390431733</v>
      </c>
      <c r="M565" s="48"/>
      <c r="N565" s="38">
        <f t="shared" si="224"/>
        <v>0</v>
      </c>
      <c r="O565" s="36">
        <f t="shared" si="225"/>
        <v>0</v>
      </c>
      <c r="P565" s="84">
        <f t="shared" si="226"/>
        <v>-17327.88814606404</v>
      </c>
      <c r="Q565" s="38">
        <f t="shared" si="227"/>
        <v>0</v>
      </c>
      <c r="R565" s="48">
        <f t="shared" si="228"/>
        <v>135.12818562210273</v>
      </c>
      <c r="S565" s="38">
        <f t="shared" si="219"/>
        <v>607.18778952642003</v>
      </c>
      <c r="T565" s="50">
        <f t="shared" si="232"/>
        <v>13350</v>
      </c>
      <c r="U565" s="40">
        <f t="shared" si="233"/>
        <v>17947.706140442147</v>
      </c>
      <c r="V565" s="41">
        <f t="shared" si="234"/>
        <v>0.34439746370353164</v>
      </c>
      <c r="W565" s="39">
        <f t="shared" si="235"/>
        <v>4597.7061404421474</v>
      </c>
      <c r="X565" s="50">
        <f t="shared" si="229"/>
        <v>3978.3568960803173</v>
      </c>
      <c r="Y565" s="41">
        <f t="shared" si="236"/>
        <v>0.64240172558220698</v>
      </c>
      <c r="Z565" s="52"/>
      <c r="AA565" s="50">
        <f t="shared" si="242"/>
        <v>17328.356896080317</v>
      </c>
      <c r="AB565" s="39">
        <f t="shared" si="243"/>
        <v>23085.279757794495</v>
      </c>
      <c r="AC565" s="39">
        <f t="shared" si="237"/>
        <v>5756.922861714178</v>
      </c>
      <c r="AD565" s="41">
        <f t="shared" si="238"/>
        <v>0.33222554776768232</v>
      </c>
      <c r="AF565" s="46">
        <f t="shared" si="220"/>
        <v>0</v>
      </c>
      <c r="AG565" s="46">
        <f t="shared" si="239"/>
        <v>0</v>
      </c>
      <c r="AH565" s="54">
        <f t="shared" si="221"/>
        <v>3738</v>
      </c>
      <c r="AI565" s="55">
        <f t="shared" si="230"/>
        <v>0.40534521158129178</v>
      </c>
      <c r="AJ565" s="55">
        <f t="shared" si="240"/>
        <v>0</v>
      </c>
      <c r="AK565" s="55">
        <f t="shared" si="241"/>
        <v>0</v>
      </c>
    </row>
    <row r="566" spans="2:37" s="53" customFormat="1" ht="17.25" customHeight="1" x14ac:dyDescent="0.25">
      <c r="B566" s="91" t="str">
        <f t="shared" si="222"/>
        <v/>
      </c>
      <c r="C566" s="81">
        <f>IF(Sheet3!A537="","",Sheet3!A537)</f>
        <v>41372</v>
      </c>
      <c r="D566" s="82">
        <f>IF(C566="","",Sheet3!E537)</f>
        <v>38.590000000000003</v>
      </c>
      <c r="E566" s="56">
        <f>_xlfn.XLOOKUP(WEEKNUM(C566)&amp;YEAR(C566),Sheet4!C:C,Sheet4!B:B,0)</f>
        <v>0.45</v>
      </c>
      <c r="F566" s="46">
        <f>IF(int=Weekly,-$D$5,IF(int=Bi_Weekly,0,IF(int=Monthly,0,IF(int=Quarterly,0,IF(int=Yearly,0,IF(int=None,0,0))))))</f>
        <v>0</v>
      </c>
      <c r="G566" s="46"/>
      <c r="H566" s="46">
        <f t="shared" si="231"/>
        <v>-13350</v>
      </c>
      <c r="I566" s="47"/>
      <c r="J566" s="38">
        <f t="shared" si="218"/>
        <v>0</v>
      </c>
      <c r="K566" s="48"/>
      <c r="L566" s="48">
        <f t="shared" si="223"/>
        <v>472.05960390431733</v>
      </c>
      <c r="M566" s="48"/>
      <c r="N566" s="38">
        <f t="shared" si="224"/>
        <v>212.42682175694281</v>
      </c>
      <c r="O566" s="36">
        <f t="shared" si="225"/>
        <v>-212.42682175694281</v>
      </c>
      <c r="P566" s="84">
        <f t="shared" si="226"/>
        <v>-17540.314967820985</v>
      </c>
      <c r="Q566" s="38">
        <f t="shared" si="227"/>
        <v>5.5047116288401865</v>
      </c>
      <c r="R566" s="48">
        <f t="shared" si="228"/>
        <v>140.63289725094293</v>
      </c>
      <c r="S566" s="38">
        <f t="shared" si="219"/>
        <v>612.69250115526029</v>
      </c>
      <c r="T566" s="50">
        <f t="shared" si="232"/>
        <v>13350</v>
      </c>
      <c r="U566" s="40">
        <f t="shared" si="233"/>
        <v>18216.780114667607</v>
      </c>
      <c r="V566" s="41">
        <f t="shared" si="234"/>
        <v>0.36455281757809788</v>
      </c>
      <c r="W566" s="39">
        <f t="shared" si="235"/>
        <v>4866.7801146676065</v>
      </c>
      <c r="X566" s="50">
        <f t="shared" si="229"/>
        <v>4190.7837178372602</v>
      </c>
      <c r="Y566" s="41">
        <f t="shared" si="236"/>
        <v>0.67846920093669416</v>
      </c>
      <c r="Z566" s="52"/>
      <c r="AA566" s="50">
        <f t="shared" si="242"/>
        <v>17540.783717837261</v>
      </c>
      <c r="AB566" s="39">
        <f t="shared" si="243"/>
        <v>23643.803619581493</v>
      </c>
      <c r="AC566" s="39">
        <f t="shared" si="237"/>
        <v>6103.0199017442319</v>
      </c>
      <c r="AD566" s="41">
        <f t="shared" si="238"/>
        <v>0.34793313684941318</v>
      </c>
      <c r="AF566" s="46">
        <f t="shared" si="220"/>
        <v>212.42682175694281</v>
      </c>
      <c r="AG566" s="46">
        <f t="shared" si="239"/>
        <v>0</v>
      </c>
      <c r="AH566" s="54">
        <f t="shared" si="221"/>
        <v>3745</v>
      </c>
      <c r="AI566" s="55">
        <f t="shared" si="230"/>
        <v>0.40423162583518929</v>
      </c>
      <c r="AJ566" s="55">
        <f t="shared" si="240"/>
        <v>85.869639529810954</v>
      </c>
      <c r="AK566" s="55">
        <f t="shared" si="241"/>
        <v>0</v>
      </c>
    </row>
    <row r="567" spans="2:37" s="53" customFormat="1" ht="17.25" customHeight="1" x14ac:dyDescent="0.25">
      <c r="B567" s="91" t="str">
        <f t="shared" si="222"/>
        <v/>
      </c>
      <c r="C567" s="81">
        <f>IF(Sheet3!A538="","",Sheet3!A538)</f>
        <v>41379</v>
      </c>
      <c r="D567" s="82">
        <f>IF(C567="","",Sheet3!E538)</f>
        <v>38.279998999999997</v>
      </c>
      <c r="E567" s="56">
        <f>_xlfn.XLOOKUP(WEEKNUM(C567)&amp;YEAR(C567),Sheet4!C:C,Sheet4!B:B,0)</f>
        <v>0</v>
      </c>
      <c r="F567" s="46">
        <f>IF(int=Weekly,-$D$5,IF(int=Bi_Weekly,-$D$5,IF(int=Monthly,-$D$5,IF(int=Quarterly,0,IF(int=Yearly,0,IF(int=None,0,0))))))</f>
        <v>-100</v>
      </c>
      <c r="G567" s="46"/>
      <c r="H567" s="46">
        <f t="shared" si="231"/>
        <v>-13450</v>
      </c>
      <c r="I567" s="47"/>
      <c r="J567" s="38">
        <f t="shared" si="218"/>
        <v>2.6123302667797876</v>
      </c>
      <c r="K567" s="48"/>
      <c r="L567" s="48">
        <f t="shared" si="223"/>
        <v>474.67193417109712</v>
      </c>
      <c r="M567" s="48"/>
      <c r="N567" s="38">
        <f t="shared" si="224"/>
        <v>0</v>
      </c>
      <c r="O567" s="36">
        <f t="shared" si="225"/>
        <v>0</v>
      </c>
      <c r="P567" s="84">
        <f t="shared" si="226"/>
        <v>-17640.314967820985</v>
      </c>
      <c r="Q567" s="38">
        <f t="shared" si="227"/>
        <v>0</v>
      </c>
      <c r="R567" s="48">
        <f t="shared" si="228"/>
        <v>140.63289725094293</v>
      </c>
      <c r="S567" s="38">
        <f t="shared" si="219"/>
        <v>615.30483142204002</v>
      </c>
      <c r="T567" s="50">
        <f t="shared" si="232"/>
        <v>13450</v>
      </c>
      <c r="U567" s="40">
        <f t="shared" si="233"/>
        <v>18170.44116539766</v>
      </c>
      <c r="V567" s="41">
        <f t="shared" si="234"/>
        <v>0.35096216843105288</v>
      </c>
      <c r="W567" s="39">
        <f t="shared" si="235"/>
        <v>4720.4411653976604</v>
      </c>
      <c r="X567" s="50">
        <f t="shared" si="229"/>
        <v>4190.7837178372602</v>
      </c>
      <c r="Y567" s="41">
        <f t="shared" si="236"/>
        <v>0.66254460098400902</v>
      </c>
      <c r="Z567" s="52"/>
      <c r="AA567" s="50">
        <f t="shared" si="242"/>
        <v>17640.783717837261</v>
      </c>
      <c r="AB567" s="39">
        <f t="shared" si="243"/>
        <v>23553.868331530859</v>
      </c>
      <c r="AC567" s="39">
        <f t="shared" si="237"/>
        <v>5913.0846136935979</v>
      </c>
      <c r="AD567" s="41">
        <f t="shared" si="238"/>
        <v>0.33519398617844032</v>
      </c>
      <c r="AF567" s="46">
        <f t="shared" si="220"/>
        <v>-100</v>
      </c>
      <c r="AG567" s="46">
        <f t="shared" si="239"/>
        <v>-100</v>
      </c>
      <c r="AH567" s="54">
        <f t="shared" si="221"/>
        <v>3752</v>
      </c>
      <c r="AI567" s="55">
        <f t="shared" si="230"/>
        <v>0.40311804008908686</v>
      </c>
      <c r="AJ567" s="55">
        <f t="shared" si="240"/>
        <v>-40.311804008908688</v>
      </c>
      <c r="AK567" s="55">
        <f t="shared" si="241"/>
        <v>-40.311804008908688</v>
      </c>
    </row>
    <row r="568" spans="2:37" s="53" customFormat="1" ht="17.25" customHeight="1" x14ac:dyDescent="0.25">
      <c r="B568" s="91" t="str">
        <f t="shared" si="222"/>
        <v/>
      </c>
      <c r="C568" s="81">
        <f>IF(Sheet3!A539="","",Sheet3!A539)</f>
        <v>41386</v>
      </c>
      <c r="D568" s="82">
        <f>IF(C568="","",Sheet3!E539)</f>
        <v>37.040000999999997</v>
      </c>
      <c r="E568" s="56">
        <f>_xlfn.XLOOKUP(WEEKNUM(C568)&amp;YEAR(C568),Sheet4!C:C,Sheet4!B:B,0)</f>
        <v>0</v>
      </c>
      <c r="F568" s="46">
        <f>IF(int=Weekly,-$D$5,IF(int=Bi_Weekly,0,IF(int=Monthly,0,IF(int=Quarterly,0,IF(int=Yearly,0,IF(int=None,0,0))))))</f>
        <v>0</v>
      </c>
      <c r="G568" s="46"/>
      <c r="H568" s="46">
        <f t="shared" si="231"/>
        <v>-13450</v>
      </c>
      <c r="I568" s="47"/>
      <c r="J568" s="38">
        <f t="shared" si="218"/>
        <v>0</v>
      </c>
      <c r="K568" s="48"/>
      <c r="L568" s="48">
        <f t="shared" si="223"/>
        <v>474.67193417109712</v>
      </c>
      <c r="M568" s="48"/>
      <c r="N568" s="38">
        <f t="shared" si="224"/>
        <v>0</v>
      </c>
      <c r="O568" s="36">
        <f t="shared" si="225"/>
        <v>0</v>
      </c>
      <c r="P568" s="84">
        <f t="shared" si="226"/>
        <v>-17640.314967820985</v>
      </c>
      <c r="Q568" s="38">
        <f t="shared" si="227"/>
        <v>0</v>
      </c>
      <c r="R568" s="48">
        <f t="shared" si="228"/>
        <v>140.63289725094293</v>
      </c>
      <c r="S568" s="38">
        <f t="shared" si="219"/>
        <v>615.30483142204002</v>
      </c>
      <c r="T568" s="50">
        <f t="shared" si="232"/>
        <v>13450</v>
      </c>
      <c r="U568" s="40">
        <f t="shared" si="233"/>
        <v>17581.84891636937</v>
      </c>
      <c r="V568" s="41">
        <f t="shared" si="234"/>
        <v>0.3072006629270907</v>
      </c>
      <c r="W568" s="39">
        <f t="shared" si="235"/>
        <v>4131.8489163693703</v>
      </c>
      <c r="X568" s="50">
        <f t="shared" si="229"/>
        <v>4190.7837178372602</v>
      </c>
      <c r="Y568" s="41">
        <f t="shared" si="236"/>
        <v>0.61878309548004684</v>
      </c>
      <c r="Z568" s="52"/>
      <c r="AA568" s="50">
        <f t="shared" si="242"/>
        <v>17640.783717837261</v>
      </c>
      <c r="AB568" s="39">
        <f t="shared" si="243"/>
        <v>22790.891571177192</v>
      </c>
      <c r="AC568" s="39">
        <f t="shared" si="237"/>
        <v>5150.1078533399304</v>
      </c>
      <c r="AD568" s="41">
        <f t="shared" si="238"/>
        <v>0.29194325692755152</v>
      </c>
      <c r="AF568" s="46">
        <f t="shared" si="220"/>
        <v>0</v>
      </c>
      <c r="AG568" s="46">
        <f t="shared" si="239"/>
        <v>0</v>
      </c>
      <c r="AH568" s="54">
        <f t="shared" si="221"/>
        <v>3759</v>
      </c>
      <c r="AI568" s="55">
        <f t="shared" si="230"/>
        <v>0.40200445434298443</v>
      </c>
      <c r="AJ568" s="55">
        <f t="shared" si="240"/>
        <v>0</v>
      </c>
      <c r="AK568" s="55">
        <f t="shared" si="241"/>
        <v>0</v>
      </c>
    </row>
    <row r="569" spans="2:37" s="53" customFormat="1" ht="17.25" customHeight="1" x14ac:dyDescent="0.25">
      <c r="B569" s="91" t="str">
        <f t="shared" si="222"/>
        <v/>
      </c>
      <c r="C569" s="81">
        <f>IF(Sheet3!A540="","",Sheet3!A540)</f>
        <v>41393</v>
      </c>
      <c r="D569" s="82">
        <f>IF(C569="","",Sheet3!E540)</f>
        <v>37.340000000000003</v>
      </c>
      <c r="E569" s="56">
        <f>_xlfn.XLOOKUP(WEEKNUM(C569)&amp;YEAR(C569),Sheet4!C:C,Sheet4!B:B,0)</f>
        <v>0</v>
      </c>
      <c r="F569" s="46">
        <f>IF(int=Weekly,-$D$5,IF(int=Bi_Weekly,-$D$5,IF(int=Monthly,0,IF(int=Quarterly,0,IF(int=Yearly,0,IF(int=None,0,0))))))</f>
        <v>0</v>
      </c>
      <c r="G569" s="46"/>
      <c r="H569" s="46">
        <f t="shared" si="231"/>
        <v>-13450</v>
      </c>
      <c r="I569" s="47"/>
      <c r="J569" s="38">
        <f t="shared" si="218"/>
        <v>0</v>
      </c>
      <c r="K569" s="48"/>
      <c r="L569" s="48">
        <f t="shared" si="223"/>
        <v>474.67193417109712</v>
      </c>
      <c r="M569" s="48"/>
      <c r="N569" s="38">
        <f t="shared" si="224"/>
        <v>0</v>
      </c>
      <c r="O569" s="36">
        <f t="shared" si="225"/>
        <v>0</v>
      </c>
      <c r="P569" s="84">
        <f t="shared" si="226"/>
        <v>-17640.314967820985</v>
      </c>
      <c r="Q569" s="38">
        <f t="shared" si="227"/>
        <v>0</v>
      </c>
      <c r="R569" s="48">
        <f t="shared" si="228"/>
        <v>140.63289725094293</v>
      </c>
      <c r="S569" s="38">
        <f t="shared" si="219"/>
        <v>615.30483142204002</v>
      </c>
      <c r="T569" s="50">
        <f t="shared" si="232"/>
        <v>13450</v>
      </c>
      <c r="U569" s="40">
        <f t="shared" si="233"/>
        <v>17724.250021948767</v>
      </c>
      <c r="V569" s="41">
        <f t="shared" si="234"/>
        <v>0.31778810572109784</v>
      </c>
      <c r="W569" s="39">
        <f t="shared" si="235"/>
        <v>4274.2500219487665</v>
      </c>
      <c r="X569" s="50">
        <f t="shared" si="229"/>
        <v>4190.7837178372602</v>
      </c>
      <c r="Y569" s="41">
        <f t="shared" si="236"/>
        <v>0.6293705382740542</v>
      </c>
      <c r="Z569" s="52"/>
      <c r="AA569" s="50">
        <f t="shared" si="242"/>
        <v>17640.783717837261</v>
      </c>
      <c r="AB569" s="39">
        <f t="shared" si="243"/>
        <v>22975.482405298975</v>
      </c>
      <c r="AC569" s="39">
        <f t="shared" si="237"/>
        <v>5334.6986874617141</v>
      </c>
      <c r="AD569" s="41">
        <f t="shared" si="238"/>
        <v>0.30240712503422396</v>
      </c>
      <c r="AF569" s="46">
        <f t="shared" si="220"/>
        <v>0</v>
      </c>
      <c r="AG569" s="46">
        <f t="shared" si="239"/>
        <v>0</v>
      </c>
      <c r="AH569" s="54">
        <f t="shared" si="221"/>
        <v>3766</v>
      </c>
      <c r="AI569" s="55">
        <f t="shared" si="230"/>
        <v>0.40089086859688194</v>
      </c>
      <c r="AJ569" s="55">
        <f t="shared" si="240"/>
        <v>0</v>
      </c>
      <c r="AK569" s="55">
        <f t="shared" si="241"/>
        <v>0</v>
      </c>
    </row>
    <row r="570" spans="2:37" s="53" customFormat="1" ht="17.25" customHeight="1" x14ac:dyDescent="0.25">
      <c r="B570" s="91" t="str">
        <f t="shared" si="222"/>
        <v/>
      </c>
      <c r="C570" s="81">
        <f>IF(Sheet3!A541="","",Sheet3!A541)</f>
        <v>41400</v>
      </c>
      <c r="D570" s="82">
        <f>IF(C570="","",Sheet3!E541)</f>
        <v>37.360000999999997</v>
      </c>
      <c r="E570" s="56">
        <f>_xlfn.XLOOKUP(WEEKNUM(C570)&amp;YEAR(C570),Sheet4!C:C,Sheet4!B:B,0)</f>
        <v>0</v>
      </c>
      <c r="F570" s="46">
        <f>IF(int=Weekly,-$D$5,IF(int=Bi_Weekly,0,IF(int=Monthly,0,IF(int=Quarterly,0,IF(int=Yearly,0,IF(int=None,0,0))))))</f>
        <v>0</v>
      </c>
      <c r="G570" s="46"/>
      <c r="H570" s="46">
        <f t="shared" si="231"/>
        <v>-13450</v>
      </c>
      <c r="I570" s="47"/>
      <c r="J570" s="38">
        <f t="shared" si="218"/>
        <v>0</v>
      </c>
      <c r="K570" s="48"/>
      <c r="L570" s="48">
        <f t="shared" si="223"/>
        <v>474.67193417109712</v>
      </c>
      <c r="M570" s="48"/>
      <c r="N570" s="38">
        <f t="shared" si="224"/>
        <v>0</v>
      </c>
      <c r="O570" s="36">
        <f t="shared" si="225"/>
        <v>0</v>
      </c>
      <c r="P570" s="84">
        <f t="shared" si="226"/>
        <v>-17640.314967820985</v>
      </c>
      <c r="Q570" s="38">
        <f t="shared" si="227"/>
        <v>0</v>
      </c>
      <c r="R570" s="48">
        <f t="shared" si="228"/>
        <v>140.63289725094293</v>
      </c>
      <c r="S570" s="38">
        <f t="shared" si="219"/>
        <v>615.30483142204002</v>
      </c>
      <c r="T570" s="50">
        <f t="shared" si="232"/>
        <v>13450</v>
      </c>
      <c r="U570" s="40">
        <f t="shared" si="233"/>
        <v>17733.743935304123</v>
      </c>
      <c r="V570" s="41">
        <f t="shared" si="234"/>
        <v>0.31849397288506487</v>
      </c>
      <c r="W570" s="39">
        <f t="shared" si="235"/>
        <v>4283.7439353041227</v>
      </c>
      <c r="X570" s="50">
        <f t="shared" si="229"/>
        <v>4190.7837178372602</v>
      </c>
      <c r="Y570" s="41">
        <f t="shared" si="236"/>
        <v>0.63007640543802101</v>
      </c>
      <c r="Z570" s="52"/>
      <c r="AA570" s="50">
        <f t="shared" si="242"/>
        <v>17640.783717837261</v>
      </c>
      <c r="AB570" s="39">
        <f t="shared" si="243"/>
        <v>22987.789117232249</v>
      </c>
      <c r="AC570" s="39">
        <f t="shared" si="237"/>
        <v>5347.0053993949878</v>
      </c>
      <c r="AD570" s="41">
        <f t="shared" si="238"/>
        <v>0.30310475344632382</v>
      </c>
      <c r="AF570" s="46">
        <f t="shared" si="220"/>
        <v>0</v>
      </c>
      <c r="AG570" s="46">
        <f t="shared" si="239"/>
        <v>0</v>
      </c>
      <c r="AH570" s="54">
        <f t="shared" si="221"/>
        <v>3773</v>
      </c>
      <c r="AI570" s="55">
        <f t="shared" si="230"/>
        <v>0.39977728285077951</v>
      </c>
      <c r="AJ570" s="55">
        <f t="shared" si="240"/>
        <v>0</v>
      </c>
      <c r="AK570" s="55">
        <f t="shared" si="241"/>
        <v>0</v>
      </c>
    </row>
    <row r="571" spans="2:37" s="53" customFormat="1" ht="17.25" customHeight="1" x14ac:dyDescent="0.25">
      <c r="B571" s="91" t="str">
        <f t="shared" si="222"/>
        <v/>
      </c>
      <c r="C571" s="81">
        <f>IF(Sheet3!A542="","",Sheet3!A542)</f>
        <v>41407</v>
      </c>
      <c r="D571" s="82">
        <f>IF(C571="","",Sheet3!E542)</f>
        <v>37.439999</v>
      </c>
      <c r="E571" s="56">
        <f>_xlfn.XLOOKUP(WEEKNUM(C571)&amp;YEAR(C571),Sheet4!C:C,Sheet4!B:B,0)</f>
        <v>0</v>
      </c>
      <c r="F571" s="46">
        <f>IF(int=Weekly,-$D$5,IF(int=Bi_Weekly,-$D$5,IF(int=Monthly,-$D$5,IF(int=Quarterly,0,IF(int=Yearly,0,IF(int=None,0,0))))))</f>
        <v>-100</v>
      </c>
      <c r="G571" s="46"/>
      <c r="H571" s="46">
        <f t="shared" si="231"/>
        <v>-13550</v>
      </c>
      <c r="I571" s="47"/>
      <c r="J571" s="38">
        <f t="shared" si="218"/>
        <v>2.6709402422793866</v>
      </c>
      <c r="K571" s="48"/>
      <c r="L571" s="48">
        <f t="shared" si="223"/>
        <v>477.34287441337653</v>
      </c>
      <c r="M571" s="48"/>
      <c r="N571" s="38">
        <f t="shared" si="224"/>
        <v>0</v>
      </c>
      <c r="O571" s="36">
        <f t="shared" si="225"/>
        <v>0</v>
      </c>
      <c r="P571" s="84">
        <f t="shared" si="226"/>
        <v>-17740.314967820985</v>
      </c>
      <c r="Q571" s="38">
        <f t="shared" si="227"/>
        <v>0</v>
      </c>
      <c r="R571" s="48">
        <f t="shared" si="228"/>
        <v>140.63289725094293</v>
      </c>
      <c r="S571" s="38">
        <f t="shared" si="219"/>
        <v>617.9757716643195</v>
      </c>
      <c r="T571" s="50">
        <f t="shared" si="232"/>
        <v>13550</v>
      </c>
      <c r="U571" s="40">
        <f t="shared" si="233"/>
        <v>17871.716740693944</v>
      </c>
      <c r="V571" s="41">
        <f t="shared" si="234"/>
        <v>0.31894588492206233</v>
      </c>
      <c r="W571" s="39">
        <f t="shared" si="235"/>
        <v>4321.7167406939443</v>
      </c>
      <c r="X571" s="50">
        <f t="shared" si="229"/>
        <v>4190.7837178372602</v>
      </c>
      <c r="Y571" s="41">
        <f t="shared" si="236"/>
        <v>0.62822881612776427</v>
      </c>
      <c r="Z571" s="52"/>
      <c r="AA571" s="50">
        <f t="shared" si="242"/>
        <v>17740.783717837261</v>
      </c>
      <c r="AB571" s="39">
        <f t="shared" si="243"/>
        <v>23137.012273136352</v>
      </c>
      <c r="AC571" s="39">
        <f t="shared" si="237"/>
        <v>5396.2285552990907</v>
      </c>
      <c r="AD571" s="41">
        <f t="shared" si="238"/>
        <v>0.30417081010200908</v>
      </c>
      <c r="AF571" s="46">
        <f t="shared" si="220"/>
        <v>-100</v>
      </c>
      <c r="AG571" s="46">
        <f t="shared" si="239"/>
        <v>-100</v>
      </c>
      <c r="AH571" s="54">
        <f t="shared" si="221"/>
        <v>3780</v>
      </c>
      <c r="AI571" s="55">
        <f t="shared" si="230"/>
        <v>0.39866369710467708</v>
      </c>
      <c r="AJ571" s="55">
        <f t="shared" si="240"/>
        <v>-39.866369710467708</v>
      </c>
      <c r="AK571" s="55">
        <f t="shared" si="241"/>
        <v>-39.866369710467708</v>
      </c>
    </row>
    <row r="572" spans="2:37" s="53" customFormat="1" ht="17.25" customHeight="1" x14ac:dyDescent="0.25">
      <c r="B572" s="91" t="str">
        <f t="shared" si="222"/>
        <v/>
      </c>
      <c r="C572" s="81">
        <f>IF(Sheet3!A543="","",Sheet3!A543)</f>
        <v>41414</v>
      </c>
      <c r="D572" s="82">
        <f>IF(C572="","",Sheet3!E543)</f>
        <v>36.75</v>
      </c>
      <c r="E572" s="56">
        <f>_xlfn.XLOOKUP(WEEKNUM(C572)&amp;YEAR(C572),Sheet4!C:C,Sheet4!B:B,0)</f>
        <v>0</v>
      </c>
      <c r="F572" s="46">
        <f>IF(int=Weekly,-$D$5,IF(int=Bi_Weekly,0,IF(int=Monthly,0,IF(int=Quarterly,0,IF(int=Yearly,0,IF(int=None,0,0))))))</f>
        <v>0</v>
      </c>
      <c r="G572" s="46"/>
      <c r="H572" s="46">
        <f t="shared" si="231"/>
        <v>-13550</v>
      </c>
      <c r="I572" s="47"/>
      <c r="J572" s="38">
        <f t="shared" si="218"/>
        <v>0</v>
      </c>
      <c r="K572" s="48"/>
      <c r="L572" s="48">
        <f t="shared" si="223"/>
        <v>477.34287441337653</v>
      </c>
      <c r="M572" s="48"/>
      <c r="N572" s="38">
        <f t="shared" si="224"/>
        <v>0</v>
      </c>
      <c r="O572" s="36">
        <f t="shared" si="225"/>
        <v>0</v>
      </c>
      <c r="P572" s="84">
        <f t="shared" si="226"/>
        <v>-17740.314967820985</v>
      </c>
      <c r="Q572" s="38">
        <f t="shared" si="227"/>
        <v>0</v>
      </c>
      <c r="R572" s="48">
        <f t="shared" si="228"/>
        <v>140.63289725094293</v>
      </c>
      <c r="S572" s="38">
        <f t="shared" si="219"/>
        <v>617.9757716643195</v>
      </c>
      <c r="T572" s="50">
        <f t="shared" si="232"/>
        <v>13550</v>
      </c>
      <c r="U572" s="40">
        <f t="shared" si="233"/>
        <v>17542.350634691589</v>
      </c>
      <c r="V572" s="41">
        <f t="shared" si="234"/>
        <v>0.29463842322447142</v>
      </c>
      <c r="W572" s="39">
        <f t="shared" si="235"/>
        <v>3992.3506346915892</v>
      </c>
      <c r="X572" s="50">
        <f t="shared" si="229"/>
        <v>4190.7837178372602</v>
      </c>
      <c r="Y572" s="41">
        <f t="shared" si="236"/>
        <v>0.60392135443017336</v>
      </c>
      <c r="Z572" s="52"/>
      <c r="AA572" s="50">
        <f t="shared" si="242"/>
        <v>17740.783717837261</v>
      </c>
      <c r="AB572" s="39">
        <f t="shared" si="243"/>
        <v>22710.609608663741</v>
      </c>
      <c r="AC572" s="39">
        <f t="shared" si="237"/>
        <v>4969.8258908264797</v>
      </c>
      <c r="AD572" s="41">
        <f t="shared" si="238"/>
        <v>0.28013564506902977</v>
      </c>
      <c r="AF572" s="46">
        <f t="shared" si="220"/>
        <v>0</v>
      </c>
      <c r="AG572" s="46">
        <f t="shared" si="239"/>
        <v>0</v>
      </c>
      <c r="AH572" s="54">
        <f t="shared" si="221"/>
        <v>3787</v>
      </c>
      <c r="AI572" s="55">
        <f t="shared" si="230"/>
        <v>0.3975501113585746</v>
      </c>
      <c r="AJ572" s="55">
        <f t="shared" si="240"/>
        <v>0</v>
      </c>
      <c r="AK572" s="55">
        <f t="shared" si="241"/>
        <v>0</v>
      </c>
    </row>
    <row r="573" spans="2:37" s="53" customFormat="1" ht="17.25" customHeight="1" x14ac:dyDescent="0.25">
      <c r="B573" s="91" t="str">
        <f t="shared" si="222"/>
        <v/>
      </c>
      <c r="C573" s="81">
        <f>IF(Sheet3!A544="","",Sheet3!A544)</f>
        <v>41421</v>
      </c>
      <c r="D573" s="82">
        <f>IF(C573="","",Sheet3!E544)</f>
        <v>34.990001999999997</v>
      </c>
      <c r="E573" s="56">
        <f>_xlfn.XLOOKUP(WEEKNUM(C573)&amp;YEAR(C573),Sheet4!C:C,Sheet4!B:B,0)</f>
        <v>0</v>
      </c>
      <c r="F573" s="46">
        <f>IF(int=Weekly,-$D$5,IF(int=Bi_Weekly,-$D$5,IF(int=Monthly,0,IF(int=Quarterly,0,IF(int=Yearly,0,IF(int=None,0,0))))))</f>
        <v>0</v>
      </c>
      <c r="G573" s="46"/>
      <c r="H573" s="46">
        <f t="shared" si="231"/>
        <v>-13550</v>
      </c>
      <c r="I573" s="47"/>
      <c r="J573" s="38">
        <f t="shared" si="218"/>
        <v>0</v>
      </c>
      <c r="K573" s="48"/>
      <c r="L573" s="48">
        <f t="shared" si="223"/>
        <v>477.34287441337653</v>
      </c>
      <c r="M573" s="48"/>
      <c r="N573" s="38">
        <f t="shared" si="224"/>
        <v>0</v>
      </c>
      <c r="O573" s="36">
        <f t="shared" si="225"/>
        <v>0</v>
      </c>
      <c r="P573" s="84">
        <f t="shared" si="226"/>
        <v>-17740.314967820985</v>
      </c>
      <c r="Q573" s="38">
        <f t="shared" si="227"/>
        <v>0</v>
      </c>
      <c r="R573" s="48">
        <f t="shared" si="228"/>
        <v>140.63289725094293</v>
      </c>
      <c r="S573" s="38">
        <f t="shared" si="219"/>
        <v>617.9757716643195</v>
      </c>
      <c r="T573" s="50">
        <f t="shared" si="232"/>
        <v>13550</v>
      </c>
      <c r="U573" s="40">
        <f t="shared" si="233"/>
        <v>16702.228130409792</v>
      </c>
      <c r="V573" s="41">
        <f t="shared" si="234"/>
        <v>0.23263676239186659</v>
      </c>
      <c r="W573" s="39">
        <f t="shared" si="235"/>
        <v>3152.2281304097924</v>
      </c>
      <c r="X573" s="50">
        <f t="shared" si="229"/>
        <v>4190.7837178372602</v>
      </c>
      <c r="Y573" s="41">
        <f t="shared" si="236"/>
        <v>0.54191969359756853</v>
      </c>
      <c r="Z573" s="52"/>
      <c r="AA573" s="50">
        <f t="shared" si="242"/>
        <v>17740.783717837261</v>
      </c>
      <c r="AB573" s="39">
        <f t="shared" si="243"/>
        <v>21622.97348648608</v>
      </c>
      <c r="AC573" s="39">
        <f t="shared" si="237"/>
        <v>3882.1897686488192</v>
      </c>
      <c r="AD573" s="41">
        <f t="shared" si="238"/>
        <v>0.21882853826494242</v>
      </c>
      <c r="AF573" s="46">
        <f t="shared" si="220"/>
        <v>0</v>
      </c>
      <c r="AG573" s="46">
        <f t="shared" si="239"/>
        <v>0</v>
      </c>
      <c r="AH573" s="54">
        <f t="shared" si="221"/>
        <v>3794</v>
      </c>
      <c r="AI573" s="55">
        <f t="shared" si="230"/>
        <v>0.39643652561247217</v>
      </c>
      <c r="AJ573" s="55">
        <f t="shared" si="240"/>
        <v>0</v>
      </c>
      <c r="AK573" s="55">
        <f t="shared" si="241"/>
        <v>0</v>
      </c>
    </row>
    <row r="574" spans="2:37" s="53" customFormat="1" ht="17.25" customHeight="1" x14ac:dyDescent="0.25">
      <c r="B574" s="91" t="str">
        <f t="shared" si="222"/>
        <v/>
      </c>
      <c r="C574" s="81">
        <f>IF(Sheet3!A545="","",Sheet3!A545)</f>
        <v>41428</v>
      </c>
      <c r="D574" s="82">
        <f>IF(C574="","",Sheet3!E545)</f>
        <v>35.450001</v>
      </c>
      <c r="E574" s="56">
        <f>_xlfn.XLOOKUP(WEEKNUM(C574)&amp;YEAR(C574),Sheet4!C:C,Sheet4!B:B,0)</f>
        <v>0</v>
      </c>
      <c r="F574" s="46">
        <f>IF(int=Weekly,-$D$5,IF(int=Bi_Weekly,0,IF(int=Monthly,0,IF(int=Quarterly,0,IF(int=Yearly,0,IF(int=None,0,0))))))</f>
        <v>0</v>
      </c>
      <c r="G574" s="46"/>
      <c r="H574" s="46">
        <f t="shared" si="231"/>
        <v>-13550</v>
      </c>
      <c r="I574" s="47"/>
      <c r="J574" s="38">
        <f t="shared" si="218"/>
        <v>0</v>
      </c>
      <c r="K574" s="48"/>
      <c r="L574" s="48">
        <f t="shared" si="223"/>
        <v>477.34287441337653</v>
      </c>
      <c r="M574" s="48"/>
      <c r="N574" s="38">
        <f t="shared" si="224"/>
        <v>0</v>
      </c>
      <c r="O574" s="36">
        <f t="shared" si="225"/>
        <v>0</v>
      </c>
      <c r="P574" s="84">
        <f t="shared" si="226"/>
        <v>-17740.314967820985</v>
      </c>
      <c r="Q574" s="38">
        <f t="shared" si="227"/>
        <v>0</v>
      </c>
      <c r="R574" s="48">
        <f t="shared" si="228"/>
        <v>140.63289725094293</v>
      </c>
      <c r="S574" s="38">
        <f t="shared" si="219"/>
        <v>617.9757716643195</v>
      </c>
      <c r="T574" s="50">
        <f t="shared" si="232"/>
        <v>13550</v>
      </c>
      <c r="U574" s="40">
        <f t="shared" si="233"/>
        <v>16921.805375297074</v>
      </c>
      <c r="V574" s="41">
        <f t="shared" si="234"/>
        <v>0.24884172511417524</v>
      </c>
      <c r="W574" s="39">
        <f t="shared" si="235"/>
        <v>3371.8053752970736</v>
      </c>
      <c r="X574" s="50">
        <f t="shared" si="229"/>
        <v>4190.7837178372602</v>
      </c>
      <c r="Y574" s="41">
        <f t="shared" si="236"/>
        <v>0.55812465631987718</v>
      </c>
      <c r="Z574" s="52"/>
      <c r="AA574" s="50">
        <f t="shared" si="242"/>
        <v>17740.783717837261</v>
      </c>
      <c r="AB574" s="39">
        <f t="shared" si="243"/>
        <v>21907.241723475898</v>
      </c>
      <c r="AC574" s="39">
        <f t="shared" si="237"/>
        <v>4166.4580056386367</v>
      </c>
      <c r="AD574" s="41">
        <f t="shared" si="238"/>
        <v>0.23485197000905433</v>
      </c>
      <c r="AF574" s="46">
        <f t="shared" si="220"/>
        <v>0</v>
      </c>
      <c r="AG574" s="46">
        <f t="shared" si="239"/>
        <v>0</v>
      </c>
      <c r="AH574" s="54">
        <f t="shared" si="221"/>
        <v>3801</v>
      </c>
      <c r="AI574" s="55">
        <f t="shared" si="230"/>
        <v>0.39532293986636974</v>
      </c>
      <c r="AJ574" s="55">
        <f t="shared" si="240"/>
        <v>0</v>
      </c>
      <c r="AK574" s="55">
        <f t="shared" si="241"/>
        <v>0</v>
      </c>
    </row>
    <row r="575" spans="2:37" s="53" customFormat="1" ht="17.25" customHeight="1" x14ac:dyDescent="0.25">
      <c r="B575" s="91" t="str">
        <f t="shared" si="222"/>
        <v/>
      </c>
      <c r="C575" s="81">
        <f>IF(Sheet3!A546="","",Sheet3!A546)</f>
        <v>41435</v>
      </c>
      <c r="D575" s="82">
        <f>IF(C575="","",Sheet3!E546)</f>
        <v>35.909999999999997</v>
      </c>
      <c r="E575" s="56">
        <f>_xlfn.XLOOKUP(WEEKNUM(C575)&amp;YEAR(C575),Sheet4!C:C,Sheet4!B:B,0)</f>
        <v>0</v>
      </c>
      <c r="F575" s="46">
        <f>IF(int=Weekly,-$D$5,IF(int=Bi_Weekly,-$D$5,IF(int=Monthly,-$D$5,IF(int=Quarterly,0,IF(int=Yearly,0,IF(int=None,0,0))))))</f>
        <v>-100</v>
      </c>
      <c r="G575" s="46"/>
      <c r="H575" s="46">
        <f t="shared" si="231"/>
        <v>-13650</v>
      </c>
      <c r="I575" s="47"/>
      <c r="J575" s="38">
        <f t="shared" si="218"/>
        <v>2.7847396268448903</v>
      </c>
      <c r="K575" s="48"/>
      <c r="L575" s="48">
        <f t="shared" si="223"/>
        <v>480.12761404022143</v>
      </c>
      <c r="M575" s="48"/>
      <c r="N575" s="38">
        <f t="shared" si="224"/>
        <v>0</v>
      </c>
      <c r="O575" s="36">
        <f t="shared" si="225"/>
        <v>0</v>
      </c>
      <c r="P575" s="84">
        <f t="shared" si="226"/>
        <v>-17840.314967820985</v>
      </c>
      <c r="Q575" s="38">
        <f t="shared" si="227"/>
        <v>0</v>
      </c>
      <c r="R575" s="48">
        <f t="shared" si="228"/>
        <v>140.63289725094293</v>
      </c>
      <c r="S575" s="38">
        <f t="shared" si="219"/>
        <v>620.76051129116433</v>
      </c>
      <c r="T575" s="50">
        <f t="shared" si="232"/>
        <v>13650</v>
      </c>
      <c r="U575" s="40">
        <f t="shared" si="233"/>
        <v>17241.382620184351</v>
      </c>
      <c r="V575" s="41">
        <f t="shared" si="234"/>
        <v>0.26310495385965949</v>
      </c>
      <c r="W575" s="39">
        <f t="shared" si="235"/>
        <v>3591.3826201843513</v>
      </c>
      <c r="X575" s="50">
        <f t="shared" si="229"/>
        <v>4190.7837178372602</v>
      </c>
      <c r="Y575" s="41">
        <f t="shared" si="236"/>
        <v>0.57012207604553944</v>
      </c>
      <c r="Z575" s="52"/>
      <c r="AA575" s="50">
        <f t="shared" si="242"/>
        <v>17840.783717837261</v>
      </c>
      <c r="AB575" s="39">
        <f t="shared" si="243"/>
        <v>22291.509960465712</v>
      </c>
      <c r="AC575" s="39">
        <f t="shared" si="237"/>
        <v>4450.7262426284506</v>
      </c>
      <c r="AD575" s="41">
        <f t="shared" si="238"/>
        <v>0.24946921127565735</v>
      </c>
      <c r="AF575" s="46">
        <f t="shared" si="220"/>
        <v>-100</v>
      </c>
      <c r="AG575" s="46">
        <f t="shared" si="239"/>
        <v>-100</v>
      </c>
      <c r="AH575" s="54">
        <f t="shared" si="221"/>
        <v>3808</v>
      </c>
      <c r="AI575" s="55">
        <f t="shared" si="230"/>
        <v>0.39420935412026725</v>
      </c>
      <c r="AJ575" s="55">
        <f t="shared" si="240"/>
        <v>-39.420935412026722</v>
      </c>
      <c r="AK575" s="55">
        <f t="shared" si="241"/>
        <v>-39.420935412026722</v>
      </c>
    </row>
    <row r="576" spans="2:37" s="53" customFormat="1" ht="17.25" customHeight="1" x14ac:dyDescent="0.25">
      <c r="B576" s="91" t="str">
        <f t="shared" si="222"/>
        <v/>
      </c>
      <c r="C576" s="81">
        <f>IF(Sheet3!A547="","",Sheet3!A547)</f>
        <v>41442</v>
      </c>
      <c r="D576" s="82">
        <f>IF(C576="","",Sheet3!E547)</f>
        <v>34.470001000000003</v>
      </c>
      <c r="E576" s="56">
        <f>_xlfn.XLOOKUP(WEEKNUM(C576)&amp;YEAR(C576),Sheet4!C:C,Sheet4!B:B,0)</f>
        <v>0</v>
      </c>
      <c r="F576" s="46">
        <f>IF(int=Weekly,-$D$5,IF(int=Bi_Weekly,0,IF(int=Monthly,0,IF(int=Quarterly,0,IF(int=Yearly,0,IF(int=None,0,0))))))</f>
        <v>0</v>
      </c>
      <c r="G576" s="46"/>
      <c r="H576" s="46">
        <f t="shared" si="231"/>
        <v>-13650</v>
      </c>
      <c r="I576" s="47"/>
      <c r="J576" s="38">
        <f t="shared" si="218"/>
        <v>0</v>
      </c>
      <c r="K576" s="48"/>
      <c r="L576" s="48">
        <f t="shared" si="223"/>
        <v>480.12761404022143</v>
      </c>
      <c r="M576" s="48"/>
      <c r="N576" s="38">
        <f t="shared" si="224"/>
        <v>0</v>
      </c>
      <c r="O576" s="36">
        <f t="shared" si="225"/>
        <v>0</v>
      </c>
      <c r="P576" s="84">
        <f t="shared" si="226"/>
        <v>-17840.314967820985</v>
      </c>
      <c r="Q576" s="38">
        <f t="shared" si="227"/>
        <v>0</v>
      </c>
      <c r="R576" s="48">
        <f t="shared" si="228"/>
        <v>140.63289725094293</v>
      </c>
      <c r="S576" s="38">
        <f t="shared" si="219"/>
        <v>620.76051129116433</v>
      </c>
      <c r="T576" s="50">
        <f t="shared" si="232"/>
        <v>13650</v>
      </c>
      <c r="U576" s="40">
        <f t="shared" si="233"/>
        <v>16549.99933609405</v>
      </c>
      <c r="V576" s="41">
        <f t="shared" si="234"/>
        <v>0.21245416381641391</v>
      </c>
      <c r="W576" s="39">
        <f t="shared" si="235"/>
        <v>2899.9993360940498</v>
      </c>
      <c r="X576" s="50">
        <f t="shared" si="229"/>
        <v>4190.7837178372602</v>
      </c>
      <c r="Y576" s="41">
        <f t="shared" si="236"/>
        <v>0.51947128600229386</v>
      </c>
      <c r="Z576" s="52"/>
      <c r="AA576" s="50">
        <f t="shared" si="242"/>
        <v>17840.783717837261</v>
      </c>
      <c r="AB576" s="39">
        <f t="shared" si="243"/>
        <v>21397.615444966948</v>
      </c>
      <c r="AC576" s="39">
        <f t="shared" si="237"/>
        <v>3556.8317271296874</v>
      </c>
      <c r="AD576" s="41">
        <f t="shared" si="238"/>
        <v>0.19936521754778957</v>
      </c>
      <c r="AF576" s="46">
        <f t="shared" si="220"/>
        <v>0</v>
      </c>
      <c r="AG576" s="46">
        <f t="shared" si="239"/>
        <v>0</v>
      </c>
      <c r="AH576" s="54">
        <f t="shared" si="221"/>
        <v>3815</v>
      </c>
      <c r="AI576" s="55">
        <f t="shared" si="230"/>
        <v>0.39309576837416482</v>
      </c>
      <c r="AJ576" s="55">
        <f t="shared" si="240"/>
        <v>0</v>
      </c>
      <c r="AK576" s="55">
        <f t="shared" si="241"/>
        <v>0</v>
      </c>
    </row>
    <row r="577" spans="2:37" s="53" customFormat="1" ht="17.25" customHeight="1" x14ac:dyDescent="0.25">
      <c r="B577" s="91" t="str">
        <f t="shared" si="222"/>
        <v/>
      </c>
      <c r="C577" s="81">
        <f>IF(Sheet3!A548="","",Sheet3!A548)</f>
        <v>41449</v>
      </c>
      <c r="D577" s="82">
        <f>IF(C577="","",Sheet3!E548)</f>
        <v>35.400002000000001</v>
      </c>
      <c r="E577" s="56">
        <f>_xlfn.XLOOKUP(WEEKNUM(C577)&amp;YEAR(C577),Sheet4!C:C,Sheet4!B:B,0)</f>
        <v>0</v>
      </c>
      <c r="F577" s="46">
        <f>IF(int=Weekly,-$D$5,IF(int=Bi_Weekly,-$D$5,IF(int=Monthly,0,IF(int=Quarterly,-$D$5,IF(int=Yearly,0,IF(int=None,0,0))))))</f>
        <v>0</v>
      </c>
      <c r="G577" s="46"/>
      <c r="H577" s="46">
        <f t="shared" si="231"/>
        <v>-13650</v>
      </c>
      <c r="I577" s="47"/>
      <c r="J577" s="38">
        <f t="shared" si="218"/>
        <v>0</v>
      </c>
      <c r="K577" s="48"/>
      <c r="L577" s="48">
        <f t="shared" si="223"/>
        <v>480.12761404022143</v>
      </c>
      <c r="M577" s="48"/>
      <c r="N577" s="38">
        <f t="shared" si="224"/>
        <v>0</v>
      </c>
      <c r="O577" s="36">
        <f t="shared" si="225"/>
        <v>0</v>
      </c>
      <c r="P577" s="84">
        <f t="shared" si="226"/>
        <v>-17840.314967820985</v>
      </c>
      <c r="Q577" s="38">
        <f t="shared" si="227"/>
        <v>0</v>
      </c>
      <c r="R577" s="48">
        <f t="shared" si="228"/>
        <v>140.63289725094293</v>
      </c>
      <c r="S577" s="38">
        <f t="shared" si="219"/>
        <v>620.76051129116433</v>
      </c>
      <c r="T577" s="50">
        <f t="shared" si="232"/>
        <v>13650</v>
      </c>
      <c r="U577" s="40">
        <f t="shared" si="233"/>
        <v>16996.518497279067</v>
      </c>
      <c r="V577" s="41">
        <f t="shared" si="234"/>
        <v>0.24516619027685471</v>
      </c>
      <c r="W577" s="39">
        <f t="shared" si="235"/>
        <v>3346.5184972790667</v>
      </c>
      <c r="X577" s="50">
        <f t="shared" si="229"/>
        <v>4190.7837178372602</v>
      </c>
      <c r="Y577" s="41">
        <f t="shared" si="236"/>
        <v>0.55218331246273467</v>
      </c>
      <c r="Z577" s="52"/>
      <c r="AA577" s="50">
        <f t="shared" si="242"/>
        <v>17840.783717837261</v>
      </c>
      <c r="AB577" s="39">
        <f t="shared" si="243"/>
        <v>21974.923341228241</v>
      </c>
      <c r="AC577" s="39">
        <f t="shared" si="237"/>
        <v>4134.13962339098</v>
      </c>
      <c r="AD577" s="41">
        <f t="shared" si="238"/>
        <v>0.23172410409625988</v>
      </c>
      <c r="AF577" s="46">
        <f t="shared" si="220"/>
        <v>0</v>
      </c>
      <c r="AG577" s="46">
        <f t="shared" si="239"/>
        <v>0</v>
      </c>
      <c r="AH577" s="54">
        <f t="shared" si="221"/>
        <v>3822</v>
      </c>
      <c r="AI577" s="55">
        <f t="shared" si="230"/>
        <v>0.39198218262806234</v>
      </c>
      <c r="AJ577" s="55">
        <f t="shared" si="240"/>
        <v>0</v>
      </c>
      <c r="AK577" s="55">
        <f t="shared" si="241"/>
        <v>0</v>
      </c>
    </row>
    <row r="578" spans="2:37" s="53" customFormat="1" ht="17.25" customHeight="1" x14ac:dyDescent="0.25">
      <c r="B578" s="91" t="str">
        <f t="shared" si="222"/>
        <v/>
      </c>
      <c r="C578" s="81">
        <f>IF(Sheet3!A549="","",Sheet3!A549)</f>
        <v>41456</v>
      </c>
      <c r="D578" s="82">
        <f>IF(C578="","",Sheet3!E549)</f>
        <v>35.830002</v>
      </c>
      <c r="E578" s="56">
        <f>_xlfn.XLOOKUP(WEEKNUM(C578)&amp;YEAR(C578),Sheet4!C:C,Sheet4!B:B,0)</f>
        <v>0</v>
      </c>
      <c r="F578" s="46">
        <f>IF(int=Weekly,-$D$5,IF(int=Bi_Weekly,0,IF(int=Monthly,0,IF(int=Quarterly,0,IF(int=Yearly,0,IF(int=None,0,0))))))</f>
        <v>0</v>
      </c>
      <c r="G578" s="46"/>
      <c r="H578" s="46">
        <f t="shared" si="231"/>
        <v>-13650</v>
      </c>
      <c r="I578" s="47"/>
      <c r="J578" s="38">
        <f t="shared" si="218"/>
        <v>0</v>
      </c>
      <c r="K578" s="48"/>
      <c r="L578" s="48">
        <f t="shared" si="223"/>
        <v>480.12761404022143</v>
      </c>
      <c r="M578" s="48"/>
      <c r="N578" s="38">
        <f t="shared" si="224"/>
        <v>0</v>
      </c>
      <c r="O578" s="36">
        <f t="shared" si="225"/>
        <v>0</v>
      </c>
      <c r="P578" s="84">
        <f t="shared" si="226"/>
        <v>-17840.314967820985</v>
      </c>
      <c r="Q578" s="38">
        <f t="shared" si="227"/>
        <v>0</v>
      </c>
      <c r="R578" s="48">
        <f t="shared" si="228"/>
        <v>140.63289725094293</v>
      </c>
      <c r="S578" s="38">
        <f t="shared" si="219"/>
        <v>620.76051129116433</v>
      </c>
      <c r="T578" s="50">
        <f t="shared" si="232"/>
        <v>13650</v>
      </c>
      <c r="U578" s="40">
        <f t="shared" si="233"/>
        <v>17202.973371316362</v>
      </c>
      <c r="V578" s="41">
        <f t="shared" si="234"/>
        <v>0.26029108947372626</v>
      </c>
      <c r="W578" s="39">
        <f t="shared" si="235"/>
        <v>3552.9733713163623</v>
      </c>
      <c r="X578" s="50">
        <f t="shared" si="229"/>
        <v>4190.7837178372602</v>
      </c>
      <c r="Y578" s="41">
        <f t="shared" si="236"/>
        <v>0.56730821165960621</v>
      </c>
      <c r="Z578" s="52"/>
      <c r="AA578" s="50">
        <f t="shared" si="242"/>
        <v>17840.783717837261</v>
      </c>
      <c r="AB578" s="39">
        <f t="shared" si="243"/>
        <v>22241.850361083441</v>
      </c>
      <c r="AC578" s="39">
        <f t="shared" si="237"/>
        <v>4401.0666432461803</v>
      </c>
      <c r="AD578" s="41">
        <f t="shared" si="238"/>
        <v>0.24668572372445619</v>
      </c>
      <c r="AF578" s="46">
        <f t="shared" si="220"/>
        <v>0</v>
      </c>
      <c r="AG578" s="46">
        <f t="shared" si="239"/>
        <v>0</v>
      </c>
      <c r="AH578" s="54">
        <f t="shared" si="221"/>
        <v>3829</v>
      </c>
      <c r="AI578" s="55">
        <f t="shared" si="230"/>
        <v>0.39086859688195991</v>
      </c>
      <c r="AJ578" s="55">
        <f t="shared" si="240"/>
        <v>0</v>
      </c>
      <c r="AK578" s="55">
        <f t="shared" si="241"/>
        <v>0</v>
      </c>
    </row>
    <row r="579" spans="2:37" s="53" customFormat="1" ht="17.25" customHeight="1" x14ac:dyDescent="0.25">
      <c r="B579" s="91" t="str">
        <f t="shared" si="222"/>
        <v/>
      </c>
      <c r="C579" s="81">
        <f>IF(Sheet3!A550="","",Sheet3!A550)</f>
        <v>41463</v>
      </c>
      <c r="D579" s="82">
        <f>IF(C579="","",Sheet3!E550)</f>
        <v>35.810001</v>
      </c>
      <c r="E579" s="56">
        <f>_xlfn.XLOOKUP(WEEKNUM(C579)&amp;YEAR(C579),Sheet4!C:C,Sheet4!B:B,0)</f>
        <v>0.45</v>
      </c>
      <c r="F579" s="46">
        <f>IF(int=Weekly,-$D$5,IF(int=Bi_Weekly,-$D$5,IF(int=Monthly,-$D$5,IF(int=Quarterly,0,IF(int=Yearly,0,IF(int=None,0,0))))))</f>
        <v>-100</v>
      </c>
      <c r="G579" s="46"/>
      <c r="H579" s="46">
        <f t="shared" si="231"/>
        <v>-13750</v>
      </c>
      <c r="I579" s="47"/>
      <c r="J579" s="38">
        <f t="shared" si="218"/>
        <v>2.7925159789858705</v>
      </c>
      <c r="K579" s="48"/>
      <c r="L579" s="48">
        <f t="shared" si="223"/>
        <v>482.92013001920731</v>
      </c>
      <c r="M579" s="48"/>
      <c r="N579" s="38">
        <f t="shared" si="224"/>
        <v>217.31405850864328</v>
      </c>
      <c r="O579" s="36">
        <f t="shared" si="225"/>
        <v>-217.31405850864328</v>
      </c>
      <c r="P579" s="84">
        <f t="shared" si="226"/>
        <v>-18157.629026329629</v>
      </c>
      <c r="Q579" s="38">
        <f t="shared" si="227"/>
        <v>6.0685298084365673</v>
      </c>
      <c r="R579" s="48">
        <f t="shared" si="228"/>
        <v>146.70142705937951</v>
      </c>
      <c r="S579" s="38">
        <f t="shared" si="219"/>
        <v>629.62155707858687</v>
      </c>
      <c r="T579" s="50">
        <f t="shared" si="232"/>
        <v>13750</v>
      </c>
      <c r="U579" s="40">
        <f t="shared" si="233"/>
        <v>17293.370338907942</v>
      </c>
      <c r="V579" s="41">
        <f t="shared" si="234"/>
        <v>0.25769966101148678</v>
      </c>
      <c r="W579" s="39">
        <f t="shared" si="235"/>
        <v>3543.3703389079419</v>
      </c>
      <c r="X579" s="50">
        <f t="shared" si="229"/>
        <v>4408.0977763459032</v>
      </c>
      <c r="Y579" s="41">
        <f t="shared" si="236"/>
        <v>0.57828859020027967</v>
      </c>
      <c r="Z579" s="52"/>
      <c r="AA579" s="50">
        <f t="shared" si="242"/>
        <v>18158.097776345905</v>
      </c>
      <c r="AB579" s="39">
        <f t="shared" si="243"/>
        <v>22546.748588605747</v>
      </c>
      <c r="AC579" s="39">
        <f t="shared" si="237"/>
        <v>4388.6508122598425</v>
      </c>
      <c r="AD579" s="41">
        <f t="shared" si="238"/>
        <v>0.24169111028671875</v>
      </c>
      <c r="AF579" s="46">
        <f t="shared" si="220"/>
        <v>117.31405850864328</v>
      </c>
      <c r="AG579" s="46">
        <f t="shared" si="239"/>
        <v>-100</v>
      </c>
      <c r="AH579" s="54">
        <f t="shared" si="221"/>
        <v>3836</v>
      </c>
      <c r="AI579" s="55">
        <f t="shared" si="230"/>
        <v>0.38975501113585748</v>
      </c>
      <c r="AJ579" s="55">
        <f t="shared" si="240"/>
        <v>45.7237421804289</v>
      </c>
      <c r="AK579" s="55">
        <f t="shared" si="241"/>
        <v>-38.97550111358575</v>
      </c>
    </row>
    <row r="580" spans="2:37" s="53" customFormat="1" ht="17.25" customHeight="1" x14ac:dyDescent="0.25">
      <c r="B580" s="91" t="str">
        <f t="shared" si="222"/>
        <v/>
      </c>
      <c r="C580" s="81">
        <f>IF(Sheet3!A551="","",Sheet3!A551)</f>
        <v>41470</v>
      </c>
      <c r="D580" s="82">
        <f>IF(C580="","",Sheet3!E551)</f>
        <v>35.810001</v>
      </c>
      <c r="E580" s="56">
        <f>_xlfn.XLOOKUP(WEEKNUM(C580)&amp;YEAR(C580),Sheet4!C:C,Sheet4!B:B,0)</f>
        <v>0</v>
      </c>
      <c r="F580" s="46">
        <f>IF(int=Weekly,-$D$5,IF(int=Bi_Weekly,0,IF(int=Monthly,0,IF(int=Quarterly,0,IF(int=Yearly,0,IF(int=None,0,0))))))</f>
        <v>0</v>
      </c>
      <c r="G580" s="46"/>
      <c r="H580" s="46">
        <f t="shared" si="231"/>
        <v>-13750</v>
      </c>
      <c r="I580" s="47"/>
      <c r="J580" s="38">
        <f t="shared" si="218"/>
        <v>0</v>
      </c>
      <c r="K580" s="48"/>
      <c r="L580" s="48">
        <f t="shared" si="223"/>
        <v>482.92013001920731</v>
      </c>
      <c r="M580" s="48"/>
      <c r="N580" s="38">
        <f t="shared" si="224"/>
        <v>0</v>
      </c>
      <c r="O580" s="36">
        <f t="shared" si="225"/>
        <v>0</v>
      </c>
      <c r="P580" s="84">
        <f t="shared" si="226"/>
        <v>-18157.629026329629</v>
      </c>
      <c r="Q580" s="38">
        <f t="shared" si="227"/>
        <v>0</v>
      </c>
      <c r="R580" s="48">
        <f t="shared" si="228"/>
        <v>146.70142705937951</v>
      </c>
      <c r="S580" s="38">
        <f t="shared" si="219"/>
        <v>629.62155707858687</v>
      </c>
      <c r="T580" s="50">
        <f t="shared" si="232"/>
        <v>13750</v>
      </c>
      <c r="U580" s="40">
        <f t="shared" si="233"/>
        <v>17293.370338907942</v>
      </c>
      <c r="V580" s="41">
        <f t="shared" si="234"/>
        <v>0.25769966101148678</v>
      </c>
      <c r="W580" s="39">
        <f t="shared" si="235"/>
        <v>3543.3703389079419</v>
      </c>
      <c r="X580" s="50">
        <f t="shared" si="229"/>
        <v>4408.0977763459032</v>
      </c>
      <c r="Y580" s="41">
        <f t="shared" si="236"/>
        <v>0.57828859020027967</v>
      </c>
      <c r="Z580" s="52"/>
      <c r="AA580" s="50">
        <f t="shared" si="242"/>
        <v>18158.097776345905</v>
      </c>
      <c r="AB580" s="39">
        <f t="shared" si="243"/>
        <v>22546.748588605747</v>
      </c>
      <c r="AC580" s="39">
        <f t="shared" si="237"/>
        <v>4388.6508122598425</v>
      </c>
      <c r="AD580" s="41">
        <f t="shared" si="238"/>
        <v>0.24169111028671875</v>
      </c>
      <c r="AF580" s="46">
        <f t="shared" si="220"/>
        <v>0</v>
      </c>
      <c r="AG580" s="46">
        <f t="shared" si="239"/>
        <v>0</v>
      </c>
      <c r="AH580" s="54">
        <f t="shared" si="221"/>
        <v>3843</v>
      </c>
      <c r="AI580" s="55">
        <f t="shared" si="230"/>
        <v>0.38864142538975499</v>
      </c>
      <c r="AJ580" s="55">
        <f t="shared" si="240"/>
        <v>0</v>
      </c>
      <c r="AK580" s="55">
        <f t="shared" si="241"/>
        <v>0</v>
      </c>
    </row>
    <row r="581" spans="2:37" s="53" customFormat="1" ht="17.25" customHeight="1" x14ac:dyDescent="0.25">
      <c r="B581" s="91" t="str">
        <f t="shared" si="222"/>
        <v/>
      </c>
      <c r="C581" s="81">
        <f>IF(Sheet3!A552="","",Sheet3!A552)</f>
        <v>41477</v>
      </c>
      <c r="D581" s="82">
        <f>IF(C581="","",Sheet3!E552)</f>
        <v>35.599997999999999</v>
      </c>
      <c r="E581" s="56">
        <f>_xlfn.XLOOKUP(WEEKNUM(C581)&amp;YEAR(C581),Sheet4!C:C,Sheet4!B:B,0)</f>
        <v>0</v>
      </c>
      <c r="F581" s="46">
        <f>IF(int=Weekly,-$D$5,IF(int=Bi_Weekly,-$D$5,IF(int=Monthly,0,IF(int=Quarterly,0,IF(int=Yearly,0,IF(int=None,0,0))))))</f>
        <v>0</v>
      </c>
      <c r="G581" s="46"/>
      <c r="H581" s="46">
        <f t="shared" si="231"/>
        <v>-13750</v>
      </c>
      <c r="I581" s="47"/>
      <c r="J581" s="38">
        <f t="shared" si="218"/>
        <v>0</v>
      </c>
      <c r="K581" s="48"/>
      <c r="L581" s="48">
        <f t="shared" si="223"/>
        <v>482.92013001920731</v>
      </c>
      <c r="M581" s="48"/>
      <c r="N581" s="38">
        <f t="shared" si="224"/>
        <v>0</v>
      </c>
      <c r="O581" s="36">
        <f t="shared" si="225"/>
        <v>0</v>
      </c>
      <c r="P581" s="84">
        <f t="shared" si="226"/>
        <v>-18157.629026329629</v>
      </c>
      <c r="Q581" s="38">
        <f t="shared" si="227"/>
        <v>0</v>
      </c>
      <c r="R581" s="48">
        <f t="shared" si="228"/>
        <v>146.70142705937951</v>
      </c>
      <c r="S581" s="38">
        <f t="shared" si="219"/>
        <v>629.62155707858687</v>
      </c>
      <c r="T581" s="50">
        <f t="shared" si="232"/>
        <v>13750</v>
      </c>
      <c r="U581" s="40">
        <f t="shared" si="233"/>
        <v>17191.95566284352</v>
      </c>
      <c r="V581" s="41">
        <f t="shared" si="234"/>
        <v>0.25032404820680143</v>
      </c>
      <c r="W581" s="39">
        <f t="shared" si="235"/>
        <v>3441.9556628435203</v>
      </c>
      <c r="X581" s="50">
        <f t="shared" si="229"/>
        <v>4408.0977763459032</v>
      </c>
      <c r="Y581" s="41">
        <f t="shared" si="236"/>
        <v>0.57091297739559455</v>
      </c>
      <c r="Z581" s="52"/>
      <c r="AA581" s="50">
        <f t="shared" si="242"/>
        <v>18158.097776345905</v>
      </c>
      <c r="AB581" s="39">
        <f t="shared" si="243"/>
        <v>22414.526172754577</v>
      </c>
      <c r="AC581" s="39">
        <f t="shared" si="237"/>
        <v>4256.4283964086717</v>
      </c>
      <c r="AD581" s="41">
        <f t="shared" si="238"/>
        <v>0.23440937750392621</v>
      </c>
      <c r="AF581" s="46">
        <f t="shared" si="220"/>
        <v>0</v>
      </c>
      <c r="AG581" s="46">
        <f t="shared" si="239"/>
        <v>0</v>
      </c>
      <c r="AH581" s="54">
        <f t="shared" si="221"/>
        <v>3850</v>
      </c>
      <c r="AI581" s="55">
        <f t="shared" si="230"/>
        <v>0.38752783964365256</v>
      </c>
      <c r="AJ581" s="55">
        <f t="shared" si="240"/>
        <v>0</v>
      </c>
      <c r="AK581" s="55">
        <f t="shared" si="241"/>
        <v>0</v>
      </c>
    </row>
    <row r="582" spans="2:37" s="53" customFormat="1" ht="17.25" customHeight="1" x14ac:dyDescent="0.25">
      <c r="B582" s="91" t="str">
        <f t="shared" si="222"/>
        <v/>
      </c>
      <c r="C582" s="81">
        <f>IF(Sheet3!A553="","",Sheet3!A553)</f>
        <v>41484</v>
      </c>
      <c r="D582" s="82">
        <f>IF(C582="","",Sheet3!E553)</f>
        <v>35.770000000000003</v>
      </c>
      <c r="E582" s="56">
        <f>_xlfn.XLOOKUP(WEEKNUM(C582)&amp;YEAR(C582),Sheet4!C:C,Sheet4!B:B,0)</f>
        <v>0</v>
      </c>
      <c r="F582" s="46">
        <f>IF(int=Weekly,-$D$5,IF(int=Bi_Weekly,0,IF(int=Monthly,0,IF(int=Quarterly,0,IF(int=Yearly,0,IF(int=None,0,0))))))</f>
        <v>0</v>
      </c>
      <c r="G582" s="46"/>
      <c r="H582" s="46">
        <f t="shared" si="231"/>
        <v>-13750</v>
      </c>
      <c r="I582" s="47"/>
      <c r="J582" s="38">
        <f t="shared" si="218"/>
        <v>0</v>
      </c>
      <c r="K582" s="48"/>
      <c r="L582" s="48">
        <f t="shared" si="223"/>
        <v>482.92013001920731</v>
      </c>
      <c r="M582" s="48"/>
      <c r="N582" s="38">
        <f t="shared" si="224"/>
        <v>0</v>
      </c>
      <c r="O582" s="36">
        <f t="shared" si="225"/>
        <v>0</v>
      </c>
      <c r="P582" s="84">
        <f t="shared" si="226"/>
        <v>-18157.629026329629</v>
      </c>
      <c r="Q582" s="38">
        <f t="shared" si="227"/>
        <v>0</v>
      </c>
      <c r="R582" s="48">
        <f t="shared" si="228"/>
        <v>146.70142705937951</v>
      </c>
      <c r="S582" s="38">
        <f t="shared" si="219"/>
        <v>629.62155707858687</v>
      </c>
      <c r="T582" s="50">
        <f t="shared" si="232"/>
        <v>13750</v>
      </c>
      <c r="U582" s="40">
        <f t="shared" si="233"/>
        <v>17274.053050787046</v>
      </c>
      <c r="V582" s="41">
        <f t="shared" si="234"/>
        <v>0.25629476732996692</v>
      </c>
      <c r="W582" s="39">
        <f t="shared" si="235"/>
        <v>3524.0530507870462</v>
      </c>
      <c r="X582" s="50">
        <f t="shared" si="229"/>
        <v>4408.0977763459032</v>
      </c>
      <c r="Y582" s="41">
        <f t="shared" si="236"/>
        <v>0.57688369651876004</v>
      </c>
      <c r="Z582" s="52"/>
      <c r="AA582" s="50">
        <f t="shared" si="242"/>
        <v>18158.097776345905</v>
      </c>
      <c r="AB582" s="39">
        <f t="shared" si="243"/>
        <v>22521.563096701051</v>
      </c>
      <c r="AC582" s="39">
        <f t="shared" si="237"/>
        <v>4363.4653203551461</v>
      </c>
      <c r="AD582" s="41">
        <f t="shared" si="238"/>
        <v>0.24030409870572034</v>
      </c>
      <c r="AF582" s="46">
        <f t="shared" si="220"/>
        <v>0</v>
      </c>
      <c r="AG582" s="46">
        <f t="shared" si="239"/>
        <v>0</v>
      </c>
      <c r="AH582" s="54">
        <f t="shared" si="221"/>
        <v>3857</v>
      </c>
      <c r="AI582" s="55">
        <f t="shared" si="230"/>
        <v>0.38641425389755013</v>
      </c>
      <c r="AJ582" s="55">
        <f t="shared" si="240"/>
        <v>0</v>
      </c>
      <c r="AK582" s="55">
        <f t="shared" si="241"/>
        <v>0</v>
      </c>
    </row>
    <row r="583" spans="2:37" s="53" customFormat="1" ht="17.25" customHeight="1" x14ac:dyDescent="0.25">
      <c r="B583" s="91" t="str">
        <f t="shared" si="222"/>
        <v/>
      </c>
      <c r="C583" s="81">
        <f>IF(Sheet3!A554="","",Sheet3!A554)</f>
        <v>41491</v>
      </c>
      <c r="D583" s="82">
        <f>IF(C583="","",Sheet3!E554)</f>
        <v>34.799999</v>
      </c>
      <c r="E583" s="56">
        <f>_xlfn.XLOOKUP(WEEKNUM(C583)&amp;YEAR(C583),Sheet4!C:C,Sheet4!B:B,0)</f>
        <v>0</v>
      </c>
      <c r="F583" s="46">
        <f>IF(int=Weekly,-$D$5,IF(int=Bi_Weekly,-$D$5,IF(int=Monthly,-$D$5,IF(int=Quarterly,0,IF(int=Yearly,0,IF(int=None,0,0))))))</f>
        <v>-100</v>
      </c>
      <c r="G583" s="46"/>
      <c r="H583" s="46">
        <f t="shared" si="231"/>
        <v>-13850</v>
      </c>
      <c r="I583" s="47"/>
      <c r="J583" s="38">
        <f t="shared" si="218"/>
        <v>2.8735633009644626</v>
      </c>
      <c r="K583" s="48"/>
      <c r="L583" s="48">
        <f t="shared" si="223"/>
        <v>485.79369332017177</v>
      </c>
      <c r="M583" s="48"/>
      <c r="N583" s="38">
        <f t="shared" si="224"/>
        <v>0</v>
      </c>
      <c r="O583" s="36">
        <f t="shared" si="225"/>
        <v>0</v>
      </c>
      <c r="P583" s="84">
        <f t="shared" si="226"/>
        <v>-18257.629026329629</v>
      </c>
      <c r="Q583" s="38">
        <f t="shared" si="227"/>
        <v>0</v>
      </c>
      <c r="R583" s="48">
        <f t="shared" si="228"/>
        <v>146.70142705937951</v>
      </c>
      <c r="S583" s="38">
        <f t="shared" si="219"/>
        <v>632.49512037955128</v>
      </c>
      <c r="T583" s="50">
        <f t="shared" si="232"/>
        <v>13850</v>
      </c>
      <c r="U583" s="40">
        <f t="shared" si="233"/>
        <v>16905.620041748283</v>
      </c>
      <c r="V583" s="41">
        <f t="shared" si="234"/>
        <v>0.22062238568579673</v>
      </c>
      <c r="W583" s="39">
        <f t="shared" si="235"/>
        <v>3055.6200417482833</v>
      </c>
      <c r="X583" s="50">
        <f t="shared" si="229"/>
        <v>4408.0977763459032</v>
      </c>
      <c r="Y583" s="41">
        <f t="shared" si="236"/>
        <v>0.53889659336420115</v>
      </c>
      <c r="Z583" s="52"/>
      <c r="AA583" s="50">
        <f t="shared" si="242"/>
        <v>18258.097776345905</v>
      </c>
      <c r="AB583" s="39">
        <f t="shared" si="243"/>
        <v>22010.829556713263</v>
      </c>
      <c r="AC583" s="39">
        <f t="shared" si="237"/>
        <v>3752.7317803673577</v>
      </c>
      <c r="AD583" s="41">
        <f t="shared" si="238"/>
        <v>0.20553793863614711</v>
      </c>
      <c r="AF583" s="46">
        <f t="shared" si="220"/>
        <v>-100</v>
      </c>
      <c r="AG583" s="46">
        <f t="shared" si="239"/>
        <v>-100</v>
      </c>
      <c r="AH583" s="54">
        <f t="shared" si="221"/>
        <v>3864</v>
      </c>
      <c r="AI583" s="55">
        <f t="shared" si="230"/>
        <v>0.38530066815144765</v>
      </c>
      <c r="AJ583" s="55">
        <f t="shared" si="240"/>
        <v>-38.530066815144764</v>
      </c>
      <c r="AK583" s="55">
        <f t="shared" si="241"/>
        <v>-38.530066815144764</v>
      </c>
    </row>
    <row r="584" spans="2:37" s="53" customFormat="1" ht="17.25" customHeight="1" x14ac:dyDescent="0.25">
      <c r="B584" s="91" t="str">
        <f t="shared" si="222"/>
        <v/>
      </c>
      <c r="C584" s="81">
        <f>IF(Sheet3!A555="","",Sheet3!A555)</f>
        <v>41498</v>
      </c>
      <c r="D584" s="82">
        <f>IF(C584="","",Sheet3!E555)</f>
        <v>34.18</v>
      </c>
      <c r="E584" s="56">
        <f>_xlfn.XLOOKUP(WEEKNUM(C584)&amp;YEAR(C584),Sheet4!C:C,Sheet4!B:B,0)</f>
        <v>0</v>
      </c>
      <c r="F584" s="46">
        <f>IF(int=Weekly,-$D$5,IF(int=Bi_Weekly,0,IF(int=Monthly,0,IF(int=Quarterly,0,IF(int=Yearly,0,IF(int=None,0,0))))))</f>
        <v>0</v>
      </c>
      <c r="G584" s="46"/>
      <c r="H584" s="46">
        <f t="shared" si="231"/>
        <v>-13850</v>
      </c>
      <c r="I584" s="47"/>
      <c r="J584" s="38">
        <f t="shared" si="218"/>
        <v>0</v>
      </c>
      <c r="K584" s="48"/>
      <c r="L584" s="48">
        <f t="shared" si="223"/>
        <v>485.79369332017177</v>
      </c>
      <c r="M584" s="48"/>
      <c r="N584" s="38">
        <f t="shared" si="224"/>
        <v>0</v>
      </c>
      <c r="O584" s="36">
        <f t="shared" si="225"/>
        <v>0</v>
      </c>
      <c r="P584" s="84">
        <f t="shared" si="226"/>
        <v>-18257.629026329629</v>
      </c>
      <c r="Q584" s="38">
        <f t="shared" si="227"/>
        <v>0</v>
      </c>
      <c r="R584" s="48">
        <f t="shared" si="228"/>
        <v>146.70142705937951</v>
      </c>
      <c r="S584" s="38">
        <f t="shared" si="219"/>
        <v>632.49512037955128</v>
      </c>
      <c r="T584" s="50">
        <f t="shared" si="232"/>
        <v>13850</v>
      </c>
      <c r="U584" s="40">
        <f t="shared" si="233"/>
        <v>16604.428437683469</v>
      </c>
      <c r="V584" s="41">
        <f t="shared" si="234"/>
        <v>0.19887569947173067</v>
      </c>
      <c r="W584" s="39">
        <f t="shared" si="235"/>
        <v>2754.4284376834694</v>
      </c>
      <c r="X584" s="50">
        <f t="shared" si="229"/>
        <v>4408.0977763459032</v>
      </c>
      <c r="Y584" s="41">
        <f t="shared" si="236"/>
        <v>0.51714990715013509</v>
      </c>
      <c r="Z584" s="52"/>
      <c r="AA584" s="50">
        <f t="shared" si="242"/>
        <v>18258.097776345905</v>
      </c>
      <c r="AB584" s="39">
        <f t="shared" si="243"/>
        <v>21618.683214573062</v>
      </c>
      <c r="AC584" s="39">
        <f t="shared" si="237"/>
        <v>3360.5854382271573</v>
      </c>
      <c r="AD584" s="41">
        <f t="shared" si="238"/>
        <v>0.18405999789205474</v>
      </c>
      <c r="AF584" s="46">
        <f t="shared" si="220"/>
        <v>0</v>
      </c>
      <c r="AG584" s="46">
        <f t="shared" si="239"/>
        <v>0</v>
      </c>
      <c r="AH584" s="54">
        <f t="shared" si="221"/>
        <v>3871</v>
      </c>
      <c r="AI584" s="55">
        <f t="shared" si="230"/>
        <v>0.38418708240534521</v>
      </c>
      <c r="AJ584" s="55">
        <f t="shared" si="240"/>
        <v>0</v>
      </c>
      <c r="AK584" s="55">
        <f t="shared" si="241"/>
        <v>0</v>
      </c>
    </row>
    <row r="585" spans="2:37" s="53" customFormat="1" ht="17.25" customHeight="1" x14ac:dyDescent="0.25">
      <c r="B585" s="91" t="str">
        <f t="shared" si="222"/>
        <v/>
      </c>
      <c r="C585" s="81">
        <f>IF(Sheet3!A556="","",Sheet3!A556)</f>
        <v>41505</v>
      </c>
      <c r="D585" s="82">
        <f>IF(C585="","",Sheet3!E556)</f>
        <v>34.290000999999997</v>
      </c>
      <c r="E585" s="56">
        <f>_xlfn.XLOOKUP(WEEKNUM(C585)&amp;YEAR(C585),Sheet4!C:C,Sheet4!B:B,0)</f>
        <v>0</v>
      </c>
      <c r="F585" s="46">
        <f>IF(int=Weekly,-$D$5,IF(int=Bi_Weekly,-$D$5,IF(int=Monthly,0,IF(int=Quarterly,0,IF(int=Yearly,0,IF(int=None,0,0))))))</f>
        <v>0</v>
      </c>
      <c r="G585" s="46"/>
      <c r="H585" s="46">
        <f t="shared" si="231"/>
        <v>-13850</v>
      </c>
      <c r="I585" s="47"/>
      <c r="J585" s="38">
        <f t="shared" si="218"/>
        <v>0</v>
      </c>
      <c r="K585" s="48"/>
      <c r="L585" s="48">
        <f t="shared" si="223"/>
        <v>485.79369332017177</v>
      </c>
      <c r="M585" s="48"/>
      <c r="N585" s="38">
        <f t="shared" si="224"/>
        <v>0</v>
      </c>
      <c r="O585" s="36">
        <f t="shared" si="225"/>
        <v>0</v>
      </c>
      <c r="P585" s="84">
        <f t="shared" si="226"/>
        <v>-18257.629026329629</v>
      </c>
      <c r="Q585" s="38">
        <f t="shared" si="227"/>
        <v>0</v>
      </c>
      <c r="R585" s="48">
        <f t="shared" si="228"/>
        <v>146.70142705937951</v>
      </c>
      <c r="S585" s="38">
        <f t="shared" si="219"/>
        <v>632.49512037955128</v>
      </c>
      <c r="T585" s="50">
        <f t="shared" si="232"/>
        <v>13850</v>
      </c>
      <c r="U585" s="40">
        <f t="shared" si="233"/>
        <v>16657.866229742383</v>
      </c>
      <c r="V585" s="41">
        <f t="shared" si="234"/>
        <v>0.20273402380811434</v>
      </c>
      <c r="W585" s="39">
        <f t="shared" si="235"/>
        <v>2807.8662297423834</v>
      </c>
      <c r="X585" s="50">
        <f t="shared" si="229"/>
        <v>4408.0977763459032</v>
      </c>
      <c r="Y585" s="41">
        <f t="shared" si="236"/>
        <v>0.52100823148651898</v>
      </c>
      <c r="Z585" s="52"/>
      <c r="AA585" s="50">
        <f t="shared" si="242"/>
        <v>18258.097776345905</v>
      </c>
      <c r="AB585" s="39">
        <f t="shared" si="243"/>
        <v>21688.258310309931</v>
      </c>
      <c r="AC585" s="39">
        <f t="shared" si="237"/>
        <v>3430.1605339640264</v>
      </c>
      <c r="AD585" s="41">
        <f t="shared" si="238"/>
        <v>0.18787064107017426</v>
      </c>
      <c r="AF585" s="46">
        <f t="shared" si="220"/>
        <v>0</v>
      </c>
      <c r="AG585" s="46">
        <f t="shared" si="239"/>
        <v>0</v>
      </c>
      <c r="AH585" s="54">
        <f t="shared" si="221"/>
        <v>3878</v>
      </c>
      <c r="AI585" s="55">
        <f t="shared" si="230"/>
        <v>0.38307349665924278</v>
      </c>
      <c r="AJ585" s="55">
        <f t="shared" si="240"/>
        <v>0</v>
      </c>
      <c r="AK585" s="55">
        <f t="shared" si="241"/>
        <v>0</v>
      </c>
    </row>
    <row r="586" spans="2:37" s="53" customFormat="1" ht="17.25" customHeight="1" x14ac:dyDescent="0.25">
      <c r="B586" s="91" t="str">
        <f t="shared" si="222"/>
        <v/>
      </c>
      <c r="C586" s="81">
        <f>IF(Sheet3!A557="","",Sheet3!A557)</f>
        <v>41512</v>
      </c>
      <c r="D586" s="82">
        <f>IF(C586="","",Sheet3!E557)</f>
        <v>33.830002</v>
      </c>
      <c r="E586" s="56">
        <f>_xlfn.XLOOKUP(WEEKNUM(C586)&amp;YEAR(C586),Sheet4!C:C,Sheet4!B:B,0)</f>
        <v>0</v>
      </c>
      <c r="F586" s="46">
        <f>IF(int=Weekly,-$D$5,IF(int=Bi_Weekly,0,IF(int=Monthly,0,IF(int=Quarterly,0,IF(int=Yearly,0,IF(int=None,0,0))))))</f>
        <v>0</v>
      </c>
      <c r="G586" s="46"/>
      <c r="H586" s="46">
        <f t="shared" si="231"/>
        <v>-13850</v>
      </c>
      <c r="I586" s="47"/>
      <c r="J586" s="38">
        <f t="shared" si="218"/>
        <v>0</v>
      </c>
      <c r="K586" s="48"/>
      <c r="L586" s="48">
        <f t="shared" si="223"/>
        <v>485.79369332017177</v>
      </c>
      <c r="M586" s="48"/>
      <c r="N586" s="38">
        <f t="shared" si="224"/>
        <v>0</v>
      </c>
      <c r="O586" s="36">
        <f t="shared" si="225"/>
        <v>0</v>
      </c>
      <c r="P586" s="84">
        <f t="shared" si="226"/>
        <v>-18257.629026329629</v>
      </c>
      <c r="Q586" s="38">
        <f t="shared" si="227"/>
        <v>0</v>
      </c>
      <c r="R586" s="48">
        <f t="shared" si="228"/>
        <v>146.70142705937951</v>
      </c>
      <c r="S586" s="38">
        <f t="shared" si="219"/>
        <v>632.49512037955128</v>
      </c>
      <c r="T586" s="50">
        <f t="shared" si="232"/>
        <v>13850</v>
      </c>
      <c r="U586" s="40">
        <f t="shared" si="233"/>
        <v>16434.401616608797</v>
      </c>
      <c r="V586" s="41">
        <f t="shared" si="234"/>
        <v>0.18659939470099607</v>
      </c>
      <c r="W586" s="39">
        <f t="shared" si="235"/>
        <v>2584.4016166087968</v>
      </c>
      <c r="X586" s="50">
        <f t="shared" si="229"/>
        <v>4408.0977763459032</v>
      </c>
      <c r="Y586" s="41">
        <f t="shared" si="236"/>
        <v>0.50487360237940049</v>
      </c>
      <c r="Z586" s="52"/>
      <c r="AA586" s="50">
        <f t="shared" si="242"/>
        <v>18258.097776345905</v>
      </c>
      <c r="AB586" s="39">
        <f t="shared" si="243"/>
        <v>21397.31118743046</v>
      </c>
      <c r="AC586" s="39">
        <f t="shared" si="237"/>
        <v>3139.2134110845545</v>
      </c>
      <c r="AD586" s="41">
        <f t="shared" si="238"/>
        <v>0.17193540365149818</v>
      </c>
      <c r="AF586" s="46">
        <f t="shared" si="220"/>
        <v>0</v>
      </c>
      <c r="AG586" s="46">
        <f t="shared" si="239"/>
        <v>0</v>
      </c>
      <c r="AH586" s="54">
        <f t="shared" si="221"/>
        <v>3885</v>
      </c>
      <c r="AI586" s="55">
        <f t="shared" si="230"/>
        <v>0.3819599109131403</v>
      </c>
      <c r="AJ586" s="55">
        <f t="shared" si="240"/>
        <v>0</v>
      </c>
      <c r="AK586" s="55">
        <f t="shared" si="241"/>
        <v>0</v>
      </c>
    </row>
    <row r="587" spans="2:37" s="53" customFormat="1" ht="17.25" customHeight="1" x14ac:dyDescent="0.25">
      <c r="B587" s="91" t="str">
        <f t="shared" si="222"/>
        <v/>
      </c>
      <c r="C587" s="81">
        <f>IF(Sheet3!A558="","",Sheet3!A558)</f>
        <v>41519</v>
      </c>
      <c r="D587" s="82">
        <f>IF(C587="","",Sheet3!E558)</f>
        <v>33.409999999999997</v>
      </c>
      <c r="E587" s="56">
        <f>_xlfn.XLOOKUP(WEEKNUM(C587)&amp;YEAR(C587),Sheet4!C:C,Sheet4!B:B,0)</f>
        <v>0</v>
      </c>
      <c r="F587" s="46">
        <f>IF(int=Weekly,-$D$5,IF(int=Bi_Weekly,-$D$5,IF(int=Monthly,-$D$5,IF(int=Quarterly,0,IF(int=Yearly,0,IF(int=None,0,0))))))</f>
        <v>-100</v>
      </c>
      <c r="G587" s="46"/>
      <c r="H587" s="46">
        <f t="shared" si="231"/>
        <v>-13950</v>
      </c>
      <c r="I587" s="47"/>
      <c r="J587" s="38">
        <f t="shared" si="218"/>
        <v>2.9931158335827601</v>
      </c>
      <c r="K587" s="48"/>
      <c r="L587" s="48">
        <f t="shared" si="223"/>
        <v>488.78680915375452</v>
      </c>
      <c r="M587" s="48"/>
      <c r="N587" s="38">
        <f t="shared" si="224"/>
        <v>0</v>
      </c>
      <c r="O587" s="36">
        <f t="shared" si="225"/>
        <v>0</v>
      </c>
      <c r="P587" s="84">
        <f t="shared" si="226"/>
        <v>-18357.629026329629</v>
      </c>
      <c r="Q587" s="38">
        <f t="shared" si="227"/>
        <v>0</v>
      </c>
      <c r="R587" s="48">
        <f t="shared" si="228"/>
        <v>146.70142705937951</v>
      </c>
      <c r="S587" s="38">
        <f t="shared" si="219"/>
        <v>635.48823621313409</v>
      </c>
      <c r="T587" s="50">
        <f t="shared" si="232"/>
        <v>13950</v>
      </c>
      <c r="U587" s="40">
        <f t="shared" si="233"/>
        <v>16330.367293826937</v>
      </c>
      <c r="V587" s="41">
        <f t="shared" si="234"/>
        <v>0.17063564830300626</v>
      </c>
      <c r="W587" s="39">
        <f t="shared" si="235"/>
        <v>2380.3672938269374</v>
      </c>
      <c r="X587" s="50">
        <f t="shared" si="229"/>
        <v>4408.0977763459032</v>
      </c>
      <c r="Y587" s="41">
        <f t="shared" si="236"/>
        <v>0.48662832044249749</v>
      </c>
      <c r="Z587" s="52"/>
      <c r="AA587" s="50">
        <f t="shared" si="242"/>
        <v>18358.097776345905</v>
      </c>
      <c r="AB587" s="39">
        <f t="shared" si="243"/>
        <v>21231.661971880807</v>
      </c>
      <c r="AC587" s="39">
        <f t="shared" si="237"/>
        <v>2873.564195534902</v>
      </c>
      <c r="AD587" s="41">
        <f t="shared" si="238"/>
        <v>0.15652842851929027</v>
      </c>
      <c r="AF587" s="46">
        <f t="shared" si="220"/>
        <v>-100</v>
      </c>
      <c r="AG587" s="46">
        <f t="shared" si="239"/>
        <v>-100</v>
      </c>
      <c r="AH587" s="54">
        <f t="shared" si="221"/>
        <v>3892</v>
      </c>
      <c r="AI587" s="55">
        <f t="shared" si="230"/>
        <v>0.38084632516703787</v>
      </c>
      <c r="AJ587" s="55">
        <f t="shared" si="240"/>
        <v>-38.084632516703785</v>
      </c>
      <c r="AK587" s="55">
        <f t="shared" si="241"/>
        <v>-38.084632516703785</v>
      </c>
    </row>
    <row r="588" spans="2:37" s="53" customFormat="1" ht="17.25" customHeight="1" x14ac:dyDescent="0.25">
      <c r="B588" s="91" t="str">
        <f t="shared" si="222"/>
        <v/>
      </c>
      <c r="C588" s="81">
        <f>IF(Sheet3!A559="","",Sheet3!A559)</f>
        <v>41526</v>
      </c>
      <c r="D588" s="82">
        <f>IF(C588="","",Sheet3!E559)</f>
        <v>34.32</v>
      </c>
      <c r="E588" s="56">
        <f>_xlfn.XLOOKUP(WEEKNUM(C588)&amp;YEAR(C588),Sheet4!C:C,Sheet4!B:B,0)</f>
        <v>0</v>
      </c>
      <c r="F588" s="46">
        <f>IF(int=Weekly,-$D$5,IF(int=Bi_Weekly,0,IF(int=Monthly,0,IF(int=Quarterly,0,IF(int=Yearly,0,IF(int=None,0,0))))))</f>
        <v>0</v>
      </c>
      <c r="G588" s="46"/>
      <c r="H588" s="46">
        <f t="shared" si="231"/>
        <v>-13950</v>
      </c>
      <c r="I588" s="47"/>
      <c r="J588" s="38">
        <f t="shared" si="218"/>
        <v>0</v>
      </c>
      <c r="K588" s="48"/>
      <c r="L588" s="48">
        <f t="shared" si="223"/>
        <v>488.78680915375452</v>
      </c>
      <c r="M588" s="48"/>
      <c r="N588" s="38">
        <f t="shared" si="224"/>
        <v>0</v>
      </c>
      <c r="O588" s="36">
        <f t="shared" si="225"/>
        <v>0</v>
      </c>
      <c r="P588" s="84">
        <f t="shared" si="226"/>
        <v>-18357.629026329629</v>
      </c>
      <c r="Q588" s="38">
        <f t="shared" si="227"/>
        <v>0</v>
      </c>
      <c r="R588" s="48">
        <f t="shared" si="228"/>
        <v>146.70142705937951</v>
      </c>
      <c r="S588" s="38">
        <f t="shared" si="219"/>
        <v>635.48823621313409</v>
      </c>
      <c r="T588" s="50">
        <f t="shared" si="232"/>
        <v>13950</v>
      </c>
      <c r="U588" s="40">
        <f t="shared" si="233"/>
        <v>16775.163290156856</v>
      </c>
      <c r="V588" s="41">
        <f t="shared" si="234"/>
        <v>0.20252066596106499</v>
      </c>
      <c r="W588" s="39">
        <f t="shared" si="235"/>
        <v>2825.1632901568555</v>
      </c>
      <c r="X588" s="50">
        <f t="shared" si="229"/>
        <v>4408.0977763459032</v>
      </c>
      <c r="Y588" s="41">
        <f t="shared" si="236"/>
        <v>0.51851333810055622</v>
      </c>
      <c r="Z588" s="52"/>
      <c r="AA588" s="50">
        <f t="shared" si="242"/>
        <v>18358.097776345905</v>
      </c>
      <c r="AB588" s="39">
        <f t="shared" si="243"/>
        <v>21809.956266834761</v>
      </c>
      <c r="AC588" s="39">
        <f t="shared" si="237"/>
        <v>3451.8584904888558</v>
      </c>
      <c r="AD588" s="41">
        <f t="shared" si="238"/>
        <v>0.18802920283693636</v>
      </c>
      <c r="AF588" s="46">
        <f t="shared" si="220"/>
        <v>0</v>
      </c>
      <c r="AG588" s="46">
        <f t="shared" si="239"/>
        <v>0</v>
      </c>
      <c r="AH588" s="54">
        <f t="shared" si="221"/>
        <v>3899</v>
      </c>
      <c r="AI588" s="55">
        <f t="shared" si="230"/>
        <v>0.37973273942093544</v>
      </c>
      <c r="AJ588" s="55">
        <f t="shared" si="240"/>
        <v>0</v>
      </c>
      <c r="AK588" s="55">
        <f t="shared" si="241"/>
        <v>0</v>
      </c>
    </row>
    <row r="589" spans="2:37" s="53" customFormat="1" ht="17.25" customHeight="1" x14ac:dyDescent="0.25">
      <c r="B589" s="91" t="str">
        <f t="shared" si="222"/>
        <v/>
      </c>
      <c r="C589" s="81">
        <f>IF(Sheet3!A560="","",Sheet3!A560)</f>
        <v>41533</v>
      </c>
      <c r="D589" s="82">
        <f>IF(C589="","",Sheet3!E560)</f>
        <v>34.310001</v>
      </c>
      <c r="E589" s="56">
        <f>_xlfn.XLOOKUP(WEEKNUM(C589)&amp;YEAR(C589),Sheet4!C:C,Sheet4!B:B,0)</f>
        <v>0</v>
      </c>
      <c r="F589" s="46">
        <f>IF(int=Weekly,-$D$5,IF(int=Bi_Weekly,-$D$5,IF(int=Monthly,0,IF(int=Quarterly,0,IF(int=Yearly,0,IF(int=None,0,0))))))</f>
        <v>0</v>
      </c>
      <c r="G589" s="46"/>
      <c r="H589" s="46">
        <f t="shared" si="231"/>
        <v>-13950</v>
      </c>
      <c r="I589" s="47"/>
      <c r="J589" s="38">
        <f t="shared" si="218"/>
        <v>0</v>
      </c>
      <c r="K589" s="48"/>
      <c r="L589" s="48">
        <f t="shared" si="223"/>
        <v>488.78680915375452</v>
      </c>
      <c r="M589" s="48"/>
      <c r="N589" s="38">
        <f t="shared" si="224"/>
        <v>0</v>
      </c>
      <c r="O589" s="36">
        <f t="shared" si="225"/>
        <v>0</v>
      </c>
      <c r="P589" s="84">
        <f t="shared" si="226"/>
        <v>-18357.629026329629</v>
      </c>
      <c r="Q589" s="38">
        <f t="shared" si="227"/>
        <v>0</v>
      </c>
      <c r="R589" s="48">
        <f t="shared" si="228"/>
        <v>146.70142705937951</v>
      </c>
      <c r="S589" s="38">
        <f t="shared" si="219"/>
        <v>635.48823621313409</v>
      </c>
      <c r="T589" s="50">
        <f t="shared" si="232"/>
        <v>13950</v>
      </c>
      <c r="U589" s="40">
        <f t="shared" si="233"/>
        <v>16770.275910852128</v>
      </c>
      <c r="V589" s="41">
        <f t="shared" si="234"/>
        <v>0.20217031619011672</v>
      </c>
      <c r="W589" s="39">
        <f t="shared" si="235"/>
        <v>2820.2759108521277</v>
      </c>
      <c r="X589" s="50">
        <f t="shared" si="229"/>
        <v>4408.0977763459032</v>
      </c>
      <c r="Y589" s="41">
        <f t="shared" si="236"/>
        <v>0.51816298832960772</v>
      </c>
      <c r="Z589" s="52"/>
      <c r="AA589" s="50">
        <f t="shared" si="242"/>
        <v>18358.097776345905</v>
      </c>
      <c r="AB589" s="39">
        <f t="shared" si="243"/>
        <v>21803.602019960865</v>
      </c>
      <c r="AC589" s="39">
        <f t="shared" si="237"/>
        <v>3445.5042436149597</v>
      </c>
      <c r="AD589" s="41">
        <f t="shared" si="238"/>
        <v>0.18768307509803295</v>
      </c>
      <c r="AF589" s="46">
        <f t="shared" si="220"/>
        <v>0</v>
      </c>
      <c r="AG589" s="46">
        <f t="shared" si="239"/>
        <v>0</v>
      </c>
      <c r="AH589" s="54">
        <f t="shared" si="221"/>
        <v>3906</v>
      </c>
      <c r="AI589" s="55">
        <f t="shared" si="230"/>
        <v>0.37861915367483295</v>
      </c>
      <c r="AJ589" s="55">
        <f t="shared" si="240"/>
        <v>0</v>
      </c>
      <c r="AK589" s="55">
        <f t="shared" si="241"/>
        <v>0</v>
      </c>
    </row>
    <row r="590" spans="2:37" s="53" customFormat="1" ht="17.25" customHeight="1" x14ac:dyDescent="0.25">
      <c r="B590" s="91" t="str">
        <f t="shared" si="222"/>
        <v/>
      </c>
      <c r="C590" s="81">
        <f>IF(Sheet3!A561="","",Sheet3!A561)</f>
        <v>41540</v>
      </c>
      <c r="D590" s="82">
        <f>IF(C590="","",Sheet3!E561)</f>
        <v>33.979999999999997</v>
      </c>
      <c r="E590" s="56">
        <f>_xlfn.XLOOKUP(WEEKNUM(C590)&amp;YEAR(C590),Sheet4!C:C,Sheet4!B:B,0)</f>
        <v>0</v>
      </c>
      <c r="F590" s="46">
        <f>IF(int=Weekly,-$D$5,IF(int=Bi_Weekly,0,IF(int=Monthly,0,IF(int=Quarterly,-$D$5,IF(int=Yearly,0,IF(int=None,0,0))))))</f>
        <v>0</v>
      </c>
      <c r="G590" s="46"/>
      <c r="H590" s="46">
        <f t="shared" si="231"/>
        <v>-13950</v>
      </c>
      <c r="I590" s="47"/>
      <c r="J590" s="38">
        <f t="shared" si="218"/>
        <v>0</v>
      </c>
      <c r="K590" s="48"/>
      <c r="L590" s="48">
        <f t="shared" si="223"/>
        <v>488.78680915375452</v>
      </c>
      <c r="M590" s="48"/>
      <c r="N590" s="38">
        <f t="shared" si="224"/>
        <v>0</v>
      </c>
      <c r="O590" s="36">
        <f t="shared" si="225"/>
        <v>0</v>
      </c>
      <c r="P590" s="84">
        <f t="shared" si="226"/>
        <v>-18357.629026329629</v>
      </c>
      <c r="Q590" s="38">
        <f t="shared" si="227"/>
        <v>0</v>
      </c>
      <c r="R590" s="48">
        <f t="shared" si="228"/>
        <v>146.70142705937951</v>
      </c>
      <c r="S590" s="38">
        <f t="shared" si="219"/>
        <v>635.48823621313409</v>
      </c>
      <c r="T590" s="50">
        <f t="shared" si="232"/>
        <v>13950</v>
      </c>
      <c r="U590" s="40">
        <f t="shared" si="233"/>
        <v>16608.975775044579</v>
      </c>
      <c r="V590" s="41">
        <f t="shared" si="234"/>
        <v>0.1906075824404716</v>
      </c>
      <c r="W590" s="39">
        <f t="shared" si="235"/>
        <v>2658.9757750445788</v>
      </c>
      <c r="X590" s="50">
        <f t="shared" si="229"/>
        <v>4408.0977763459032</v>
      </c>
      <c r="Y590" s="41">
        <f t="shared" si="236"/>
        <v>0.50660025457996283</v>
      </c>
      <c r="Z590" s="52"/>
      <c r="AA590" s="50">
        <f t="shared" si="242"/>
        <v>18358.097776345905</v>
      </c>
      <c r="AB590" s="39">
        <f t="shared" si="243"/>
        <v>21593.890266522292</v>
      </c>
      <c r="AC590" s="39">
        <f t="shared" si="237"/>
        <v>3235.7924901763872</v>
      </c>
      <c r="AD590" s="41">
        <f t="shared" si="238"/>
        <v>0.17625968276221138</v>
      </c>
      <c r="AF590" s="46">
        <f t="shared" si="220"/>
        <v>0</v>
      </c>
      <c r="AG590" s="46">
        <f t="shared" si="239"/>
        <v>0</v>
      </c>
      <c r="AH590" s="54">
        <f t="shared" si="221"/>
        <v>3913</v>
      </c>
      <c r="AI590" s="55">
        <f t="shared" si="230"/>
        <v>0.37750556792873052</v>
      </c>
      <c r="AJ590" s="55">
        <f t="shared" si="240"/>
        <v>0</v>
      </c>
      <c r="AK590" s="55">
        <f t="shared" si="241"/>
        <v>0</v>
      </c>
    </row>
    <row r="591" spans="2:37" s="53" customFormat="1" ht="17.25" customHeight="1" x14ac:dyDescent="0.25">
      <c r="B591" s="91" t="str">
        <f t="shared" si="222"/>
        <v/>
      </c>
      <c r="C591" s="81">
        <f>IF(Sheet3!A562="","",Sheet3!A562)</f>
        <v>41547</v>
      </c>
      <c r="D591" s="82">
        <f>IF(C591="","",Sheet3!E562)</f>
        <v>33.75</v>
      </c>
      <c r="E591" s="56">
        <f>_xlfn.XLOOKUP(WEEKNUM(C591)&amp;YEAR(C591),Sheet4!C:C,Sheet4!B:B,0)</f>
        <v>0</v>
      </c>
      <c r="F591" s="46">
        <f>IF(int=Weekly,-$D$5,IF(int=Bi_Weekly,-$D$5,IF(int=Monthly,-$D$5,IF(int=Quarterly,0,IF(int=Yearly,0,IF(int=None,0,0))))))</f>
        <v>-100</v>
      </c>
      <c r="G591" s="46"/>
      <c r="H591" s="46">
        <f t="shared" si="231"/>
        <v>-14050</v>
      </c>
      <c r="I591" s="47"/>
      <c r="J591" s="38">
        <f t="shared" si="218"/>
        <v>2.9629629629629628</v>
      </c>
      <c r="K591" s="48"/>
      <c r="L591" s="48">
        <f t="shared" si="223"/>
        <v>491.74977211671751</v>
      </c>
      <c r="M591" s="48"/>
      <c r="N591" s="38">
        <f t="shared" si="224"/>
        <v>0</v>
      </c>
      <c r="O591" s="36">
        <f t="shared" si="225"/>
        <v>0</v>
      </c>
      <c r="P591" s="84">
        <f t="shared" si="226"/>
        <v>-18457.629026329629</v>
      </c>
      <c r="Q591" s="38">
        <f t="shared" si="227"/>
        <v>0</v>
      </c>
      <c r="R591" s="48">
        <f t="shared" si="228"/>
        <v>146.70142705937951</v>
      </c>
      <c r="S591" s="38">
        <f t="shared" si="219"/>
        <v>638.45119917609702</v>
      </c>
      <c r="T591" s="50">
        <f t="shared" si="232"/>
        <v>14050</v>
      </c>
      <c r="U591" s="40">
        <f t="shared" si="233"/>
        <v>16596.554808939214</v>
      </c>
      <c r="V591" s="41">
        <f t="shared" si="234"/>
        <v>0.18124945259353842</v>
      </c>
      <c r="W591" s="39">
        <f t="shared" si="235"/>
        <v>2546.5548089392141</v>
      </c>
      <c r="X591" s="50">
        <f t="shared" si="229"/>
        <v>4408.0977763459032</v>
      </c>
      <c r="Y591" s="41">
        <f t="shared" si="236"/>
        <v>0.49499306656833597</v>
      </c>
      <c r="Z591" s="52"/>
      <c r="AA591" s="50">
        <f t="shared" si="242"/>
        <v>18458.097776345905</v>
      </c>
      <c r="AB591" s="39">
        <f t="shared" si="243"/>
        <v>21547.727972193272</v>
      </c>
      <c r="AC591" s="39">
        <f t="shared" si="237"/>
        <v>3089.6301958473668</v>
      </c>
      <c r="AD591" s="41">
        <f t="shared" si="238"/>
        <v>0.16738616477623913</v>
      </c>
      <c r="AF591" s="46">
        <f t="shared" si="220"/>
        <v>-100</v>
      </c>
      <c r="AG591" s="46">
        <f t="shared" si="239"/>
        <v>-100</v>
      </c>
      <c r="AH591" s="54">
        <f t="shared" si="221"/>
        <v>3920</v>
      </c>
      <c r="AI591" s="55">
        <f t="shared" si="230"/>
        <v>0.37639198218262804</v>
      </c>
      <c r="AJ591" s="55">
        <f t="shared" si="240"/>
        <v>-37.639198218262806</v>
      </c>
      <c r="AK591" s="55">
        <f t="shared" si="241"/>
        <v>-37.639198218262806</v>
      </c>
    </row>
    <row r="592" spans="2:37" s="53" customFormat="1" ht="17.25" customHeight="1" x14ac:dyDescent="0.25">
      <c r="B592" s="91" t="str">
        <f t="shared" si="222"/>
        <v/>
      </c>
      <c r="C592" s="81">
        <f>IF(Sheet3!A563="","",Sheet3!A563)</f>
        <v>41554</v>
      </c>
      <c r="D592" s="82">
        <f>IF(C592="","",Sheet3!E563)</f>
        <v>34.200001</v>
      </c>
      <c r="E592" s="56">
        <f>_xlfn.XLOOKUP(WEEKNUM(C592)&amp;YEAR(C592),Sheet4!C:C,Sheet4!B:B,0)</f>
        <v>0.45</v>
      </c>
      <c r="F592" s="46">
        <f>IF(int=Weekly,-$D$5,IF(int=Bi_Weekly,0,IF(int=Monthly,0,IF(int=Quarterly,0,IF(int=Yearly,0,IF(int=None,0,0))))))</f>
        <v>0</v>
      </c>
      <c r="G592" s="46"/>
      <c r="H592" s="46">
        <f t="shared" si="231"/>
        <v>-14050</v>
      </c>
      <c r="I592" s="47"/>
      <c r="J592" s="38">
        <f t="shared" si="218"/>
        <v>0</v>
      </c>
      <c r="K592" s="48"/>
      <c r="L592" s="48">
        <f t="shared" si="223"/>
        <v>491.74977211671751</v>
      </c>
      <c r="M592" s="48"/>
      <c r="N592" s="38">
        <f t="shared" si="224"/>
        <v>221.2873974525229</v>
      </c>
      <c r="O592" s="36">
        <f t="shared" si="225"/>
        <v>-221.2873974525229</v>
      </c>
      <c r="P592" s="84">
        <f t="shared" si="226"/>
        <v>-18678.916423782153</v>
      </c>
      <c r="Q592" s="38">
        <f t="shared" si="227"/>
        <v>6.4703915491851269</v>
      </c>
      <c r="R592" s="48">
        <f t="shared" si="228"/>
        <v>153.17181860856465</v>
      </c>
      <c r="S592" s="38">
        <f t="shared" si="219"/>
        <v>644.92159072528216</v>
      </c>
      <c r="T592" s="50">
        <f t="shared" si="232"/>
        <v>14050</v>
      </c>
      <c r="U592" s="40">
        <f t="shared" si="233"/>
        <v>16817.84269814151</v>
      </c>
      <c r="V592" s="41">
        <f t="shared" si="234"/>
        <v>0.19699948029476944</v>
      </c>
      <c r="W592" s="39">
        <f t="shared" si="235"/>
        <v>2767.8426981415105</v>
      </c>
      <c r="X592" s="50">
        <f t="shared" si="229"/>
        <v>4629.385173798426</v>
      </c>
      <c r="Y592" s="41">
        <f t="shared" si="236"/>
        <v>0.52649308697081398</v>
      </c>
      <c r="Z592" s="52"/>
      <c r="AA592" s="50">
        <f t="shared" si="242"/>
        <v>18679.38517379843</v>
      </c>
      <c r="AB592" s="39">
        <f t="shared" si="243"/>
        <v>22056.31904772624</v>
      </c>
      <c r="AC592" s="39">
        <f t="shared" si="237"/>
        <v>3376.9338739278101</v>
      </c>
      <c r="AD592" s="41">
        <f t="shared" si="238"/>
        <v>0.18078399489639696</v>
      </c>
      <c r="AF592" s="46">
        <f t="shared" si="220"/>
        <v>221.2873974525229</v>
      </c>
      <c r="AG592" s="46">
        <f t="shared" si="239"/>
        <v>0</v>
      </c>
      <c r="AH592" s="54">
        <f t="shared" si="221"/>
        <v>3927</v>
      </c>
      <c r="AI592" s="55">
        <f t="shared" si="230"/>
        <v>0.37527839643652561</v>
      </c>
      <c r="AJ592" s="55">
        <f t="shared" si="240"/>
        <v>83.044379667594896</v>
      </c>
      <c r="AK592" s="55">
        <f t="shared" si="241"/>
        <v>0</v>
      </c>
    </row>
    <row r="593" spans="2:37" s="53" customFormat="1" ht="17.25" customHeight="1" x14ac:dyDescent="0.25">
      <c r="B593" s="91" t="str">
        <f t="shared" si="222"/>
        <v/>
      </c>
      <c r="C593" s="81">
        <f>IF(Sheet3!A564="","",Sheet3!A564)</f>
        <v>41561</v>
      </c>
      <c r="D593" s="82">
        <f>IF(C593="","",Sheet3!E564)</f>
        <v>34.610000999999997</v>
      </c>
      <c r="E593" s="56">
        <f>_xlfn.XLOOKUP(WEEKNUM(C593)&amp;YEAR(C593),Sheet4!C:C,Sheet4!B:B,0)</f>
        <v>0</v>
      </c>
      <c r="F593" s="46">
        <f>IF(int=Weekly,-$D$5,IF(int=Bi_Weekly,-$D$5,IF(int=Monthly,0,IF(int=Quarterly,0,IF(int=Yearly,0,IF(int=None,0,0))))))</f>
        <v>0</v>
      </c>
      <c r="G593" s="46"/>
      <c r="H593" s="46">
        <f t="shared" si="231"/>
        <v>-14050</v>
      </c>
      <c r="I593" s="47"/>
      <c r="J593" s="38">
        <f t="shared" si="218"/>
        <v>0</v>
      </c>
      <c r="K593" s="48"/>
      <c r="L593" s="48">
        <f t="shared" si="223"/>
        <v>491.74977211671751</v>
      </c>
      <c r="M593" s="48"/>
      <c r="N593" s="38">
        <f t="shared" si="224"/>
        <v>0</v>
      </c>
      <c r="O593" s="36">
        <f t="shared" si="225"/>
        <v>0</v>
      </c>
      <c r="P593" s="84">
        <f t="shared" si="226"/>
        <v>-18678.916423782153</v>
      </c>
      <c r="Q593" s="38">
        <f t="shared" si="227"/>
        <v>0</v>
      </c>
      <c r="R593" s="48">
        <f t="shared" si="228"/>
        <v>153.17181860856465</v>
      </c>
      <c r="S593" s="38">
        <f t="shared" si="219"/>
        <v>644.92159072528216</v>
      </c>
      <c r="T593" s="50">
        <f t="shared" si="232"/>
        <v>14050</v>
      </c>
      <c r="U593" s="40">
        <f t="shared" si="233"/>
        <v>17019.460104709364</v>
      </c>
      <c r="V593" s="41">
        <f t="shared" si="234"/>
        <v>0.21134947364479451</v>
      </c>
      <c r="W593" s="39">
        <f t="shared" si="235"/>
        <v>2969.4601047093638</v>
      </c>
      <c r="X593" s="50">
        <f t="shared" si="229"/>
        <v>4629.385173798426</v>
      </c>
      <c r="Y593" s="41">
        <f t="shared" si="236"/>
        <v>0.54084308032083905</v>
      </c>
      <c r="Z593" s="52"/>
      <c r="AA593" s="50">
        <f t="shared" si="242"/>
        <v>18679.38517379843</v>
      </c>
      <c r="AB593" s="39">
        <f t="shared" si="243"/>
        <v>22320.736899923606</v>
      </c>
      <c r="AC593" s="39">
        <f t="shared" si="237"/>
        <v>3641.3517261251764</v>
      </c>
      <c r="AD593" s="41">
        <f t="shared" si="238"/>
        <v>0.19493959208212597</v>
      </c>
      <c r="AF593" s="46">
        <f t="shared" si="220"/>
        <v>0</v>
      </c>
      <c r="AG593" s="46">
        <f t="shared" si="239"/>
        <v>0</v>
      </c>
      <c r="AH593" s="54">
        <f t="shared" si="221"/>
        <v>3934</v>
      </c>
      <c r="AI593" s="55">
        <f t="shared" si="230"/>
        <v>0.37416481069042318</v>
      </c>
      <c r="AJ593" s="55">
        <f t="shared" si="240"/>
        <v>0</v>
      </c>
      <c r="AK593" s="55">
        <f t="shared" si="241"/>
        <v>0</v>
      </c>
    </row>
    <row r="594" spans="2:37" s="53" customFormat="1" ht="17.25" customHeight="1" x14ac:dyDescent="0.25">
      <c r="B594" s="91" t="str">
        <f t="shared" si="222"/>
        <v/>
      </c>
      <c r="C594" s="81">
        <f>IF(Sheet3!A565="","",Sheet3!A565)</f>
        <v>41568</v>
      </c>
      <c r="D594" s="82">
        <f>IF(C594="","",Sheet3!E565)</f>
        <v>35.189999</v>
      </c>
      <c r="E594" s="56">
        <f>_xlfn.XLOOKUP(WEEKNUM(C594)&amp;YEAR(C594),Sheet4!C:C,Sheet4!B:B,0)</f>
        <v>0</v>
      </c>
      <c r="F594" s="46">
        <f>IF(int=Weekly,-$D$5,IF(int=Bi_Weekly,0,IF(int=Monthly,0,IF(int=Quarterly,0,IF(int=Yearly,0,IF(int=None,0,0))))))</f>
        <v>0</v>
      </c>
      <c r="G594" s="46"/>
      <c r="H594" s="46">
        <f t="shared" si="231"/>
        <v>-14050</v>
      </c>
      <c r="I594" s="47"/>
      <c r="J594" s="38">
        <f t="shared" si="218"/>
        <v>0</v>
      </c>
      <c r="K594" s="48"/>
      <c r="L594" s="48">
        <f t="shared" si="223"/>
        <v>491.74977211671751</v>
      </c>
      <c r="M594" s="48"/>
      <c r="N594" s="38">
        <f t="shared" si="224"/>
        <v>0</v>
      </c>
      <c r="O594" s="36">
        <f t="shared" si="225"/>
        <v>0</v>
      </c>
      <c r="P594" s="84">
        <f t="shared" si="226"/>
        <v>-18678.916423782153</v>
      </c>
      <c r="Q594" s="38">
        <f t="shared" si="227"/>
        <v>0</v>
      </c>
      <c r="R594" s="48">
        <f t="shared" si="228"/>
        <v>153.17181860856465</v>
      </c>
      <c r="S594" s="38">
        <f t="shared" si="219"/>
        <v>644.92159072528216</v>
      </c>
      <c r="T594" s="50">
        <f t="shared" si="232"/>
        <v>14050</v>
      </c>
      <c r="U594" s="40">
        <f t="shared" si="233"/>
        <v>17304.673989037517</v>
      </c>
      <c r="V594" s="41">
        <f t="shared" si="234"/>
        <v>0.23164939423754571</v>
      </c>
      <c r="W594" s="39">
        <f t="shared" si="235"/>
        <v>3254.6739890375175</v>
      </c>
      <c r="X594" s="50">
        <f t="shared" si="229"/>
        <v>4629.385173798426</v>
      </c>
      <c r="Y594" s="41">
        <f t="shared" si="236"/>
        <v>0.56114300091359026</v>
      </c>
      <c r="Z594" s="52"/>
      <c r="AA594" s="50">
        <f t="shared" si="242"/>
        <v>18679.38517379843</v>
      </c>
      <c r="AB594" s="39">
        <f t="shared" si="243"/>
        <v>22694.790132701088</v>
      </c>
      <c r="AC594" s="39">
        <f t="shared" si="237"/>
        <v>4015.4049589026581</v>
      </c>
      <c r="AD594" s="41">
        <f t="shared" si="238"/>
        <v>0.21496451417121931</v>
      </c>
      <c r="AF594" s="46">
        <f t="shared" si="220"/>
        <v>0</v>
      </c>
      <c r="AG594" s="46">
        <f t="shared" si="239"/>
        <v>0</v>
      </c>
      <c r="AH594" s="54">
        <f t="shared" si="221"/>
        <v>3941</v>
      </c>
      <c r="AI594" s="55">
        <f t="shared" si="230"/>
        <v>0.37305122494432069</v>
      </c>
      <c r="AJ594" s="55">
        <f t="shared" si="240"/>
        <v>0</v>
      </c>
      <c r="AK594" s="55">
        <f t="shared" si="241"/>
        <v>0</v>
      </c>
    </row>
    <row r="595" spans="2:37" s="53" customFormat="1" ht="17.25" customHeight="1" x14ac:dyDescent="0.25">
      <c r="B595" s="91" t="str">
        <f t="shared" si="222"/>
        <v/>
      </c>
      <c r="C595" s="81">
        <f>IF(Sheet3!A566="","",Sheet3!A566)</f>
        <v>41575</v>
      </c>
      <c r="D595" s="82">
        <f>IF(C595="","",Sheet3!E566)</f>
        <v>36.240001999999997</v>
      </c>
      <c r="E595" s="56">
        <f>_xlfn.XLOOKUP(WEEKNUM(C595)&amp;YEAR(C595),Sheet4!C:C,Sheet4!B:B,0)</f>
        <v>0</v>
      </c>
      <c r="F595" s="46">
        <f>IF(int=Weekly,-$D$5,IF(int=Bi_Weekly,-$D$5,IF(int=Monthly,-$D$5,IF(int=Quarterly,0,IF(int=Yearly,0,IF(int=None,0,0))))))</f>
        <v>-100</v>
      </c>
      <c r="G595" s="46"/>
      <c r="H595" s="46">
        <f t="shared" si="231"/>
        <v>-14150</v>
      </c>
      <c r="I595" s="47"/>
      <c r="J595" s="38">
        <f t="shared" si="218"/>
        <v>2.7593817461709857</v>
      </c>
      <c r="K595" s="48"/>
      <c r="L595" s="48">
        <f t="shared" si="223"/>
        <v>494.50915386288847</v>
      </c>
      <c r="M595" s="48"/>
      <c r="N595" s="38">
        <f t="shared" si="224"/>
        <v>0</v>
      </c>
      <c r="O595" s="36">
        <f t="shared" si="225"/>
        <v>0</v>
      </c>
      <c r="P595" s="84">
        <f t="shared" si="226"/>
        <v>-18778.916423782153</v>
      </c>
      <c r="Q595" s="38">
        <f t="shared" si="227"/>
        <v>0</v>
      </c>
      <c r="R595" s="48">
        <f t="shared" si="228"/>
        <v>153.17181860856465</v>
      </c>
      <c r="S595" s="38">
        <f t="shared" si="219"/>
        <v>647.68097247145306</v>
      </c>
      <c r="T595" s="50">
        <f t="shared" si="232"/>
        <v>14150</v>
      </c>
      <c r="U595" s="40">
        <f t="shared" si="233"/>
        <v>17921.012725009383</v>
      </c>
      <c r="V595" s="41">
        <f t="shared" si="234"/>
        <v>0.26650266607840156</v>
      </c>
      <c r="W595" s="39">
        <f t="shared" si="235"/>
        <v>3771.0127250093828</v>
      </c>
      <c r="X595" s="50">
        <f t="shared" si="229"/>
        <v>4629.385173798426</v>
      </c>
      <c r="Y595" s="41">
        <f t="shared" si="236"/>
        <v>0.5936676960288203</v>
      </c>
      <c r="Z595" s="52"/>
      <c r="AA595" s="50">
        <f t="shared" si="242"/>
        <v>18779.38517379843</v>
      </c>
      <c r="AB595" s="39">
        <f t="shared" si="243"/>
        <v>23471.959737727404</v>
      </c>
      <c r="AC595" s="39">
        <f t="shared" si="237"/>
        <v>4692.5745639289744</v>
      </c>
      <c r="AD595" s="41">
        <f t="shared" si="238"/>
        <v>0.24987903067647799</v>
      </c>
      <c r="AF595" s="46">
        <f t="shared" si="220"/>
        <v>-100</v>
      </c>
      <c r="AG595" s="46">
        <f t="shared" si="239"/>
        <v>-100</v>
      </c>
      <c r="AH595" s="54">
        <f t="shared" si="221"/>
        <v>3948</v>
      </c>
      <c r="AI595" s="55">
        <f t="shared" si="230"/>
        <v>0.37193763919821826</v>
      </c>
      <c r="AJ595" s="55">
        <f t="shared" si="240"/>
        <v>-37.193763919821826</v>
      </c>
      <c r="AK595" s="55">
        <f t="shared" si="241"/>
        <v>-37.193763919821826</v>
      </c>
    </row>
    <row r="596" spans="2:37" s="53" customFormat="1" ht="17.25" customHeight="1" x14ac:dyDescent="0.25">
      <c r="B596" s="91" t="str">
        <f t="shared" si="222"/>
        <v/>
      </c>
      <c r="C596" s="81">
        <f>IF(Sheet3!A567="","",Sheet3!A567)</f>
        <v>41582</v>
      </c>
      <c r="D596" s="82">
        <f>IF(C596="","",Sheet3!E567)</f>
        <v>35.169998</v>
      </c>
      <c r="E596" s="56">
        <f>_xlfn.XLOOKUP(WEEKNUM(C596)&amp;YEAR(C596),Sheet4!C:C,Sheet4!B:B,0)</f>
        <v>0</v>
      </c>
      <c r="F596" s="46">
        <f>IF(int=Weekly,-$D$5,IF(int=Bi_Weekly,0,IF(int=Monthly,0,IF(int=Quarterly,0,IF(int=Yearly,0,IF(int=None,0,0))))))</f>
        <v>0</v>
      </c>
      <c r="G596" s="46"/>
      <c r="H596" s="46">
        <f t="shared" si="231"/>
        <v>-14150</v>
      </c>
      <c r="I596" s="47"/>
      <c r="J596" s="38">
        <f t="shared" si="218"/>
        <v>0</v>
      </c>
      <c r="K596" s="48"/>
      <c r="L596" s="48">
        <f t="shared" si="223"/>
        <v>494.50915386288847</v>
      </c>
      <c r="M596" s="48"/>
      <c r="N596" s="38">
        <f t="shared" si="224"/>
        <v>0</v>
      </c>
      <c r="O596" s="36">
        <f t="shared" si="225"/>
        <v>0</v>
      </c>
      <c r="P596" s="84">
        <f t="shared" si="226"/>
        <v>-18778.916423782153</v>
      </c>
      <c r="Q596" s="38">
        <f t="shared" si="227"/>
        <v>0</v>
      </c>
      <c r="R596" s="48">
        <f t="shared" si="228"/>
        <v>153.17181860856465</v>
      </c>
      <c r="S596" s="38">
        <f t="shared" si="219"/>
        <v>647.68097247145306</v>
      </c>
      <c r="T596" s="50">
        <f t="shared" si="232"/>
        <v>14150</v>
      </c>
      <c r="U596" s="40">
        <f t="shared" si="233"/>
        <v>17391.885952339479</v>
      </c>
      <c r="V596" s="41">
        <f t="shared" si="234"/>
        <v>0.22910854786851442</v>
      </c>
      <c r="W596" s="39">
        <f t="shared" si="235"/>
        <v>3241.8859523394785</v>
      </c>
      <c r="X596" s="50">
        <f t="shared" si="229"/>
        <v>4629.385173798426</v>
      </c>
      <c r="Y596" s="41">
        <f t="shared" si="236"/>
        <v>0.55627357781893316</v>
      </c>
      <c r="Z596" s="52"/>
      <c r="AA596" s="50">
        <f t="shared" si="242"/>
        <v>18779.38517379843</v>
      </c>
      <c r="AB596" s="39">
        <f t="shared" si="243"/>
        <v>22778.938506459061</v>
      </c>
      <c r="AC596" s="39">
        <f t="shared" si="237"/>
        <v>3999.553332660631</v>
      </c>
      <c r="AD596" s="41">
        <f t="shared" si="238"/>
        <v>0.21297573353151789</v>
      </c>
      <c r="AF596" s="46">
        <f t="shared" si="220"/>
        <v>0</v>
      </c>
      <c r="AG596" s="46">
        <f t="shared" si="239"/>
        <v>0</v>
      </c>
      <c r="AH596" s="54">
        <f t="shared" si="221"/>
        <v>3955</v>
      </c>
      <c r="AI596" s="55">
        <f t="shared" si="230"/>
        <v>0.37082405345211583</v>
      </c>
      <c r="AJ596" s="55">
        <f t="shared" si="240"/>
        <v>0</v>
      </c>
      <c r="AK596" s="55">
        <f t="shared" si="241"/>
        <v>0</v>
      </c>
    </row>
    <row r="597" spans="2:37" s="53" customFormat="1" ht="17.25" customHeight="1" x14ac:dyDescent="0.25">
      <c r="B597" s="91" t="str">
        <f t="shared" si="222"/>
        <v/>
      </c>
      <c r="C597" s="81">
        <f>IF(Sheet3!A568="","",Sheet3!A568)</f>
        <v>41589</v>
      </c>
      <c r="D597" s="82">
        <f>IF(C597="","",Sheet3!E568)</f>
        <v>35.43</v>
      </c>
      <c r="E597" s="56">
        <f>_xlfn.XLOOKUP(WEEKNUM(C597)&amp;YEAR(C597),Sheet4!C:C,Sheet4!B:B,0)</f>
        <v>0</v>
      </c>
      <c r="F597" s="46">
        <f>IF(int=Weekly,-$D$5,IF(int=Bi_Weekly,-$D$5,IF(int=Monthly,0,IF(int=Quarterly,0,IF(int=Yearly,0,IF(int=None,0,0))))))</f>
        <v>0</v>
      </c>
      <c r="G597" s="46"/>
      <c r="H597" s="46">
        <f t="shared" si="231"/>
        <v>-14150</v>
      </c>
      <c r="I597" s="47"/>
      <c r="J597" s="38">
        <f t="shared" si="218"/>
        <v>0</v>
      </c>
      <c r="K597" s="48"/>
      <c r="L597" s="48">
        <f t="shared" si="223"/>
        <v>494.50915386288847</v>
      </c>
      <c r="M597" s="48"/>
      <c r="N597" s="38">
        <f t="shared" si="224"/>
        <v>0</v>
      </c>
      <c r="O597" s="36">
        <f t="shared" si="225"/>
        <v>0</v>
      </c>
      <c r="P597" s="84">
        <f t="shared" si="226"/>
        <v>-18778.916423782153</v>
      </c>
      <c r="Q597" s="38">
        <f t="shared" si="227"/>
        <v>0</v>
      </c>
      <c r="R597" s="48">
        <f t="shared" si="228"/>
        <v>153.17181860856465</v>
      </c>
      <c r="S597" s="38">
        <f t="shared" si="219"/>
        <v>647.68097247145306</v>
      </c>
      <c r="T597" s="50">
        <f t="shared" si="232"/>
        <v>14150</v>
      </c>
      <c r="U597" s="40">
        <f t="shared" si="233"/>
        <v>17520.459321362137</v>
      </c>
      <c r="V597" s="41">
        <f t="shared" si="234"/>
        <v>0.23819500504326063</v>
      </c>
      <c r="W597" s="39">
        <f t="shared" si="235"/>
        <v>3370.4593213621374</v>
      </c>
      <c r="X597" s="50">
        <f t="shared" si="229"/>
        <v>4629.385173798426</v>
      </c>
      <c r="Y597" s="41">
        <f t="shared" si="236"/>
        <v>0.56536003499367937</v>
      </c>
      <c r="Z597" s="52"/>
      <c r="AA597" s="50">
        <f t="shared" si="242"/>
        <v>18779.38517379843</v>
      </c>
      <c r="AB597" s="39">
        <f t="shared" si="243"/>
        <v>22947.336854663583</v>
      </c>
      <c r="AC597" s="39">
        <f t="shared" si="237"/>
        <v>4167.9516808651533</v>
      </c>
      <c r="AD597" s="41">
        <f t="shared" si="238"/>
        <v>0.22194292530302895</v>
      </c>
      <c r="AF597" s="46">
        <f t="shared" si="220"/>
        <v>0</v>
      </c>
      <c r="AG597" s="46">
        <f t="shared" si="239"/>
        <v>0</v>
      </c>
      <c r="AH597" s="54">
        <f t="shared" si="221"/>
        <v>3962</v>
      </c>
      <c r="AI597" s="55">
        <f t="shared" si="230"/>
        <v>0.36971046770601335</v>
      </c>
      <c r="AJ597" s="55">
        <f t="shared" si="240"/>
        <v>0</v>
      </c>
      <c r="AK597" s="55">
        <f t="shared" si="241"/>
        <v>0</v>
      </c>
    </row>
    <row r="598" spans="2:37" s="53" customFormat="1" ht="17.25" customHeight="1" x14ac:dyDescent="0.25">
      <c r="B598" s="91" t="str">
        <f t="shared" si="222"/>
        <v/>
      </c>
      <c r="C598" s="81">
        <f>IF(Sheet3!A569="","",Sheet3!A569)</f>
        <v>41596</v>
      </c>
      <c r="D598" s="82">
        <f>IF(C598="","",Sheet3!E569)</f>
        <v>35.419998</v>
      </c>
      <c r="E598" s="56">
        <f>_xlfn.XLOOKUP(WEEKNUM(C598)&amp;YEAR(C598),Sheet4!C:C,Sheet4!B:B,0)</f>
        <v>0</v>
      </c>
      <c r="F598" s="46">
        <f>IF(int=Weekly,-$D$5,IF(int=Bi_Weekly,0,IF(int=Monthly,0,IF(int=Quarterly,0,IF(int=Yearly,0,IF(int=None,0,0))))))</f>
        <v>0</v>
      </c>
      <c r="G598" s="46"/>
      <c r="H598" s="46">
        <f t="shared" si="231"/>
        <v>-14150</v>
      </c>
      <c r="I598" s="47"/>
      <c r="J598" s="38">
        <f t="shared" si="218"/>
        <v>0</v>
      </c>
      <c r="K598" s="48"/>
      <c r="L598" s="48">
        <f t="shared" si="223"/>
        <v>494.50915386288847</v>
      </c>
      <c r="M598" s="48"/>
      <c r="N598" s="38">
        <f t="shared" si="224"/>
        <v>0</v>
      </c>
      <c r="O598" s="36">
        <f t="shared" si="225"/>
        <v>0</v>
      </c>
      <c r="P598" s="84">
        <f t="shared" si="226"/>
        <v>-18778.916423782153</v>
      </c>
      <c r="Q598" s="38">
        <f t="shared" si="227"/>
        <v>0</v>
      </c>
      <c r="R598" s="48">
        <f t="shared" si="228"/>
        <v>153.17181860856465</v>
      </c>
      <c r="S598" s="38">
        <f t="shared" si="219"/>
        <v>647.68097247145306</v>
      </c>
      <c r="T598" s="50">
        <f t="shared" si="232"/>
        <v>14150</v>
      </c>
      <c r="U598" s="40">
        <f t="shared" si="233"/>
        <v>17515.513240805201</v>
      </c>
      <c r="V598" s="41">
        <f t="shared" si="234"/>
        <v>0.23784545871414853</v>
      </c>
      <c r="W598" s="39">
        <f t="shared" si="235"/>
        <v>3365.5132408052013</v>
      </c>
      <c r="X598" s="50">
        <f t="shared" si="229"/>
        <v>4629.385173798426</v>
      </c>
      <c r="Y598" s="41">
        <f t="shared" si="236"/>
        <v>0.56501048866456727</v>
      </c>
      <c r="Z598" s="52"/>
      <c r="AA598" s="50">
        <f t="shared" si="242"/>
        <v>18779.38517379843</v>
      </c>
      <c r="AB598" s="39">
        <f t="shared" si="243"/>
        <v>22940.858749576924</v>
      </c>
      <c r="AC598" s="39">
        <f t="shared" si="237"/>
        <v>4161.4735757784947</v>
      </c>
      <c r="AD598" s="41">
        <f t="shared" si="238"/>
        <v>0.22159796698694434</v>
      </c>
      <c r="AF598" s="46">
        <f t="shared" si="220"/>
        <v>0</v>
      </c>
      <c r="AG598" s="46">
        <f t="shared" si="239"/>
        <v>0</v>
      </c>
      <c r="AH598" s="54">
        <f t="shared" si="221"/>
        <v>3969</v>
      </c>
      <c r="AI598" s="55">
        <f t="shared" si="230"/>
        <v>0.36859688195991092</v>
      </c>
      <c r="AJ598" s="55">
        <f t="shared" si="240"/>
        <v>0</v>
      </c>
      <c r="AK598" s="55">
        <f t="shared" si="241"/>
        <v>0</v>
      </c>
    </row>
    <row r="599" spans="2:37" s="53" customFormat="1" ht="17.25" customHeight="1" x14ac:dyDescent="0.25">
      <c r="B599" s="91" t="str">
        <f t="shared" si="222"/>
        <v/>
      </c>
      <c r="C599" s="81">
        <f>IF(Sheet3!A570="","",Sheet3!A570)</f>
        <v>41603</v>
      </c>
      <c r="D599" s="82">
        <f>IF(C599="","",Sheet3!E570)</f>
        <v>35.209999000000003</v>
      </c>
      <c r="E599" s="56">
        <f>_xlfn.XLOOKUP(WEEKNUM(C599)&amp;YEAR(C599),Sheet4!C:C,Sheet4!B:B,0)</f>
        <v>0</v>
      </c>
      <c r="F599" s="46">
        <f>IF(int=Weekly,-$D$5,IF(int=Bi_Weekly,-$D$5,IF(int=Monthly,-$D$5,IF(int=Quarterly,0,IF(int=Yearly,0,IF(int=None,0,0))))))</f>
        <v>-100</v>
      </c>
      <c r="G599" s="46"/>
      <c r="H599" s="46">
        <f t="shared" si="231"/>
        <v>-14250</v>
      </c>
      <c r="I599" s="47"/>
      <c r="J599" s="38">
        <f t="shared" si="218"/>
        <v>2.840102324342582</v>
      </c>
      <c r="K599" s="48"/>
      <c r="L599" s="48">
        <f t="shared" si="223"/>
        <v>497.34925618723105</v>
      </c>
      <c r="M599" s="48"/>
      <c r="N599" s="38">
        <f t="shared" si="224"/>
        <v>0</v>
      </c>
      <c r="O599" s="36">
        <f t="shared" si="225"/>
        <v>0</v>
      </c>
      <c r="P599" s="84">
        <f t="shared" si="226"/>
        <v>-18878.916423782153</v>
      </c>
      <c r="Q599" s="38">
        <f t="shared" si="227"/>
        <v>0</v>
      </c>
      <c r="R599" s="48">
        <f t="shared" si="228"/>
        <v>153.17181860856465</v>
      </c>
      <c r="S599" s="38">
        <f t="shared" si="219"/>
        <v>650.5210747957957</v>
      </c>
      <c r="T599" s="50">
        <f t="shared" si="232"/>
        <v>14250</v>
      </c>
      <c r="U599" s="40">
        <f t="shared" si="233"/>
        <v>17511.66681300315</v>
      </c>
      <c r="V599" s="41">
        <f t="shared" si="234"/>
        <v>0.22888889915811572</v>
      </c>
      <c r="W599" s="39">
        <f t="shared" si="235"/>
        <v>3261.6668130031503</v>
      </c>
      <c r="X599" s="50">
        <f t="shared" si="229"/>
        <v>4629.385173798426</v>
      </c>
      <c r="Y599" s="41">
        <f t="shared" si="236"/>
        <v>0.55375803416151403</v>
      </c>
      <c r="Z599" s="52"/>
      <c r="AA599" s="50">
        <f t="shared" si="242"/>
        <v>18879.38517379843</v>
      </c>
      <c r="AB599" s="39">
        <f t="shared" si="243"/>
        <v>22904.846393038893</v>
      </c>
      <c r="AC599" s="39">
        <f t="shared" si="237"/>
        <v>4025.4612192404638</v>
      </c>
      <c r="AD599" s="41">
        <f t="shared" si="238"/>
        <v>0.21321993180303145</v>
      </c>
      <c r="AF599" s="46">
        <f t="shared" si="220"/>
        <v>-100</v>
      </c>
      <c r="AG599" s="46">
        <f t="shared" si="239"/>
        <v>-100</v>
      </c>
      <c r="AH599" s="54">
        <f t="shared" si="221"/>
        <v>3976</v>
      </c>
      <c r="AI599" s="55">
        <f t="shared" si="230"/>
        <v>0.36748329621380849</v>
      </c>
      <c r="AJ599" s="55">
        <f t="shared" si="240"/>
        <v>-36.748329621380847</v>
      </c>
      <c r="AK599" s="55">
        <f t="shared" si="241"/>
        <v>-36.748329621380847</v>
      </c>
    </row>
    <row r="600" spans="2:37" s="53" customFormat="1" ht="17.25" customHeight="1" x14ac:dyDescent="0.25">
      <c r="B600" s="91" t="str">
        <f t="shared" si="222"/>
        <v/>
      </c>
      <c r="C600" s="81">
        <f>IF(Sheet3!A571="","",Sheet3!A571)</f>
        <v>41610</v>
      </c>
      <c r="D600" s="82">
        <f>IF(C600="","",Sheet3!E571)</f>
        <v>34.529998999999997</v>
      </c>
      <c r="E600" s="56">
        <f>_xlfn.XLOOKUP(WEEKNUM(C600)&amp;YEAR(C600),Sheet4!C:C,Sheet4!B:B,0)</f>
        <v>0</v>
      </c>
      <c r="F600" s="46">
        <f>IF(int=Weekly,-$D$5,IF(int=Bi_Weekly,0,IF(int=Monthly,0,IF(int=Quarterly,0,IF(int=Yearly,0,IF(int=None,0,0))))))</f>
        <v>0</v>
      </c>
      <c r="G600" s="46"/>
      <c r="H600" s="46">
        <f t="shared" si="231"/>
        <v>-14250</v>
      </c>
      <c r="I600" s="47"/>
      <c r="J600" s="38">
        <f t="shared" si="218"/>
        <v>0</v>
      </c>
      <c r="K600" s="48"/>
      <c r="L600" s="48">
        <f t="shared" si="223"/>
        <v>497.34925618723105</v>
      </c>
      <c r="M600" s="48"/>
      <c r="N600" s="38">
        <f t="shared" si="224"/>
        <v>0</v>
      </c>
      <c r="O600" s="36">
        <f t="shared" si="225"/>
        <v>0</v>
      </c>
      <c r="P600" s="84">
        <f t="shared" si="226"/>
        <v>-18878.916423782153</v>
      </c>
      <c r="Q600" s="38">
        <f t="shared" si="227"/>
        <v>0</v>
      </c>
      <c r="R600" s="48">
        <f t="shared" si="228"/>
        <v>153.17181860856465</v>
      </c>
      <c r="S600" s="38">
        <f t="shared" si="219"/>
        <v>650.5210747957957</v>
      </c>
      <c r="T600" s="50">
        <f t="shared" si="232"/>
        <v>14250</v>
      </c>
      <c r="U600" s="40">
        <f t="shared" si="233"/>
        <v>17173.469318795829</v>
      </c>
      <c r="V600" s="41">
        <f t="shared" si="234"/>
        <v>0.20515574166988282</v>
      </c>
      <c r="W600" s="39">
        <f t="shared" si="235"/>
        <v>2923.4693187958292</v>
      </c>
      <c r="X600" s="50">
        <f t="shared" si="229"/>
        <v>4629.385173798426</v>
      </c>
      <c r="Y600" s="41">
        <f t="shared" si="236"/>
        <v>0.53002487667328113</v>
      </c>
      <c r="Z600" s="52"/>
      <c r="AA600" s="50">
        <f t="shared" si="242"/>
        <v>18879.38517379843</v>
      </c>
      <c r="AB600" s="39">
        <f t="shared" si="243"/>
        <v>22462.492062177749</v>
      </c>
      <c r="AC600" s="39">
        <f t="shared" si="237"/>
        <v>3583.1068883793196</v>
      </c>
      <c r="AD600" s="41">
        <f t="shared" si="238"/>
        <v>0.1897893843149141</v>
      </c>
      <c r="AF600" s="46">
        <f t="shared" si="220"/>
        <v>0</v>
      </c>
      <c r="AG600" s="46">
        <f t="shared" si="239"/>
        <v>0</v>
      </c>
      <c r="AH600" s="54">
        <f t="shared" si="221"/>
        <v>3983</v>
      </c>
      <c r="AI600" s="55">
        <f t="shared" si="230"/>
        <v>0.366369710467706</v>
      </c>
      <c r="AJ600" s="55">
        <f t="shared" si="240"/>
        <v>0</v>
      </c>
      <c r="AK600" s="55">
        <f t="shared" si="241"/>
        <v>0</v>
      </c>
    </row>
    <row r="601" spans="2:37" s="53" customFormat="1" ht="17.25" customHeight="1" x14ac:dyDescent="0.25">
      <c r="B601" s="91" t="str">
        <f t="shared" si="222"/>
        <v/>
      </c>
      <c r="C601" s="81">
        <f>IF(Sheet3!A572="","",Sheet3!A572)</f>
        <v>41617</v>
      </c>
      <c r="D601" s="82">
        <f>IF(C601="","",Sheet3!E572)</f>
        <v>33.849997999999999</v>
      </c>
      <c r="E601" s="56">
        <f>_xlfn.XLOOKUP(WEEKNUM(C601)&amp;YEAR(C601),Sheet4!C:C,Sheet4!B:B,0)</f>
        <v>0</v>
      </c>
      <c r="F601" s="46">
        <f>IF(int=Weekly,-$D$5,IF(int=Bi_Weekly,-$D$5,IF(int=Monthly,0,IF(int=Quarterly,0,IF(int=Yearly,0,IF(int=None,0,0))))))</f>
        <v>0</v>
      </c>
      <c r="G601" s="46"/>
      <c r="H601" s="46">
        <f t="shared" si="231"/>
        <v>-14250</v>
      </c>
      <c r="I601" s="47"/>
      <c r="J601" s="38">
        <f t="shared" si="218"/>
        <v>0</v>
      </c>
      <c r="K601" s="48"/>
      <c r="L601" s="48">
        <f t="shared" si="223"/>
        <v>497.34925618723105</v>
      </c>
      <c r="M601" s="48"/>
      <c r="N601" s="38">
        <f t="shared" si="224"/>
        <v>0</v>
      </c>
      <c r="O601" s="36">
        <f t="shared" si="225"/>
        <v>0</v>
      </c>
      <c r="P601" s="84">
        <f t="shared" si="226"/>
        <v>-18878.916423782153</v>
      </c>
      <c r="Q601" s="38">
        <f t="shared" si="227"/>
        <v>0</v>
      </c>
      <c r="R601" s="48">
        <f t="shared" si="228"/>
        <v>153.17181860856465</v>
      </c>
      <c r="S601" s="38">
        <f t="shared" si="219"/>
        <v>650.5210747957957</v>
      </c>
      <c r="T601" s="50">
        <f t="shared" si="232"/>
        <v>14250</v>
      </c>
      <c r="U601" s="40">
        <f t="shared" si="233"/>
        <v>16835.271327239258</v>
      </c>
      <c r="V601" s="41">
        <f t="shared" si="234"/>
        <v>0.18142254927994794</v>
      </c>
      <c r="W601" s="39">
        <f t="shared" si="235"/>
        <v>2585.2713272392575</v>
      </c>
      <c r="X601" s="50">
        <f t="shared" si="229"/>
        <v>4629.385173798426</v>
      </c>
      <c r="Y601" s="41">
        <f t="shared" si="236"/>
        <v>0.50629168428334625</v>
      </c>
      <c r="Z601" s="52"/>
      <c r="AA601" s="50">
        <f t="shared" si="242"/>
        <v>18879.38517379843</v>
      </c>
      <c r="AB601" s="39">
        <f t="shared" si="243"/>
        <v>22020.137080795532</v>
      </c>
      <c r="AC601" s="39">
        <f t="shared" si="237"/>
        <v>3140.7519069971022</v>
      </c>
      <c r="AD601" s="41">
        <f t="shared" si="238"/>
        <v>0.16635880237010925</v>
      </c>
      <c r="AF601" s="46">
        <f t="shared" si="220"/>
        <v>0</v>
      </c>
      <c r="AG601" s="46">
        <f t="shared" si="239"/>
        <v>0</v>
      </c>
      <c r="AH601" s="54">
        <f t="shared" si="221"/>
        <v>3990</v>
      </c>
      <c r="AI601" s="55">
        <f t="shared" si="230"/>
        <v>0.36525612472160357</v>
      </c>
      <c r="AJ601" s="55">
        <f t="shared" si="240"/>
        <v>0</v>
      </c>
      <c r="AK601" s="55">
        <f t="shared" si="241"/>
        <v>0</v>
      </c>
    </row>
    <row r="602" spans="2:37" s="53" customFormat="1" ht="17.25" customHeight="1" x14ac:dyDescent="0.25">
      <c r="B602" s="91" t="str">
        <f t="shared" si="222"/>
        <v/>
      </c>
      <c r="C602" s="81">
        <f>IF(Sheet3!A573="","",Sheet3!A573)</f>
        <v>41624</v>
      </c>
      <c r="D602" s="82">
        <f>IF(C602="","",Sheet3!E573)</f>
        <v>34.299999</v>
      </c>
      <c r="E602" s="56">
        <f>_xlfn.XLOOKUP(WEEKNUM(C602)&amp;YEAR(C602),Sheet4!C:C,Sheet4!B:B,0)</f>
        <v>0</v>
      </c>
      <c r="F602" s="46">
        <f>IF(int=Weekly,-$D$5,IF(int=Bi_Weekly,0,IF(int=Monthly,0,IF(int=Quarterly,0,IF(int=Yearly,0,IF(int=None,0,0))))))</f>
        <v>0</v>
      </c>
      <c r="G602" s="46"/>
      <c r="H602" s="46">
        <f t="shared" si="231"/>
        <v>-14250</v>
      </c>
      <c r="I602" s="47"/>
      <c r="J602" s="38">
        <f t="shared" si="218"/>
        <v>0</v>
      </c>
      <c r="K602" s="48"/>
      <c r="L602" s="48">
        <f t="shared" si="223"/>
        <v>497.34925618723105</v>
      </c>
      <c r="M602" s="48"/>
      <c r="N602" s="38">
        <f t="shared" si="224"/>
        <v>0</v>
      </c>
      <c r="O602" s="36">
        <f t="shared" si="225"/>
        <v>0</v>
      </c>
      <c r="P602" s="84">
        <f t="shared" si="226"/>
        <v>-18878.916423782153</v>
      </c>
      <c r="Q602" s="38">
        <f t="shared" si="227"/>
        <v>0</v>
      </c>
      <c r="R602" s="48">
        <f t="shared" si="228"/>
        <v>153.17181860856465</v>
      </c>
      <c r="S602" s="38">
        <f t="shared" si="219"/>
        <v>650.5210747957957</v>
      </c>
      <c r="T602" s="50">
        <f t="shared" si="232"/>
        <v>14250</v>
      </c>
      <c r="U602" s="40">
        <f t="shared" si="233"/>
        <v>17059.078989872767</v>
      </c>
      <c r="V602" s="41">
        <f t="shared" si="234"/>
        <v>0.19712835016650998</v>
      </c>
      <c r="W602" s="39">
        <f t="shared" si="235"/>
        <v>2809.0789898727671</v>
      </c>
      <c r="X602" s="50">
        <f t="shared" si="229"/>
        <v>4629.385173798426</v>
      </c>
      <c r="Y602" s="41">
        <f t="shared" si="236"/>
        <v>0.52199748516990829</v>
      </c>
      <c r="Z602" s="52"/>
      <c r="AA602" s="50">
        <f t="shared" si="242"/>
        <v>18879.38517379843</v>
      </c>
      <c r="AB602" s="39">
        <f t="shared" si="243"/>
        <v>22312.872214974715</v>
      </c>
      <c r="AC602" s="39">
        <f t="shared" si="237"/>
        <v>3433.4870411762859</v>
      </c>
      <c r="AD602" s="41">
        <f t="shared" si="238"/>
        <v>0.1818643461939331</v>
      </c>
      <c r="AF602" s="46">
        <f t="shared" si="220"/>
        <v>0</v>
      </c>
      <c r="AG602" s="46">
        <f t="shared" si="239"/>
        <v>0</v>
      </c>
      <c r="AH602" s="54">
        <f t="shared" si="221"/>
        <v>3997</v>
      </c>
      <c r="AI602" s="55">
        <f t="shared" si="230"/>
        <v>0.36414253897550114</v>
      </c>
      <c r="AJ602" s="55">
        <f t="shared" si="240"/>
        <v>0</v>
      </c>
      <c r="AK602" s="55">
        <f t="shared" si="241"/>
        <v>0</v>
      </c>
    </row>
    <row r="603" spans="2:37" s="53" customFormat="1" ht="17.25" customHeight="1" x14ac:dyDescent="0.25">
      <c r="B603" s="91" t="str">
        <f t="shared" si="222"/>
        <v/>
      </c>
      <c r="C603" s="81">
        <f>IF(Sheet3!A574="","",Sheet3!A574)</f>
        <v>41631</v>
      </c>
      <c r="D603" s="82">
        <f>IF(C603="","",Sheet3!E574)</f>
        <v>35.18</v>
      </c>
      <c r="E603" s="56">
        <f>_xlfn.XLOOKUP(WEEKNUM(C603)&amp;YEAR(C603),Sheet4!C:C,Sheet4!B:B,0)</f>
        <v>0</v>
      </c>
      <c r="F603" s="46">
        <f>IF(int=Weekly,-$D$5,IF(int=Bi_Weekly,-$D$5,IF(int=Monthly,-$D$5,IF(int=Quarterly,-$D$5,IF(int=Yearly,-$D$5,IF(int=None,0,0))))))</f>
        <v>-100</v>
      </c>
      <c r="G603" s="46"/>
      <c r="H603" s="46">
        <f t="shared" si="231"/>
        <v>-14350</v>
      </c>
      <c r="I603" s="47"/>
      <c r="J603" s="38">
        <f t="shared" si="218"/>
        <v>2.8425241614553722</v>
      </c>
      <c r="K603" s="48"/>
      <c r="L603" s="48">
        <f t="shared" si="223"/>
        <v>500.19178034868639</v>
      </c>
      <c r="M603" s="48"/>
      <c r="N603" s="38">
        <f t="shared" si="224"/>
        <v>0</v>
      </c>
      <c r="O603" s="36">
        <f t="shared" si="225"/>
        <v>0</v>
      </c>
      <c r="P603" s="84">
        <f t="shared" si="226"/>
        <v>-18978.916423782153</v>
      </c>
      <c r="Q603" s="38">
        <f t="shared" si="227"/>
        <v>0</v>
      </c>
      <c r="R603" s="48">
        <f t="shared" si="228"/>
        <v>153.17181860856465</v>
      </c>
      <c r="S603" s="38">
        <f t="shared" si="219"/>
        <v>653.36359895725104</v>
      </c>
      <c r="T603" s="50">
        <f t="shared" si="232"/>
        <v>14350</v>
      </c>
      <c r="U603" s="40">
        <f t="shared" si="233"/>
        <v>17596.746832666788</v>
      </c>
      <c r="V603" s="41">
        <f t="shared" si="234"/>
        <v>0.2262541346806124</v>
      </c>
      <c r="W603" s="39">
        <f t="shared" si="235"/>
        <v>3246.7468326667877</v>
      </c>
      <c r="X603" s="50">
        <f t="shared" si="229"/>
        <v>4629.385173798426</v>
      </c>
      <c r="Y603" s="41">
        <f t="shared" si="236"/>
        <v>0.54885937327283729</v>
      </c>
      <c r="Z603" s="52"/>
      <c r="AA603" s="50">
        <f t="shared" si="242"/>
        <v>18979.38517379843</v>
      </c>
      <c r="AB603" s="39">
        <f t="shared" si="243"/>
        <v>22985.331411316092</v>
      </c>
      <c r="AC603" s="39">
        <f t="shared" si="237"/>
        <v>4005.9462375176627</v>
      </c>
      <c r="AD603" s="41">
        <f t="shared" si="238"/>
        <v>0.2110682828149768</v>
      </c>
      <c r="AF603" s="46">
        <f t="shared" si="220"/>
        <v>-100</v>
      </c>
      <c r="AG603" s="46">
        <f t="shared" si="239"/>
        <v>-100</v>
      </c>
      <c r="AH603" s="54">
        <f t="shared" si="221"/>
        <v>4004</v>
      </c>
      <c r="AI603" s="55">
        <f t="shared" si="230"/>
        <v>0.36302895322939865</v>
      </c>
      <c r="AJ603" s="55">
        <f t="shared" si="240"/>
        <v>-36.302895322939868</v>
      </c>
      <c r="AK603" s="55">
        <f t="shared" si="241"/>
        <v>-36.302895322939868</v>
      </c>
    </row>
    <row r="604" spans="2:37" s="53" customFormat="1" ht="17.25" customHeight="1" x14ac:dyDescent="0.25">
      <c r="B604" s="91" t="str">
        <f t="shared" si="222"/>
        <v/>
      </c>
      <c r="C604" s="81">
        <f>IF(Sheet3!A575="","",Sheet3!A575)</f>
        <v>41638</v>
      </c>
      <c r="D604" s="82">
        <f>IF(C604="","",Sheet3!E575)</f>
        <v>34.799999</v>
      </c>
      <c r="E604" s="56">
        <f>_xlfn.XLOOKUP(WEEKNUM(C604)&amp;YEAR(C604),Sheet4!C:C,Sheet4!B:B,0)</f>
        <v>0</v>
      </c>
      <c r="F604" s="46">
        <f>IF(int=Weekly,-$D$5,IF(int=Bi_Weekly,0,IF(int=Monthly,0,IF(int=Quarterly,0,IF(int=Yearly,0,IF(int=None,0,0))))))</f>
        <v>0</v>
      </c>
      <c r="G604" s="46"/>
      <c r="H604" s="46">
        <f t="shared" si="231"/>
        <v>-14350</v>
      </c>
      <c r="I604" s="47"/>
      <c r="J604" s="38">
        <f t="shared" si="218"/>
        <v>0</v>
      </c>
      <c r="K604" s="48"/>
      <c r="L604" s="48">
        <f t="shared" si="223"/>
        <v>500.19178034868639</v>
      </c>
      <c r="M604" s="48"/>
      <c r="N604" s="38">
        <f t="shared" si="224"/>
        <v>0</v>
      </c>
      <c r="O604" s="36">
        <f t="shared" si="225"/>
        <v>0</v>
      </c>
      <c r="P604" s="84">
        <f t="shared" si="226"/>
        <v>-18978.916423782153</v>
      </c>
      <c r="Q604" s="38">
        <f t="shared" si="227"/>
        <v>0</v>
      </c>
      <c r="R604" s="48">
        <f t="shared" si="228"/>
        <v>153.17181860856465</v>
      </c>
      <c r="S604" s="38">
        <f t="shared" si="219"/>
        <v>653.36359895725104</v>
      </c>
      <c r="T604" s="50">
        <f t="shared" si="232"/>
        <v>14350</v>
      </c>
      <c r="U604" s="40">
        <f t="shared" si="233"/>
        <v>17406.673455942506</v>
      </c>
      <c r="V604" s="41">
        <f t="shared" si="234"/>
        <v>0.21300860320156834</v>
      </c>
      <c r="W604" s="39">
        <f t="shared" si="235"/>
        <v>3056.6734559425058</v>
      </c>
      <c r="X604" s="50">
        <f t="shared" si="229"/>
        <v>4629.385173798426</v>
      </c>
      <c r="Y604" s="41">
        <f t="shared" si="236"/>
        <v>0.53561384179379323</v>
      </c>
      <c r="Z604" s="52"/>
      <c r="AA604" s="50">
        <f t="shared" si="242"/>
        <v>18979.38517379843</v>
      </c>
      <c r="AB604" s="39">
        <f t="shared" si="243"/>
        <v>22737.052590348736</v>
      </c>
      <c r="AC604" s="39">
        <f t="shared" si="237"/>
        <v>3757.6674165503064</v>
      </c>
      <c r="AD604" s="41">
        <f t="shared" si="238"/>
        <v>0.19798678314078755</v>
      </c>
      <c r="AF604" s="46">
        <f t="shared" si="220"/>
        <v>0</v>
      </c>
      <c r="AG604" s="46">
        <f t="shared" si="239"/>
        <v>0</v>
      </c>
      <c r="AH604" s="54">
        <f t="shared" si="221"/>
        <v>4011</v>
      </c>
      <c r="AI604" s="55">
        <f t="shared" si="230"/>
        <v>0.36191536748329622</v>
      </c>
      <c r="AJ604" s="55">
        <f t="shared" si="240"/>
        <v>0</v>
      </c>
      <c r="AK604" s="55">
        <f t="shared" si="241"/>
        <v>0</v>
      </c>
    </row>
    <row r="605" spans="2:37" s="53" customFormat="1" ht="17.25" customHeight="1" x14ac:dyDescent="0.25">
      <c r="B605" s="91" t="str">
        <f t="shared" si="222"/>
        <v/>
      </c>
      <c r="C605" s="81">
        <f>IF(Sheet3!A576="","",Sheet3!A576)</f>
        <v>41645</v>
      </c>
      <c r="D605" s="82">
        <f>IF(C605="","",Sheet3!E576)</f>
        <v>33.619999</v>
      </c>
      <c r="E605" s="56">
        <f>_xlfn.XLOOKUP(WEEKNUM(C605)&amp;YEAR(C605),Sheet4!C:C,Sheet4!B:B,0)</f>
        <v>0.46</v>
      </c>
      <c r="F605" s="46">
        <f>IF(int=Weekly,-$D$5,IF(int=Bi_Weekly,-$D$5,IF(int=Monthly,0,IF(int=Quarterly,0,IF(int=Yearly,0,IF(int=None,0,0))))))</f>
        <v>0</v>
      </c>
      <c r="G605" s="46"/>
      <c r="H605" s="46">
        <f t="shared" si="231"/>
        <v>-14350</v>
      </c>
      <c r="I605" s="47"/>
      <c r="J605" s="38">
        <f t="shared" si="218"/>
        <v>0</v>
      </c>
      <c r="K605" s="48"/>
      <c r="L605" s="48">
        <f t="shared" si="223"/>
        <v>500.19178034868639</v>
      </c>
      <c r="M605" s="48"/>
      <c r="N605" s="38">
        <f t="shared" si="224"/>
        <v>230.08821896039575</v>
      </c>
      <c r="O605" s="36">
        <f t="shared" si="225"/>
        <v>-230.08821896039575</v>
      </c>
      <c r="P605" s="84">
        <f t="shared" si="226"/>
        <v>-19209.004642742548</v>
      </c>
      <c r="Q605" s="38">
        <f t="shared" si="227"/>
        <v>6.843790178589706</v>
      </c>
      <c r="R605" s="48">
        <f t="shared" si="228"/>
        <v>160.01560878715435</v>
      </c>
      <c r="S605" s="38">
        <f t="shared" si="219"/>
        <v>660.20738913584069</v>
      </c>
      <c r="T605" s="50">
        <f t="shared" si="232"/>
        <v>14350</v>
      </c>
      <c r="U605" s="40">
        <f t="shared" si="233"/>
        <v>16816.447155131056</v>
      </c>
      <c r="V605" s="41">
        <f t="shared" si="234"/>
        <v>0.17187785053178084</v>
      </c>
      <c r="W605" s="39">
        <f t="shared" si="235"/>
        <v>2466.4471551310562</v>
      </c>
      <c r="X605" s="50">
        <f t="shared" si="229"/>
        <v>4859.4733927588213</v>
      </c>
      <c r="Y605" s="41">
        <f t="shared" si="236"/>
        <v>0.51051711135121081</v>
      </c>
      <c r="Z605" s="52"/>
      <c r="AA605" s="50">
        <f t="shared" si="242"/>
        <v>19209.473392758824</v>
      </c>
      <c r="AB605" s="39">
        <f t="shared" si="243"/>
        <v>22196.171762539576</v>
      </c>
      <c r="AC605" s="39">
        <f t="shared" si="237"/>
        <v>2986.6983697807518</v>
      </c>
      <c r="AD605" s="41">
        <f t="shared" si="238"/>
        <v>0.15548049177165968</v>
      </c>
      <c r="AF605" s="46">
        <f t="shared" si="220"/>
        <v>230.08821896039575</v>
      </c>
      <c r="AG605" s="46">
        <f t="shared" si="239"/>
        <v>0</v>
      </c>
      <c r="AH605" s="54">
        <f t="shared" si="221"/>
        <v>4018</v>
      </c>
      <c r="AI605" s="55">
        <f t="shared" si="230"/>
        <v>0.36080178173719374</v>
      </c>
      <c r="AJ605" s="55">
        <f t="shared" si="240"/>
        <v>83.016239357648345</v>
      </c>
      <c r="AK605" s="55">
        <f t="shared" si="241"/>
        <v>0</v>
      </c>
    </row>
    <row r="606" spans="2:37" s="53" customFormat="1" ht="17.25" customHeight="1" x14ac:dyDescent="0.25">
      <c r="B606" s="91" t="str">
        <f t="shared" si="222"/>
        <v/>
      </c>
      <c r="C606" s="81">
        <f>IF(Sheet3!A577="","",Sheet3!A577)</f>
        <v>41652</v>
      </c>
      <c r="D606" s="82">
        <f>IF(C606="","",Sheet3!E577)</f>
        <v>33.700001</v>
      </c>
      <c r="E606" s="56">
        <f>_xlfn.XLOOKUP(WEEKNUM(C606)&amp;YEAR(C606),Sheet4!C:C,Sheet4!B:B,0)</f>
        <v>0</v>
      </c>
      <c r="F606" s="46">
        <f>IF(int=Weekly,-$D$5,IF(int=Bi_Weekly,0,IF(int=Monthly,0,IF(int=Quarterly,0,IF(int=Yearly,0,IF(int=None,0,0))))))</f>
        <v>0</v>
      </c>
      <c r="G606" s="46"/>
      <c r="H606" s="46">
        <f t="shared" si="231"/>
        <v>-14350</v>
      </c>
      <c r="I606" s="47"/>
      <c r="J606" s="38">
        <f t="shared" si="218"/>
        <v>0</v>
      </c>
      <c r="K606" s="48"/>
      <c r="L606" s="48">
        <f t="shared" si="223"/>
        <v>500.19178034868639</v>
      </c>
      <c r="M606" s="48"/>
      <c r="N606" s="38">
        <f t="shared" si="224"/>
        <v>0</v>
      </c>
      <c r="O606" s="36">
        <f t="shared" si="225"/>
        <v>0</v>
      </c>
      <c r="P606" s="84">
        <f t="shared" si="226"/>
        <v>-19209.004642742548</v>
      </c>
      <c r="Q606" s="38">
        <f t="shared" si="227"/>
        <v>0</v>
      </c>
      <c r="R606" s="48">
        <f t="shared" si="228"/>
        <v>160.01560878715435</v>
      </c>
      <c r="S606" s="38">
        <f t="shared" si="219"/>
        <v>660.20738913584069</v>
      </c>
      <c r="T606" s="50">
        <f t="shared" si="232"/>
        <v>14350</v>
      </c>
      <c r="U606" s="40">
        <f t="shared" si="233"/>
        <v>16856.463497942514</v>
      </c>
      <c r="V606" s="41">
        <f t="shared" si="234"/>
        <v>0.17466644584965252</v>
      </c>
      <c r="W606" s="39">
        <f t="shared" si="235"/>
        <v>2506.4634979425136</v>
      </c>
      <c r="X606" s="50">
        <f t="shared" si="229"/>
        <v>4859.4733927588213</v>
      </c>
      <c r="Y606" s="41">
        <f t="shared" si="236"/>
        <v>0.51330570666908248</v>
      </c>
      <c r="Z606" s="52"/>
      <c r="AA606" s="50">
        <f t="shared" si="242"/>
        <v>19209.473392758824</v>
      </c>
      <c r="AB606" s="39">
        <f t="shared" si="243"/>
        <v>22248.989674085224</v>
      </c>
      <c r="AC606" s="39">
        <f t="shared" si="237"/>
        <v>3039.5162813263996</v>
      </c>
      <c r="AD606" s="41">
        <f t="shared" si="238"/>
        <v>0.15823006800759942</v>
      </c>
      <c r="AF606" s="46">
        <f t="shared" si="220"/>
        <v>0</v>
      </c>
      <c r="AG606" s="46">
        <f t="shared" si="239"/>
        <v>0</v>
      </c>
      <c r="AH606" s="54">
        <f t="shared" si="221"/>
        <v>4025</v>
      </c>
      <c r="AI606" s="55">
        <f t="shared" si="230"/>
        <v>0.35968819599109131</v>
      </c>
      <c r="AJ606" s="55">
        <f t="shared" si="240"/>
        <v>0</v>
      </c>
      <c r="AK606" s="55">
        <f t="shared" si="241"/>
        <v>0</v>
      </c>
    </row>
    <row r="607" spans="2:37" s="53" customFormat="1" ht="17.25" customHeight="1" x14ac:dyDescent="0.25">
      <c r="B607" s="91" t="str">
        <f t="shared" si="222"/>
        <v/>
      </c>
      <c r="C607" s="81">
        <f>IF(Sheet3!A578="","",Sheet3!A578)</f>
        <v>41659</v>
      </c>
      <c r="D607" s="82">
        <f>IF(C607="","",Sheet3!E578)</f>
        <v>33.419998</v>
      </c>
      <c r="E607" s="56">
        <f>_xlfn.XLOOKUP(WEEKNUM(C607)&amp;YEAR(C607),Sheet4!C:C,Sheet4!B:B,0)</f>
        <v>0</v>
      </c>
      <c r="F607" s="46">
        <f>IF(int=Weekly,-$D$5,IF(int=Bi_Weekly,-$D$5,IF(int=Monthly,-$D$5,IF(int=Quarterly,0,IF(int=Yearly,0,IF(int=None,0,0))))))</f>
        <v>-100</v>
      </c>
      <c r="G607" s="46"/>
      <c r="H607" s="46">
        <f t="shared" si="231"/>
        <v>-14450</v>
      </c>
      <c r="I607" s="47"/>
      <c r="J607" s="38">
        <f t="shared" ref="J607:J670" si="244">IF(D$24=0,"",ABS($F607*D$24)/D607)</f>
        <v>2.992220406476386</v>
      </c>
      <c r="K607" s="48"/>
      <c r="L607" s="48">
        <f t="shared" si="223"/>
        <v>503.1840007551628</v>
      </c>
      <c r="M607" s="48"/>
      <c r="N607" s="38">
        <f t="shared" si="224"/>
        <v>0</v>
      </c>
      <c r="O607" s="36">
        <f t="shared" si="225"/>
        <v>0</v>
      </c>
      <c r="P607" s="84">
        <f t="shared" si="226"/>
        <v>-19309.004642742548</v>
      </c>
      <c r="Q607" s="38">
        <f t="shared" si="227"/>
        <v>0</v>
      </c>
      <c r="R607" s="48">
        <f t="shared" si="228"/>
        <v>160.01560878715435</v>
      </c>
      <c r="S607" s="38">
        <f t="shared" ref="S607:S670" si="245">IF(D607=0,"",L607+R607)</f>
        <v>663.19960954231715</v>
      </c>
      <c r="T607" s="50">
        <f t="shared" si="232"/>
        <v>14450</v>
      </c>
      <c r="U607" s="40">
        <f t="shared" si="233"/>
        <v>16816.408298869537</v>
      </c>
      <c r="V607" s="41">
        <f t="shared" si="234"/>
        <v>0.16376528019858383</v>
      </c>
      <c r="W607" s="39">
        <f t="shared" si="235"/>
        <v>2366.4082988695372</v>
      </c>
      <c r="X607" s="50">
        <f t="shared" si="229"/>
        <v>4859.4733927588213</v>
      </c>
      <c r="Y607" s="41">
        <f t="shared" si="236"/>
        <v>0.50006101672168568</v>
      </c>
      <c r="Z607" s="52"/>
      <c r="AA607" s="50">
        <f t="shared" si="242"/>
        <v>19309.473392758824</v>
      </c>
      <c r="AB607" s="39">
        <f t="shared" si="243"/>
        <v>22164.129624505018</v>
      </c>
      <c r="AC607" s="39">
        <f t="shared" si="237"/>
        <v>2854.656231746194</v>
      </c>
      <c r="AD607" s="41">
        <f t="shared" si="238"/>
        <v>0.1478370835745686</v>
      </c>
      <c r="AF607" s="46">
        <f t="shared" ref="AF607:AF670" si="246">F607+ABS(O607)</f>
        <v>-100</v>
      </c>
      <c r="AG607" s="46">
        <f t="shared" si="239"/>
        <v>-100</v>
      </c>
      <c r="AH607" s="54">
        <f t="shared" ref="AH607:AH670" si="247">DATEDIF($C$31,C607,"d")</f>
        <v>4032</v>
      </c>
      <c r="AI607" s="55">
        <f t="shared" si="230"/>
        <v>0.35857461024498888</v>
      </c>
      <c r="AJ607" s="55">
        <f t="shared" si="240"/>
        <v>-35.857461024498889</v>
      </c>
      <c r="AK607" s="55">
        <f t="shared" si="241"/>
        <v>-35.857461024498889</v>
      </c>
    </row>
    <row r="608" spans="2:37" s="53" customFormat="1" ht="17.25" customHeight="1" x14ac:dyDescent="0.25">
      <c r="B608" s="91" t="str">
        <f t="shared" ref="B608:B671" si="248">IF(C607="","",IF(C$30&lt;C608,"",B607+1))</f>
        <v/>
      </c>
      <c r="C608" s="81">
        <f>IF(Sheet3!A579="","",Sheet3!A579)</f>
        <v>41666</v>
      </c>
      <c r="D608" s="82">
        <f>IF(C608="","",Sheet3!E579)</f>
        <v>33.32</v>
      </c>
      <c r="E608" s="56">
        <f>_xlfn.XLOOKUP(WEEKNUM(C608)&amp;YEAR(C608),Sheet4!C:C,Sheet4!B:B,0)</f>
        <v>0</v>
      </c>
      <c r="F608" s="46">
        <f>IF(int=Weekly,-$D$5,IF(int=Bi_Weekly,0,IF(int=Monthly,0,IF(int=Quarterly,0,IF(int=Yearly,0,IF(int=None,0,0))))))</f>
        <v>0</v>
      </c>
      <c r="G608" s="46"/>
      <c r="H608" s="46">
        <f t="shared" si="231"/>
        <v>-14450</v>
      </c>
      <c r="I608" s="47"/>
      <c r="J608" s="38">
        <f t="shared" si="244"/>
        <v>0</v>
      </c>
      <c r="K608" s="48"/>
      <c r="L608" s="48">
        <f t="shared" ref="L608:L671" si="249">IF(D608=0,"",L607+J608)</f>
        <v>503.1840007551628</v>
      </c>
      <c r="M608" s="48"/>
      <c r="N608" s="38">
        <f t="shared" ref="N608:N671" si="250">IF(D608=0,"",L608*E608)</f>
        <v>0</v>
      </c>
      <c r="O608" s="36">
        <f t="shared" ref="O608:O671" si="251">-(IF(D608=0,"",N608))</f>
        <v>0</v>
      </c>
      <c r="P608" s="84">
        <f t="shared" ref="P608:P671" si="252">P607+F608+O608</f>
        <v>-19309.004642742548</v>
      </c>
      <c r="Q608" s="38">
        <f t="shared" ref="Q608:Q671" si="253">IF(D608=0,"",ABS($O608)/D608)</f>
        <v>0</v>
      </c>
      <c r="R608" s="48">
        <f t="shared" ref="R608:R671" si="254">IF(D608=0,"",Q608+R607)</f>
        <v>160.01560878715435</v>
      </c>
      <c r="S608" s="38">
        <f t="shared" si="245"/>
        <v>663.19960954231715</v>
      </c>
      <c r="T608" s="50">
        <f t="shared" si="232"/>
        <v>14450</v>
      </c>
      <c r="U608" s="40">
        <f t="shared" si="233"/>
        <v>16766.090905162026</v>
      </c>
      <c r="V608" s="41">
        <f t="shared" si="234"/>
        <v>0.16028310762366949</v>
      </c>
      <c r="W608" s="39">
        <f t="shared" si="235"/>
        <v>2316.0909051620256</v>
      </c>
      <c r="X608" s="50">
        <f t="shared" ref="X608:X671" si="255">ABS(O608)+X607</f>
        <v>4859.4733927588213</v>
      </c>
      <c r="Y608" s="41">
        <f t="shared" si="236"/>
        <v>0.49657884414677134</v>
      </c>
      <c r="Z608" s="52"/>
      <c r="AA608" s="50">
        <f t="shared" si="242"/>
        <v>19309.473392758824</v>
      </c>
      <c r="AB608" s="39">
        <f t="shared" si="243"/>
        <v>22097.810989950009</v>
      </c>
      <c r="AC608" s="39">
        <f t="shared" si="237"/>
        <v>2788.3375971911846</v>
      </c>
      <c r="AD608" s="41">
        <f t="shared" si="238"/>
        <v>0.14440257072141738</v>
      </c>
      <c r="AF608" s="46">
        <f t="shared" si="246"/>
        <v>0</v>
      </c>
      <c r="AG608" s="46">
        <f t="shared" si="239"/>
        <v>0</v>
      </c>
      <c r="AH608" s="54">
        <f t="shared" si="247"/>
        <v>4039</v>
      </c>
      <c r="AI608" s="55">
        <f t="shared" ref="AI608:AI671" si="256">(AH$30-AH608)/AH$30</f>
        <v>0.35746102449888639</v>
      </c>
      <c r="AJ608" s="55">
        <f t="shared" si="240"/>
        <v>0</v>
      </c>
      <c r="AK608" s="55">
        <f t="shared" si="241"/>
        <v>0</v>
      </c>
    </row>
    <row r="609" spans="2:37" s="53" customFormat="1" ht="17.25" customHeight="1" x14ac:dyDescent="0.25">
      <c r="B609" s="91" t="str">
        <f t="shared" si="248"/>
        <v/>
      </c>
      <c r="C609" s="81">
        <f>IF(Sheet3!A580="","",Sheet3!A580)</f>
        <v>41673</v>
      </c>
      <c r="D609" s="82">
        <f>IF(C609="","",Sheet3!E580)</f>
        <v>32.299999</v>
      </c>
      <c r="E609" s="56">
        <f>_xlfn.XLOOKUP(WEEKNUM(C609)&amp;YEAR(C609),Sheet4!C:C,Sheet4!B:B,0)</f>
        <v>0</v>
      </c>
      <c r="F609" s="46">
        <f>IF(int=Weekly,-$D$5,IF(int=Bi_Weekly,-$D$5,IF(int=Monthly,0,IF(int=Quarterly,0,IF(int=Yearly,0,IF(int=None,0,0))))))</f>
        <v>0</v>
      </c>
      <c r="G609" s="46"/>
      <c r="H609" s="46">
        <f t="shared" ref="H609:H672" si="257">H608+F609</f>
        <v>-14450</v>
      </c>
      <c r="I609" s="47"/>
      <c r="J609" s="38">
        <f t="shared" si="244"/>
        <v>0</v>
      </c>
      <c r="K609" s="48"/>
      <c r="L609" s="48">
        <f t="shared" si="249"/>
        <v>503.1840007551628</v>
      </c>
      <c r="M609" s="48"/>
      <c r="N609" s="38">
        <f t="shared" si="250"/>
        <v>0</v>
      </c>
      <c r="O609" s="36">
        <f t="shared" si="251"/>
        <v>0</v>
      </c>
      <c r="P609" s="84">
        <f t="shared" si="252"/>
        <v>-19309.004642742548</v>
      </c>
      <c r="Q609" s="38">
        <f t="shared" si="253"/>
        <v>0</v>
      </c>
      <c r="R609" s="48">
        <f t="shared" si="254"/>
        <v>160.01560878715435</v>
      </c>
      <c r="S609" s="38">
        <f t="shared" si="245"/>
        <v>663.19960954231715</v>
      </c>
      <c r="T609" s="50">
        <f t="shared" ref="T609:T672" si="258">IF(D609=0,"",D609*J609)+T608</f>
        <v>14450</v>
      </c>
      <c r="U609" s="40">
        <f t="shared" ref="U609:U672" si="259">IF(D609=0,"",L609*D609)</f>
        <v>16252.842721207757</v>
      </c>
      <c r="V609" s="41">
        <f t="shared" ref="V609:V672" si="260">(U609/T609)-1</f>
        <v>0.12476420215970641</v>
      </c>
      <c r="W609" s="39">
        <f t="shared" ref="W609:W672" si="261">U609-T609</f>
        <v>1802.8427212077568</v>
      </c>
      <c r="X609" s="50">
        <f t="shared" si="255"/>
        <v>4859.4733927588213</v>
      </c>
      <c r="Y609" s="41">
        <f t="shared" ref="Y609:Y672" si="262">((U609+X609)/T609)-1</f>
        <v>0.46105993868280826</v>
      </c>
      <c r="Z609" s="52"/>
      <c r="AA609" s="50">
        <f t="shared" si="242"/>
        <v>19309.473392758824</v>
      </c>
      <c r="AB609" s="39">
        <f t="shared" si="243"/>
        <v>21421.346725017233</v>
      </c>
      <c r="AC609" s="39">
        <f t="shared" ref="AC609:AC672" si="263">AB609-AA609</f>
        <v>2111.8733322584085</v>
      </c>
      <c r="AD609" s="41">
        <f t="shared" ref="AD609:AD672" si="264">(AB609/AA609)-1</f>
        <v>0.10936980461882384</v>
      </c>
      <c r="AF609" s="46">
        <f t="shared" si="246"/>
        <v>0</v>
      </c>
      <c r="AG609" s="46">
        <f t="shared" ref="AG609:AG672" si="265">F609</f>
        <v>0</v>
      </c>
      <c r="AH609" s="54">
        <f t="shared" si="247"/>
        <v>4046</v>
      </c>
      <c r="AI609" s="55">
        <f t="shared" si="256"/>
        <v>0.35634743875278396</v>
      </c>
      <c r="AJ609" s="55">
        <f t="shared" ref="AJ609:AJ672" si="266">AI609*AF609</f>
        <v>0</v>
      </c>
      <c r="AK609" s="55">
        <f t="shared" ref="AK609:AK672" si="267">$AI609*AG609</f>
        <v>0</v>
      </c>
    </row>
    <row r="610" spans="2:37" s="53" customFormat="1" ht="17.25" customHeight="1" x14ac:dyDescent="0.25">
      <c r="B610" s="91" t="str">
        <f t="shared" si="248"/>
        <v/>
      </c>
      <c r="C610" s="81">
        <f>IF(Sheet3!A581="","",Sheet3!A581)</f>
        <v>41680</v>
      </c>
      <c r="D610" s="82">
        <f>IF(C610="","",Sheet3!E581)</f>
        <v>33.150002000000001</v>
      </c>
      <c r="E610" s="56">
        <f>_xlfn.XLOOKUP(WEEKNUM(C610)&amp;YEAR(C610),Sheet4!C:C,Sheet4!B:B,0)</f>
        <v>0</v>
      </c>
      <c r="F610" s="46">
        <f>IF(int=Weekly,-$D$5,IF(int=Bi_Weekly,0,IF(int=Monthly,0,IF(int=Quarterly,0,IF(int=Yearly,0,IF(int=None,0,0))))))</f>
        <v>0</v>
      </c>
      <c r="G610" s="46"/>
      <c r="H610" s="46">
        <f t="shared" si="257"/>
        <v>-14450</v>
      </c>
      <c r="I610" s="47"/>
      <c r="J610" s="38">
        <f t="shared" si="244"/>
        <v>0</v>
      </c>
      <c r="K610" s="48"/>
      <c r="L610" s="48">
        <f t="shared" si="249"/>
        <v>503.1840007551628</v>
      </c>
      <c r="M610" s="48"/>
      <c r="N610" s="38">
        <f t="shared" si="250"/>
        <v>0</v>
      </c>
      <c r="O610" s="36">
        <f t="shared" si="251"/>
        <v>0</v>
      </c>
      <c r="P610" s="84">
        <f t="shared" si="252"/>
        <v>-19309.004642742548</v>
      </c>
      <c r="Q610" s="38">
        <f t="shared" si="253"/>
        <v>0</v>
      </c>
      <c r="R610" s="48">
        <f t="shared" si="254"/>
        <v>160.01560878715435</v>
      </c>
      <c r="S610" s="38">
        <f t="shared" si="245"/>
        <v>663.19960954231715</v>
      </c>
      <c r="T610" s="50">
        <f t="shared" si="258"/>
        <v>14450</v>
      </c>
      <c r="U610" s="40">
        <f t="shared" si="259"/>
        <v>16680.550631401649</v>
      </c>
      <c r="V610" s="41">
        <f t="shared" si="260"/>
        <v>0.15436336549492391</v>
      </c>
      <c r="W610" s="39">
        <f t="shared" si="261"/>
        <v>2230.5506314016493</v>
      </c>
      <c r="X610" s="50">
        <f t="shared" si="255"/>
        <v>4859.4733927588213</v>
      </c>
      <c r="Y610" s="41">
        <f t="shared" si="262"/>
        <v>0.49065910201802554</v>
      </c>
      <c r="Z610" s="52"/>
      <c r="AA610" s="50">
        <f t="shared" si="242"/>
        <v>19309.473392758824</v>
      </c>
      <c r="AB610" s="39">
        <f t="shared" si="243"/>
        <v>21985.068382727033</v>
      </c>
      <c r="AC610" s="39">
        <f t="shared" si="263"/>
        <v>2675.5949899682091</v>
      </c>
      <c r="AD610" s="41">
        <f t="shared" si="264"/>
        <v>0.13856385078691869</v>
      </c>
      <c r="AF610" s="46">
        <f t="shared" si="246"/>
        <v>0</v>
      </c>
      <c r="AG610" s="46">
        <f t="shared" si="265"/>
        <v>0</v>
      </c>
      <c r="AH610" s="54">
        <f t="shared" si="247"/>
        <v>4053</v>
      </c>
      <c r="AI610" s="55">
        <f t="shared" si="256"/>
        <v>0.35523385300668153</v>
      </c>
      <c r="AJ610" s="55">
        <f t="shared" si="266"/>
        <v>0</v>
      </c>
      <c r="AK610" s="55">
        <f t="shared" si="267"/>
        <v>0</v>
      </c>
    </row>
    <row r="611" spans="2:37" s="53" customFormat="1" ht="17.25" customHeight="1" x14ac:dyDescent="0.25">
      <c r="B611" s="91" t="str">
        <f t="shared" si="248"/>
        <v/>
      </c>
      <c r="C611" s="81">
        <f>IF(Sheet3!A582="","",Sheet3!A582)</f>
        <v>41687</v>
      </c>
      <c r="D611" s="82">
        <f>IF(C611="","",Sheet3!E582)</f>
        <v>32.799999</v>
      </c>
      <c r="E611" s="56">
        <f>_xlfn.XLOOKUP(WEEKNUM(C611)&amp;YEAR(C611),Sheet4!C:C,Sheet4!B:B,0)</f>
        <v>0</v>
      </c>
      <c r="F611" s="46">
        <f>IF(int=Weekly,-$D$5,IF(int=Bi_Weekly,-$D$5,IF(int=Monthly,-$D$5,IF(int=Quarterly,0,IF(int=Yearly,0,IF(int=None,0,0))))))</f>
        <v>-100</v>
      </c>
      <c r="G611" s="46"/>
      <c r="H611" s="46">
        <f t="shared" si="257"/>
        <v>-14550</v>
      </c>
      <c r="I611" s="47"/>
      <c r="J611" s="38">
        <f t="shared" si="244"/>
        <v>3.0487805807555057</v>
      </c>
      <c r="K611" s="48"/>
      <c r="L611" s="48">
        <f t="shared" si="249"/>
        <v>506.23278133591833</v>
      </c>
      <c r="M611" s="48"/>
      <c r="N611" s="38">
        <f t="shared" si="250"/>
        <v>0</v>
      </c>
      <c r="O611" s="36">
        <f t="shared" si="251"/>
        <v>0</v>
      </c>
      <c r="P611" s="84">
        <f t="shared" si="252"/>
        <v>-19409.004642742548</v>
      </c>
      <c r="Q611" s="38">
        <f t="shared" si="253"/>
        <v>0</v>
      </c>
      <c r="R611" s="48">
        <f t="shared" si="254"/>
        <v>160.01560878715435</v>
      </c>
      <c r="S611" s="38">
        <f t="shared" si="245"/>
        <v>666.24839012307268</v>
      </c>
      <c r="T611" s="50">
        <f t="shared" si="258"/>
        <v>14550</v>
      </c>
      <c r="U611" s="40">
        <f t="shared" si="259"/>
        <v>16604.434721585341</v>
      </c>
      <c r="V611" s="41">
        <f t="shared" si="260"/>
        <v>0.14119826265191349</v>
      </c>
      <c r="W611" s="39">
        <f t="shared" si="261"/>
        <v>2054.4347215853413</v>
      </c>
      <c r="X611" s="50">
        <f t="shared" si="255"/>
        <v>4859.4733927588213</v>
      </c>
      <c r="Y611" s="41">
        <f t="shared" si="262"/>
        <v>0.47518268827107635</v>
      </c>
      <c r="Z611" s="52"/>
      <c r="AA611" s="50">
        <f t="shared" si="242"/>
        <v>19409.473392758824</v>
      </c>
      <c r="AB611" s="39">
        <f t="shared" si="243"/>
        <v>21852.946529788394</v>
      </c>
      <c r="AC611" s="39">
        <f t="shared" si="263"/>
        <v>2443.4731370295704</v>
      </c>
      <c r="AD611" s="41">
        <f t="shared" si="264"/>
        <v>0.12589074868672978</v>
      </c>
      <c r="AF611" s="46">
        <f t="shared" si="246"/>
        <v>-100</v>
      </c>
      <c r="AG611" s="46">
        <f t="shared" si="265"/>
        <v>-100</v>
      </c>
      <c r="AH611" s="54">
        <f t="shared" si="247"/>
        <v>4060</v>
      </c>
      <c r="AI611" s="55">
        <f t="shared" si="256"/>
        <v>0.35412026726057905</v>
      </c>
      <c r="AJ611" s="55">
        <f t="shared" si="266"/>
        <v>-35.412026726057903</v>
      </c>
      <c r="AK611" s="55">
        <f t="shared" si="267"/>
        <v>-35.412026726057903</v>
      </c>
    </row>
    <row r="612" spans="2:37" s="53" customFormat="1" ht="17.25" customHeight="1" x14ac:dyDescent="0.25">
      <c r="B612" s="91" t="str">
        <f t="shared" si="248"/>
        <v/>
      </c>
      <c r="C612" s="81">
        <f>IF(Sheet3!A583="","",Sheet3!A583)</f>
        <v>41694</v>
      </c>
      <c r="D612" s="82">
        <f>IF(C612="","",Sheet3!E583)</f>
        <v>31.93</v>
      </c>
      <c r="E612" s="56">
        <f>_xlfn.XLOOKUP(WEEKNUM(C612)&amp;YEAR(C612),Sheet4!C:C,Sheet4!B:B,0)</f>
        <v>0</v>
      </c>
      <c r="F612" s="46">
        <f>IF(int=Weekly,-$D$5,IF(int=Bi_Weekly,0,IF(int=Monthly,0,IF(int=Quarterly,0,IF(int=Yearly,0,IF(int=None,0,0))))))</f>
        <v>0</v>
      </c>
      <c r="G612" s="46"/>
      <c r="H612" s="46">
        <f t="shared" si="257"/>
        <v>-14550</v>
      </c>
      <c r="I612" s="47"/>
      <c r="J612" s="38">
        <f t="shared" si="244"/>
        <v>0</v>
      </c>
      <c r="K612" s="48"/>
      <c r="L612" s="48">
        <f t="shared" si="249"/>
        <v>506.23278133591833</v>
      </c>
      <c r="M612" s="48"/>
      <c r="N612" s="38">
        <f t="shared" si="250"/>
        <v>0</v>
      </c>
      <c r="O612" s="36">
        <f t="shared" si="251"/>
        <v>0</v>
      </c>
      <c r="P612" s="84">
        <f t="shared" si="252"/>
        <v>-19409.004642742548</v>
      </c>
      <c r="Q612" s="38">
        <f t="shared" si="253"/>
        <v>0</v>
      </c>
      <c r="R612" s="48">
        <f t="shared" si="254"/>
        <v>160.01560878715435</v>
      </c>
      <c r="S612" s="38">
        <f t="shared" si="245"/>
        <v>666.24839012307268</v>
      </c>
      <c r="T612" s="50">
        <f t="shared" si="258"/>
        <v>14550</v>
      </c>
      <c r="U612" s="40">
        <f t="shared" si="259"/>
        <v>16164.012708055872</v>
      </c>
      <c r="V612" s="41">
        <f t="shared" si="260"/>
        <v>0.11092870845744818</v>
      </c>
      <c r="W612" s="39">
        <f t="shared" si="261"/>
        <v>1614.0127080558723</v>
      </c>
      <c r="X612" s="50">
        <f t="shared" si="255"/>
        <v>4859.4733927588213</v>
      </c>
      <c r="Y612" s="41">
        <f t="shared" si="262"/>
        <v>0.44491313407661126</v>
      </c>
      <c r="Z612" s="52"/>
      <c r="AA612" s="50">
        <f t="shared" si="242"/>
        <v>19409.473392758824</v>
      </c>
      <c r="AB612" s="39">
        <f t="shared" si="243"/>
        <v>21273.31109662971</v>
      </c>
      <c r="AC612" s="39">
        <f t="shared" si="263"/>
        <v>1863.8377038708859</v>
      </c>
      <c r="AD612" s="41">
        <f t="shared" si="264"/>
        <v>9.602721651202728E-2</v>
      </c>
      <c r="AF612" s="46">
        <f t="shared" si="246"/>
        <v>0</v>
      </c>
      <c r="AG612" s="46">
        <f t="shared" si="265"/>
        <v>0</v>
      </c>
      <c r="AH612" s="54">
        <f t="shared" si="247"/>
        <v>4067</v>
      </c>
      <c r="AI612" s="55">
        <f t="shared" si="256"/>
        <v>0.35300668151447662</v>
      </c>
      <c r="AJ612" s="55">
        <f t="shared" si="266"/>
        <v>0</v>
      </c>
      <c r="AK612" s="55">
        <f t="shared" si="267"/>
        <v>0</v>
      </c>
    </row>
    <row r="613" spans="2:37" s="53" customFormat="1" ht="17.25" customHeight="1" x14ac:dyDescent="0.25">
      <c r="B613" s="91" t="str">
        <f t="shared" si="248"/>
        <v/>
      </c>
      <c r="C613" s="81">
        <f>IF(Sheet3!A584="","",Sheet3!A584)</f>
        <v>41701</v>
      </c>
      <c r="D613" s="82">
        <f>IF(C613="","",Sheet3!E584)</f>
        <v>32.540000999999997</v>
      </c>
      <c r="E613" s="56">
        <f>_xlfn.XLOOKUP(WEEKNUM(C613)&amp;YEAR(C613),Sheet4!C:C,Sheet4!B:B,0)</f>
        <v>0</v>
      </c>
      <c r="F613" s="46">
        <f>IF(int=Weekly,-$D$5,IF(int=Bi_Weekly,-$D$5,IF(int=Monthly,0,IF(int=Quarterly,0,IF(int=Yearly,0,IF(int=None,0,0))))))</f>
        <v>0</v>
      </c>
      <c r="G613" s="46"/>
      <c r="H613" s="46">
        <f t="shared" si="257"/>
        <v>-14550</v>
      </c>
      <c r="I613" s="47"/>
      <c r="J613" s="38">
        <f t="shared" si="244"/>
        <v>0</v>
      </c>
      <c r="K613" s="48"/>
      <c r="L613" s="48">
        <f t="shared" si="249"/>
        <v>506.23278133591833</v>
      </c>
      <c r="M613" s="48"/>
      <c r="N613" s="38">
        <f t="shared" si="250"/>
        <v>0</v>
      </c>
      <c r="O613" s="36">
        <f t="shared" si="251"/>
        <v>0</v>
      </c>
      <c r="P613" s="84">
        <f t="shared" si="252"/>
        <v>-19409.004642742548</v>
      </c>
      <c r="Q613" s="38">
        <f t="shared" si="253"/>
        <v>0</v>
      </c>
      <c r="R613" s="48">
        <f t="shared" si="254"/>
        <v>160.01560878715435</v>
      </c>
      <c r="S613" s="38">
        <f t="shared" si="245"/>
        <v>666.24839012307268</v>
      </c>
      <c r="T613" s="50">
        <f t="shared" si="258"/>
        <v>14550</v>
      </c>
      <c r="U613" s="40">
        <f t="shared" si="259"/>
        <v>16472.815210903562</v>
      </c>
      <c r="V613" s="41">
        <f t="shared" si="260"/>
        <v>0.13215224817206606</v>
      </c>
      <c r="W613" s="39">
        <f t="shared" si="261"/>
        <v>1922.8152109035618</v>
      </c>
      <c r="X613" s="50">
        <f t="shared" si="255"/>
        <v>4859.4733927588213</v>
      </c>
      <c r="Y613" s="41">
        <f t="shared" si="262"/>
        <v>0.46613667379122892</v>
      </c>
      <c r="Z613" s="52"/>
      <c r="AA613" s="50">
        <f t="shared" si="242"/>
        <v>19409.473392758824</v>
      </c>
      <c r="AB613" s="39">
        <f t="shared" si="243"/>
        <v>21679.723280853173</v>
      </c>
      <c r="AC613" s="39">
        <f t="shared" si="263"/>
        <v>2270.2498880943494</v>
      </c>
      <c r="AD613" s="41">
        <f t="shared" si="264"/>
        <v>0.11696607332692088</v>
      </c>
      <c r="AF613" s="46">
        <f t="shared" si="246"/>
        <v>0</v>
      </c>
      <c r="AG613" s="46">
        <f t="shared" si="265"/>
        <v>0</v>
      </c>
      <c r="AH613" s="54">
        <f t="shared" si="247"/>
        <v>4074</v>
      </c>
      <c r="AI613" s="55">
        <f t="shared" si="256"/>
        <v>0.35189309576837419</v>
      </c>
      <c r="AJ613" s="55">
        <f t="shared" si="266"/>
        <v>0</v>
      </c>
      <c r="AK613" s="55">
        <f t="shared" si="267"/>
        <v>0</v>
      </c>
    </row>
    <row r="614" spans="2:37" s="53" customFormat="1" ht="17.25" customHeight="1" x14ac:dyDescent="0.25">
      <c r="B614" s="91" t="str">
        <f t="shared" si="248"/>
        <v/>
      </c>
      <c r="C614" s="81">
        <f>IF(Sheet3!A585="","",Sheet3!A585)</f>
        <v>41708</v>
      </c>
      <c r="D614" s="82">
        <f>IF(C614="","",Sheet3!E585)</f>
        <v>32.490001999999997</v>
      </c>
      <c r="E614" s="56">
        <f>_xlfn.XLOOKUP(WEEKNUM(C614)&amp;YEAR(C614),Sheet4!C:C,Sheet4!B:B,0)</f>
        <v>0</v>
      </c>
      <c r="F614" s="46">
        <f>IF(int=Weekly,-$D$5,IF(int=Bi_Weekly,0,IF(int=Monthly,0,IF(int=Quarterly,0,IF(int=Yearly,0,IF(int=None,0,0))))))</f>
        <v>0</v>
      </c>
      <c r="G614" s="46"/>
      <c r="H614" s="46">
        <f t="shared" si="257"/>
        <v>-14550</v>
      </c>
      <c r="I614" s="47"/>
      <c r="J614" s="38">
        <f t="shared" si="244"/>
        <v>0</v>
      </c>
      <c r="K614" s="48"/>
      <c r="L614" s="48">
        <f t="shared" si="249"/>
        <v>506.23278133591833</v>
      </c>
      <c r="M614" s="48"/>
      <c r="N614" s="38">
        <f t="shared" si="250"/>
        <v>0</v>
      </c>
      <c r="O614" s="36">
        <f t="shared" si="251"/>
        <v>0</v>
      </c>
      <c r="P614" s="84">
        <f t="shared" si="252"/>
        <v>-19409.004642742548</v>
      </c>
      <c r="Q614" s="38">
        <f t="shared" si="253"/>
        <v>0</v>
      </c>
      <c r="R614" s="48">
        <f t="shared" si="254"/>
        <v>160.01560878715435</v>
      </c>
      <c r="S614" s="38">
        <f t="shared" si="245"/>
        <v>666.24839012307268</v>
      </c>
      <c r="T614" s="50">
        <f t="shared" si="258"/>
        <v>14550</v>
      </c>
      <c r="U614" s="40">
        <f t="shared" si="259"/>
        <v>16447.504078069549</v>
      </c>
      <c r="V614" s="41">
        <f t="shared" si="260"/>
        <v>0.13041265141371472</v>
      </c>
      <c r="W614" s="39">
        <f t="shared" si="261"/>
        <v>1897.504078069549</v>
      </c>
      <c r="X614" s="50">
        <f t="shared" si="255"/>
        <v>4859.4733927588213</v>
      </c>
      <c r="Y614" s="41">
        <f t="shared" si="262"/>
        <v>0.46439707703287758</v>
      </c>
      <c r="Z614" s="52"/>
      <c r="AA614" s="50">
        <f t="shared" si="242"/>
        <v>19409.473392758824</v>
      </c>
      <c r="AB614" s="39">
        <f t="shared" si="243"/>
        <v>21646.41152759541</v>
      </c>
      <c r="AC614" s="39">
        <f t="shared" si="263"/>
        <v>2236.938134836586</v>
      </c>
      <c r="AD614" s="41">
        <f t="shared" si="264"/>
        <v>0.11524981072753526</v>
      </c>
      <c r="AF614" s="46">
        <f t="shared" si="246"/>
        <v>0</v>
      </c>
      <c r="AG614" s="46">
        <f t="shared" si="265"/>
        <v>0</v>
      </c>
      <c r="AH614" s="54">
        <f t="shared" si="247"/>
        <v>4081</v>
      </c>
      <c r="AI614" s="55">
        <f t="shared" si="256"/>
        <v>0.3507795100222717</v>
      </c>
      <c r="AJ614" s="55">
        <f t="shared" si="266"/>
        <v>0</v>
      </c>
      <c r="AK614" s="55">
        <f t="shared" si="267"/>
        <v>0</v>
      </c>
    </row>
    <row r="615" spans="2:37" s="53" customFormat="1" ht="17.25" customHeight="1" x14ac:dyDescent="0.25">
      <c r="B615" s="91" t="str">
        <f t="shared" si="248"/>
        <v/>
      </c>
      <c r="C615" s="81">
        <f>IF(Sheet3!A586="","",Sheet3!A586)</f>
        <v>41715</v>
      </c>
      <c r="D615" s="82">
        <f>IF(C615="","",Sheet3!E586)</f>
        <v>34.299999</v>
      </c>
      <c r="E615" s="56">
        <f>_xlfn.XLOOKUP(WEEKNUM(C615)&amp;YEAR(C615),Sheet4!C:C,Sheet4!B:B,0)</f>
        <v>0</v>
      </c>
      <c r="F615" s="46">
        <f>IF(int=Weekly,-$D$5,IF(int=Bi_Weekly,-$D$5,IF(int=Monthly,-$D$5,IF(int=Quarterly,0,IF(int=Yearly,0,IF(int=None,0,0))))))</f>
        <v>-100</v>
      </c>
      <c r="G615" s="46"/>
      <c r="H615" s="46">
        <f t="shared" si="257"/>
        <v>-14650</v>
      </c>
      <c r="I615" s="47"/>
      <c r="J615" s="38">
        <f t="shared" si="244"/>
        <v>2.9154519800423317</v>
      </c>
      <c r="K615" s="48"/>
      <c r="L615" s="48">
        <f t="shared" si="249"/>
        <v>509.14823331596068</v>
      </c>
      <c r="M615" s="48"/>
      <c r="N615" s="38">
        <f t="shared" si="250"/>
        <v>0</v>
      </c>
      <c r="O615" s="36">
        <f t="shared" si="251"/>
        <v>0</v>
      </c>
      <c r="P615" s="84">
        <f t="shared" si="252"/>
        <v>-19509.004642742548</v>
      </c>
      <c r="Q615" s="38">
        <f t="shared" si="253"/>
        <v>0</v>
      </c>
      <c r="R615" s="48">
        <f t="shared" si="254"/>
        <v>160.01560878715435</v>
      </c>
      <c r="S615" s="38">
        <f t="shared" si="245"/>
        <v>669.16384210311503</v>
      </c>
      <c r="T615" s="50">
        <f t="shared" si="258"/>
        <v>14650</v>
      </c>
      <c r="U615" s="40">
        <f t="shared" si="259"/>
        <v>17463.783893589218</v>
      </c>
      <c r="V615" s="41">
        <f t="shared" si="260"/>
        <v>0.19206715997196033</v>
      </c>
      <c r="W615" s="39">
        <f t="shared" si="261"/>
        <v>2813.7838935892178</v>
      </c>
      <c r="X615" s="50">
        <f t="shared" si="255"/>
        <v>4859.4733927588213</v>
      </c>
      <c r="Y615" s="41">
        <f t="shared" si="262"/>
        <v>0.5237718284196613</v>
      </c>
      <c r="Z615" s="52"/>
      <c r="AA615" s="50">
        <f t="shared" si="242"/>
        <v>19509.473392758824</v>
      </c>
      <c r="AB615" s="39">
        <f t="shared" si="243"/>
        <v>22952.319114973005</v>
      </c>
      <c r="AC615" s="39">
        <f t="shared" si="263"/>
        <v>3442.8457222141806</v>
      </c>
      <c r="AD615" s="41">
        <f t="shared" si="264"/>
        <v>0.17647045888445323</v>
      </c>
      <c r="AF615" s="46">
        <f t="shared" si="246"/>
        <v>-100</v>
      </c>
      <c r="AG615" s="46">
        <f t="shared" si="265"/>
        <v>-100</v>
      </c>
      <c r="AH615" s="54">
        <f t="shared" si="247"/>
        <v>4088</v>
      </c>
      <c r="AI615" s="55">
        <f t="shared" si="256"/>
        <v>0.34966592427616927</v>
      </c>
      <c r="AJ615" s="55">
        <f t="shared" si="266"/>
        <v>-34.966592427616931</v>
      </c>
      <c r="AK615" s="55">
        <f t="shared" si="267"/>
        <v>-34.966592427616931</v>
      </c>
    </row>
    <row r="616" spans="2:37" s="53" customFormat="1" ht="17.25" customHeight="1" x14ac:dyDescent="0.25">
      <c r="B616" s="91" t="str">
        <f t="shared" si="248"/>
        <v/>
      </c>
      <c r="C616" s="81">
        <f>IF(Sheet3!A587="","",Sheet3!A587)</f>
        <v>41722</v>
      </c>
      <c r="D616" s="82">
        <f>IF(C616="","",Sheet3!E587)</f>
        <v>35.07</v>
      </c>
      <c r="E616" s="56">
        <f>_xlfn.XLOOKUP(WEEKNUM(C616)&amp;YEAR(C616),Sheet4!C:C,Sheet4!B:B,0)</f>
        <v>0</v>
      </c>
      <c r="F616" s="46">
        <f>IF(int=Weekly,-$D$5,IF(int=Bi_Weekly,0,IF(int=Monthly,0,IF(int=Quarterly,-$D$5,IF(int=Yearly,0,IF(int=None,0,0))))))</f>
        <v>0</v>
      </c>
      <c r="G616" s="46"/>
      <c r="H616" s="46">
        <f t="shared" si="257"/>
        <v>-14650</v>
      </c>
      <c r="I616" s="47"/>
      <c r="J616" s="38">
        <f t="shared" si="244"/>
        <v>0</v>
      </c>
      <c r="K616" s="48"/>
      <c r="L616" s="48">
        <f t="shared" si="249"/>
        <v>509.14823331596068</v>
      </c>
      <c r="M616" s="48"/>
      <c r="N616" s="38">
        <f t="shared" si="250"/>
        <v>0</v>
      </c>
      <c r="O616" s="36">
        <f t="shared" si="251"/>
        <v>0</v>
      </c>
      <c r="P616" s="84">
        <f t="shared" si="252"/>
        <v>-19509.004642742548</v>
      </c>
      <c r="Q616" s="38">
        <f t="shared" si="253"/>
        <v>0</v>
      </c>
      <c r="R616" s="48">
        <f t="shared" si="254"/>
        <v>160.01560878715435</v>
      </c>
      <c r="S616" s="38">
        <f t="shared" si="245"/>
        <v>669.16384210311503</v>
      </c>
      <c r="T616" s="50">
        <f t="shared" si="258"/>
        <v>14650</v>
      </c>
      <c r="U616" s="40">
        <f t="shared" si="259"/>
        <v>17855.82854239074</v>
      </c>
      <c r="V616" s="41">
        <f t="shared" si="260"/>
        <v>0.21882788685261034</v>
      </c>
      <c r="W616" s="39">
        <f t="shared" si="261"/>
        <v>3205.82854239074</v>
      </c>
      <c r="X616" s="50">
        <f t="shared" si="255"/>
        <v>4859.4733927588213</v>
      </c>
      <c r="Y616" s="41">
        <f t="shared" si="262"/>
        <v>0.55053255530031131</v>
      </c>
      <c r="Z616" s="52"/>
      <c r="AA616" s="50">
        <f t="shared" si="242"/>
        <v>19509.473392758824</v>
      </c>
      <c r="AB616" s="39">
        <f t="shared" si="243"/>
        <v>23467.575942556243</v>
      </c>
      <c r="AC616" s="39">
        <f t="shared" si="263"/>
        <v>3958.1025497974188</v>
      </c>
      <c r="AD616" s="41">
        <f t="shared" si="264"/>
        <v>0.20288105527576761</v>
      </c>
      <c r="AF616" s="46">
        <f t="shared" si="246"/>
        <v>0</v>
      </c>
      <c r="AG616" s="46">
        <f t="shared" si="265"/>
        <v>0</v>
      </c>
      <c r="AH616" s="54">
        <f t="shared" si="247"/>
        <v>4095</v>
      </c>
      <c r="AI616" s="55">
        <f t="shared" si="256"/>
        <v>0.34855233853006684</v>
      </c>
      <c r="AJ616" s="55">
        <f t="shared" si="266"/>
        <v>0</v>
      </c>
      <c r="AK616" s="55">
        <f t="shared" si="267"/>
        <v>0</v>
      </c>
    </row>
    <row r="617" spans="2:37" s="53" customFormat="1" ht="17.25" customHeight="1" x14ac:dyDescent="0.25">
      <c r="B617" s="91" t="str">
        <f t="shared" si="248"/>
        <v/>
      </c>
      <c r="C617" s="81">
        <f>IF(Sheet3!A588="","",Sheet3!A588)</f>
        <v>41729</v>
      </c>
      <c r="D617" s="82">
        <f>IF(C617="","",Sheet3!E588)</f>
        <v>35.549999</v>
      </c>
      <c r="E617" s="56">
        <f>_xlfn.XLOOKUP(WEEKNUM(C617)&amp;YEAR(C617),Sheet4!C:C,Sheet4!B:B,0)</f>
        <v>0</v>
      </c>
      <c r="F617" s="46">
        <f>IF(int=Weekly,-$D$5,IF(int=Bi_Weekly,-$D$5,IF(int=Monthly,0,IF(int=Quarterly,0,IF(int=Yearly,0,IF(int=None,0,0))))))</f>
        <v>0</v>
      </c>
      <c r="G617" s="46"/>
      <c r="H617" s="46">
        <f t="shared" si="257"/>
        <v>-14650</v>
      </c>
      <c r="I617" s="47"/>
      <c r="J617" s="38">
        <f t="shared" si="244"/>
        <v>0</v>
      </c>
      <c r="K617" s="48"/>
      <c r="L617" s="48">
        <f t="shared" si="249"/>
        <v>509.14823331596068</v>
      </c>
      <c r="M617" s="48"/>
      <c r="N617" s="38">
        <f t="shared" si="250"/>
        <v>0</v>
      </c>
      <c r="O617" s="36">
        <f t="shared" si="251"/>
        <v>0</v>
      </c>
      <c r="P617" s="84">
        <f t="shared" si="252"/>
        <v>-19509.004642742548</v>
      </c>
      <c r="Q617" s="38">
        <f t="shared" si="253"/>
        <v>0</v>
      </c>
      <c r="R617" s="48">
        <f t="shared" si="254"/>
        <v>160.01560878715435</v>
      </c>
      <c r="S617" s="38">
        <f t="shared" si="245"/>
        <v>669.16384210311503</v>
      </c>
      <c r="T617" s="50">
        <f t="shared" si="258"/>
        <v>14650</v>
      </c>
      <c r="U617" s="40">
        <f t="shared" si="259"/>
        <v>18100.219185234168</v>
      </c>
      <c r="V617" s="41">
        <f t="shared" si="260"/>
        <v>0.2355098419955064</v>
      </c>
      <c r="W617" s="39">
        <f t="shared" si="261"/>
        <v>3450.2191852341675</v>
      </c>
      <c r="X617" s="50">
        <f t="shared" si="255"/>
        <v>4859.4733927588213</v>
      </c>
      <c r="Y617" s="41">
        <f t="shared" si="262"/>
        <v>0.56721451044320736</v>
      </c>
      <c r="Z617" s="52"/>
      <c r="AA617" s="50">
        <f t="shared" si="242"/>
        <v>19509.473392758824</v>
      </c>
      <c r="AB617" s="39">
        <f t="shared" si="243"/>
        <v>23788.773917601895</v>
      </c>
      <c r="AC617" s="39">
        <f t="shared" si="263"/>
        <v>4279.3005248430709</v>
      </c>
      <c r="AD617" s="41">
        <f t="shared" si="264"/>
        <v>0.21934474799465287</v>
      </c>
      <c r="AF617" s="46">
        <f t="shared" si="246"/>
        <v>0</v>
      </c>
      <c r="AG617" s="46">
        <f t="shared" si="265"/>
        <v>0</v>
      </c>
      <c r="AH617" s="54">
        <f t="shared" si="247"/>
        <v>4102</v>
      </c>
      <c r="AI617" s="55">
        <f t="shared" si="256"/>
        <v>0.34743875278396436</v>
      </c>
      <c r="AJ617" s="55">
        <f t="shared" si="266"/>
        <v>0</v>
      </c>
      <c r="AK617" s="55">
        <f t="shared" si="267"/>
        <v>0</v>
      </c>
    </row>
    <row r="618" spans="2:37" s="53" customFormat="1" ht="17.25" customHeight="1" x14ac:dyDescent="0.25">
      <c r="B618" s="91" t="str">
        <f t="shared" si="248"/>
        <v/>
      </c>
      <c r="C618" s="81">
        <f>IF(Sheet3!A589="","",Sheet3!A589)</f>
        <v>41736</v>
      </c>
      <c r="D618" s="82">
        <f>IF(C618="","",Sheet3!E589)</f>
        <v>35.200001</v>
      </c>
      <c r="E618" s="56">
        <f>_xlfn.XLOOKUP(WEEKNUM(C618)&amp;YEAR(C618),Sheet4!C:C,Sheet4!B:B,0)</f>
        <v>0.46</v>
      </c>
      <c r="F618" s="46">
        <f>IF(int=Weekly,-$D$5,IF(int=Bi_Weekly,0,IF(int=Monthly,0,IF(int=Quarterly,0,IF(int=Yearly,0,IF(int=None,0,0))))))</f>
        <v>0</v>
      </c>
      <c r="G618" s="46"/>
      <c r="H618" s="46">
        <f t="shared" si="257"/>
        <v>-14650</v>
      </c>
      <c r="I618" s="47"/>
      <c r="J618" s="38">
        <f t="shared" si="244"/>
        <v>0</v>
      </c>
      <c r="K618" s="48"/>
      <c r="L618" s="48">
        <f t="shared" si="249"/>
        <v>509.14823331596068</v>
      </c>
      <c r="M618" s="48"/>
      <c r="N618" s="38">
        <f t="shared" si="250"/>
        <v>234.20818732534192</v>
      </c>
      <c r="O618" s="36">
        <f t="shared" si="251"/>
        <v>-234.20818732534192</v>
      </c>
      <c r="P618" s="84">
        <f t="shared" si="252"/>
        <v>-19743.212830067889</v>
      </c>
      <c r="Q618" s="38">
        <f t="shared" si="253"/>
        <v>6.6536414963551254</v>
      </c>
      <c r="R618" s="48">
        <f t="shared" si="254"/>
        <v>166.66925028350948</v>
      </c>
      <c r="S618" s="38">
        <f t="shared" si="245"/>
        <v>675.81748359947017</v>
      </c>
      <c r="T618" s="50">
        <f t="shared" si="258"/>
        <v>14650</v>
      </c>
      <c r="U618" s="40">
        <f t="shared" si="259"/>
        <v>17922.018321870048</v>
      </c>
      <c r="V618" s="41">
        <f t="shared" si="260"/>
        <v>0.22334596053720457</v>
      </c>
      <c r="W618" s="39">
        <f t="shared" si="261"/>
        <v>3272.0183218700477</v>
      </c>
      <c r="X618" s="50">
        <f t="shared" si="255"/>
        <v>5093.6815800841632</v>
      </c>
      <c r="Y618" s="41">
        <f t="shared" si="262"/>
        <v>0.57103753596957074</v>
      </c>
      <c r="Z618" s="52"/>
      <c r="AA618" s="50">
        <f t="shared" si="242"/>
        <v>19743.681580084165</v>
      </c>
      <c r="AB618" s="39">
        <f t="shared" si="243"/>
        <v>23788.776098518832</v>
      </c>
      <c r="AC618" s="39">
        <f t="shared" si="263"/>
        <v>4045.0945184346674</v>
      </c>
      <c r="AD618" s="41">
        <f t="shared" si="264"/>
        <v>0.2048804576809542</v>
      </c>
      <c r="AF618" s="46">
        <f t="shared" si="246"/>
        <v>234.20818732534192</v>
      </c>
      <c r="AG618" s="46">
        <f t="shared" si="265"/>
        <v>0</v>
      </c>
      <c r="AH618" s="54">
        <f t="shared" si="247"/>
        <v>4109</v>
      </c>
      <c r="AI618" s="55">
        <f t="shared" si="256"/>
        <v>0.34632516703786193</v>
      </c>
      <c r="AJ618" s="55">
        <f t="shared" si="266"/>
        <v>81.112189597083898</v>
      </c>
      <c r="AK618" s="55">
        <f t="shared" si="267"/>
        <v>0</v>
      </c>
    </row>
    <row r="619" spans="2:37" s="53" customFormat="1" ht="17.25" customHeight="1" x14ac:dyDescent="0.25">
      <c r="B619" s="91" t="str">
        <f t="shared" si="248"/>
        <v/>
      </c>
      <c r="C619" s="81">
        <f>IF(Sheet3!A590="","",Sheet3!A590)</f>
        <v>41743</v>
      </c>
      <c r="D619" s="82">
        <f>IF(C619="","",Sheet3!E590)</f>
        <v>36.040000999999997</v>
      </c>
      <c r="E619" s="56">
        <f>_xlfn.XLOOKUP(WEEKNUM(C619)&amp;YEAR(C619),Sheet4!C:C,Sheet4!B:B,0)</f>
        <v>0</v>
      </c>
      <c r="F619" s="46">
        <f>IF(int=Weekly,-$D$5,IF(int=Bi_Weekly,-$D$5,IF(int=Monthly,-$D$5,IF(int=Quarterly,0,IF(int=Yearly,0,IF(int=None,0,0))))))</f>
        <v>-100</v>
      </c>
      <c r="G619" s="46"/>
      <c r="H619" s="46">
        <f t="shared" si="257"/>
        <v>-14750</v>
      </c>
      <c r="I619" s="47"/>
      <c r="J619" s="38">
        <f t="shared" si="244"/>
        <v>2.7746947065844978</v>
      </c>
      <c r="K619" s="48"/>
      <c r="L619" s="48">
        <f t="shared" si="249"/>
        <v>511.92292802254519</v>
      </c>
      <c r="M619" s="48"/>
      <c r="N619" s="38">
        <f t="shared" si="250"/>
        <v>0</v>
      </c>
      <c r="O619" s="36">
        <f t="shared" si="251"/>
        <v>0</v>
      </c>
      <c r="P619" s="84">
        <f t="shared" si="252"/>
        <v>-19843.212830067889</v>
      </c>
      <c r="Q619" s="38">
        <f t="shared" si="253"/>
        <v>0</v>
      </c>
      <c r="R619" s="48">
        <f t="shared" si="254"/>
        <v>166.66925028350948</v>
      </c>
      <c r="S619" s="38">
        <f t="shared" si="245"/>
        <v>678.59217830605462</v>
      </c>
      <c r="T619" s="50">
        <f t="shared" si="258"/>
        <v>14750</v>
      </c>
      <c r="U619" s="40">
        <f t="shared" si="259"/>
        <v>18449.702837855453</v>
      </c>
      <c r="V619" s="41">
        <f t="shared" si="260"/>
        <v>0.25082731104104772</v>
      </c>
      <c r="W619" s="39">
        <f t="shared" si="261"/>
        <v>3699.7028378554533</v>
      </c>
      <c r="X619" s="50">
        <f t="shared" si="255"/>
        <v>5093.6815800841632</v>
      </c>
      <c r="Y619" s="41">
        <f t="shared" si="262"/>
        <v>0.59616165545353339</v>
      </c>
      <c r="Z619" s="52"/>
      <c r="AA619" s="50">
        <f t="shared" si="242"/>
        <v>19843.681580084165</v>
      </c>
      <c r="AB619" s="39">
        <f t="shared" si="243"/>
        <v>24456.462784742384</v>
      </c>
      <c r="AC619" s="39">
        <f t="shared" si="263"/>
        <v>4612.7812046582185</v>
      </c>
      <c r="AD619" s="41">
        <f t="shared" si="264"/>
        <v>0.23245591731767012</v>
      </c>
      <c r="AF619" s="46">
        <f t="shared" si="246"/>
        <v>-100</v>
      </c>
      <c r="AG619" s="46">
        <f t="shared" si="265"/>
        <v>-100</v>
      </c>
      <c r="AH619" s="54">
        <f t="shared" si="247"/>
        <v>4116</v>
      </c>
      <c r="AI619" s="55">
        <f t="shared" si="256"/>
        <v>0.34521158129175944</v>
      </c>
      <c r="AJ619" s="55">
        <f t="shared" si="266"/>
        <v>-34.521158129175944</v>
      </c>
      <c r="AK619" s="55">
        <f t="shared" si="267"/>
        <v>-34.521158129175944</v>
      </c>
    </row>
    <row r="620" spans="2:37" s="53" customFormat="1" ht="17.25" customHeight="1" x14ac:dyDescent="0.25">
      <c r="B620" s="91" t="str">
        <f t="shared" si="248"/>
        <v/>
      </c>
      <c r="C620" s="81">
        <f>IF(Sheet3!A591="","",Sheet3!A591)</f>
        <v>41750</v>
      </c>
      <c r="D620" s="82">
        <f>IF(C620="","",Sheet3!E591)</f>
        <v>34.490001999999997</v>
      </c>
      <c r="E620" s="56">
        <f>_xlfn.XLOOKUP(WEEKNUM(C620)&amp;YEAR(C620),Sheet4!C:C,Sheet4!B:B,0)</f>
        <v>0</v>
      </c>
      <c r="F620" s="46">
        <f>IF(int=Weekly,-$D$5,IF(int=Bi_Weekly,0,IF(int=Monthly,0,IF(int=Quarterly,0,IF(int=Yearly,0,IF(int=None,0,0))))))</f>
        <v>0</v>
      </c>
      <c r="G620" s="46"/>
      <c r="H620" s="46">
        <f t="shared" si="257"/>
        <v>-14750</v>
      </c>
      <c r="I620" s="47"/>
      <c r="J620" s="38">
        <f t="shared" si="244"/>
        <v>0</v>
      </c>
      <c r="K620" s="48"/>
      <c r="L620" s="48">
        <f t="shared" si="249"/>
        <v>511.92292802254519</v>
      </c>
      <c r="M620" s="48"/>
      <c r="N620" s="38">
        <f t="shared" si="250"/>
        <v>0</v>
      </c>
      <c r="O620" s="36">
        <f t="shared" si="251"/>
        <v>0</v>
      </c>
      <c r="P620" s="84">
        <f t="shared" si="252"/>
        <v>-19843.212830067889</v>
      </c>
      <c r="Q620" s="38">
        <f t="shared" si="253"/>
        <v>0</v>
      </c>
      <c r="R620" s="48">
        <f t="shared" si="254"/>
        <v>166.66925028350948</v>
      </c>
      <c r="S620" s="38">
        <f t="shared" si="245"/>
        <v>678.59217830605462</v>
      </c>
      <c r="T620" s="50">
        <f t="shared" si="258"/>
        <v>14750</v>
      </c>
      <c r="U620" s="40">
        <f t="shared" si="259"/>
        <v>17656.222811343439</v>
      </c>
      <c r="V620" s="41">
        <f t="shared" si="260"/>
        <v>0.19703205500633492</v>
      </c>
      <c r="W620" s="39">
        <f t="shared" si="261"/>
        <v>2906.2228113434394</v>
      </c>
      <c r="X620" s="50">
        <f t="shared" si="255"/>
        <v>5093.6815800841632</v>
      </c>
      <c r="Y620" s="41">
        <f t="shared" si="262"/>
        <v>0.54236639941882059</v>
      </c>
      <c r="Z620" s="52"/>
      <c r="AA620" s="50">
        <f t="shared" si="242"/>
        <v>19843.681580084165</v>
      </c>
      <c r="AB620" s="39">
        <f t="shared" si="243"/>
        <v>23404.645586960181</v>
      </c>
      <c r="AC620" s="39">
        <f t="shared" si="263"/>
        <v>3560.9640068760164</v>
      </c>
      <c r="AD620" s="41">
        <f t="shared" si="264"/>
        <v>0.17945077341141813</v>
      </c>
      <c r="AF620" s="46">
        <f t="shared" si="246"/>
        <v>0</v>
      </c>
      <c r="AG620" s="46">
        <f t="shared" si="265"/>
        <v>0</v>
      </c>
      <c r="AH620" s="54">
        <f t="shared" si="247"/>
        <v>4123</v>
      </c>
      <c r="AI620" s="55">
        <f t="shared" si="256"/>
        <v>0.34409799554565701</v>
      </c>
      <c r="AJ620" s="55">
        <f t="shared" si="266"/>
        <v>0</v>
      </c>
      <c r="AK620" s="55">
        <f t="shared" si="267"/>
        <v>0</v>
      </c>
    </row>
    <row r="621" spans="2:37" s="53" customFormat="1" ht="17.25" customHeight="1" x14ac:dyDescent="0.25">
      <c r="B621" s="91" t="str">
        <f t="shared" si="248"/>
        <v/>
      </c>
      <c r="C621" s="81">
        <f>IF(Sheet3!A592="","",Sheet3!A592)</f>
        <v>41757</v>
      </c>
      <c r="D621" s="82">
        <f>IF(C621="","",Sheet3!E592)</f>
        <v>35.630001</v>
      </c>
      <c r="E621" s="56">
        <f>_xlfn.XLOOKUP(WEEKNUM(C621)&amp;YEAR(C621),Sheet4!C:C,Sheet4!B:B,0)</f>
        <v>0</v>
      </c>
      <c r="F621" s="46">
        <f>IF(int=Weekly,-$D$5,IF(int=Bi_Weekly,-$D$5,IF(int=Monthly,0,IF(int=Quarterly,0,IF(int=Yearly,0,IF(int=None,0,0))))))</f>
        <v>0</v>
      </c>
      <c r="G621" s="46"/>
      <c r="H621" s="46">
        <f t="shared" si="257"/>
        <v>-14750</v>
      </c>
      <c r="I621" s="47"/>
      <c r="J621" s="38">
        <f t="shared" si="244"/>
        <v>0</v>
      </c>
      <c r="K621" s="48"/>
      <c r="L621" s="48">
        <f t="shared" si="249"/>
        <v>511.92292802254519</v>
      </c>
      <c r="M621" s="48"/>
      <c r="N621" s="38">
        <f t="shared" si="250"/>
        <v>0</v>
      </c>
      <c r="O621" s="36">
        <f t="shared" si="251"/>
        <v>0</v>
      </c>
      <c r="P621" s="84">
        <f t="shared" si="252"/>
        <v>-19843.212830067889</v>
      </c>
      <c r="Q621" s="38">
        <f t="shared" si="253"/>
        <v>0</v>
      </c>
      <c r="R621" s="48">
        <f t="shared" si="254"/>
        <v>166.66925028350948</v>
      </c>
      <c r="S621" s="38">
        <f t="shared" si="245"/>
        <v>678.59217830605462</v>
      </c>
      <c r="T621" s="50">
        <f t="shared" si="258"/>
        <v>14750</v>
      </c>
      <c r="U621" s="40">
        <f t="shared" si="259"/>
        <v>18239.814437366214</v>
      </c>
      <c r="V621" s="41">
        <f t="shared" si="260"/>
        <v>0.23659758897398064</v>
      </c>
      <c r="W621" s="39">
        <f t="shared" si="261"/>
        <v>3489.8144373662144</v>
      </c>
      <c r="X621" s="50">
        <f t="shared" si="255"/>
        <v>5093.6815800841632</v>
      </c>
      <c r="Y621" s="41">
        <f t="shared" si="262"/>
        <v>0.58193193338646632</v>
      </c>
      <c r="Z621" s="52"/>
      <c r="AA621" s="50">
        <f t="shared" si="242"/>
        <v>19843.681580084165</v>
      </c>
      <c r="AB621" s="39">
        <f t="shared" si="243"/>
        <v>24178.239991636907</v>
      </c>
      <c r="AC621" s="39">
        <f t="shared" si="263"/>
        <v>4334.5584115527417</v>
      </c>
      <c r="AD621" s="41">
        <f t="shared" si="264"/>
        <v>0.21843519278716217</v>
      </c>
      <c r="AF621" s="46">
        <f t="shared" si="246"/>
        <v>0</v>
      </c>
      <c r="AG621" s="46">
        <f t="shared" si="265"/>
        <v>0</v>
      </c>
      <c r="AH621" s="54">
        <f t="shared" si="247"/>
        <v>4130</v>
      </c>
      <c r="AI621" s="55">
        <f t="shared" si="256"/>
        <v>0.34298440979955458</v>
      </c>
      <c r="AJ621" s="55">
        <f t="shared" si="266"/>
        <v>0</v>
      </c>
      <c r="AK621" s="55">
        <f t="shared" si="267"/>
        <v>0</v>
      </c>
    </row>
    <row r="622" spans="2:37" s="53" customFormat="1" ht="17.25" customHeight="1" x14ac:dyDescent="0.25">
      <c r="B622" s="91" t="str">
        <f t="shared" si="248"/>
        <v/>
      </c>
      <c r="C622" s="81">
        <f>IF(Sheet3!A593="","",Sheet3!A593)</f>
        <v>41764</v>
      </c>
      <c r="D622" s="82">
        <f>IF(C622="","",Sheet3!E593)</f>
        <v>36.439999</v>
      </c>
      <c r="E622" s="56">
        <f>_xlfn.XLOOKUP(WEEKNUM(C622)&amp;YEAR(C622),Sheet4!C:C,Sheet4!B:B,0)</f>
        <v>0</v>
      </c>
      <c r="F622" s="46">
        <f>IF(int=Weekly,-$D$5,IF(int=Bi_Weekly,0,IF(int=Monthly,0,IF(int=Quarterly,0,IF(int=Yearly,0,IF(int=None,0,0))))))</f>
        <v>0</v>
      </c>
      <c r="G622" s="46"/>
      <c r="H622" s="46">
        <f t="shared" si="257"/>
        <v>-14750</v>
      </c>
      <c r="I622" s="47"/>
      <c r="J622" s="38">
        <f t="shared" si="244"/>
        <v>0</v>
      </c>
      <c r="K622" s="48"/>
      <c r="L622" s="48">
        <f t="shared" si="249"/>
        <v>511.92292802254519</v>
      </c>
      <c r="M622" s="48"/>
      <c r="N622" s="38">
        <f t="shared" si="250"/>
        <v>0</v>
      </c>
      <c r="O622" s="36">
        <f t="shared" si="251"/>
        <v>0</v>
      </c>
      <c r="P622" s="84">
        <f t="shared" si="252"/>
        <v>-19843.212830067889</v>
      </c>
      <c r="Q622" s="38">
        <f t="shared" si="253"/>
        <v>0</v>
      </c>
      <c r="R622" s="48">
        <f t="shared" si="254"/>
        <v>166.66925028350948</v>
      </c>
      <c r="S622" s="38">
        <f t="shared" si="245"/>
        <v>678.59217830605462</v>
      </c>
      <c r="T622" s="50">
        <f t="shared" si="258"/>
        <v>14750</v>
      </c>
      <c r="U622" s="40">
        <f t="shared" si="259"/>
        <v>18654.470985218621</v>
      </c>
      <c r="V622" s="41">
        <f t="shared" si="260"/>
        <v>0.26470989730295735</v>
      </c>
      <c r="W622" s="39">
        <f t="shared" si="261"/>
        <v>3904.4709852186206</v>
      </c>
      <c r="X622" s="50">
        <f t="shared" si="255"/>
        <v>5093.6815800841632</v>
      </c>
      <c r="Y622" s="41">
        <f t="shared" si="262"/>
        <v>0.61004424171544303</v>
      </c>
      <c r="Z622" s="52"/>
      <c r="AA622" s="50">
        <f t="shared" si="242"/>
        <v>19843.681580084165</v>
      </c>
      <c r="AB622" s="39">
        <f t="shared" si="243"/>
        <v>24727.898298880456</v>
      </c>
      <c r="AC622" s="39">
        <f t="shared" si="263"/>
        <v>4884.2167187962914</v>
      </c>
      <c r="AD622" s="41">
        <f t="shared" si="264"/>
        <v>0.24613460456341274</v>
      </c>
      <c r="AF622" s="46">
        <f t="shared" si="246"/>
        <v>0</v>
      </c>
      <c r="AG622" s="46">
        <f t="shared" si="265"/>
        <v>0</v>
      </c>
      <c r="AH622" s="54">
        <f t="shared" si="247"/>
        <v>4137</v>
      </c>
      <c r="AI622" s="55">
        <f t="shared" si="256"/>
        <v>0.34187082405345209</v>
      </c>
      <c r="AJ622" s="55">
        <f t="shared" si="266"/>
        <v>0</v>
      </c>
      <c r="AK622" s="55">
        <f t="shared" si="267"/>
        <v>0</v>
      </c>
    </row>
    <row r="623" spans="2:37" s="53" customFormat="1" ht="17.25" customHeight="1" x14ac:dyDescent="0.25">
      <c r="B623" s="91" t="str">
        <f t="shared" si="248"/>
        <v/>
      </c>
      <c r="C623" s="81">
        <f>IF(Sheet3!A594="","",Sheet3!A594)</f>
        <v>41771</v>
      </c>
      <c r="D623" s="82">
        <f>IF(C623="","",Sheet3!E594)</f>
        <v>36.740001999999997</v>
      </c>
      <c r="E623" s="56">
        <f>_xlfn.XLOOKUP(WEEKNUM(C623)&amp;YEAR(C623),Sheet4!C:C,Sheet4!B:B,0)</f>
        <v>0</v>
      </c>
      <c r="F623" s="46">
        <f>IF(int=Weekly,-$D$5,IF(int=Bi_Weekly,-$D$5,IF(int=Monthly,-$D$5,IF(int=Quarterly,0,IF(int=Yearly,0,IF(int=None,0,0))))))</f>
        <v>-100</v>
      </c>
      <c r="G623" s="46"/>
      <c r="H623" s="46">
        <f t="shared" si="257"/>
        <v>-14850</v>
      </c>
      <c r="I623" s="47"/>
      <c r="J623" s="38">
        <f t="shared" si="244"/>
        <v>2.7218289209673969</v>
      </c>
      <c r="K623" s="48"/>
      <c r="L623" s="48">
        <f t="shared" si="249"/>
        <v>514.64475694351256</v>
      </c>
      <c r="M623" s="48"/>
      <c r="N623" s="38">
        <f t="shared" si="250"/>
        <v>0</v>
      </c>
      <c r="O623" s="36">
        <f t="shared" si="251"/>
        <v>0</v>
      </c>
      <c r="P623" s="84">
        <f t="shared" si="252"/>
        <v>-19943.212830067889</v>
      </c>
      <c r="Q623" s="38">
        <f t="shared" si="253"/>
        <v>0</v>
      </c>
      <c r="R623" s="48">
        <f t="shared" si="254"/>
        <v>166.66925028350948</v>
      </c>
      <c r="S623" s="38">
        <f t="shared" si="245"/>
        <v>681.3140072270221</v>
      </c>
      <c r="T623" s="50">
        <f t="shared" si="258"/>
        <v>14850</v>
      </c>
      <c r="U623" s="40">
        <f t="shared" si="259"/>
        <v>18908.049399394164</v>
      </c>
      <c r="V623" s="41">
        <f t="shared" si="260"/>
        <v>0.27326931982452285</v>
      </c>
      <c r="W623" s="39">
        <f t="shared" si="261"/>
        <v>4058.0493993941636</v>
      </c>
      <c r="X623" s="50">
        <f t="shared" si="255"/>
        <v>5093.6815800841632</v>
      </c>
      <c r="Y623" s="41">
        <f t="shared" si="262"/>
        <v>0.61627818043625116</v>
      </c>
      <c r="Z623" s="52"/>
      <c r="AA623" s="50">
        <f t="shared" si="242"/>
        <v>19943.681580084165</v>
      </c>
      <c r="AB623" s="39">
        <f t="shared" si="243"/>
        <v>25031.477988148803</v>
      </c>
      <c r="AC623" s="39">
        <f t="shared" si="263"/>
        <v>5087.7964080646379</v>
      </c>
      <c r="AD623" s="41">
        <f t="shared" si="264"/>
        <v>0.25510818489728249</v>
      </c>
      <c r="AF623" s="46">
        <f t="shared" si="246"/>
        <v>-100</v>
      </c>
      <c r="AG623" s="46">
        <f t="shared" si="265"/>
        <v>-100</v>
      </c>
      <c r="AH623" s="54">
        <f t="shared" si="247"/>
        <v>4144</v>
      </c>
      <c r="AI623" s="55">
        <f t="shared" si="256"/>
        <v>0.34075723830734966</v>
      </c>
      <c r="AJ623" s="55">
        <f t="shared" si="266"/>
        <v>-34.075723830734965</v>
      </c>
      <c r="AK623" s="55">
        <f t="shared" si="267"/>
        <v>-34.075723830734965</v>
      </c>
    </row>
    <row r="624" spans="2:37" s="53" customFormat="1" ht="17.25" customHeight="1" x14ac:dyDescent="0.25">
      <c r="B624" s="91" t="str">
        <f t="shared" si="248"/>
        <v/>
      </c>
      <c r="C624" s="81">
        <f>IF(Sheet3!A595="","",Sheet3!A595)</f>
        <v>41778</v>
      </c>
      <c r="D624" s="82">
        <f>IF(C624="","",Sheet3!E595)</f>
        <v>35.32</v>
      </c>
      <c r="E624" s="56">
        <f>_xlfn.XLOOKUP(WEEKNUM(C624)&amp;YEAR(C624),Sheet4!C:C,Sheet4!B:B,0)</f>
        <v>0</v>
      </c>
      <c r="F624" s="46">
        <f>IF(int=Weekly,-$D$5,IF(int=Bi_Weekly,0,IF(int=Monthly,0,IF(int=Quarterly,0,IF(int=Yearly,0,IF(int=None,0,0))))))</f>
        <v>0</v>
      </c>
      <c r="G624" s="46"/>
      <c r="H624" s="46">
        <f t="shared" si="257"/>
        <v>-14850</v>
      </c>
      <c r="I624" s="47"/>
      <c r="J624" s="38">
        <f t="shared" si="244"/>
        <v>0</v>
      </c>
      <c r="K624" s="48"/>
      <c r="L624" s="48">
        <f t="shared" si="249"/>
        <v>514.64475694351256</v>
      </c>
      <c r="M624" s="48"/>
      <c r="N624" s="38">
        <f t="shared" si="250"/>
        <v>0</v>
      </c>
      <c r="O624" s="36">
        <f t="shared" si="251"/>
        <v>0</v>
      </c>
      <c r="P624" s="84">
        <f t="shared" si="252"/>
        <v>-19943.212830067889</v>
      </c>
      <c r="Q624" s="38">
        <f t="shared" si="253"/>
        <v>0</v>
      </c>
      <c r="R624" s="48">
        <f t="shared" si="254"/>
        <v>166.66925028350948</v>
      </c>
      <c r="S624" s="38">
        <f t="shared" si="245"/>
        <v>681.3140072270221</v>
      </c>
      <c r="T624" s="50">
        <f t="shared" si="258"/>
        <v>14850</v>
      </c>
      <c r="U624" s="40">
        <f t="shared" si="259"/>
        <v>18177.252815244865</v>
      </c>
      <c r="V624" s="41">
        <f t="shared" si="260"/>
        <v>0.22405742863601774</v>
      </c>
      <c r="W624" s="39">
        <f t="shared" si="261"/>
        <v>3327.2528152448649</v>
      </c>
      <c r="X624" s="50">
        <f t="shared" si="255"/>
        <v>5093.6815800841632</v>
      </c>
      <c r="Y624" s="41">
        <f t="shared" si="262"/>
        <v>0.56706628924774605</v>
      </c>
      <c r="Z624" s="52"/>
      <c r="AA624" s="50">
        <f t="shared" si="242"/>
        <v>19943.681580084165</v>
      </c>
      <c r="AB624" s="39">
        <f t="shared" si="243"/>
        <v>24064.01073525842</v>
      </c>
      <c r="AC624" s="39">
        <f t="shared" si="263"/>
        <v>4120.329155174255</v>
      </c>
      <c r="AD624" s="41">
        <f t="shared" si="264"/>
        <v>0.2065982220298197</v>
      </c>
      <c r="AF624" s="46">
        <f t="shared" si="246"/>
        <v>0</v>
      </c>
      <c r="AG624" s="46">
        <f t="shared" si="265"/>
        <v>0</v>
      </c>
      <c r="AH624" s="54">
        <f t="shared" si="247"/>
        <v>4151</v>
      </c>
      <c r="AI624" s="55">
        <f t="shared" si="256"/>
        <v>0.33964365256124723</v>
      </c>
      <c r="AJ624" s="55">
        <f t="shared" si="266"/>
        <v>0</v>
      </c>
      <c r="AK624" s="55">
        <f t="shared" si="267"/>
        <v>0</v>
      </c>
    </row>
    <row r="625" spans="2:37" s="53" customFormat="1" ht="17.25" customHeight="1" x14ac:dyDescent="0.25">
      <c r="B625" s="91" t="str">
        <f t="shared" si="248"/>
        <v/>
      </c>
      <c r="C625" s="81">
        <f>IF(Sheet3!A596="","",Sheet3!A596)</f>
        <v>41785</v>
      </c>
      <c r="D625" s="82">
        <f>IF(C625="","",Sheet3!E596)</f>
        <v>35.470001000000003</v>
      </c>
      <c r="E625" s="56">
        <f>_xlfn.XLOOKUP(WEEKNUM(C625)&amp;YEAR(C625),Sheet4!C:C,Sheet4!B:B,0)</f>
        <v>0</v>
      </c>
      <c r="F625" s="46">
        <f>IF(int=Weekly,-$D$5,IF(int=Bi_Weekly,-$D$5,IF(int=Monthly,0,IF(int=Quarterly,0,IF(int=Yearly,0,IF(int=None,0,0))))))</f>
        <v>0</v>
      </c>
      <c r="G625" s="46"/>
      <c r="H625" s="46">
        <f t="shared" si="257"/>
        <v>-14850</v>
      </c>
      <c r="I625" s="47"/>
      <c r="J625" s="38">
        <f t="shared" si="244"/>
        <v>0</v>
      </c>
      <c r="K625" s="48"/>
      <c r="L625" s="48">
        <f t="shared" si="249"/>
        <v>514.64475694351256</v>
      </c>
      <c r="M625" s="48"/>
      <c r="N625" s="38">
        <f t="shared" si="250"/>
        <v>0</v>
      </c>
      <c r="O625" s="36">
        <f t="shared" si="251"/>
        <v>0</v>
      </c>
      <c r="P625" s="84">
        <f t="shared" si="252"/>
        <v>-19943.212830067889</v>
      </c>
      <c r="Q625" s="38">
        <f t="shared" si="253"/>
        <v>0</v>
      </c>
      <c r="R625" s="48">
        <f t="shared" si="254"/>
        <v>166.66925028350948</v>
      </c>
      <c r="S625" s="38">
        <f t="shared" si="245"/>
        <v>681.3140072270221</v>
      </c>
      <c r="T625" s="50">
        <f t="shared" si="258"/>
        <v>14850</v>
      </c>
      <c r="U625" s="40">
        <f t="shared" si="259"/>
        <v>18254.450043431149</v>
      </c>
      <c r="V625" s="41">
        <f t="shared" si="260"/>
        <v>0.22925589518054879</v>
      </c>
      <c r="W625" s="39">
        <f t="shared" si="261"/>
        <v>3404.4500434311485</v>
      </c>
      <c r="X625" s="50">
        <f t="shared" si="255"/>
        <v>5093.6815800841632</v>
      </c>
      <c r="Y625" s="41">
        <f t="shared" si="262"/>
        <v>0.57226475579227709</v>
      </c>
      <c r="Z625" s="52"/>
      <c r="AA625" s="50">
        <f t="shared" ref="AA625:AA688" si="268">(D625*Q625)+(D625*J625)+AA624</f>
        <v>19943.681580084165</v>
      </c>
      <c r="AB625" s="39">
        <f t="shared" ref="AB625:AB688" si="269">(L625*D625)+(D625*R625)</f>
        <v>24166.20851765648</v>
      </c>
      <c r="AC625" s="39">
        <f t="shared" si="263"/>
        <v>4222.5269375723146</v>
      </c>
      <c r="AD625" s="41">
        <f t="shared" si="264"/>
        <v>0.21172254082661168</v>
      </c>
      <c r="AF625" s="46">
        <f t="shared" si="246"/>
        <v>0</v>
      </c>
      <c r="AG625" s="46">
        <f t="shared" si="265"/>
        <v>0</v>
      </c>
      <c r="AH625" s="54">
        <f t="shared" si="247"/>
        <v>4158</v>
      </c>
      <c r="AI625" s="55">
        <f t="shared" si="256"/>
        <v>0.33853006681514475</v>
      </c>
      <c r="AJ625" s="55">
        <f t="shared" si="266"/>
        <v>0</v>
      </c>
      <c r="AK625" s="55">
        <f t="shared" si="267"/>
        <v>0</v>
      </c>
    </row>
    <row r="626" spans="2:37" s="53" customFormat="1" ht="17.25" customHeight="1" x14ac:dyDescent="0.25">
      <c r="B626" s="91" t="str">
        <f t="shared" si="248"/>
        <v/>
      </c>
      <c r="C626" s="81">
        <f>IF(Sheet3!A597="","",Sheet3!A597)</f>
        <v>41792</v>
      </c>
      <c r="D626" s="82">
        <f>IF(C626="","",Sheet3!E597)</f>
        <v>35.020000000000003</v>
      </c>
      <c r="E626" s="56">
        <f>_xlfn.XLOOKUP(WEEKNUM(C626)&amp;YEAR(C626),Sheet4!C:C,Sheet4!B:B,0)</f>
        <v>0</v>
      </c>
      <c r="F626" s="46">
        <f>IF(int=Weekly,-$D$5,IF(int=Bi_Weekly,0,IF(int=Monthly,0,IF(int=Quarterly,0,IF(int=Yearly,0,IF(int=None,0,0))))))</f>
        <v>0</v>
      </c>
      <c r="G626" s="46"/>
      <c r="H626" s="46">
        <f t="shared" si="257"/>
        <v>-14850</v>
      </c>
      <c r="I626" s="47"/>
      <c r="J626" s="38">
        <f t="shared" si="244"/>
        <v>0</v>
      </c>
      <c r="K626" s="48"/>
      <c r="L626" s="48">
        <f t="shared" si="249"/>
        <v>514.64475694351256</v>
      </c>
      <c r="M626" s="48"/>
      <c r="N626" s="38">
        <f t="shared" si="250"/>
        <v>0</v>
      </c>
      <c r="O626" s="36">
        <f t="shared" si="251"/>
        <v>0</v>
      </c>
      <c r="P626" s="84">
        <f t="shared" si="252"/>
        <v>-19943.212830067889</v>
      </c>
      <c r="Q626" s="38">
        <f t="shared" si="253"/>
        <v>0</v>
      </c>
      <c r="R626" s="48">
        <f t="shared" si="254"/>
        <v>166.66925028350948</v>
      </c>
      <c r="S626" s="38">
        <f t="shared" si="245"/>
        <v>681.3140072270221</v>
      </c>
      <c r="T626" s="50">
        <f t="shared" si="258"/>
        <v>14850</v>
      </c>
      <c r="U626" s="40">
        <f t="shared" si="259"/>
        <v>18022.859388161811</v>
      </c>
      <c r="V626" s="41">
        <f t="shared" si="260"/>
        <v>0.21366056485938123</v>
      </c>
      <c r="W626" s="39">
        <f t="shared" si="261"/>
        <v>3172.8593881618108</v>
      </c>
      <c r="X626" s="50">
        <f t="shared" si="255"/>
        <v>5093.6815800841632</v>
      </c>
      <c r="Y626" s="41">
        <f t="shared" si="262"/>
        <v>0.55666942547110931</v>
      </c>
      <c r="Z626" s="52"/>
      <c r="AA626" s="50">
        <f t="shared" si="268"/>
        <v>19943.681580084165</v>
      </c>
      <c r="AB626" s="39">
        <f t="shared" si="269"/>
        <v>23859.616533090313</v>
      </c>
      <c r="AC626" s="39">
        <f t="shared" si="263"/>
        <v>3915.9349530061481</v>
      </c>
      <c r="AD626" s="41">
        <f t="shared" si="264"/>
        <v>0.1963496527600308</v>
      </c>
      <c r="AF626" s="46">
        <f t="shared" si="246"/>
        <v>0</v>
      </c>
      <c r="AG626" s="46">
        <f t="shared" si="265"/>
        <v>0</v>
      </c>
      <c r="AH626" s="54">
        <f t="shared" si="247"/>
        <v>4165</v>
      </c>
      <c r="AI626" s="55">
        <f t="shared" si="256"/>
        <v>0.33741648106904232</v>
      </c>
      <c r="AJ626" s="55">
        <f t="shared" si="266"/>
        <v>0</v>
      </c>
      <c r="AK626" s="55">
        <f t="shared" si="267"/>
        <v>0</v>
      </c>
    </row>
    <row r="627" spans="2:37" s="53" customFormat="1" ht="17.25" customHeight="1" x14ac:dyDescent="0.25">
      <c r="B627" s="91" t="str">
        <f t="shared" si="248"/>
        <v/>
      </c>
      <c r="C627" s="81">
        <f>IF(Sheet3!A598="","",Sheet3!A598)</f>
        <v>41799</v>
      </c>
      <c r="D627" s="82">
        <f>IF(C627="","",Sheet3!E598)</f>
        <v>35.029998999999997</v>
      </c>
      <c r="E627" s="56">
        <f>_xlfn.XLOOKUP(WEEKNUM(C627)&amp;YEAR(C627),Sheet4!C:C,Sheet4!B:B,0)</f>
        <v>0</v>
      </c>
      <c r="F627" s="46">
        <f>IF(int=Weekly,-$D$5,IF(int=Bi_Weekly,-$D$5,IF(int=Monthly,-$D$5,IF(int=Quarterly,0,IF(int=Yearly,0,IF(int=None,0,0))))))</f>
        <v>-100</v>
      </c>
      <c r="G627" s="46"/>
      <c r="H627" s="46">
        <f t="shared" si="257"/>
        <v>-14950</v>
      </c>
      <c r="I627" s="47"/>
      <c r="J627" s="38">
        <f t="shared" si="244"/>
        <v>2.8546960563715693</v>
      </c>
      <c r="K627" s="48"/>
      <c r="L627" s="48">
        <f t="shared" si="249"/>
        <v>517.49945299988417</v>
      </c>
      <c r="M627" s="48"/>
      <c r="N627" s="38">
        <f t="shared" si="250"/>
        <v>0</v>
      </c>
      <c r="O627" s="36">
        <f t="shared" si="251"/>
        <v>0</v>
      </c>
      <c r="P627" s="84">
        <f t="shared" si="252"/>
        <v>-20043.212830067889</v>
      </c>
      <c r="Q627" s="38">
        <f t="shared" si="253"/>
        <v>0</v>
      </c>
      <c r="R627" s="48">
        <f t="shared" si="254"/>
        <v>166.66925028350948</v>
      </c>
      <c r="S627" s="38">
        <f t="shared" si="245"/>
        <v>684.1687032833936</v>
      </c>
      <c r="T627" s="50">
        <f t="shared" si="258"/>
        <v>14950</v>
      </c>
      <c r="U627" s="40">
        <f t="shared" si="259"/>
        <v>18128.005321086486</v>
      </c>
      <c r="V627" s="41">
        <f t="shared" si="260"/>
        <v>0.21257560676163778</v>
      </c>
      <c r="W627" s="39">
        <f t="shared" si="261"/>
        <v>3178.0053210864862</v>
      </c>
      <c r="X627" s="50">
        <f t="shared" si="255"/>
        <v>5093.6815800841632</v>
      </c>
      <c r="Y627" s="41">
        <f t="shared" si="262"/>
        <v>0.55329009372378946</v>
      </c>
      <c r="Z627" s="52"/>
      <c r="AA627" s="50">
        <f t="shared" si="268"/>
        <v>20043.681580084165</v>
      </c>
      <c r="AB627" s="39">
        <f t="shared" si="269"/>
        <v>23966.428991848574</v>
      </c>
      <c r="AC627" s="39">
        <f t="shared" si="263"/>
        <v>3922.7474117644088</v>
      </c>
      <c r="AD627" s="41">
        <f t="shared" si="264"/>
        <v>0.19570992465087533</v>
      </c>
      <c r="AF627" s="46">
        <f t="shared" si="246"/>
        <v>-100</v>
      </c>
      <c r="AG627" s="46">
        <f t="shared" si="265"/>
        <v>-100</v>
      </c>
      <c r="AH627" s="54">
        <f t="shared" si="247"/>
        <v>4172</v>
      </c>
      <c r="AI627" s="55">
        <f t="shared" si="256"/>
        <v>0.33630289532293989</v>
      </c>
      <c r="AJ627" s="55">
        <f t="shared" si="266"/>
        <v>-33.630289532293986</v>
      </c>
      <c r="AK627" s="55">
        <f t="shared" si="267"/>
        <v>-33.630289532293986</v>
      </c>
    </row>
    <row r="628" spans="2:37" s="53" customFormat="1" ht="17.25" customHeight="1" x14ac:dyDescent="0.25">
      <c r="B628" s="91" t="str">
        <f t="shared" si="248"/>
        <v/>
      </c>
      <c r="C628" s="81">
        <f>IF(Sheet3!A599="","",Sheet3!A599)</f>
        <v>41806</v>
      </c>
      <c r="D628" s="82">
        <f>IF(C628="","",Sheet3!E599)</f>
        <v>35.389999000000003</v>
      </c>
      <c r="E628" s="56">
        <f>_xlfn.XLOOKUP(WEEKNUM(C628)&amp;YEAR(C628),Sheet4!C:C,Sheet4!B:B,0)</f>
        <v>0</v>
      </c>
      <c r="F628" s="46">
        <f>IF(int=Weekly,-$D$5,IF(int=Bi_Weekly,0,IF(int=Monthly,0,IF(int=Quarterly,0,IF(int=Yearly,0,IF(int=None,0,0))))))</f>
        <v>0</v>
      </c>
      <c r="G628" s="46"/>
      <c r="H628" s="46">
        <f t="shared" si="257"/>
        <v>-14950</v>
      </c>
      <c r="I628" s="47"/>
      <c r="J628" s="38">
        <f t="shared" si="244"/>
        <v>0</v>
      </c>
      <c r="K628" s="48"/>
      <c r="L628" s="48">
        <f t="shared" si="249"/>
        <v>517.49945299988417</v>
      </c>
      <c r="M628" s="48"/>
      <c r="N628" s="38">
        <f t="shared" si="250"/>
        <v>0</v>
      </c>
      <c r="O628" s="36">
        <f t="shared" si="251"/>
        <v>0</v>
      </c>
      <c r="P628" s="84">
        <f t="shared" si="252"/>
        <v>-20043.212830067889</v>
      </c>
      <c r="Q628" s="38">
        <f t="shared" si="253"/>
        <v>0</v>
      </c>
      <c r="R628" s="48">
        <f t="shared" si="254"/>
        <v>166.66925028350948</v>
      </c>
      <c r="S628" s="38">
        <f t="shared" si="245"/>
        <v>684.1687032833936</v>
      </c>
      <c r="T628" s="50">
        <f t="shared" si="258"/>
        <v>14950</v>
      </c>
      <c r="U628" s="40">
        <f t="shared" si="259"/>
        <v>18314.305124166451</v>
      </c>
      <c r="V628" s="41">
        <f t="shared" si="260"/>
        <v>0.22503713205126763</v>
      </c>
      <c r="W628" s="39">
        <f t="shared" si="261"/>
        <v>3364.3051241664507</v>
      </c>
      <c r="X628" s="50">
        <f t="shared" si="255"/>
        <v>5093.6815800841632</v>
      </c>
      <c r="Y628" s="41">
        <f t="shared" si="262"/>
        <v>0.56575161901341908</v>
      </c>
      <c r="Z628" s="52"/>
      <c r="AA628" s="50">
        <f t="shared" si="268"/>
        <v>20043.681580084165</v>
      </c>
      <c r="AB628" s="39">
        <f t="shared" si="269"/>
        <v>24212.7297250306</v>
      </c>
      <c r="AC628" s="39">
        <f t="shared" si="263"/>
        <v>4169.0481449464351</v>
      </c>
      <c r="AD628" s="41">
        <f t="shared" si="264"/>
        <v>0.20799812291415032</v>
      </c>
      <c r="AF628" s="46">
        <f t="shared" si="246"/>
        <v>0</v>
      </c>
      <c r="AG628" s="46">
        <f t="shared" si="265"/>
        <v>0</v>
      </c>
      <c r="AH628" s="54">
        <f t="shared" si="247"/>
        <v>4179</v>
      </c>
      <c r="AI628" s="55">
        <f t="shared" si="256"/>
        <v>0.3351893095768374</v>
      </c>
      <c r="AJ628" s="55">
        <f t="shared" si="266"/>
        <v>0</v>
      </c>
      <c r="AK628" s="55">
        <f t="shared" si="267"/>
        <v>0</v>
      </c>
    </row>
    <row r="629" spans="2:37" s="53" customFormat="1" ht="17.25" customHeight="1" x14ac:dyDescent="0.25">
      <c r="B629" s="91" t="str">
        <f t="shared" si="248"/>
        <v/>
      </c>
      <c r="C629" s="81">
        <f>IF(Sheet3!A600="","",Sheet3!A600)</f>
        <v>41813</v>
      </c>
      <c r="D629" s="82">
        <f>IF(C629="","",Sheet3!E600)</f>
        <v>35.409999999999997</v>
      </c>
      <c r="E629" s="56">
        <f>_xlfn.XLOOKUP(WEEKNUM(C629)&amp;YEAR(C629),Sheet4!C:C,Sheet4!B:B,0)</f>
        <v>0</v>
      </c>
      <c r="F629" s="46">
        <f>IF(int=Weekly,-$D$5,IF(int=Bi_Weekly,-$D$5,IF(int=Monthly,0,IF(int=Quarterly,-$D$5,IF(int=Yearly,0,IF(int=None,0,0))))))</f>
        <v>0</v>
      </c>
      <c r="G629" s="46"/>
      <c r="H629" s="46">
        <f t="shared" si="257"/>
        <v>-14950</v>
      </c>
      <c r="I629" s="47"/>
      <c r="J629" s="38">
        <f t="shared" si="244"/>
        <v>0</v>
      </c>
      <c r="K629" s="48"/>
      <c r="L629" s="48">
        <f t="shared" si="249"/>
        <v>517.49945299988417</v>
      </c>
      <c r="M629" s="48"/>
      <c r="N629" s="38">
        <f t="shared" si="250"/>
        <v>0</v>
      </c>
      <c r="O629" s="36">
        <f t="shared" si="251"/>
        <v>0</v>
      </c>
      <c r="P629" s="84">
        <f t="shared" si="252"/>
        <v>-20043.212830067889</v>
      </c>
      <c r="Q629" s="38">
        <f t="shared" si="253"/>
        <v>0</v>
      </c>
      <c r="R629" s="48">
        <f t="shared" si="254"/>
        <v>166.66925028350948</v>
      </c>
      <c r="S629" s="38">
        <f t="shared" si="245"/>
        <v>684.1687032833936</v>
      </c>
      <c r="T629" s="50">
        <f t="shared" si="258"/>
        <v>14950</v>
      </c>
      <c r="U629" s="40">
        <f t="shared" si="259"/>
        <v>18324.655630725898</v>
      </c>
      <c r="V629" s="41">
        <f t="shared" si="260"/>
        <v>0.22572947362715046</v>
      </c>
      <c r="W629" s="39">
        <f t="shared" si="261"/>
        <v>3374.6556307258979</v>
      </c>
      <c r="X629" s="50">
        <f t="shared" si="255"/>
        <v>5093.6815800841632</v>
      </c>
      <c r="Y629" s="41">
        <f t="shared" si="262"/>
        <v>0.56644396058930169</v>
      </c>
      <c r="Z629" s="52"/>
      <c r="AA629" s="50">
        <f t="shared" si="268"/>
        <v>20043.681580084165</v>
      </c>
      <c r="AB629" s="39">
        <f t="shared" si="269"/>
        <v>24226.413783264969</v>
      </c>
      <c r="AC629" s="39">
        <f t="shared" si="263"/>
        <v>4182.7322031808035</v>
      </c>
      <c r="AD629" s="41">
        <f t="shared" si="264"/>
        <v>0.20868083472932719</v>
      </c>
      <c r="AF629" s="46">
        <f t="shared" si="246"/>
        <v>0</v>
      </c>
      <c r="AG629" s="46">
        <f t="shared" si="265"/>
        <v>0</v>
      </c>
      <c r="AH629" s="54">
        <f t="shared" si="247"/>
        <v>4186</v>
      </c>
      <c r="AI629" s="55">
        <f t="shared" si="256"/>
        <v>0.33407572383073497</v>
      </c>
      <c r="AJ629" s="55">
        <f t="shared" si="266"/>
        <v>0</v>
      </c>
      <c r="AK629" s="55">
        <f t="shared" si="267"/>
        <v>0</v>
      </c>
    </row>
    <row r="630" spans="2:37" s="53" customFormat="1" ht="17.25" customHeight="1" x14ac:dyDescent="0.25">
      <c r="B630" s="91" t="str">
        <f t="shared" si="248"/>
        <v/>
      </c>
      <c r="C630" s="81">
        <f>IF(Sheet3!A601="","",Sheet3!A601)</f>
        <v>41820</v>
      </c>
      <c r="D630" s="82">
        <f>IF(C630="","",Sheet3!E601)</f>
        <v>35.840000000000003</v>
      </c>
      <c r="E630" s="56">
        <f>_xlfn.XLOOKUP(WEEKNUM(C630)&amp;YEAR(C630),Sheet4!C:C,Sheet4!B:B,0)</f>
        <v>0</v>
      </c>
      <c r="F630" s="46">
        <f>IF(int=Weekly,-$D$5,IF(int=Bi_Weekly,0,IF(int=Monthly,0,IF(int=Quarterly,0,IF(int=Yearly,0,IF(int=None,0,0))))))</f>
        <v>0</v>
      </c>
      <c r="G630" s="46"/>
      <c r="H630" s="46">
        <f t="shared" si="257"/>
        <v>-14950</v>
      </c>
      <c r="I630" s="47"/>
      <c r="J630" s="38">
        <f t="shared" si="244"/>
        <v>0</v>
      </c>
      <c r="K630" s="48"/>
      <c r="L630" s="48">
        <f t="shared" si="249"/>
        <v>517.49945299988417</v>
      </c>
      <c r="M630" s="48"/>
      <c r="N630" s="38">
        <f t="shared" si="250"/>
        <v>0</v>
      </c>
      <c r="O630" s="36">
        <f t="shared" si="251"/>
        <v>0</v>
      </c>
      <c r="P630" s="84">
        <f t="shared" si="252"/>
        <v>-20043.212830067889</v>
      </c>
      <c r="Q630" s="38">
        <f t="shared" si="253"/>
        <v>0</v>
      </c>
      <c r="R630" s="48">
        <f t="shared" si="254"/>
        <v>166.66925028350948</v>
      </c>
      <c r="S630" s="38">
        <f t="shared" si="245"/>
        <v>684.1687032833936</v>
      </c>
      <c r="T630" s="50">
        <f t="shared" si="258"/>
        <v>14950</v>
      </c>
      <c r="U630" s="40">
        <f t="shared" si="259"/>
        <v>18547.18039551585</v>
      </c>
      <c r="V630" s="41">
        <f t="shared" si="260"/>
        <v>0.24061407327865214</v>
      </c>
      <c r="W630" s="39">
        <f t="shared" si="261"/>
        <v>3597.1803955158503</v>
      </c>
      <c r="X630" s="50">
        <f t="shared" si="255"/>
        <v>5093.6815800841632</v>
      </c>
      <c r="Y630" s="41">
        <f t="shared" si="262"/>
        <v>0.58132856024080337</v>
      </c>
      <c r="Z630" s="52"/>
      <c r="AA630" s="50">
        <f t="shared" si="268"/>
        <v>20043.681580084165</v>
      </c>
      <c r="AB630" s="39">
        <f t="shared" si="269"/>
        <v>24520.606325676832</v>
      </c>
      <c r="AC630" s="39">
        <f t="shared" si="263"/>
        <v>4476.924745592667</v>
      </c>
      <c r="AD630" s="41">
        <f t="shared" si="264"/>
        <v>0.22335840487712777</v>
      </c>
      <c r="AF630" s="46">
        <f t="shared" si="246"/>
        <v>0</v>
      </c>
      <c r="AG630" s="46">
        <f t="shared" si="265"/>
        <v>0</v>
      </c>
      <c r="AH630" s="54">
        <f t="shared" si="247"/>
        <v>4193</v>
      </c>
      <c r="AI630" s="55">
        <f t="shared" si="256"/>
        <v>0.33296213808463254</v>
      </c>
      <c r="AJ630" s="55">
        <f t="shared" si="266"/>
        <v>0</v>
      </c>
      <c r="AK630" s="55">
        <f t="shared" si="267"/>
        <v>0</v>
      </c>
    </row>
    <row r="631" spans="2:37" s="53" customFormat="1" ht="17.25" customHeight="1" x14ac:dyDescent="0.25">
      <c r="B631" s="91" t="str">
        <f t="shared" si="248"/>
        <v/>
      </c>
      <c r="C631" s="81">
        <f>IF(Sheet3!A602="","",Sheet3!A602)</f>
        <v>41827</v>
      </c>
      <c r="D631" s="82">
        <f>IF(C631="","",Sheet3!E602)</f>
        <v>35.759998000000003</v>
      </c>
      <c r="E631" s="56">
        <f>_xlfn.XLOOKUP(WEEKNUM(C631)&amp;YEAR(C631),Sheet4!C:C,Sheet4!B:B,0)</f>
        <v>0.46</v>
      </c>
      <c r="F631" s="46">
        <f>IF(int=Weekly,-$D$5,IF(int=Bi_Weekly,-$D$5,IF(int=Monthly,-$D$5,IF(int=Quarterly,0,IF(int=Yearly,0,IF(int=None,0,0))))))</f>
        <v>-100</v>
      </c>
      <c r="G631" s="46"/>
      <c r="H631" s="46">
        <f t="shared" si="257"/>
        <v>-15050</v>
      </c>
      <c r="I631" s="47"/>
      <c r="J631" s="38">
        <f t="shared" si="244"/>
        <v>2.7964207380548509</v>
      </c>
      <c r="K631" s="48"/>
      <c r="L631" s="48">
        <f t="shared" si="249"/>
        <v>520.29587373793902</v>
      </c>
      <c r="M631" s="48"/>
      <c r="N631" s="38">
        <f t="shared" si="250"/>
        <v>239.33610191945195</v>
      </c>
      <c r="O631" s="36">
        <f t="shared" si="251"/>
        <v>-239.33610191945195</v>
      </c>
      <c r="P631" s="84">
        <f t="shared" si="252"/>
        <v>-20382.548931987341</v>
      </c>
      <c r="Q631" s="38">
        <f t="shared" si="253"/>
        <v>6.6928443877276482</v>
      </c>
      <c r="R631" s="48">
        <f t="shared" si="254"/>
        <v>173.36209467123714</v>
      </c>
      <c r="S631" s="38">
        <f t="shared" si="245"/>
        <v>693.65796840917619</v>
      </c>
      <c r="T631" s="50">
        <f t="shared" si="258"/>
        <v>15050</v>
      </c>
      <c r="U631" s="40">
        <f t="shared" si="259"/>
        <v>18605.779404276953</v>
      </c>
      <c r="V631" s="41">
        <f t="shared" si="260"/>
        <v>0.23626441224431582</v>
      </c>
      <c r="W631" s="39">
        <f t="shared" si="261"/>
        <v>3555.7794042769528</v>
      </c>
      <c r="X631" s="50">
        <f t="shared" si="255"/>
        <v>5333.0176820036149</v>
      </c>
      <c r="Y631" s="41">
        <f t="shared" si="262"/>
        <v>0.59061774659671551</v>
      </c>
      <c r="Z631" s="52"/>
      <c r="AA631" s="50">
        <f t="shared" si="268"/>
        <v>20383.017682003618</v>
      </c>
      <c r="AB631" s="39">
        <f t="shared" si="269"/>
        <v>24805.207562996206</v>
      </c>
      <c r="AC631" s="39">
        <f t="shared" si="263"/>
        <v>4422.1898809925879</v>
      </c>
      <c r="AD631" s="41">
        <f t="shared" si="264"/>
        <v>0.21695462124320208</v>
      </c>
      <c r="AF631" s="46">
        <f t="shared" si="246"/>
        <v>139.33610191945195</v>
      </c>
      <c r="AG631" s="46">
        <f t="shared" si="265"/>
        <v>-100</v>
      </c>
      <c r="AH631" s="54">
        <f t="shared" si="247"/>
        <v>4200</v>
      </c>
      <c r="AI631" s="55">
        <f t="shared" si="256"/>
        <v>0.33184855233853006</v>
      </c>
      <c r="AJ631" s="55">
        <f t="shared" si="266"/>
        <v>46.23848371046401</v>
      </c>
      <c r="AK631" s="55">
        <f t="shared" si="267"/>
        <v>-33.184855233853007</v>
      </c>
    </row>
    <row r="632" spans="2:37" s="53" customFormat="1" ht="17.25" customHeight="1" x14ac:dyDescent="0.25">
      <c r="B632" s="91" t="str">
        <f t="shared" si="248"/>
        <v/>
      </c>
      <c r="C632" s="81">
        <f>IF(Sheet3!A603="","",Sheet3!A603)</f>
        <v>41834</v>
      </c>
      <c r="D632" s="82">
        <f>IF(C632="","",Sheet3!E603)</f>
        <v>36.169998</v>
      </c>
      <c r="E632" s="56">
        <f>_xlfn.XLOOKUP(WEEKNUM(C632)&amp;YEAR(C632),Sheet4!C:C,Sheet4!B:B,0)</f>
        <v>0</v>
      </c>
      <c r="F632" s="46">
        <f>IF(int=Weekly,-$D$5,IF(int=Bi_Weekly,0,IF(int=Monthly,0,IF(int=Quarterly,0,IF(int=Yearly,0,IF(int=None,0,0))))))</f>
        <v>0</v>
      </c>
      <c r="G632" s="46"/>
      <c r="H632" s="46">
        <f t="shared" si="257"/>
        <v>-15050</v>
      </c>
      <c r="I632" s="47"/>
      <c r="J632" s="38">
        <f t="shared" si="244"/>
        <v>0</v>
      </c>
      <c r="K632" s="48"/>
      <c r="L632" s="48">
        <f t="shared" si="249"/>
        <v>520.29587373793902</v>
      </c>
      <c r="M632" s="48"/>
      <c r="N632" s="38">
        <f t="shared" si="250"/>
        <v>0</v>
      </c>
      <c r="O632" s="36">
        <f t="shared" si="251"/>
        <v>0</v>
      </c>
      <c r="P632" s="84">
        <f t="shared" si="252"/>
        <v>-20382.548931987341</v>
      </c>
      <c r="Q632" s="38">
        <f t="shared" si="253"/>
        <v>0</v>
      </c>
      <c r="R632" s="48">
        <f t="shared" si="254"/>
        <v>173.36209467123714</v>
      </c>
      <c r="S632" s="38">
        <f t="shared" si="245"/>
        <v>693.65796840917619</v>
      </c>
      <c r="T632" s="50">
        <f t="shared" si="258"/>
        <v>15050</v>
      </c>
      <c r="U632" s="40">
        <f t="shared" si="259"/>
        <v>18819.100712509506</v>
      </c>
      <c r="V632" s="41">
        <f t="shared" si="260"/>
        <v>0.25043858554880427</v>
      </c>
      <c r="W632" s="39">
        <f t="shared" si="261"/>
        <v>3769.1007125095057</v>
      </c>
      <c r="X632" s="50">
        <f t="shared" si="255"/>
        <v>5333.0176820036149</v>
      </c>
      <c r="Y632" s="41">
        <f t="shared" si="262"/>
        <v>0.60479191990120396</v>
      </c>
      <c r="Z632" s="52"/>
      <c r="AA632" s="50">
        <f t="shared" si="268"/>
        <v>20383.017682003618</v>
      </c>
      <c r="AB632" s="39">
        <f t="shared" si="269"/>
        <v>25089.607330043964</v>
      </c>
      <c r="AC632" s="39">
        <f t="shared" si="263"/>
        <v>4706.5896480403462</v>
      </c>
      <c r="AD632" s="41">
        <f t="shared" si="264"/>
        <v>0.23090740151767841</v>
      </c>
      <c r="AF632" s="46">
        <f t="shared" si="246"/>
        <v>0</v>
      </c>
      <c r="AG632" s="46">
        <f t="shared" si="265"/>
        <v>0</v>
      </c>
      <c r="AH632" s="54">
        <f t="shared" si="247"/>
        <v>4207</v>
      </c>
      <c r="AI632" s="55">
        <f t="shared" si="256"/>
        <v>0.33073496659242763</v>
      </c>
      <c r="AJ632" s="55">
        <f t="shared" si="266"/>
        <v>0</v>
      </c>
      <c r="AK632" s="55">
        <f t="shared" si="267"/>
        <v>0</v>
      </c>
    </row>
    <row r="633" spans="2:37" s="53" customFormat="1" ht="17.25" customHeight="1" x14ac:dyDescent="0.25">
      <c r="B633" s="91" t="str">
        <f t="shared" si="248"/>
        <v/>
      </c>
      <c r="C633" s="81">
        <f>IF(Sheet3!A604="","",Sheet3!A604)</f>
        <v>41841</v>
      </c>
      <c r="D633" s="82">
        <f>IF(C633="","",Sheet3!E604)</f>
        <v>35.540000999999997</v>
      </c>
      <c r="E633" s="56">
        <f>_xlfn.XLOOKUP(WEEKNUM(C633)&amp;YEAR(C633),Sheet4!C:C,Sheet4!B:B,0)</f>
        <v>0</v>
      </c>
      <c r="F633" s="46">
        <f>IF(int=Weekly,-$D$5,IF(int=Bi_Weekly,-$D$5,IF(int=Monthly,0,IF(int=Quarterly,0,IF(int=Yearly,0,IF(int=None,0,0))))))</f>
        <v>0</v>
      </c>
      <c r="G633" s="46"/>
      <c r="H633" s="46">
        <f t="shared" si="257"/>
        <v>-15050</v>
      </c>
      <c r="I633" s="47"/>
      <c r="J633" s="38">
        <f t="shared" si="244"/>
        <v>0</v>
      </c>
      <c r="K633" s="48"/>
      <c r="L633" s="48">
        <f t="shared" si="249"/>
        <v>520.29587373793902</v>
      </c>
      <c r="M633" s="48"/>
      <c r="N633" s="38">
        <f t="shared" si="250"/>
        <v>0</v>
      </c>
      <c r="O633" s="36">
        <f t="shared" si="251"/>
        <v>0</v>
      </c>
      <c r="P633" s="84">
        <f t="shared" si="252"/>
        <v>-20382.548931987341</v>
      </c>
      <c r="Q633" s="38">
        <f t="shared" si="253"/>
        <v>0</v>
      </c>
      <c r="R633" s="48">
        <f t="shared" si="254"/>
        <v>173.36209467123714</v>
      </c>
      <c r="S633" s="38">
        <f t="shared" si="245"/>
        <v>693.65796840917619</v>
      </c>
      <c r="T633" s="50">
        <f t="shared" si="258"/>
        <v>15050</v>
      </c>
      <c r="U633" s="40">
        <f t="shared" si="259"/>
        <v>18491.315872942225</v>
      </c>
      <c r="V633" s="41">
        <f t="shared" si="260"/>
        <v>0.22865886198951668</v>
      </c>
      <c r="W633" s="39">
        <f t="shared" si="261"/>
        <v>3441.3158729422248</v>
      </c>
      <c r="X633" s="50">
        <f t="shared" si="255"/>
        <v>5333.0176820036149</v>
      </c>
      <c r="Y633" s="41">
        <f t="shared" si="262"/>
        <v>0.58301219634191614</v>
      </c>
      <c r="Z633" s="52"/>
      <c r="AA633" s="50">
        <f t="shared" si="268"/>
        <v>20383.017682003618</v>
      </c>
      <c r="AB633" s="39">
        <f t="shared" si="269"/>
        <v>24652.604890920087</v>
      </c>
      <c r="AC633" s="39">
        <f t="shared" si="263"/>
        <v>4269.5872089164695</v>
      </c>
      <c r="AD633" s="41">
        <f t="shared" si="264"/>
        <v>0.20946786562846054</v>
      </c>
      <c r="AF633" s="46">
        <f t="shared" si="246"/>
        <v>0</v>
      </c>
      <c r="AG633" s="46">
        <f t="shared" si="265"/>
        <v>0</v>
      </c>
      <c r="AH633" s="54">
        <f t="shared" si="247"/>
        <v>4214</v>
      </c>
      <c r="AI633" s="55">
        <f t="shared" si="256"/>
        <v>0.32962138084632514</v>
      </c>
      <c r="AJ633" s="55">
        <f t="shared" si="266"/>
        <v>0</v>
      </c>
      <c r="AK633" s="55">
        <f t="shared" si="267"/>
        <v>0</v>
      </c>
    </row>
    <row r="634" spans="2:37" s="53" customFormat="1" ht="17.25" customHeight="1" x14ac:dyDescent="0.25">
      <c r="B634" s="91" t="str">
        <f t="shared" si="248"/>
        <v/>
      </c>
      <c r="C634" s="81">
        <f>IF(Sheet3!A605="","",Sheet3!A605)</f>
        <v>41848</v>
      </c>
      <c r="D634" s="82">
        <f>IF(C634="","",Sheet3!E605)</f>
        <v>35.330002</v>
      </c>
      <c r="E634" s="56">
        <f>_xlfn.XLOOKUP(WEEKNUM(C634)&amp;YEAR(C634),Sheet4!C:C,Sheet4!B:B,0)</f>
        <v>0</v>
      </c>
      <c r="F634" s="46">
        <f>IF(int=Weekly,-$D$5,IF(int=Bi_Weekly,0,IF(int=Monthly,0,IF(int=Quarterly,0,IF(int=Yearly,0,IF(int=None,0,0))))))</f>
        <v>0</v>
      </c>
      <c r="G634" s="46"/>
      <c r="H634" s="46">
        <f t="shared" si="257"/>
        <v>-15050</v>
      </c>
      <c r="I634" s="47"/>
      <c r="J634" s="38">
        <f t="shared" si="244"/>
        <v>0</v>
      </c>
      <c r="K634" s="48"/>
      <c r="L634" s="48">
        <f t="shared" si="249"/>
        <v>520.29587373793902</v>
      </c>
      <c r="M634" s="48"/>
      <c r="N634" s="38">
        <f t="shared" si="250"/>
        <v>0</v>
      </c>
      <c r="O634" s="36">
        <f t="shared" si="251"/>
        <v>0</v>
      </c>
      <c r="P634" s="84">
        <f t="shared" si="252"/>
        <v>-20382.548931987341</v>
      </c>
      <c r="Q634" s="38">
        <f t="shared" si="253"/>
        <v>0</v>
      </c>
      <c r="R634" s="48">
        <f t="shared" si="254"/>
        <v>173.36209467123714</v>
      </c>
      <c r="S634" s="38">
        <f t="shared" si="245"/>
        <v>693.65796840917619</v>
      </c>
      <c r="T634" s="50">
        <f t="shared" si="258"/>
        <v>15050</v>
      </c>
      <c r="U634" s="40">
        <f t="shared" si="259"/>
        <v>18382.054259753135</v>
      </c>
      <c r="V634" s="41">
        <f t="shared" si="260"/>
        <v>0.22139895413642097</v>
      </c>
      <c r="W634" s="39">
        <f t="shared" si="261"/>
        <v>3332.0542597531348</v>
      </c>
      <c r="X634" s="50">
        <f t="shared" si="255"/>
        <v>5333.0176820036149</v>
      </c>
      <c r="Y634" s="41">
        <f t="shared" si="262"/>
        <v>0.57575228848882043</v>
      </c>
      <c r="Z634" s="52"/>
      <c r="AA634" s="50">
        <f t="shared" si="268"/>
        <v>20383.017682003618</v>
      </c>
      <c r="AB634" s="39">
        <f t="shared" si="269"/>
        <v>24506.937411212133</v>
      </c>
      <c r="AC634" s="39">
        <f t="shared" si="263"/>
        <v>4123.9197292085155</v>
      </c>
      <c r="AD634" s="41">
        <f t="shared" si="264"/>
        <v>0.20232135366538828</v>
      </c>
      <c r="AF634" s="46">
        <f t="shared" si="246"/>
        <v>0</v>
      </c>
      <c r="AG634" s="46">
        <f t="shared" si="265"/>
        <v>0</v>
      </c>
      <c r="AH634" s="54">
        <f t="shared" si="247"/>
        <v>4221</v>
      </c>
      <c r="AI634" s="55">
        <f t="shared" si="256"/>
        <v>0.32850779510022271</v>
      </c>
      <c r="AJ634" s="55">
        <f t="shared" si="266"/>
        <v>0</v>
      </c>
      <c r="AK634" s="55">
        <f t="shared" si="267"/>
        <v>0</v>
      </c>
    </row>
    <row r="635" spans="2:37" s="53" customFormat="1" ht="17.25" customHeight="1" x14ac:dyDescent="0.25">
      <c r="B635" s="91" t="str">
        <f t="shared" si="248"/>
        <v/>
      </c>
      <c r="C635" s="81">
        <f>IF(Sheet3!A606="","",Sheet3!A606)</f>
        <v>41855</v>
      </c>
      <c r="D635" s="82">
        <f>IF(C635="","",Sheet3!E606)</f>
        <v>34.470001000000003</v>
      </c>
      <c r="E635" s="56">
        <f>_xlfn.XLOOKUP(WEEKNUM(C635)&amp;YEAR(C635),Sheet4!C:C,Sheet4!B:B,0)</f>
        <v>0</v>
      </c>
      <c r="F635" s="46">
        <f>IF(int=Weekly,-$D$5,IF(int=Bi_Weekly,-$D$5,IF(int=Monthly,-$D$5,IF(int=Quarterly,0,IF(int=Yearly,0,IF(int=None,0,0))))))</f>
        <v>-100</v>
      </c>
      <c r="G635" s="46"/>
      <c r="H635" s="46">
        <f t="shared" si="257"/>
        <v>-15150</v>
      </c>
      <c r="I635" s="47"/>
      <c r="J635" s="38">
        <f t="shared" si="244"/>
        <v>2.9010733129946815</v>
      </c>
      <c r="K635" s="48"/>
      <c r="L635" s="48">
        <f t="shared" si="249"/>
        <v>523.19694705093366</v>
      </c>
      <c r="M635" s="48"/>
      <c r="N635" s="38">
        <f t="shared" si="250"/>
        <v>0</v>
      </c>
      <c r="O635" s="36">
        <f t="shared" si="251"/>
        <v>0</v>
      </c>
      <c r="P635" s="84">
        <f t="shared" si="252"/>
        <v>-20482.548931987341</v>
      </c>
      <c r="Q635" s="38">
        <f t="shared" si="253"/>
        <v>0</v>
      </c>
      <c r="R635" s="48">
        <f t="shared" si="254"/>
        <v>173.36209467123714</v>
      </c>
      <c r="S635" s="38">
        <f t="shared" si="245"/>
        <v>696.55904172217083</v>
      </c>
      <c r="T635" s="50">
        <f t="shared" si="258"/>
        <v>15150</v>
      </c>
      <c r="U635" s="40">
        <f t="shared" si="259"/>
        <v>18034.599288042631</v>
      </c>
      <c r="V635" s="41">
        <f t="shared" si="260"/>
        <v>0.19040259327014075</v>
      </c>
      <c r="W635" s="39">
        <f t="shared" si="261"/>
        <v>2884.5992880426311</v>
      </c>
      <c r="X635" s="50">
        <f t="shared" si="255"/>
        <v>5333.0176820036149</v>
      </c>
      <c r="Y635" s="41">
        <f t="shared" si="262"/>
        <v>0.54241696171922404</v>
      </c>
      <c r="Z635" s="52"/>
      <c r="AA635" s="50">
        <f t="shared" si="268"/>
        <v>20483.017682003618</v>
      </c>
      <c r="AB635" s="39">
        <f t="shared" si="269"/>
        <v>24010.390864722271</v>
      </c>
      <c r="AC635" s="39">
        <f t="shared" si="263"/>
        <v>3527.373182718653</v>
      </c>
      <c r="AD635" s="41">
        <f t="shared" si="264"/>
        <v>0.17220964398316196</v>
      </c>
      <c r="AF635" s="46">
        <f t="shared" si="246"/>
        <v>-100</v>
      </c>
      <c r="AG635" s="46">
        <f t="shared" si="265"/>
        <v>-100</v>
      </c>
      <c r="AH635" s="54">
        <f t="shared" si="247"/>
        <v>4228</v>
      </c>
      <c r="AI635" s="55">
        <f t="shared" si="256"/>
        <v>0.32739420935412028</v>
      </c>
      <c r="AJ635" s="55">
        <f t="shared" si="266"/>
        <v>-32.739420935412028</v>
      </c>
      <c r="AK635" s="55">
        <f t="shared" si="267"/>
        <v>-32.739420935412028</v>
      </c>
    </row>
    <row r="636" spans="2:37" s="53" customFormat="1" ht="17.25" customHeight="1" x14ac:dyDescent="0.25">
      <c r="B636" s="91" t="str">
        <f t="shared" si="248"/>
        <v/>
      </c>
      <c r="C636" s="81">
        <f>IF(Sheet3!A607="","",Sheet3!A607)</f>
        <v>41862</v>
      </c>
      <c r="D636" s="82">
        <f>IF(C636="","",Sheet3!E607)</f>
        <v>34.740001999999997</v>
      </c>
      <c r="E636" s="56">
        <f>_xlfn.XLOOKUP(WEEKNUM(C636)&amp;YEAR(C636),Sheet4!C:C,Sheet4!B:B,0)</f>
        <v>0</v>
      </c>
      <c r="F636" s="46">
        <f>IF(int=Weekly,-$D$5,IF(int=Bi_Weekly,0,IF(int=Monthly,0,IF(int=Quarterly,0,IF(int=Yearly,0,IF(int=None,0,0))))))</f>
        <v>0</v>
      </c>
      <c r="G636" s="46"/>
      <c r="H636" s="46">
        <f t="shared" si="257"/>
        <v>-15150</v>
      </c>
      <c r="I636" s="47"/>
      <c r="J636" s="38">
        <f t="shared" si="244"/>
        <v>0</v>
      </c>
      <c r="K636" s="48"/>
      <c r="L636" s="48">
        <f t="shared" si="249"/>
        <v>523.19694705093366</v>
      </c>
      <c r="M636" s="48"/>
      <c r="N636" s="38">
        <f t="shared" si="250"/>
        <v>0</v>
      </c>
      <c r="O636" s="36">
        <f t="shared" si="251"/>
        <v>0</v>
      </c>
      <c r="P636" s="84">
        <f t="shared" si="252"/>
        <v>-20482.548931987341</v>
      </c>
      <c r="Q636" s="38">
        <f t="shared" si="253"/>
        <v>0</v>
      </c>
      <c r="R636" s="48">
        <f t="shared" si="254"/>
        <v>173.36209467123714</v>
      </c>
      <c r="S636" s="38">
        <f t="shared" si="245"/>
        <v>696.55904172217083</v>
      </c>
      <c r="T636" s="50">
        <f t="shared" si="258"/>
        <v>15150</v>
      </c>
      <c r="U636" s="40">
        <f t="shared" si="259"/>
        <v>18175.862986943328</v>
      </c>
      <c r="V636" s="41">
        <f t="shared" si="260"/>
        <v>0.19972692983124274</v>
      </c>
      <c r="W636" s="39">
        <f t="shared" si="261"/>
        <v>3025.862986943328</v>
      </c>
      <c r="X636" s="50">
        <f t="shared" si="255"/>
        <v>5333.0176820036149</v>
      </c>
      <c r="Y636" s="41">
        <f t="shared" si="262"/>
        <v>0.55174129828032625</v>
      </c>
      <c r="Z636" s="52"/>
      <c r="AA636" s="50">
        <f t="shared" si="268"/>
        <v>20483.017682003618</v>
      </c>
      <c r="AB636" s="39">
        <f t="shared" si="269"/>
        <v>24198.462502546296</v>
      </c>
      <c r="AC636" s="39">
        <f t="shared" si="263"/>
        <v>3715.4448205426779</v>
      </c>
      <c r="AD636" s="41">
        <f t="shared" si="264"/>
        <v>0.1813914765013882</v>
      </c>
      <c r="AF636" s="46">
        <f t="shared" si="246"/>
        <v>0</v>
      </c>
      <c r="AG636" s="46">
        <f t="shared" si="265"/>
        <v>0</v>
      </c>
      <c r="AH636" s="54">
        <f t="shared" si="247"/>
        <v>4235</v>
      </c>
      <c r="AI636" s="55">
        <f t="shared" si="256"/>
        <v>0.32628062360801779</v>
      </c>
      <c r="AJ636" s="55">
        <f t="shared" si="266"/>
        <v>0</v>
      </c>
      <c r="AK636" s="55">
        <f t="shared" si="267"/>
        <v>0</v>
      </c>
    </row>
    <row r="637" spans="2:37" s="53" customFormat="1" ht="17.25" customHeight="1" x14ac:dyDescent="0.25">
      <c r="B637" s="91" t="str">
        <f t="shared" si="248"/>
        <v/>
      </c>
      <c r="C637" s="81">
        <f>IF(Sheet3!A608="","",Sheet3!A608)</f>
        <v>41869</v>
      </c>
      <c r="D637" s="82">
        <f>IF(C637="","",Sheet3!E608)</f>
        <v>34.5</v>
      </c>
      <c r="E637" s="56">
        <f>_xlfn.XLOOKUP(WEEKNUM(C637)&amp;YEAR(C637),Sheet4!C:C,Sheet4!B:B,0)</f>
        <v>0</v>
      </c>
      <c r="F637" s="46">
        <f>IF(int=Weekly,-$D$5,IF(int=Bi_Weekly,-$D$5,IF(int=Monthly,0,IF(int=Quarterly,0,IF(int=Yearly,0,IF(int=None,0,0))))))</f>
        <v>0</v>
      </c>
      <c r="G637" s="46"/>
      <c r="H637" s="46">
        <f t="shared" si="257"/>
        <v>-15150</v>
      </c>
      <c r="I637" s="47"/>
      <c r="J637" s="38">
        <f t="shared" si="244"/>
        <v>0</v>
      </c>
      <c r="K637" s="48"/>
      <c r="L637" s="48">
        <f t="shared" si="249"/>
        <v>523.19694705093366</v>
      </c>
      <c r="M637" s="48"/>
      <c r="N637" s="38">
        <f t="shared" si="250"/>
        <v>0</v>
      </c>
      <c r="O637" s="36">
        <f t="shared" si="251"/>
        <v>0</v>
      </c>
      <c r="P637" s="84">
        <f t="shared" si="252"/>
        <v>-20482.548931987341</v>
      </c>
      <c r="Q637" s="38">
        <f t="shared" si="253"/>
        <v>0</v>
      </c>
      <c r="R637" s="48">
        <f t="shared" si="254"/>
        <v>173.36209467123714</v>
      </c>
      <c r="S637" s="38">
        <f t="shared" si="245"/>
        <v>696.55904172217083</v>
      </c>
      <c r="T637" s="50">
        <f t="shared" si="258"/>
        <v>15150</v>
      </c>
      <c r="U637" s="40">
        <f t="shared" si="259"/>
        <v>18050.294673257213</v>
      </c>
      <c r="V637" s="41">
        <f t="shared" si="260"/>
        <v>0.19143859229420546</v>
      </c>
      <c r="W637" s="39">
        <f t="shared" si="261"/>
        <v>2900.2946732572127</v>
      </c>
      <c r="X637" s="50">
        <f t="shared" si="255"/>
        <v>5333.0176820036149</v>
      </c>
      <c r="Y637" s="41">
        <f t="shared" si="262"/>
        <v>0.54345296074328897</v>
      </c>
      <c r="Z637" s="52"/>
      <c r="AA637" s="50">
        <f t="shared" si="268"/>
        <v>20483.017682003618</v>
      </c>
      <c r="AB637" s="39">
        <f t="shared" si="269"/>
        <v>24031.286939414895</v>
      </c>
      <c r="AC637" s="39">
        <f t="shared" si="263"/>
        <v>3548.2692574112771</v>
      </c>
      <c r="AD637" s="41">
        <f t="shared" si="264"/>
        <v>0.17322980981111913</v>
      </c>
      <c r="AF637" s="46">
        <f t="shared" si="246"/>
        <v>0</v>
      </c>
      <c r="AG637" s="46">
        <f t="shared" si="265"/>
        <v>0</v>
      </c>
      <c r="AH637" s="54">
        <f t="shared" si="247"/>
        <v>4242</v>
      </c>
      <c r="AI637" s="55">
        <f t="shared" si="256"/>
        <v>0.32516703786191536</v>
      </c>
      <c r="AJ637" s="55">
        <f t="shared" si="266"/>
        <v>0</v>
      </c>
      <c r="AK637" s="55">
        <f t="shared" si="267"/>
        <v>0</v>
      </c>
    </row>
    <row r="638" spans="2:37" s="53" customFormat="1" ht="17.25" customHeight="1" x14ac:dyDescent="0.25">
      <c r="B638" s="91" t="str">
        <f t="shared" si="248"/>
        <v/>
      </c>
      <c r="C638" s="81">
        <f>IF(Sheet3!A609="","",Sheet3!A609)</f>
        <v>41876</v>
      </c>
      <c r="D638" s="82">
        <f>IF(C638="","",Sheet3!E609)</f>
        <v>34.959999000000003</v>
      </c>
      <c r="E638" s="56">
        <f>_xlfn.XLOOKUP(WEEKNUM(C638)&amp;YEAR(C638),Sheet4!C:C,Sheet4!B:B,0)</f>
        <v>0</v>
      </c>
      <c r="F638" s="46">
        <f>IF(int=Weekly,-$D$5,IF(int=Bi_Weekly,0,IF(int=Monthly,0,IF(int=Quarterly,0,IF(int=Yearly,0,IF(int=None,0,0))))))</f>
        <v>0</v>
      </c>
      <c r="G638" s="46"/>
      <c r="H638" s="46">
        <f t="shared" si="257"/>
        <v>-15150</v>
      </c>
      <c r="I638" s="47"/>
      <c r="J638" s="38">
        <f t="shared" si="244"/>
        <v>0</v>
      </c>
      <c r="K638" s="48"/>
      <c r="L638" s="48">
        <f t="shared" si="249"/>
        <v>523.19694705093366</v>
      </c>
      <c r="M638" s="48"/>
      <c r="N638" s="38">
        <f t="shared" si="250"/>
        <v>0</v>
      </c>
      <c r="O638" s="36">
        <f t="shared" si="251"/>
        <v>0</v>
      </c>
      <c r="P638" s="84">
        <f t="shared" si="252"/>
        <v>-20482.548931987341</v>
      </c>
      <c r="Q638" s="38">
        <f t="shared" si="253"/>
        <v>0</v>
      </c>
      <c r="R638" s="48">
        <f t="shared" si="254"/>
        <v>173.36209467123714</v>
      </c>
      <c r="S638" s="38">
        <f t="shared" si="245"/>
        <v>696.55904172217083</v>
      </c>
      <c r="T638" s="50">
        <f t="shared" si="258"/>
        <v>15150</v>
      </c>
      <c r="U638" s="40">
        <f t="shared" si="259"/>
        <v>18290.964745703695</v>
      </c>
      <c r="V638" s="41">
        <f t="shared" si="260"/>
        <v>0.2073244056570096</v>
      </c>
      <c r="W638" s="39">
        <f t="shared" si="261"/>
        <v>3140.9647457036954</v>
      </c>
      <c r="X638" s="50">
        <f t="shared" si="255"/>
        <v>5333.0176820036149</v>
      </c>
      <c r="Y638" s="41">
        <f t="shared" si="262"/>
        <v>0.55933877410609312</v>
      </c>
      <c r="Z638" s="52"/>
      <c r="AA638" s="50">
        <f t="shared" si="268"/>
        <v>20483.017682003618</v>
      </c>
      <c r="AB638" s="39">
        <f t="shared" si="269"/>
        <v>24351.70340204805</v>
      </c>
      <c r="AC638" s="39">
        <f t="shared" si="263"/>
        <v>3868.6857200444319</v>
      </c>
      <c r="AD638" s="41">
        <f t="shared" si="264"/>
        <v>0.18887283993527282</v>
      </c>
      <c r="AF638" s="46">
        <f t="shared" si="246"/>
        <v>0</v>
      </c>
      <c r="AG638" s="46">
        <f t="shared" si="265"/>
        <v>0</v>
      </c>
      <c r="AH638" s="54">
        <f t="shared" si="247"/>
        <v>4249</v>
      </c>
      <c r="AI638" s="55">
        <f t="shared" si="256"/>
        <v>0.32405345211581293</v>
      </c>
      <c r="AJ638" s="55">
        <f t="shared" si="266"/>
        <v>0</v>
      </c>
      <c r="AK638" s="55">
        <f t="shared" si="267"/>
        <v>0</v>
      </c>
    </row>
    <row r="639" spans="2:37" s="53" customFormat="1" ht="17.25" customHeight="1" x14ac:dyDescent="0.25">
      <c r="B639" s="91" t="str">
        <f t="shared" si="248"/>
        <v/>
      </c>
      <c r="C639" s="81">
        <f>IF(Sheet3!A610="","",Sheet3!A610)</f>
        <v>41883</v>
      </c>
      <c r="D639" s="82">
        <f>IF(C639="","",Sheet3!E610)</f>
        <v>35.150002000000001</v>
      </c>
      <c r="E639" s="56">
        <f>_xlfn.XLOOKUP(WEEKNUM(C639)&amp;YEAR(C639),Sheet4!C:C,Sheet4!B:B,0)</f>
        <v>0</v>
      </c>
      <c r="F639" s="46">
        <f>IF(int=Weekly,-$D$5,IF(int=Bi_Weekly,-$D$5,IF(int=Monthly,-$D$5,IF(int=Quarterly,0,IF(int=Yearly,0,IF(int=None,0,0))))))</f>
        <v>-100</v>
      </c>
      <c r="G639" s="46"/>
      <c r="H639" s="46">
        <f t="shared" si="257"/>
        <v>-15250</v>
      </c>
      <c r="I639" s="47"/>
      <c r="J639" s="38">
        <f t="shared" si="244"/>
        <v>2.8449500514964408</v>
      </c>
      <c r="K639" s="48"/>
      <c r="L639" s="48">
        <f t="shared" si="249"/>
        <v>526.04189710243008</v>
      </c>
      <c r="M639" s="48"/>
      <c r="N639" s="38">
        <f t="shared" si="250"/>
        <v>0</v>
      </c>
      <c r="O639" s="36">
        <f t="shared" si="251"/>
        <v>0</v>
      </c>
      <c r="P639" s="84">
        <f t="shared" si="252"/>
        <v>-20582.548931987341</v>
      </c>
      <c r="Q639" s="38">
        <f t="shared" si="253"/>
        <v>0</v>
      </c>
      <c r="R639" s="48">
        <f t="shared" si="254"/>
        <v>173.36209467123714</v>
      </c>
      <c r="S639" s="38">
        <f t="shared" si="245"/>
        <v>699.40399177366726</v>
      </c>
      <c r="T639" s="50">
        <f t="shared" si="258"/>
        <v>15250</v>
      </c>
      <c r="U639" s="40">
        <f t="shared" si="259"/>
        <v>18490.37373523421</v>
      </c>
      <c r="V639" s="41">
        <f t="shared" si="260"/>
        <v>0.21248352362191536</v>
      </c>
      <c r="W639" s="39">
        <f t="shared" si="261"/>
        <v>3240.3737352342105</v>
      </c>
      <c r="X639" s="50">
        <f t="shared" si="255"/>
        <v>5333.0176820036149</v>
      </c>
      <c r="Y639" s="41">
        <f t="shared" si="262"/>
        <v>0.5621896011303491</v>
      </c>
      <c r="Z639" s="52"/>
      <c r="AA639" s="50">
        <f t="shared" si="268"/>
        <v>20583.017682003618</v>
      </c>
      <c r="AB639" s="39">
        <f t="shared" si="269"/>
        <v>24584.051709652384</v>
      </c>
      <c r="AC639" s="39">
        <f t="shared" si="263"/>
        <v>4001.0340276487659</v>
      </c>
      <c r="AD639" s="41">
        <f t="shared" si="264"/>
        <v>0.1943852009196394</v>
      </c>
      <c r="AF639" s="46">
        <f t="shared" si="246"/>
        <v>-100</v>
      </c>
      <c r="AG639" s="46">
        <f t="shared" si="265"/>
        <v>-100</v>
      </c>
      <c r="AH639" s="54">
        <f t="shared" si="247"/>
        <v>4256</v>
      </c>
      <c r="AI639" s="55">
        <f t="shared" si="256"/>
        <v>0.32293986636971045</v>
      </c>
      <c r="AJ639" s="55">
        <f t="shared" si="266"/>
        <v>-32.293986636971042</v>
      </c>
      <c r="AK639" s="55">
        <f t="shared" si="267"/>
        <v>-32.293986636971042</v>
      </c>
    </row>
    <row r="640" spans="2:37" s="53" customFormat="1" ht="17.25" customHeight="1" x14ac:dyDescent="0.25">
      <c r="B640" s="91" t="str">
        <f t="shared" si="248"/>
        <v/>
      </c>
      <c r="C640" s="81">
        <f>IF(Sheet3!A611="","",Sheet3!A611)</f>
        <v>41890</v>
      </c>
      <c r="D640" s="82">
        <f>IF(C640="","",Sheet3!E611)</f>
        <v>34.5</v>
      </c>
      <c r="E640" s="56">
        <f>_xlfn.XLOOKUP(WEEKNUM(C640)&amp;YEAR(C640),Sheet4!C:C,Sheet4!B:B,0)</f>
        <v>0</v>
      </c>
      <c r="F640" s="46">
        <f>IF(int=Weekly,-$D$5,IF(int=Bi_Weekly,0,IF(int=Monthly,0,IF(int=Quarterly,0,IF(int=Yearly,0,IF(int=None,0,0))))))</f>
        <v>0</v>
      </c>
      <c r="G640" s="46"/>
      <c r="H640" s="46">
        <f t="shared" si="257"/>
        <v>-15250</v>
      </c>
      <c r="I640" s="47"/>
      <c r="J640" s="38">
        <f t="shared" si="244"/>
        <v>0</v>
      </c>
      <c r="K640" s="48"/>
      <c r="L640" s="48">
        <f t="shared" si="249"/>
        <v>526.04189710243008</v>
      </c>
      <c r="M640" s="48"/>
      <c r="N640" s="38">
        <f t="shared" si="250"/>
        <v>0</v>
      </c>
      <c r="O640" s="36">
        <f t="shared" si="251"/>
        <v>0</v>
      </c>
      <c r="P640" s="84">
        <f t="shared" si="252"/>
        <v>-20582.548931987341</v>
      </c>
      <c r="Q640" s="38">
        <f t="shared" si="253"/>
        <v>0</v>
      </c>
      <c r="R640" s="48">
        <f t="shared" si="254"/>
        <v>173.36209467123714</v>
      </c>
      <c r="S640" s="38">
        <f t="shared" si="245"/>
        <v>699.40399177366726</v>
      </c>
      <c r="T640" s="50">
        <f t="shared" si="258"/>
        <v>15250</v>
      </c>
      <c r="U640" s="40">
        <f t="shared" si="259"/>
        <v>18148.44545003384</v>
      </c>
      <c r="V640" s="41">
        <f t="shared" si="260"/>
        <v>0.19006199672353041</v>
      </c>
      <c r="W640" s="39">
        <f t="shared" si="261"/>
        <v>2898.4454500338397</v>
      </c>
      <c r="X640" s="50">
        <f t="shared" si="255"/>
        <v>5333.0176820036149</v>
      </c>
      <c r="Y640" s="41">
        <f t="shared" si="262"/>
        <v>0.53976807423196416</v>
      </c>
      <c r="Z640" s="52"/>
      <c r="AA640" s="50">
        <f t="shared" si="268"/>
        <v>20583.017682003618</v>
      </c>
      <c r="AB640" s="39">
        <f t="shared" si="269"/>
        <v>24129.437716191522</v>
      </c>
      <c r="AC640" s="39">
        <f t="shared" si="263"/>
        <v>3546.4200341879041</v>
      </c>
      <c r="AD640" s="41">
        <f t="shared" si="264"/>
        <v>0.17229835240770597</v>
      </c>
      <c r="AF640" s="46">
        <f t="shared" si="246"/>
        <v>0</v>
      </c>
      <c r="AG640" s="46">
        <f t="shared" si="265"/>
        <v>0</v>
      </c>
      <c r="AH640" s="54">
        <f t="shared" si="247"/>
        <v>4263</v>
      </c>
      <c r="AI640" s="55">
        <f t="shared" si="256"/>
        <v>0.32182628062360802</v>
      </c>
      <c r="AJ640" s="55">
        <f t="shared" si="266"/>
        <v>0</v>
      </c>
      <c r="AK640" s="55">
        <f t="shared" si="267"/>
        <v>0</v>
      </c>
    </row>
    <row r="641" spans="2:37" s="53" customFormat="1" ht="17.25" customHeight="1" x14ac:dyDescent="0.25">
      <c r="B641" s="91" t="str">
        <f t="shared" si="248"/>
        <v/>
      </c>
      <c r="C641" s="81">
        <f>IF(Sheet3!A612="","",Sheet3!A612)</f>
        <v>41897</v>
      </c>
      <c r="D641" s="82">
        <f>IF(C641="","",Sheet3!E612)</f>
        <v>35.470001000000003</v>
      </c>
      <c r="E641" s="56">
        <f>_xlfn.XLOOKUP(WEEKNUM(C641)&amp;YEAR(C641),Sheet4!C:C,Sheet4!B:B,0)</f>
        <v>0</v>
      </c>
      <c r="F641" s="46">
        <f>IF(int=Weekly,-$D$5,IF(int=Bi_Weekly,-$D$5,IF(int=Monthly,0,IF(int=Quarterly,0,IF(int=Yearly,0,IF(int=None,0,0))))))</f>
        <v>0</v>
      </c>
      <c r="G641" s="46"/>
      <c r="H641" s="46">
        <f t="shared" si="257"/>
        <v>-15250</v>
      </c>
      <c r="I641" s="47"/>
      <c r="J641" s="38">
        <f t="shared" si="244"/>
        <v>0</v>
      </c>
      <c r="K641" s="48"/>
      <c r="L641" s="48">
        <f t="shared" si="249"/>
        <v>526.04189710243008</v>
      </c>
      <c r="M641" s="48"/>
      <c r="N641" s="38">
        <f t="shared" si="250"/>
        <v>0</v>
      </c>
      <c r="O641" s="36">
        <f t="shared" si="251"/>
        <v>0</v>
      </c>
      <c r="P641" s="84">
        <f t="shared" si="252"/>
        <v>-20582.548931987341</v>
      </c>
      <c r="Q641" s="38">
        <f t="shared" si="253"/>
        <v>0</v>
      </c>
      <c r="R641" s="48">
        <f t="shared" si="254"/>
        <v>173.36209467123714</v>
      </c>
      <c r="S641" s="38">
        <f t="shared" si="245"/>
        <v>699.40399177366726</v>
      </c>
      <c r="T641" s="50">
        <f t="shared" si="258"/>
        <v>15250</v>
      </c>
      <c r="U641" s="40">
        <f t="shared" si="259"/>
        <v>18658.706616265095</v>
      </c>
      <c r="V641" s="41">
        <f t="shared" si="260"/>
        <v>0.22352174532885871</v>
      </c>
      <c r="W641" s="39">
        <f t="shared" si="261"/>
        <v>3408.7066162650954</v>
      </c>
      <c r="X641" s="50">
        <f t="shared" si="255"/>
        <v>5333.0176820036149</v>
      </c>
      <c r="Y641" s="41">
        <f t="shared" si="262"/>
        <v>0.57322782283729246</v>
      </c>
      <c r="Z641" s="52"/>
      <c r="AA641" s="50">
        <f t="shared" si="268"/>
        <v>20583.017682003618</v>
      </c>
      <c r="AB641" s="39">
        <f t="shared" si="269"/>
        <v>24807.860287615971</v>
      </c>
      <c r="AC641" s="39">
        <f t="shared" si="263"/>
        <v>4224.8426056123535</v>
      </c>
      <c r="AD641" s="41">
        <f t="shared" si="264"/>
        <v>0.20525865890433881</v>
      </c>
      <c r="AF641" s="46">
        <f t="shared" si="246"/>
        <v>0</v>
      </c>
      <c r="AG641" s="46">
        <f t="shared" si="265"/>
        <v>0</v>
      </c>
      <c r="AH641" s="54">
        <f t="shared" si="247"/>
        <v>4270</v>
      </c>
      <c r="AI641" s="55">
        <f t="shared" si="256"/>
        <v>0.32071269487750559</v>
      </c>
      <c r="AJ641" s="55">
        <f t="shared" si="266"/>
        <v>0</v>
      </c>
      <c r="AK641" s="55">
        <f t="shared" si="267"/>
        <v>0</v>
      </c>
    </row>
    <row r="642" spans="2:37" s="53" customFormat="1" ht="17.25" customHeight="1" x14ac:dyDescent="0.25">
      <c r="B642" s="91" t="str">
        <f t="shared" si="248"/>
        <v/>
      </c>
      <c r="C642" s="81">
        <f>IF(Sheet3!A613="","",Sheet3!A613)</f>
        <v>41904</v>
      </c>
      <c r="D642" s="82">
        <f>IF(C642="","",Sheet3!E613)</f>
        <v>35.279998999999997</v>
      </c>
      <c r="E642" s="56">
        <f>_xlfn.XLOOKUP(WEEKNUM(C642)&amp;YEAR(C642),Sheet4!C:C,Sheet4!B:B,0)</f>
        <v>0</v>
      </c>
      <c r="F642" s="46">
        <f>IF(int=Weekly,-$D$5,IF(int=Bi_Weekly,0,IF(int=Monthly,0,IF(int=Quarterly,-$D$5,IF(int=Yearly,0,IF(int=None,0,0))))))</f>
        <v>0</v>
      </c>
      <c r="G642" s="46"/>
      <c r="H642" s="46">
        <f t="shared" si="257"/>
        <v>-15250</v>
      </c>
      <c r="I642" s="47"/>
      <c r="J642" s="38">
        <f t="shared" si="244"/>
        <v>0</v>
      </c>
      <c r="K642" s="48"/>
      <c r="L642" s="48">
        <f t="shared" si="249"/>
        <v>526.04189710243008</v>
      </c>
      <c r="M642" s="48"/>
      <c r="N642" s="38">
        <f t="shared" si="250"/>
        <v>0</v>
      </c>
      <c r="O642" s="36">
        <f t="shared" si="251"/>
        <v>0</v>
      </c>
      <c r="P642" s="84">
        <f t="shared" si="252"/>
        <v>-20582.548931987341</v>
      </c>
      <c r="Q642" s="38">
        <f t="shared" si="253"/>
        <v>0</v>
      </c>
      <c r="R642" s="48">
        <f t="shared" si="254"/>
        <v>173.36209467123714</v>
      </c>
      <c r="S642" s="38">
        <f t="shared" si="245"/>
        <v>699.40399177366726</v>
      </c>
      <c r="T642" s="50">
        <f t="shared" si="258"/>
        <v>15250</v>
      </c>
      <c r="U642" s="40">
        <f t="shared" si="259"/>
        <v>18558.757603731836</v>
      </c>
      <c r="V642" s="41">
        <f t="shared" si="260"/>
        <v>0.2169677117201203</v>
      </c>
      <c r="W642" s="39">
        <f t="shared" si="261"/>
        <v>3308.7576037318358</v>
      </c>
      <c r="X642" s="50">
        <f t="shared" si="255"/>
        <v>5333.0176820036149</v>
      </c>
      <c r="Y642" s="41">
        <f t="shared" si="262"/>
        <v>0.56667378922855405</v>
      </c>
      <c r="Z642" s="52"/>
      <c r="AA642" s="50">
        <f t="shared" si="268"/>
        <v>20583.017682003618</v>
      </c>
      <c r="AB642" s="39">
        <f t="shared" si="269"/>
        <v>24674.972130370988</v>
      </c>
      <c r="AC642" s="39">
        <f t="shared" si="263"/>
        <v>4091.9544483673708</v>
      </c>
      <c r="AD642" s="41">
        <f t="shared" si="264"/>
        <v>0.19880245509117422</v>
      </c>
      <c r="AF642" s="46">
        <f t="shared" si="246"/>
        <v>0</v>
      </c>
      <c r="AG642" s="46">
        <f t="shared" si="265"/>
        <v>0</v>
      </c>
      <c r="AH642" s="54">
        <f t="shared" si="247"/>
        <v>4277</v>
      </c>
      <c r="AI642" s="55">
        <f t="shared" si="256"/>
        <v>0.3195991091314031</v>
      </c>
      <c r="AJ642" s="55">
        <f t="shared" si="266"/>
        <v>0</v>
      </c>
      <c r="AK642" s="55">
        <f t="shared" si="267"/>
        <v>0</v>
      </c>
    </row>
    <row r="643" spans="2:37" s="53" customFormat="1" ht="17.25" customHeight="1" x14ac:dyDescent="0.25">
      <c r="B643" s="91" t="str">
        <f t="shared" si="248"/>
        <v/>
      </c>
      <c r="C643" s="81">
        <f>IF(Sheet3!A614="","",Sheet3!A614)</f>
        <v>41911</v>
      </c>
      <c r="D643" s="82">
        <f>IF(C643="","",Sheet3!E614)</f>
        <v>35.360000999999997</v>
      </c>
      <c r="E643" s="56">
        <f>_xlfn.XLOOKUP(WEEKNUM(C643)&amp;YEAR(C643),Sheet4!C:C,Sheet4!B:B,0)</f>
        <v>0</v>
      </c>
      <c r="F643" s="46">
        <f>IF(int=Weekly,-$D$5,IF(int=Bi_Weekly,-$D$5,IF(int=Monthly,-$D$5,IF(int=Quarterly,0,IF(int=Yearly,0,IF(int=None,0,0))))))</f>
        <v>-100</v>
      </c>
      <c r="G643" s="46"/>
      <c r="H643" s="46">
        <f t="shared" si="257"/>
        <v>-15350</v>
      </c>
      <c r="I643" s="47"/>
      <c r="J643" s="38">
        <f t="shared" si="244"/>
        <v>2.8280542186636253</v>
      </c>
      <c r="K643" s="48"/>
      <c r="L643" s="48">
        <f t="shared" si="249"/>
        <v>528.86995132109371</v>
      </c>
      <c r="M643" s="48"/>
      <c r="N643" s="38">
        <f t="shared" si="250"/>
        <v>0</v>
      </c>
      <c r="O643" s="36">
        <f t="shared" si="251"/>
        <v>0</v>
      </c>
      <c r="P643" s="84">
        <f t="shared" si="252"/>
        <v>-20682.548931987341</v>
      </c>
      <c r="Q643" s="38">
        <f t="shared" si="253"/>
        <v>0</v>
      </c>
      <c r="R643" s="48">
        <f t="shared" si="254"/>
        <v>173.36209467123714</v>
      </c>
      <c r="S643" s="38">
        <f t="shared" si="245"/>
        <v>702.23204599233088</v>
      </c>
      <c r="T643" s="50">
        <f t="shared" si="258"/>
        <v>15350</v>
      </c>
      <c r="U643" s="40">
        <f t="shared" si="259"/>
        <v>18700.842007583822</v>
      </c>
      <c r="V643" s="41">
        <f t="shared" si="260"/>
        <v>0.2182958962595325</v>
      </c>
      <c r="W643" s="39">
        <f t="shared" si="261"/>
        <v>3350.8420075838221</v>
      </c>
      <c r="X643" s="50">
        <f t="shared" si="255"/>
        <v>5333.0176820036149</v>
      </c>
      <c r="Y643" s="41">
        <f t="shared" si="262"/>
        <v>0.56572375827931176</v>
      </c>
      <c r="Z643" s="52"/>
      <c r="AA643" s="50">
        <f t="shared" si="268"/>
        <v>20683.017682003618</v>
      </c>
      <c r="AB643" s="39">
        <f t="shared" si="269"/>
        <v>24830.925848520863</v>
      </c>
      <c r="AC643" s="39">
        <f t="shared" si="263"/>
        <v>4147.9081665172453</v>
      </c>
      <c r="AD643" s="41">
        <f t="shared" si="264"/>
        <v>0.20054656580051944</v>
      </c>
      <c r="AF643" s="46">
        <f t="shared" si="246"/>
        <v>-100</v>
      </c>
      <c r="AG643" s="46">
        <f t="shared" si="265"/>
        <v>-100</v>
      </c>
      <c r="AH643" s="54">
        <f t="shared" si="247"/>
        <v>4284</v>
      </c>
      <c r="AI643" s="55">
        <f t="shared" si="256"/>
        <v>0.31848552338530067</v>
      </c>
      <c r="AJ643" s="55">
        <f t="shared" si="266"/>
        <v>-31.848552338530066</v>
      </c>
      <c r="AK643" s="55">
        <f t="shared" si="267"/>
        <v>-31.848552338530066</v>
      </c>
    </row>
    <row r="644" spans="2:37" s="53" customFormat="1" ht="17.25" customHeight="1" x14ac:dyDescent="0.25">
      <c r="B644" s="91" t="str">
        <f t="shared" si="248"/>
        <v/>
      </c>
      <c r="C644" s="81">
        <f>IF(Sheet3!A615="","",Sheet3!A615)</f>
        <v>41918</v>
      </c>
      <c r="D644" s="82">
        <f>IF(C644="","",Sheet3!E615)</f>
        <v>34.25</v>
      </c>
      <c r="E644" s="56">
        <f>_xlfn.XLOOKUP(WEEKNUM(C644)&amp;YEAR(C644),Sheet4!C:C,Sheet4!B:B,0)</f>
        <v>0.46</v>
      </c>
      <c r="F644" s="46">
        <f>IF(int=Weekly,-$D$5,IF(int=Bi_Weekly,0,IF(int=Monthly,0,IF(int=Quarterly,0,IF(int=Yearly,0,IF(int=None,0,0))))))</f>
        <v>0</v>
      </c>
      <c r="G644" s="46"/>
      <c r="H644" s="46">
        <f t="shared" si="257"/>
        <v>-15350</v>
      </c>
      <c r="I644" s="47"/>
      <c r="J644" s="38">
        <f t="shared" si="244"/>
        <v>0</v>
      </c>
      <c r="K644" s="48"/>
      <c r="L644" s="48">
        <f t="shared" si="249"/>
        <v>528.86995132109371</v>
      </c>
      <c r="M644" s="48"/>
      <c r="N644" s="38">
        <f t="shared" si="250"/>
        <v>243.28017760770311</v>
      </c>
      <c r="O644" s="36">
        <f t="shared" si="251"/>
        <v>-243.28017760770311</v>
      </c>
      <c r="P644" s="84">
        <f t="shared" si="252"/>
        <v>-20925.829109595044</v>
      </c>
      <c r="Q644" s="38">
        <f t="shared" si="253"/>
        <v>7.1030708790570252</v>
      </c>
      <c r="R644" s="48">
        <f t="shared" si="254"/>
        <v>180.46516555029416</v>
      </c>
      <c r="S644" s="38">
        <f t="shared" si="245"/>
        <v>709.33511687138787</v>
      </c>
      <c r="T644" s="50">
        <f t="shared" si="258"/>
        <v>15350</v>
      </c>
      <c r="U644" s="40">
        <f t="shared" si="259"/>
        <v>18113.795832747459</v>
      </c>
      <c r="V644" s="41">
        <f t="shared" si="260"/>
        <v>0.18005184578159339</v>
      </c>
      <c r="W644" s="39">
        <f t="shared" si="261"/>
        <v>2763.7958327474589</v>
      </c>
      <c r="X644" s="50">
        <f t="shared" si="255"/>
        <v>5576.297859611318</v>
      </c>
      <c r="Y644" s="41">
        <f t="shared" si="262"/>
        <v>0.5433285793067606</v>
      </c>
      <c r="Z644" s="52"/>
      <c r="AA644" s="50">
        <f t="shared" si="268"/>
        <v>20926.297859611321</v>
      </c>
      <c r="AB644" s="39">
        <f t="shared" si="269"/>
        <v>24294.727752845036</v>
      </c>
      <c r="AC644" s="39">
        <f t="shared" si="263"/>
        <v>3368.4298932337151</v>
      </c>
      <c r="AD644" s="41">
        <f t="shared" si="264"/>
        <v>0.16096635514946644</v>
      </c>
      <c r="AF644" s="46">
        <f t="shared" si="246"/>
        <v>243.28017760770311</v>
      </c>
      <c r="AG644" s="46">
        <f t="shared" si="265"/>
        <v>0</v>
      </c>
      <c r="AH644" s="54">
        <f t="shared" si="247"/>
        <v>4291</v>
      </c>
      <c r="AI644" s="55">
        <f t="shared" si="256"/>
        <v>0.31737193763919824</v>
      </c>
      <c r="AJ644" s="55">
        <f t="shared" si="266"/>
        <v>77.210301356565026</v>
      </c>
      <c r="AK644" s="55">
        <f t="shared" si="267"/>
        <v>0</v>
      </c>
    </row>
    <row r="645" spans="2:37" s="53" customFormat="1" ht="17.25" customHeight="1" x14ac:dyDescent="0.25">
      <c r="B645" s="91" t="str">
        <f t="shared" si="248"/>
        <v/>
      </c>
      <c r="C645" s="81">
        <f>IF(Sheet3!A616="","",Sheet3!A616)</f>
        <v>41925</v>
      </c>
      <c r="D645" s="82">
        <f>IF(C645="","",Sheet3!E616)</f>
        <v>34.080002</v>
      </c>
      <c r="E645" s="56">
        <f>_xlfn.XLOOKUP(WEEKNUM(C645)&amp;YEAR(C645),Sheet4!C:C,Sheet4!B:B,0)</f>
        <v>0</v>
      </c>
      <c r="F645" s="46">
        <f>IF(int=Weekly,-$D$5,IF(int=Bi_Weekly,-$D$5,IF(int=Monthly,0,IF(int=Quarterly,0,IF(int=Yearly,0,IF(int=None,0,0))))))</f>
        <v>0</v>
      </c>
      <c r="G645" s="46"/>
      <c r="H645" s="46">
        <f t="shared" si="257"/>
        <v>-15350</v>
      </c>
      <c r="I645" s="47"/>
      <c r="J645" s="38">
        <f t="shared" si="244"/>
        <v>0</v>
      </c>
      <c r="K645" s="48"/>
      <c r="L645" s="48">
        <f t="shared" si="249"/>
        <v>528.86995132109371</v>
      </c>
      <c r="M645" s="48"/>
      <c r="N645" s="38">
        <f t="shared" si="250"/>
        <v>0</v>
      </c>
      <c r="O645" s="36">
        <f t="shared" si="251"/>
        <v>0</v>
      </c>
      <c r="P645" s="84">
        <f t="shared" si="252"/>
        <v>-20925.829109595044</v>
      </c>
      <c r="Q645" s="38">
        <f t="shared" si="253"/>
        <v>0</v>
      </c>
      <c r="R645" s="48">
        <f t="shared" si="254"/>
        <v>180.46516555029416</v>
      </c>
      <c r="S645" s="38">
        <f t="shared" si="245"/>
        <v>709.33511687138787</v>
      </c>
      <c r="T645" s="50">
        <f t="shared" si="258"/>
        <v>15350</v>
      </c>
      <c r="U645" s="40">
        <f t="shared" si="259"/>
        <v>18023.888998762777</v>
      </c>
      <c r="V645" s="41">
        <f t="shared" si="260"/>
        <v>0.17419472304643491</v>
      </c>
      <c r="W645" s="39">
        <f t="shared" si="261"/>
        <v>2673.8889987627772</v>
      </c>
      <c r="X645" s="50">
        <f t="shared" si="255"/>
        <v>5576.297859611318</v>
      </c>
      <c r="Y645" s="41">
        <f t="shared" si="262"/>
        <v>0.53747145657160234</v>
      </c>
      <c r="Z645" s="52"/>
      <c r="AA645" s="50">
        <f t="shared" si="268"/>
        <v>20926.297859611321</v>
      </c>
      <c r="AB645" s="39">
        <f t="shared" si="269"/>
        <v>24174.142201647133</v>
      </c>
      <c r="AC645" s="39">
        <f t="shared" si="263"/>
        <v>3247.8443420358126</v>
      </c>
      <c r="AD645" s="41">
        <f t="shared" si="264"/>
        <v>0.15520396220223431</v>
      </c>
      <c r="AF645" s="46">
        <f t="shared" si="246"/>
        <v>0</v>
      </c>
      <c r="AG645" s="46">
        <f t="shared" si="265"/>
        <v>0</v>
      </c>
      <c r="AH645" s="54">
        <f t="shared" si="247"/>
        <v>4298</v>
      </c>
      <c r="AI645" s="55">
        <f t="shared" si="256"/>
        <v>0.31625835189309576</v>
      </c>
      <c r="AJ645" s="55">
        <f t="shared" si="266"/>
        <v>0</v>
      </c>
      <c r="AK645" s="55">
        <f t="shared" si="267"/>
        <v>0</v>
      </c>
    </row>
    <row r="646" spans="2:37" s="53" customFormat="1" ht="17.25" customHeight="1" x14ac:dyDescent="0.25">
      <c r="B646" s="91" t="str">
        <f t="shared" si="248"/>
        <v/>
      </c>
      <c r="C646" s="81">
        <f>IF(Sheet3!A617="","",Sheet3!A617)</f>
        <v>41932</v>
      </c>
      <c r="D646" s="82">
        <f>IF(C646="","",Sheet3!E617)</f>
        <v>33.869999</v>
      </c>
      <c r="E646" s="56">
        <f>_xlfn.XLOOKUP(WEEKNUM(C646)&amp;YEAR(C646),Sheet4!C:C,Sheet4!B:B,0)</f>
        <v>0</v>
      </c>
      <c r="F646" s="46">
        <f>IF(int=Weekly,-$D$5,IF(int=Bi_Weekly,0,IF(int=Monthly,0,IF(int=Quarterly,0,IF(int=Yearly,0,IF(int=None,0,0))))))</f>
        <v>0</v>
      </c>
      <c r="G646" s="46"/>
      <c r="H646" s="46">
        <f t="shared" si="257"/>
        <v>-15350</v>
      </c>
      <c r="I646" s="47"/>
      <c r="J646" s="38">
        <f t="shared" si="244"/>
        <v>0</v>
      </c>
      <c r="K646" s="48"/>
      <c r="L646" s="48">
        <f t="shared" si="249"/>
        <v>528.86995132109371</v>
      </c>
      <c r="M646" s="48"/>
      <c r="N646" s="38">
        <f t="shared" si="250"/>
        <v>0</v>
      </c>
      <c r="O646" s="36">
        <f t="shared" si="251"/>
        <v>0</v>
      </c>
      <c r="P646" s="84">
        <f t="shared" si="252"/>
        <v>-20925.829109595044</v>
      </c>
      <c r="Q646" s="38">
        <f t="shared" si="253"/>
        <v>0</v>
      </c>
      <c r="R646" s="48">
        <f t="shared" si="254"/>
        <v>180.46516555029416</v>
      </c>
      <c r="S646" s="38">
        <f t="shared" si="245"/>
        <v>709.33511687138787</v>
      </c>
      <c r="T646" s="50">
        <f t="shared" si="258"/>
        <v>15350</v>
      </c>
      <c r="U646" s="40">
        <f t="shared" si="259"/>
        <v>17912.824722375492</v>
      </c>
      <c r="V646" s="41">
        <f t="shared" si="260"/>
        <v>0.16695926530133498</v>
      </c>
      <c r="W646" s="39">
        <f t="shared" si="261"/>
        <v>2562.8247223754915</v>
      </c>
      <c r="X646" s="50">
        <f t="shared" si="255"/>
        <v>5576.297859611318</v>
      </c>
      <c r="Y646" s="41">
        <f t="shared" si="262"/>
        <v>0.53023599882650219</v>
      </c>
      <c r="Z646" s="52"/>
      <c r="AA646" s="50">
        <f t="shared" si="268"/>
        <v>20926.297859611321</v>
      </c>
      <c r="AB646" s="39">
        <f t="shared" si="269"/>
        <v>24025.17969909879</v>
      </c>
      <c r="AC646" s="39">
        <f t="shared" si="263"/>
        <v>3098.8818394874688</v>
      </c>
      <c r="AD646" s="41">
        <f t="shared" si="264"/>
        <v>0.14808552665535979</v>
      </c>
      <c r="AF646" s="46">
        <f t="shared" si="246"/>
        <v>0</v>
      </c>
      <c r="AG646" s="46">
        <f t="shared" si="265"/>
        <v>0</v>
      </c>
      <c r="AH646" s="54">
        <f t="shared" si="247"/>
        <v>4305</v>
      </c>
      <c r="AI646" s="55">
        <f t="shared" si="256"/>
        <v>0.31514476614699333</v>
      </c>
      <c r="AJ646" s="55">
        <f t="shared" si="266"/>
        <v>0</v>
      </c>
      <c r="AK646" s="55">
        <f t="shared" si="267"/>
        <v>0</v>
      </c>
    </row>
    <row r="647" spans="2:37" s="53" customFormat="1" ht="17.25" customHeight="1" x14ac:dyDescent="0.25">
      <c r="B647" s="91" t="str">
        <f t="shared" si="248"/>
        <v/>
      </c>
      <c r="C647" s="81">
        <f>IF(Sheet3!A618="","",Sheet3!A618)</f>
        <v>41939</v>
      </c>
      <c r="D647" s="82">
        <f>IF(C647="","",Sheet3!E618)</f>
        <v>34.840000000000003</v>
      </c>
      <c r="E647" s="56">
        <f>_xlfn.XLOOKUP(WEEKNUM(C647)&amp;YEAR(C647),Sheet4!C:C,Sheet4!B:B,0)</f>
        <v>0</v>
      </c>
      <c r="F647" s="46">
        <f>IF(int=Weekly,-$D$5,IF(int=Bi_Weekly,-$D$5,IF(int=Monthly,-$D$5,IF(int=Quarterly,0,IF(int=Yearly,0,IF(int=None,0,0))))))</f>
        <v>-100</v>
      </c>
      <c r="G647" s="46"/>
      <c r="H647" s="46">
        <f t="shared" si="257"/>
        <v>-15450</v>
      </c>
      <c r="I647" s="47"/>
      <c r="J647" s="38">
        <f t="shared" si="244"/>
        <v>2.8702640642939148</v>
      </c>
      <c r="K647" s="48"/>
      <c r="L647" s="48">
        <f t="shared" si="249"/>
        <v>531.74021538538761</v>
      </c>
      <c r="M647" s="48"/>
      <c r="N647" s="38">
        <f t="shared" si="250"/>
        <v>0</v>
      </c>
      <c r="O647" s="36">
        <f t="shared" si="251"/>
        <v>0</v>
      </c>
      <c r="P647" s="84">
        <f t="shared" si="252"/>
        <v>-21025.829109595044</v>
      </c>
      <c r="Q647" s="38">
        <f t="shared" si="253"/>
        <v>0</v>
      </c>
      <c r="R647" s="48">
        <f t="shared" si="254"/>
        <v>180.46516555029416</v>
      </c>
      <c r="S647" s="38">
        <f t="shared" si="245"/>
        <v>712.20538093568177</v>
      </c>
      <c r="T647" s="50">
        <f t="shared" si="258"/>
        <v>15450</v>
      </c>
      <c r="U647" s="40">
        <f t="shared" si="259"/>
        <v>18525.829104026907</v>
      </c>
      <c r="V647" s="41">
        <f t="shared" si="260"/>
        <v>0.19908278990465411</v>
      </c>
      <c r="W647" s="39">
        <f t="shared" si="261"/>
        <v>3075.8291040269069</v>
      </c>
      <c r="X647" s="50">
        <f t="shared" si="255"/>
        <v>5576.297859611318</v>
      </c>
      <c r="Y647" s="41">
        <f t="shared" si="262"/>
        <v>0.56000821771121201</v>
      </c>
      <c r="Z647" s="52"/>
      <c r="AA647" s="50">
        <f t="shared" si="268"/>
        <v>21026.297859611321</v>
      </c>
      <c r="AB647" s="39">
        <f t="shared" si="269"/>
        <v>24813.235471799155</v>
      </c>
      <c r="AC647" s="39">
        <f t="shared" si="263"/>
        <v>3786.937612187834</v>
      </c>
      <c r="AD647" s="41">
        <f t="shared" si="264"/>
        <v>0.18010482099476155</v>
      </c>
      <c r="AF647" s="46">
        <f t="shared" si="246"/>
        <v>-100</v>
      </c>
      <c r="AG647" s="46">
        <f t="shared" si="265"/>
        <v>-100</v>
      </c>
      <c r="AH647" s="54">
        <f t="shared" si="247"/>
        <v>4312</v>
      </c>
      <c r="AI647" s="55">
        <f t="shared" si="256"/>
        <v>0.31403118040089084</v>
      </c>
      <c r="AJ647" s="55">
        <f t="shared" si="266"/>
        <v>-31.403118040089083</v>
      </c>
      <c r="AK647" s="55">
        <f t="shared" si="267"/>
        <v>-31.403118040089083</v>
      </c>
    </row>
    <row r="648" spans="2:37" s="53" customFormat="1" ht="17.25" customHeight="1" x14ac:dyDescent="0.25">
      <c r="B648" s="91" t="str">
        <f t="shared" si="248"/>
        <v/>
      </c>
      <c r="C648" s="81">
        <f>IF(Sheet3!A619="","",Sheet3!A619)</f>
        <v>41946</v>
      </c>
      <c r="D648" s="82">
        <f>IF(C648="","",Sheet3!E619)</f>
        <v>34.909999999999997</v>
      </c>
      <c r="E648" s="56">
        <f>_xlfn.XLOOKUP(WEEKNUM(C648)&amp;YEAR(C648),Sheet4!C:C,Sheet4!B:B,0)</f>
        <v>0</v>
      </c>
      <c r="F648" s="46">
        <f>IF(int=Weekly,-$D$5,IF(int=Bi_Weekly,0,IF(int=Monthly,0,IF(int=Quarterly,0,IF(int=Yearly,0,IF(int=None,0,0))))))</f>
        <v>0</v>
      </c>
      <c r="G648" s="46"/>
      <c r="H648" s="46">
        <f t="shared" si="257"/>
        <v>-15450</v>
      </c>
      <c r="I648" s="47"/>
      <c r="J648" s="38">
        <f t="shared" si="244"/>
        <v>0</v>
      </c>
      <c r="K648" s="48"/>
      <c r="L648" s="48">
        <f t="shared" si="249"/>
        <v>531.74021538538761</v>
      </c>
      <c r="M648" s="48"/>
      <c r="N648" s="38">
        <f t="shared" si="250"/>
        <v>0</v>
      </c>
      <c r="O648" s="36">
        <f t="shared" si="251"/>
        <v>0</v>
      </c>
      <c r="P648" s="84">
        <f t="shared" si="252"/>
        <v>-21025.829109595044</v>
      </c>
      <c r="Q648" s="38">
        <f t="shared" si="253"/>
        <v>0</v>
      </c>
      <c r="R648" s="48">
        <f t="shared" si="254"/>
        <v>180.46516555029416</v>
      </c>
      <c r="S648" s="38">
        <f t="shared" si="245"/>
        <v>712.20538093568177</v>
      </c>
      <c r="T648" s="50">
        <f t="shared" si="258"/>
        <v>15450</v>
      </c>
      <c r="U648" s="40">
        <f t="shared" si="259"/>
        <v>18563.05091910388</v>
      </c>
      <c r="V648" s="41">
        <f t="shared" si="260"/>
        <v>0.20149196887403753</v>
      </c>
      <c r="W648" s="39">
        <f t="shared" si="261"/>
        <v>3113.05091910388</v>
      </c>
      <c r="X648" s="50">
        <f t="shared" si="255"/>
        <v>5576.297859611318</v>
      </c>
      <c r="Y648" s="41">
        <f t="shared" si="262"/>
        <v>0.56241739668059521</v>
      </c>
      <c r="Z648" s="52"/>
      <c r="AA648" s="50">
        <f t="shared" si="268"/>
        <v>21026.297859611321</v>
      </c>
      <c r="AB648" s="39">
        <f t="shared" si="269"/>
        <v>24863.08984846465</v>
      </c>
      <c r="AC648" s="39">
        <f t="shared" si="263"/>
        <v>3836.7919888533288</v>
      </c>
      <c r="AD648" s="41">
        <f t="shared" si="264"/>
        <v>0.18247586971662222</v>
      </c>
      <c r="AF648" s="46">
        <f t="shared" si="246"/>
        <v>0</v>
      </c>
      <c r="AG648" s="46">
        <f t="shared" si="265"/>
        <v>0</v>
      </c>
      <c r="AH648" s="54">
        <f t="shared" si="247"/>
        <v>4319</v>
      </c>
      <c r="AI648" s="55">
        <f t="shared" si="256"/>
        <v>0.31291759465478841</v>
      </c>
      <c r="AJ648" s="55">
        <f t="shared" si="266"/>
        <v>0</v>
      </c>
      <c r="AK648" s="55">
        <f t="shared" si="267"/>
        <v>0</v>
      </c>
    </row>
    <row r="649" spans="2:37" s="53" customFormat="1" ht="17.25" customHeight="1" x14ac:dyDescent="0.25">
      <c r="B649" s="91" t="str">
        <f t="shared" si="248"/>
        <v/>
      </c>
      <c r="C649" s="81">
        <f>IF(Sheet3!A620="","",Sheet3!A620)</f>
        <v>41953</v>
      </c>
      <c r="D649" s="82">
        <f>IF(C649="","",Sheet3!E620)</f>
        <v>35.900002000000001</v>
      </c>
      <c r="E649" s="56">
        <f>_xlfn.XLOOKUP(WEEKNUM(C649)&amp;YEAR(C649),Sheet4!C:C,Sheet4!B:B,0)</f>
        <v>0</v>
      </c>
      <c r="F649" s="46">
        <f>IF(int=Weekly,-$D$5,IF(int=Bi_Weekly,-$D$5,IF(int=Monthly,0,IF(int=Quarterly,0,IF(int=Yearly,0,IF(int=None,0,0))))))</f>
        <v>0</v>
      </c>
      <c r="G649" s="46"/>
      <c r="H649" s="46">
        <f t="shared" si="257"/>
        <v>-15450</v>
      </c>
      <c r="I649" s="47"/>
      <c r="J649" s="38">
        <f t="shared" si="244"/>
        <v>0</v>
      </c>
      <c r="K649" s="48"/>
      <c r="L649" s="48">
        <f t="shared" si="249"/>
        <v>531.74021538538761</v>
      </c>
      <c r="M649" s="48"/>
      <c r="N649" s="38">
        <f t="shared" si="250"/>
        <v>0</v>
      </c>
      <c r="O649" s="36">
        <f t="shared" si="251"/>
        <v>0</v>
      </c>
      <c r="P649" s="84">
        <f t="shared" si="252"/>
        <v>-21025.829109595044</v>
      </c>
      <c r="Q649" s="38">
        <f t="shared" si="253"/>
        <v>0</v>
      </c>
      <c r="R649" s="48">
        <f t="shared" si="254"/>
        <v>180.46516555029416</v>
      </c>
      <c r="S649" s="38">
        <f t="shared" si="245"/>
        <v>712.20538093568177</v>
      </c>
      <c r="T649" s="50">
        <f t="shared" si="258"/>
        <v>15450</v>
      </c>
      <c r="U649" s="40">
        <f t="shared" si="259"/>
        <v>19089.474795815848</v>
      </c>
      <c r="V649" s="41">
        <f t="shared" si="260"/>
        <v>0.23556471170329107</v>
      </c>
      <c r="W649" s="39">
        <f t="shared" si="261"/>
        <v>3639.4747958158478</v>
      </c>
      <c r="X649" s="50">
        <f t="shared" si="255"/>
        <v>5576.297859611318</v>
      </c>
      <c r="Y649" s="41">
        <f t="shared" si="262"/>
        <v>0.59649013950984875</v>
      </c>
      <c r="Z649" s="52"/>
      <c r="AA649" s="50">
        <f t="shared" si="268"/>
        <v>21026.297859611321</v>
      </c>
      <c r="AB649" s="39">
        <f t="shared" si="269"/>
        <v>25568.174600001737</v>
      </c>
      <c r="AC649" s="39">
        <f t="shared" si="263"/>
        <v>4541.8767403904167</v>
      </c>
      <c r="AD649" s="41">
        <f t="shared" si="264"/>
        <v>0.21600934081290402</v>
      </c>
      <c r="AF649" s="46">
        <f t="shared" si="246"/>
        <v>0</v>
      </c>
      <c r="AG649" s="46">
        <f t="shared" si="265"/>
        <v>0</v>
      </c>
      <c r="AH649" s="54">
        <f t="shared" si="247"/>
        <v>4326</v>
      </c>
      <c r="AI649" s="55">
        <f t="shared" si="256"/>
        <v>0.31180400890868598</v>
      </c>
      <c r="AJ649" s="55">
        <f t="shared" si="266"/>
        <v>0</v>
      </c>
      <c r="AK649" s="55">
        <f t="shared" si="267"/>
        <v>0</v>
      </c>
    </row>
    <row r="650" spans="2:37" s="53" customFormat="1" ht="17.25" customHeight="1" x14ac:dyDescent="0.25">
      <c r="B650" s="91" t="str">
        <f t="shared" si="248"/>
        <v/>
      </c>
      <c r="C650" s="81">
        <f>IF(Sheet3!A621="","",Sheet3!A621)</f>
        <v>41960</v>
      </c>
      <c r="D650" s="82">
        <f>IF(C650="","",Sheet3!E621)</f>
        <v>35.279998999999997</v>
      </c>
      <c r="E650" s="56">
        <f>_xlfn.XLOOKUP(WEEKNUM(C650)&amp;YEAR(C650),Sheet4!C:C,Sheet4!B:B,0)</f>
        <v>0</v>
      </c>
      <c r="F650" s="46">
        <f>IF(int=Weekly,-$D$5,IF(int=Bi_Weekly,0,IF(int=Monthly,0,IF(int=Quarterly,0,IF(int=Yearly,0,IF(int=None,0,0))))))</f>
        <v>0</v>
      </c>
      <c r="G650" s="46"/>
      <c r="H650" s="46">
        <f t="shared" si="257"/>
        <v>-15450</v>
      </c>
      <c r="I650" s="47"/>
      <c r="J650" s="38">
        <f t="shared" si="244"/>
        <v>0</v>
      </c>
      <c r="K650" s="48"/>
      <c r="L650" s="48">
        <f t="shared" si="249"/>
        <v>531.74021538538761</v>
      </c>
      <c r="M650" s="48"/>
      <c r="N650" s="38">
        <f t="shared" si="250"/>
        <v>0</v>
      </c>
      <c r="O650" s="36">
        <f t="shared" si="251"/>
        <v>0</v>
      </c>
      <c r="P650" s="84">
        <f t="shared" si="252"/>
        <v>-21025.829109595044</v>
      </c>
      <c r="Q650" s="38">
        <f t="shared" si="253"/>
        <v>0</v>
      </c>
      <c r="R650" s="48">
        <f t="shared" si="254"/>
        <v>180.46516555029416</v>
      </c>
      <c r="S650" s="38">
        <f t="shared" si="245"/>
        <v>712.20538093568177</v>
      </c>
      <c r="T650" s="50">
        <f t="shared" si="258"/>
        <v>15450</v>
      </c>
      <c r="U650" s="40">
        <f t="shared" si="259"/>
        <v>18759.794267056259</v>
      </c>
      <c r="V650" s="41">
        <f t="shared" si="260"/>
        <v>0.21422616615250867</v>
      </c>
      <c r="W650" s="39">
        <f t="shared" si="261"/>
        <v>3309.7942670562588</v>
      </c>
      <c r="X650" s="50">
        <f t="shared" si="255"/>
        <v>5576.297859611318</v>
      </c>
      <c r="Y650" s="41">
        <f t="shared" si="262"/>
        <v>0.57515159395906634</v>
      </c>
      <c r="Z650" s="52"/>
      <c r="AA650" s="50">
        <f t="shared" si="268"/>
        <v>21026.297859611321</v>
      </c>
      <c r="AB650" s="39">
        <f t="shared" si="269"/>
        <v>25126.605127205472</v>
      </c>
      <c r="AC650" s="39">
        <f t="shared" si="263"/>
        <v>4100.3072675941512</v>
      </c>
      <c r="AD650" s="41">
        <f t="shared" si="264"/>
        <v>0.19500852194576246</v>
      </c>
      <c r="AF650" s="46">
        <f t="shared" si="246"/>
        <v>0</v>
      </c>
      <c r="AG650" s="46">
        <f t="shared" si="265"/>
        <v>0</v>
      </c>
      <c r="AH650" s="54">
        <f t="shared" si="247"/>
        <v>4333</v>
      </c>
      <c r="AI650" s="55">
        <f t="shared" si="256"/>
        <v>0.3106904231625835</v>
      </c>
      <c r="AJ650" s="55">
        <f t="shared" si="266"/>
        <v>0</v>
      </c>
      <c r="AK650" s="55">
        <f t="shared" si="267"/>
        <v>0</v>
      </c>
    </row>
    <row r="651" spans="2:37" s="53" customFormat="1" ht="17.25" customHeight="1" x14ac:dyDescent="0.25">
      <c r="B651" s="91" t="str">
        <f t="shared" si="248"/>
        <v/>
      </c>
      <c r="C651" s="81">
        <f>IF(Sheet3!A622="","",Sheet3!A622)</f>
        <v>41967</v>
      </c>
      <c r="D651" s="82">
        <f>IF(C651="","",Sheet3!E622)</f>
        <v>35.380001</v>
      </c>
      <c r="E651" s="56">
        <f>_xlfn.XLOOKUP(WEEKNUM(C651)&amp;YEAR(C651),Sheet4!C:C,Sheet4!B:B,0)</f>
        <v>0</v>
      </c>
      <c r="F651" s="46">
        <f>IF(int=Weekly,-$D$5,IF(int=Bi_Weekly,-$D$5,IF(int=Monthly,-$D$5,IF(int=Quarterly,0,IF(int=Yearly,0,IF(int=None,0,0))))))</f>
        <v>-100</v>
      </c>
      <c r="G651" s="46"/>
      <c r="H651" s="46">
        <f t="shared" si="257"/>
        <v>-15550</v>
      </c>
      <c r="I651" s="47"/>
      <c r="J651" s="38">
        <f t="shared" si="244"/>
        <v>2.8264555447581814</v>
      </c>
      <c r="K651" s="48"/>
      <c r="L651" s="48">
        <f t="shared" si="249"/>
        <v>534.56667093014585</v>
      </c>
      <c r="M651" s="48"/>
      <c r="N651" s="38">
        <f t="shared" si="250"/>
        <v>0</v>
      </c>
      <c r="O651" s="36">
        <f t="shared" si="251"/>
        <v>0</v>
      </c>
      <c r="P651" s="84">
        <f t="shared" si="252"/>
        <v>-21125.829109595044</v>
      </c>
      <c r="Q651" s="38">
        <f t="shared" si="253"/>
        <v>0</v>
      </c>
      <c r="R651" s="48">
        <f t="shared" si="254"/>
        <v>180.46516555029416</v>
      </c>
      <c r="S651" s="38">
        <f t="shared" si="245"/>
        <v>715.03183648044001</v>
      </c>
      <c r="T651" s="50">
        <f t="shared" si="258"/>
        <v>15550</v>
      </c>
      <c r="U651" s="40">
        <f t="shared" si="259"/>
        <v>18912.96935207523</v>
      </c>
      <c r="V651" s="41">
        <f t="shared" si="260"/>
        <v>0.21626812553538466</v>
      </c>
      <c r="W651" s="39">
        <f t="shared" si="261"/>
        <v>3362.9693520752298</v>
      </c>
      <c r="X651" s="50">
        <f t="shared" si="255"/>
        <v>5576.297859611318</v>
      </c>
      <c r="Y651" s="41">
        <f t="shared" si="262"/>
        <v>0.57487248949752723</v>
      </c>
      <c r="Z651" s="52"/>
      <c r="AA651" s="50">
        <f t="shared" si="268"/>
        <v>21126.297859611321</v>
      </c>
      <c r="AB651" s="39">
        <f t="shared" si="269"/>
        <v>25297.827089709805</v>
      </c>
      <c r="AC651" s="39">
        <f t="shared" si="263"/>
        <v>4171.5292300984838</v>
      </c>
      <c r="AD651" s="41">
        <f t="shared" si="264"/>
        <v>0.19745670811891269</v>
      </c>
      <c r="AF651" s="46">
        <f t="shared" si="246"/>
        <v>-100</v>
      </c>
      <c r="AG651" s="46">
        <f t="shared" si="265"/>
        <v>-100</v>
      </c>
      <c r="AH651" s="54">
        <f t="shared" si="247"/>
        <v>4340</v>
      </c>
      <c r="AI651" s="55">
        <f t="shared" si="256"/>
        <v>0.30957683741648107</v>
      </c>
      <c r="AJ651" s="55">
        <f t="shared" si="266"/>
        <v>-30.957683741648108</v>
      </c>
      <c r="AK651" s="55">
        <f t="shared" si="267"/>
        <v>-30.957683741648108</v>
      </c>
    </row>
    <row r="652" spans="2:37" s="53" customFormat="1" ht="17.25" customHeight="1" x14ac:dyDescent="0.25">
      <c r="B652" s="91" t="str">
        <f t="shared" si="248"/>
        <v/>
      </c>
      <c r="C652" s="81">
        <f>IF(Sheet3!A623="","",Sheet3!A623)</f>
        <v>41974</v>
      </c>
      <c r="D652" s="82">
        <f>IF(C652="","",Sheet3!E623)</f>
        <v>33.939999</v>
      </c>
      <c r="E652" s="56">
        <f>_xlfn.XLOOKUP(WEEKNUM(C652)&amp;YEAR(C652),Sheet4!C:C,Sheet4!B:B,0)</f>
        <v>0</v>
      </c>
      <c r="F652" s="46">
        <f>IF(int=Weekly,-$D$5,IF(int=Bi_Weekly,0,IF(int=Monthly,0,IF(int=Quarterly,0,IF(int=Yearly,0,IF(int=None,0,0))))))</f>
        <v>0</v>
      </c>
      <c r="G652" s="46"/>
      <c r="H652" s="46">
        <f t="shared" si="257"/>
        <v>-15550</v>
      </c>
      <c r="I652" s="47"/>
      <c r="J652" s="38">
        <f t="shared" si="244"/>
        <v>0</v>
      </c>
      <c r="K652" s="48"/>
      <c r="L652" s="48">
        <f t="shared" si="249"/>
        <v>534.56667093014585</v>
      </c>
      <c r="M652" s="48"/>
      <c r="N652" s="38">
        <f t="shared" si="250"/>
        <v>0</v>
      </c>
      <c r="O652" s="36">
        <f t="shared" si="251"/>
        <v>0</v>
      </c>
      <c r="P652" s="84">
        <f t="shared" si="252"/>
        <v>-21125.829109595044</v>
      </c>
      <c r="Q652" s="38">
        <f t="shared" si="253"/>
        <v>0</v>
      </c>
      <c r="R652" s="48">
        <f t="shared" si="254"/>
        <v>180.46516555029416</v>
      </c>
      <c r="S652" s="38">
        <f t="shared" si="245"/>
        <v>715.03183648044001</v>
      </c>
      <c r="T652" s="50">
        <f t="shared" si="258"/>
        <v>15550</v>
      </c>
      <c r="U652" s="40">
        <f t="shared" si="259"/>
        <v>18143.192276802478</v>
      </c>
      <c r="V652" s="41">
        <f t="shared" si="260"/>
        <v>0.16676477664324607</v>
      </c>
      <c r="W652" s="39">
        <f t="shared" si="261"/>
        <v>2593.1922768024779</v>
      </c>
      <c r="X652" s="50">
        <f t="shared" si="255"/>
        <v>5576.297859611318</v>
      </c>
      <c r="Y652" s="41">
        <f t="shared" si="262"/>
        <v>0.52536914060538864</v>
      </c>
      <c r="Z652" s="52"/>
      <c r="AA652" s="50">
        <f t="shared" si="268"/>
        <v>21126.297859611321</v>
      </c>
      <c r="AB652" s="39">
        <f t="shared" si="269"/>
        <v>24268.179815114294</v>
      </c>
      <c r="AC652" s="39">
        <f t="shared" si="263"/>
        <v>3141.8819555029731</v>
      </c>
      <c r="AD652" s="41">
        <f t="shared" si="264"/>
        <v>0.14871900303505314</v>
      </c>
      <c r="AF652" s="46">
        <f t="shared" si="246"/>
        <v>0</v>
      </c>
      <c r="AG652" s="46">
        <f t="shared" si="265"/>
        <v>0</v>
      </c>
      <c r="AH652" s="54">
        <f t="shared" si="247"/>
        <v>4347</v>
      </c>
      <c r="AI652" s="55">
        <f t="shared" si="256"/>
        <v>0.30846325167037864</v>
      </c>
      <c r="AJ652" s="55">
        <f t="shared" si="266"/>
        <v>0</v>
      </c>
      <c r="AK652" s="55">
        <f t="shared" si="267"/>
        <v>0</v>
      </c>
    </row>
    <row r="653" spans="2:37" s="53" customFormat="1" ht="17.25" customHeight="1" x14ac:dyDescent="0.25">
      <c r="B653" s="91" t="str">
        <f t="shared" si="248"/>
        <v/>
      </c>
      <c r="C653" s="81">
        <f>IF(Sheet3!A624="","",Sheet3!A624)</f>
        <v>41981</v>
      </c>
      <c r="D653" s="82">
        <f>IF(C653="","",Sheet3!E624)</f>
        <v>32.159999999999997</v>
      </c>
      <c r="E653" s="56">
        <f>_xlfn.XLOOKUP(WEEKNUM(C653)&amp;YEAR(C653),Sheet4!C:C,Sheet4!B:B,0)</f>
        <v>0</v>
      </c>
      <c r="F653" s="46">
        <f>IF(int=Weekly,-$D$5,IF(int=Bi_Weekly,-$D$5,IF(int=Monthly,0,IF(int=Quarterly,0,IF(int=Yearly,0,IF(int=None,0,0))))))</f>
        <v>0</v>
      </c>
      <c r="G653" s="46"/>
      <c r="H653" s="46">
        <f t="shared" si="257"/>
        <v>-15550</v>
      </c>
      <c r="I653" s="47"/>
      <c r="J653" s="38">
        <f t="shared" si="244"/>
        <v>0</v>
      </c>
      <c r="K653" s="48"/>
      <c r="L653" s="48">
        <f t="shared" si="249"/>
        <v>534.56667093014585</v>
      </c>
      <c r="M653" s="48"/>
      <c r="N653" s="38">
        <f t="shared" si="250"/>
        <v>0</v>
      </c>
      <c r="O653" s="36">
        <f t="shared" si="251"/>
        <v>0</v>
      </c>
      <c r="P653" s="84">
        <f t="shared" si="252"/>
        <v>-21125.829109595044</v>
      </c>
      <c r="Q653" s="38">
        <f t="shared" si="253"/>
        <v>0</v>
      </c>
      <c r="R653" s="48">
        <f t="shared" si="254"/>
        <v>180.46516555029416</v>
      </c>
      <c r="S653" s="38">
        <f t="shared" si="245"/>
        <v>715.03183648044001</v>
      </c>
      <c r="T653" s="50">
        <f t="shared" si="258"/>
        <v>15550</v>
      </c>
      <c r="U653" s="40">
        <f t="shared" si="259"/>
        <v>17191.66413711349</v>
      </c>
      <c r="V653" s="41">
        <f t="shared" si="260"/>
        <v>0.10557325640601212</v>
      </c>
      <c r="W653" s="39">
        <f t="shared" si="261"/>
        <v>1641.6641371134901</v>
      </c>
      <c r="X653" s="50">
        <f t="shared" si="255"/>
        <v>5576.297859611318</v>
      </c>
      <c r="Y653" s="41">
        <f t="shared" si="262"/>
        <v>0.46417762036815491</v>
      </c>
      <c r="Z653" s="52"/>
      <c r="AA653" s="50">
        <f t="shared" si="268"/>
        <v>21126.297859611321</v>
      </c>
      <c r="AB653" s="39">
        <f t="shared" si="269"/>
        <v>22995.423861210948</v>
      </c>
      <c r="AC653" s="39">
        <f t="shared" si="263"/>
        <v>1869.1260015996268</v>
      </c>
      <c r="AD653" s="41">
        <f t="shared" si="264"/>
        <v>8.8473901770218299E-2</v>
      </c>
      <c r="AF653" s="46">
        <f t="shared" si="246"/>
        <v>0</v>
      </c>
      <c r="AG653" s="46">
        <f t="shared" si="265"/>
        <v>0</v>
      </c>
      <c r="AH653" s="54">
        <f t="shared" si="247"/>
        <v>4354</v>
      </c>
      <c r="AI653" s="55">
        <f t="shared" si="256"/>
        <v>0.30734966592427615</v>
      </c>
      <c r="AJ653" s="55">
        <f t="shared" si="266"/>
        <v>0</v>
      </c>
      <c r="AK653" s="55">
        <f t="shared" si="267"/>
        <v>0</v>
      </c>
    </row>
    <row r="654" spans="2:37" s="53" customFormat="1" ht="17.25" customHeight="1" x14ac:dyDescent="0.25">
      <c r="B654" s="91" t="str">
        <f t="shared" si="248"/>
        <v/>
      </c>
      <c r="C654" s="81">
        <f>IF(Sheet3!A625="","",Sheet3!A625)</f>
        <v>41988</v>
      </c>
      <c r="D654" s="82">
        <f>IF(C654="","",Sheet3!E625)</f>
        <v>33.540000999999997</v>
      </c>
      <c r="E654" s="56">
        <f>_xlfn.XLOOKUP(WEEKNUM(C654)&amp;YEAR(C654),Sheet4!C:C,Sheet4!B:B,0)</f>
        <v>0</v>
      </c>
      <c r="F654" s="46">
        <f>IF(int=Weekly,-$D$5,IF(int=Bi_Weekly,0,IF(int=Monthly,0,IF(int=Quarterly,0,IF(int=Yearly,0,IF(int=None,0,0))))))</f>
        <v>0</v>
      </c>
      <c r="G654" s="46"/>
      <c r="H654" s="46">
        <f t="shared" si="257"/>
        <v>-15550</v>
      </c>
      <c r="I654" s="47"/>
      <c r="J654" s="38">
        <f t="shared" si="244"/>
        <v>0</v>
      </c>
      <c r="K654" s="48"/>
      <c r="L654" s="48">
        <f t="shared" si="249"/>
        <v>534.56667093014585</v>
      </c>
      <c r="M654" s="48"/>
      <c r="N654" s="38">
        <f t="shared" si="250"/>
        <v>0</v>
      </c>
      <c r="O654" s="36">
        <f t="shared" si="251"/>
        <v>0</v>
      </c>
      <c r="P654" s="84">
        <f t="shared" si="252"/>
        <v>-21125.829109595044</v>
      </c>
      <c r="Q654" s="38">
        <f t="shared" si="253"/>
        <v>0</v>
      </c>
      <c r="R654" s="48">
        <f t="shared" si="254"/>
        <v>180.46516555029416</v>
      </c>
      <c r="S654" s="38">
        <f t="shared" si="245"/>
        <v>715.03183648044001</v>
      </c>
      <c r="T654" s="50">
        <f t="shared" si="258"/>
        <v>15550</v>
      </c>
      <c r="U654" s="40">
        <f t="shared" si="259"/>
        <v>17929.366677563761</v>
      </c>
      <c r="V654" s="41">
        <f t="shared" si="260"/>
        <v>0.15301393424847332</v>
      </c>
      <c r="W654" s="39">
        <f t="shared" si="261"/>
        <v>2379.3666775637612</v>
      </c>
      <c r="X654" s="50">
        <f t="shared" si="255"/>
        <v>5576.297859611318</v>
      </c>
      <c r="Y654" s="41">
        <f t="shared" si="262"/>
        <v>0.51161829821061588</v>
      </c>
      <c r="Z654" s="52"/>
      <c r="AA654" s="50">
        <f t="shared" si="268"/>
        <v>21126.297859611321</v>
      </c>
      <c r="AB654" s="39">
        <f t="shared" si="269"/>
        <v>23982.168510585791</v>
      </c>
      <c r="AC654" s="39">
        <f t="shared" si="263"/>
        <v>2855.8706509744698</v>
      </c>
      <c r="AD654" s="41">
        <f t="shared" si="264"/>
        <v>0.13518083811713377</v>
      </c>
      <c r="AF654" s="46">
        <f t="shared" si="246"/>
        <v>0</v>
      </c>
      <c r="AG654" s="46">
        <f t="shared" si="265"/>
        <v>0</v>
      </c>
      <c r="AH654" s="54">
        <f t="shared" si="247"/>
        <v>4361</v>
      </c>
      <c r="AI654" s="55">
        <f t="shared" si="256"/>
        <v>0.30623608017817372</v>
      </c>
      <c r="AJ654" s="55">
        <f t="shared" si="266"/>
        <v>0</v>
      </c>
      <c r="AK654" s="55">
        <f t="shared" si="267"/>
        <v>0</v>
      </c>
    </row>
    <row r="655" spans="2:37" s="53" customFormat="1" ht="17.25" customHeight="1" x14ac:dyDescent="0.25">
      <c r="B655" s="91" t="str">
        <f t="shared" si="248"/>
        <v/>
      </c>
      <c r="C655" s="81">
        <f>IF(Sheet3!A626="","",Sheet3!A626)</f>
        <v>41995</v>
      </c>
      <c r="D655" s="82">
        <f>IF(C655="","",Sheet3!E626)</f>
        <v>34.169998</v>
      </c>
      <c r="E655" s="56">
        <f>_xlfn.XLOOKUP(WEEKNUM(C655)&amp;YEAR(C655),Sheet4!C:C,Sheet4!B:B,0)</f>
        <v>0</v>
      </c>
      <c r="F655" s="46">
        <f>IF(int=Weekly,-$D$5,IF(int=Bi_Weekly,-$D$5,IF(int=Monthly,-$D$5,IF(int=Quarterly,-$D$5,IF(int=Yearly,-$D$5,IF(int=None,0,0))))))</f>
        <v>-100</v>
      </c>
      <c r="G655" s="46"/>
      <c r="H655" s="46">
        <f t="shared" si="257"/>
        <v>-15650</v>
      </c>
      <c r="I655" s="47"/>
      <c r="J655" s="38">
        <f t="shared" si="244"/>
        <v>2.9265439231222667</v>
      </c>
      <c r="K655" s="48"/>
      <c r="L655" s="48">
        <f t="shared" si="249"/>
        <v>537.49321485326811</v>
      </c>
      <c r="M655" s="48"/>
      <c r="N655" s="38">
        <f t="shared" si="250"/>
        <v>0</v>
      </c>
      <c r="O655" s="36">
        <f t="shared" si="251"/>
        <v>0</v>
      </c>
      <c r="P655" s="84">
        <f t="shared" si="252"/>
        <v>-21225.829109595044</v>
      </c>
      <c r="Q655" s="38">
        <f t="shared" si="253"/>
        <v>0</v>
      </c>
      <c r="R655" s="48">
        <f t="shared" si="254"/>
        <v>180.46516555029416</v>
      </c>
      <c r="S655" s="38">
        <f t="shared" si="245"/>
        <v>717.95838040356227</v>
      </c>
      <c r="T655" s="50">
        <f t="shared" si="258"/>
        <v>15650</v>
      </c>
      <c r="U655" s="40">
        <f t="shared" si="259"/>
        <v>18366.142076549742</v>
      </c>
      <c r="V655" s="41">
        <f t="shared" si="260"/>
        <v>0.1735554042523797</v>
      </c>
      <c r="W655" s="39">
        <f t="shared" si="261"/>
        <v>2716.1420765497423</v>
      </c>
      <c r="X655" s="50">
        <f t="shared" si="255"/>
        <v>5576.297859611318</v>
      </c>
      <c r="Y655" s="41">
        <f t="shared" si="262"/>
        <v>0.52986836652786318</v>
      </c>
      <c r="Z655" s="52"/>
      <c r="AA655" s="50">
        <f t="shared" si="268"/>
        <v>21226.297859611321</v>
      </c>
      <c r="AB655" s="39">
        <f t="shared" si="269"/>
        <v>24532.636422472962</v>
      </c>
      <c r="AC655" s="39">
        <f t="shared" si="263"/>
        <v>3306.3385628616415</v>
      </c>
      <c r="AD655" s="41">
        <f t="shared" si="264"/>
        <v>0.15576614371142083</v>
      </c>
      <c r="AF655" s="46">
        <f t="shared" si="246"/>
        <v>-100</v>
      </c>
      <c r="AG655" s="46">
        <f t="shared" si="265"/>
        <v>-100</v>
      </c>
      <c r="AH655" s="54">
        <f t="shared" si="247"/>
        <v>4368</v>
      </c>
      <c r="AI655" s="55">
        <f t="shared" si="256"/>
        <v>0.30512249443207129</v>
      </c>
      <c r="AJ655" s="55">
        <f t="shared" si="266"/>
        <v>-30.512249443207129</v>
      </c>
      <c r="AK655" s="55">
        <f t="shared" si="267"/>
        <v>-30.512249443207129</v>
      </c>
    </row>
    <row r="656" spans="2:37" s="53" customFormat="1" ht="17.25" customHeight="1" x14ac:dyDescent="0.25">
      <c r="B656" s="91" t="str">
        <f t="shared" si="248"/>
        <v/>
      </c>
      <c r="C656" s="81">
        <f>IF(Sheet3!A627="","",Sheet3!A627)</f>
        <v>42002</v>
      </c>
      <c r="D656" s="82">
        <f>IF(C656="","",Sheet3!E627)</f>
        <v>33.869999</v>
      </c>
      <c r="E656" s="56">
        <f>_xlfn.XLOOKUP(WEEKNUM(C656)&amp;YEAR(C656),Sheet4!C:C,Sheet4!B:B,0)</f>
        <v>0</v>
      </c>
      <c r="F656" s="46">
        <f>IF(int=Weekly,-$D$5,IF(int=Bi_Weekly,0,IF(int=Monthly,0,IF(int=Quarterly,0,IF(int=Yearly,0,IF(int=None,0,0))))))</f>
        <v>0</v>
      </c>
      <c r="G656" s="46"/>
      <c r="H656" s="46">
        <f t="shared" si="257"/>
        <v>-15650</v>
      </c>
      <c r="I656" s="47"/>
      <c r="J656" s="38">
        <f t="shared" si="244"/>
        <v>0</v>
      </c>
      <c r="K656" s="48"/>
      <c r="L656" s="48">
        <f t="shared" si="249"/>
        <v>537.49321485326811</v>
      </c>
      <c r="M656" s="48"/>
      <c r="N656" s="38">
        <f t="shared" si="250"/>
        <v>0</v>
      </c>
      <c r="O656" s="36">
        <f t="shared" si="251"/>
        <v>0</v>
      </c>
      <c r="P656" s="84">
        <f t="shared" si="252"/>
        <v>-21225.829109595044</v>
      </c>
      <c r="Q656" s="38">
        <f t="shared" si="253"/>
        <v>0</v>
      </c>
      <c r="R656" s="48">
        <f t="shared" si="254"/>
        <v>180.46516555029416</v>
      </c>
      <c r="S656" s="38">
        <f t="shared" si="245"/>
        <v>717.95838040356227</v>
      </c>
      <c r="T656" s="50">
        <f t="shared" si="258"/>
        <v>15650</v>
      </c>
      <c r="U656" s="40">
        <f t="shared" si="259"/>
        <v>18204.894649586975</v>
      </c>
      <c r="V656" s="41">
        <f t="shared" si="260"/>
        <v>0.16325205428670775</v>
      </c>
      <c r="W656" s="39">
        <f t="shared" si="261"/>
        <v>2554.894649586975</v>
      </c>
      <c r="X656" s="50">
        <f t="shared" si="255"/>
        <v>5576.297859611318</v>
      </c>
      <c r="Y656" s="41">
        <f t="shared" si="262"/>
        <v>0.51956501656219123</v>
      </c>
      <c r="Z656" s="52"/>
      <c r="AA656" s="50">
        <f t="shared" si="268"/>
        <v>21226.297859611321</v>
      </c>
      <c r="AB656" s="39">
        <f t="shared" si="269"/>
        <v>24317.249626310273</v>
      </c>
      <c r="AC656" s="39">
        <f t="shared" si="263"/>
        <v>3090.9517666989523</v>
      </c>
      <c r="AD656" s="41">
        <f t="shared" si="264"/>
        <v>0.14561897638213739</v>
      </c>
      <c r="AF656" s="46">
        <f t="shared" si="246"/>
        <v>0</v>
      </c>
      <c r="AG656" s="46">
        <f t="shared" si="265"/>
        <v>0</v>
      </c>
      <c r="AH656" s="54">
        <f t="shared" si="247"/>
        <v>4375</v>
      </c>
      <c r="AI656" s="55">
        <f t="shared" si="256"/>
        <v>0.3040089086859688</v>
      </c>
      <c r="AJ656" s="55">
        <f t="shared" si="266"/>
        <v>0</v>
      </c>
      <c r="AK656" s="55">
        <f t="shared" si="267"/>
        <v>0</v>
      </c>
    </row>
    <row r="657" spans="2:37" s="53" customFormat="1" ht="17.25" customHeight="1" x14ac:dyDescent="0.25">
      <c r="B657" s="91" t="str">
        <f t="shared" si="248"/>
        <v/>
      </c>
      <c r="C657" s="81">
        <f>IF(Sheet3!A628="","",Sheet3!A628)</f>
        <v>42009</v>
      </c>
      <c r="D657" s="82">
        <f>IF(C657="","",Sheet3!E628)</f>
        <v>33.400002000000001</v>
      </c>
      <c r="E657" s="56">
        <f>_xlfn.XLOOKUP(WEEKNUM(C657)&amp;YEAR(C657),Sheet4!C:C,Sheet4!B:B,0)</f>
        <v>0.47</v>
      </c>
      <c r="F657" s="46">
        <f>IF(int=Weekly,-$D$5,IF(int=Bi_Weekly,-$D$5,IF(int=Monthly,0,IF(int=Quarterly,0,IF(int=Yearly,0,IF(int=None,0,0))))))</f>
        <v>0</v>
      </c>
      <c r="G657" s="46"/>
      <c r="H657" s="46">
        <f t="shared" si="257"/>
        <v>-15650</v>
      </c>
      <c r="I657" s="47"/>
      <c r="J657" s="38">
        <f t="shared" si="244"/>
        <v>0</v>
      </c>
      <c r="K657" s="48"/>
      <c r="L657" s="48">
        <f t="shared" si="249"/>
        <v>537.49321485326811</v>
      </c>
      <c r="M657" s="48"/>
      <c r="N657" s="38">
        <f t="shared" si="250"/>
        <v>252.62181098103599</v>
      </c>
      <c r="O657" s="36">
        <f t="shared" si="251"/>
        <v>-252.62181098103599</v>
      </c>
      <c r="P657" s="84">
        <f t="shared" si="252"/>
        <v>-21478.450920576081</v>
      </c>
      <c r="Q657" s="38">
        <f t="shared" si="253"/>
        <v>7.5635268219755192</v>
      </c>
      <c r="R657" s="48">
        <f t="shared" si="254"/>
        <v>188.02869237226969</v>
      </c>
      <c r="S657" s="38">
        <f t="shared" si="245"/>
        <v>725.5219072255378</v>
      </c>
      <c r="T657" s="50">
        <f t="shared" si="258"/>
        <v>15650</v>
      </c>
      <c r="U657" s="40">
        <f t="shared" si="259"/>
        <v>17952.274451085585</v>
      </c>
      <c r="V657" s="41">
        <f t="shared" si="260"/>
        <v>0.14711018856776903</v>
      </c>
      <c r="W657" s="39">
        <f t="shared" si="261"/>
        <v>2302.2744510855846</v>
      </c>
      <c r="X657" s="50">
        <f t="shared" si="255"/>
        <v>5828.9196705923541</v>
      </c>
      <c r="Y657" s="41">
        <f t="shared" si="262"/>
        <v>0.51956511959603446</v>
      </c>
      <c r="Z657" s="52"/>
      <c r="AA657" s="50">
        <f t="shared" si="268"/>
        <v>21478.919670592357</v>
      </c>
      <c r="AB657" s="39">
        <f t="shared" si="269"/>
        <v>24232.433152376776</v>
      </c>
      <c r="AC657" s="39">
        <f t="shared" si="263"/>
        <v>2753.5134817844191</v>
      </c>
      <c r="AD657" s="41">
        <f t="shared" si="264"/>
        <v>0.12819608825831041</v>
      </c>
      <c r="AF657" s="46">
        <f t="shared" si="246"/>
        <v>252.62181098103599</v>
      </c>
      <c r="AG657" s="46">
        <f t="shared" si="265"/>
        <v>0</v>
      </c>
      <c r="AH657" s="54">
        <f t="shared" si="247"/>
        <v>4382</v>
      </c>
      <c r="AI657" s="55">
        <f t="shared" si="256"/>
        <v>0.30289532293986637</v>
      </c>
      <c r="AJ657" s="55">
        <f t="shared" si="266"/>
        <v>76.517965018754779</v>
      </c>
      <c r="AK657" s="55">
        <f t="shared" si="267"/>
        <v>0</v>
      </c>
    </row>
    <row r="658" spans="2:37" s="53" customFormat="1" ht="17.25" customHeight="1" x14ac:dyDescent="0.25">
      <c r="B658" s="91" t="str">
        <f t="shared" si="248"/>
        <v/>
      </c>
      <c r="C658" s="81">
        <f>IF(Sheet3!A629="","",Sheet3!A629)</f>
        <v>42016</v>
      </c>
      <c r="D658" s="82">
        <f>IF(C658="","",Sheet3!E629)</f>
        <v>33.799999</v>
      </c>
      <c r="E658" s="56">
        <f>_xlfn.XLOOKUP(WEEKNUM(C658)&amp;YEAR(C658),Sheet4!C:C,Sheet4!B:B,0)</f>
        <v>0</v>
      </c>
      <c r="F658" s="46">
        <f>IF(int=Weekly,-$D$5,IF(int=Bi_Weekly,0,IF(int=Monthly,0,IF(int=Quarterly,0,IF(int=Yearly,0,IF(int=None,0,0))))))</f>
        <v>0</v>
      </c>
      <c r="G658" s="46"/>
      <c r="H658" s="46">
        <f t="shared" si="257"/>
        <v>-15650</v>
      </c>
      <c r="I658" s="47"/>
      <c r="J658" s="38">
        <f t="shared" si="244"/>
        <v>0</v>
      </c>
      <c r="K658" s="48"/>
      <c r="L658" s="48">
        <f t="shared" si="249"/>
        <v>537.49321485326811</v>
      </c>
      <c r="M658" s="48"/>
      <c r="N658" s="38">
        <f t="shared" si="250"/>
        <v>0</v>
      </c>
      <c r="O658" s="36">
        <f t="shared" si="251"/>
        <v>0</v>
      </c>
      <c r="P658" s="84">
        <f t="shared" si="252"/>
        <v>-21478.450920576081</v>
      </c>
      <c r="Q658" s="38">
        <f t="shared" si="253"/>
        <v>0</v>
      </c>
      <c r="R658" s="48">
        <f t="shared" si="254"/>
        <v>188.02869237226969</v>
      </c>
      <c r="S658" s="38">
        <f t="shared" si="245"/>
        <v>725.5219072255378</v>
      </c>
      <c r="T658" s="50">
        <f t="shared" si="258"/>
        <v>15650</v>
      </c>
      <c r="U658" s="40">
        <f t="shared" si="259"/>
        <v>18167.270124547249</v>
      </c>
      <c r="V658" s="41">
        <f t="shared" si="260"/>
        <v>0.1608479312809743</v>
      </c>
      <c r="W658" s="39">
        <f t="shared" si="261"/>
        <v>2517.270124547249</v>
      </c>
      <c r="X658" s="50">
        <f t="shared" si="255"/>
        <v>5828.9196705923541</v>
      </c>
      <c r="Y658" s="41">
        <f t="shared" si="262"/>
        <v>0.53330286230923973</v>
      </c>
      <c r="Z658" s="52"/>
      <c r="AA658" s="50">
        <f t="shared" si="268"/>
        <v>21478.919670592357</v>
      </c>
      <c r="AB658" s="39">
        <f t="shared" si="269"/>
        <v>24522.639738701273</v>
      </c>
      <c r="AC658" s="39">
        <f t="shared" si="263"/>
        <v>3043.7200681089162</v>
      </c>
      <c r="AD658" s="41">
        <f t="shared" si="264"/>
        <v>0.14170731651258017</v>
      </c>
      <c r="AF658" s="46">
        <f t="shared" si="246"/>
        <v>0</v>
      </c>
      <c r="AG658" s="46">
        <f t="shared" si="265"/>
        <v>0</v>
      </c>
      <c r="AH658" s="54">
        <f t="shared" si="247"/>
        <v>4389</v>
      </c>
      <c r="AI658" s="55">
        <f t="shared" si="256"/>
        <v>0.30178173719376394</v>
      </c>
      <c r="AJ658" s="55">
        <f t="shared" si="266"/>
        <v>0</v>
      </c>
      <c r="AK658" s="55">
        <f t="shared" si="267"/>
        <v>0</v>
      </c>
    </row>
    <row r="659" spans="2:37" s="53" customFormat="1" ht="17.25" customHeight="1" x14ac:dyDescent="0.25">
      <c r="B659" s="91" t="str">
        <f t="shared" si="248"/>
        <v/>
      </c>
      <c r="C659" s="81">
        <f>IF(Sheet3!A630="","",Sheet3!A630)</f>
        <v>42023</v>
      </c>
      <c r="D659" s="82">
        <f>IF(C659="","",Sheet3!E630)</f>
        <v>33.369999</v>
      </c>
      <c r="E659" s="56">
        <f>_xlfn.XLOOKUP(WEEKNUM(C659)&amp;YEAR(C659),Sheet4!C:C,Sheet4!B:B,0)</f>
        <v>0</v>
      </c>
      <c r="F659" s="46">
        <f>IF(int=Weekly,-$D$5,IF(int=Bi_Weekly,-$D$5,IF(int=Monthly,-$D$5,IF(int=Quarterly,0,IF(int=Yearly,0,IF(int=None,0,0))))))</f>
        <v>-100</v>
      </c>
      <c r="G659" s="46"/>
      <c r="H659" s="46">
        <f t="shared" si="257"/>
        <v>-15750</v>
      </c>
      <c r="I659" s="47"/>
      <c r="J659" s="38">
        <f t="shared" si="244"/>
        <v>2.9967037158137164</v>
      </c>
      <c r="K659" s="48"/>
      <c r="L659" s="48">
        <f t="shared" si="249"/>
        <v>540.48991856908185</v>
      </c>
      <c r="M659" s="48"/>
      <c r="N659" s="38">
        <f t="shared" si="250"/>
        <v>0</v>
      </c>
      <c r="O659" s="36">
        <f t="shared" si="251"/>
        <v>0</v>
      </c>
      <c r="P659" s="84">
        <f t="shared" si="252"/>
        <v>-21578.450920576081</v>
      </c>
      <c r="Q659" s="38">
        <f t="shared" si="253"/>
        <v>0</v>
      </c>
      <c r="R659" s="48">
        <f t="shared" si="254"/>
        <v>188.02869237226969</v>
      </c>
      <c r="S659" s="38">
        <f t="shared" si="245"/>
        <v>728.51861094135154</v>
      </c>
      <c r="T659" s="50">
        <f t="shared" si="258"/>
        <v>15750</v>
      </c>
      <c r="U659" s="40">
        <f t="shared" si="259"/>
        <v>18036.148042160341</v>
      </c>
      <c r="V659" s="41">
        <f t="shared" si="260"/>
        <v>0.14515225664510112</v>
      </c>
      <c r="W659" s="39">
        <f t="shared" si="261"/>
        <v>2286.148042160341</v>
      </c>
      <c r="X659" s="50">
        <f t="shared" si="255"/>
        <v>5828.9196705923541</v>
      </c>
      <c r="Y659" s="41">
        <f t="shared" si="262"/>
        <v>0.51524239446048847</v>
      </c>
      <c r="Z659" s="52"/>
      <c r="AA659" s="50">
        <f t="shared" si="268"/>
        <v>21578.919670592357</v>
      </c>
      <c r="AB659" s="39">
        <f t="shared" si="269"/>
        <v>24310.665318594289</v>
      </c>
      <c r="AC659" s="39">
        <f t="shared" si="263"/>
        <v>2731.7456480019318</v>
      </c>
      <c r="AD659" s="41">
        <f t="shared" si="264"/>
        <v>0.12659325349474004</v>
      </c>
      <c r="AF659" s="46">
        <f t="shared" si="246"/>
        <v>-100</v>
      </c>
      <c r="AG659" s="46">
        <f t="shared" si="265"/>
        <v>-100</v>
      </c>
      <c r="AH659" s="54">
        <f t="shared" si="247"/>
        <v>4396</v>
      </c>
      <c r="AI659" s="55">
        <f t="shared" si="256"/>
        <v>0.30066815144766146</v>
      </c>
      <c r="AJ659" s="55">
        <f t="shared" si="266"/>
        <v>-30.066815144766146</v>
      </c>
      <c r="AK659" s="55">
        <f t="shared" si="267"/>
        <v>-30.066815144766146</v>
      </c>
    </row>
    <row r="660" spans="2:37" s="53" customFormat="1" ht="17.25" customHeight="1" x14ac:dyDescent="0.25">
      <c r="B660" s="91" t="str">
        <f t="shared" si="248"/>
        <v/>
      </c>
      <c r="C660" s="81">
        <f>IF(Sheet3!A631="","",Sheet3!A631)</f>
        <v>42030</v>
      </c>
      <c r="D660" s="82">
        <f>IF(C660="","",Sheet3!E631)</f>
        <v>32.919998</v>
      </c>
      <c r="E660" s="56">
        <f>_xlfn.XLOOKUP(WEEKNUM(C660)&amp;YEAR(C660),Sheet4!C:C,Sheet4!B:B,0)</f>
        <v>0</v>
      </c>
      <c r="F660" s="46">
        <f>IF(int=Weekly,-$D$5,IF(int=Bi_Weekly,0,IF(int=Monthly,0,IF(int=Quarterly,0,IF(int=Yearly,0,IF(int=None,0,0))))))</f>
        <v>0</v>
      </c>
      <c r="G660" s="46"/>
      <c r="H660" s="46">
        <f t="shared" si="257"/>
        <v>-15750</v>
      </c>
      <c r="I660" s="47"/>
      <c r="J660" s="38">
        <f t="shared" si="244"/>
        <v>0</v>
      </c>
      <c r="K660" s="48"/>
      <c r="L660" s="48">
        <f t="shared" si="249"/>
        <v>540.48991856908185</v>
      </c>
      <c r="M660" s="48"/>
      <c r="N660" s="38">
        <f t="shared" si="250"/>
        <v>0</v>
      </c>
      <c r="O660" s="36">
        <f t="shared" si="251"/>
        <v>0</v>
      </c>
      <c r="P660" s="84">
        <f t="shared" si="252"/>
        <v>-21578.450920576081</v>
      </c>
      <c r="Q660" s="38">
        <f t="shared" si="253"/>
        <v>0</v>
      </c>
      <c r="R660" s="48">
        <f t="shared" si="254"/>
        <v>188.02869237226969</v>
      </c>
      <c r="S660" s="38">
        <f t="shared" si="245"/>
        <v>728.51861094135154</v>
      </c>
      <c r="T660" s="50">
        <f t="shared" si="258"/>
        <v>15750</v>
      </c>
      <c r="U660" s="40">
        <f t="shared" si="259"/>
        <v>17792.927038314338</v>
      </c>
      <c r="V660" s="41">
        <f t="shared" si="260"/>
        <v>0.12970965322630712</v>
      </c>
      <c r="W660" s="39">
        <f t="shared" si="261"/>
        <v>2042.9270383143376</v>
      </c>
      <c r="X660" s="50">
        <f t="shared" si="255"/>
        <v>5828.9196705923541</v>
      </c>
      <c r="Y660" s="41">
        <f t="shared" si="262"/>
        <v>0.4997997910416947</v>
      </c>
      <c r="Z660" s="52"/>
      <c r="AA660" s="50">
        <f t="shared" si="268"/>
        <v>21578.919670592357</v>
      </c>
      <c r="AB660" s="39">
        <f t="shared" si="269"/>
        <v>23982.831215152073</v>
      </c>
      <c r="AC660" s="39">
        <f t="shared" si="263"/>
        <v>2403.9115445597163</v>
      </c>
      <c r="AD660" s="41">
        <f t="shared" si="264"/>
        <v>0.11140092188376571</v>
      </c>
      <c r="AF660" s="46">
        <f t="shared" si="246"/>
        <v>0</v>
      </c>
      <c r="AG660" s="46">
        <f t="shared" si="265"/>
        <v>0</v>
      </c>
      <c r="AH660" s="54">
        <f t="shared" si="247"/>
        <v>4403</v>
      </c>
      <c r="AI660" s="55">
        <f t="shared" si="256"/>
        <v>0.29955456570155903</v>
      </c>
      <c r="AJ660" s="55">
        <f t="shared" si="266"/>
        <v>0</v>
      </c>
      <c r="AK660" s="55">
        <f t="shared" si="267"/>
        <v>0</v>
      </c>
    </row>
    <row r="661" spans="2:37" s="53" customFormat="1" ht="17.25" customHeight="1" x14ac:dyDescent="0.25">
      <c r="B661" s="91" t="str">
        <f t="shared" si="248"/>
        <v/>
      </c>
      <c r="C661" s="81">
        <f>IF(Sheet3!A632="","",Sheet3!A632)</f>
        <v>42037</v>
      </c>
      <c r="D661" s="82">
        <f>IF(C661="","",Sheet3!E632)</f>
        <v>34.869999</v>
      </c>
      <c r="E661" s="56">
        <f>_xlfn.XLOOKUP(WEEKNUM(C661)&amp;YEAR(C661),Sheet4!C:C,Sheet4!B:B,0)</f>
        <v>0</v>
      </c>
      <c r="F661" s="46">
        <f>IF(int=Weekly,-$D$5,IF(int=Bi_Weekly,-$D$5,IF(int=Monthly,0,IF(int=Quarterly,0,IF(int=Yearly,0,IF(int=None,0,0))))))</f>
        <v>0</v>
      </c>
      <c r="G661" s="46"/>
      <c r="H661" s="46">
        <f t="shared" si="257"/>
        <v>-15750</v>
      </c>
      <c r="I661" s="47"/>
      <c r="J661" s="38">
        <f t="shared" si="244"/>
        <v>0</v>
      </c>
      <c r="K661" s="48"/>
      <c r="L661" s="48">
        <f t="shared" si="249"/>
        <v>540.48991856908185</v>
      </c>
      <c r="M661" s="48"/>
      <c r="N661" s="38">
        <f t="shared" si="250"/>
        <v>0</v>
      </c>
      <c r="O661" s="36">
        <f t="shared" si="251"/>
        <v>0</v>
      </c>
      <c r="P661" s="84">
        <f t="shared" si="252"/>
        <v>-21578.450920576081</v>
      </c>
      <c r="Q661" s="38">
        <f t="shared" si="253"/>
        <v>0</v>
      </c>
      <c r="R661" s="48">
        <f t="shared" si="254"/>
        <v>188.02869237226969</v>
      </c>
      <c r="S661" s="38">
        <f t="shared" si="245"/>
        <v>728.51861094135154</v>
      </c>
      <c r="T661" s="50">
        <f t="shared" si="258"/>
        <v>15750</v>
      </c>
      <c r="U661" s="40">
        <f t="shared" si="259"/>
        <v>18846.882920013966</v>
      </c>
      <c r="V661" s="41">
        <f t="shared" si="260"/>
        <v>0.19662748698501376</v>
      </c>
      <c r="W661" s="39">
        <f t="shared" si="261"/>
        <v>3096.8829200139662</v>
      </c>
      <c r="X661" s="50">
        <f t="shared" si="255"/>
        <v>5828.9196705923541</v>
      </c>
      <c r="Y661" s="41">
        <f t="shared" si="262"/>
        <v>0.56671762480040133</v>
      </c>
      <c r="Z661" s="52"/>
      <c r="AA661" s="50">
        <f t="shared" si="268"/>
        <v>21578.919670592357</v>
      </c>
      <c r="AB661" s="39">
        <f t="shared" si="269"/>
        <v>25403.443235006318</v>
      </c>
      <c r="AC661" s="39">
        <f t="shared" si="263"/>
        <v>3824.5235644139611</v>
      </c>
      <c r="AD661" s="41">
        <f t="shared" si="264"/>
        <v>0.17723424632911544</v>
      </c>
      <c r="AF661" s="46">
        <f t="shared" si="246"/>
        <v>0</v>
      </c>
      <c r="AG661" s="46">
        <f t="shared" si="265"/>
        <v>0</v>
      </c>
      <c r="AH661" s="54">
        <f t="shared" si="247"/>
        <v>4410</v>
      </c>
      <c r="AI661" s="55">
        <f t="shared" si="256"/>
        <v>0.2984409799554566</v>
      </c>
      <c r="AJ661" s="55">
        <f t="shared" si="266"/>
        <v>0</v>
      </c>
      <c r="AK661" s="55">
        <f t="shared" si="267"/>
        <v>0</v>
      </c>
    </row>
    <row r="662" spans="2:37" s="53" customFormat="1" ht="17.25" customHeight="1" x14ac:dyDescent="0.25">
      <c r="B662" s="91" t="str">
        <f t="shared" si="248"/>
        <v/>
      </c>
      <c r="C662" s="81">
        <f>IF(Sheet3!A633="","",Sheet3!A633)</f>
        <v>42044</v>
      </c>
      <c r="D662" s="82">
        <f>IF(C662="","",Sheet3!E633)</f>
        <v>34.659999999999997</v>
      </c>
      <c r="E662" s="56">
        <f>_xlfn.XLOOKUP(WEEKNUM(C662)&amp;YEAR(C662),Sheet4!C:C,Sheet4!B:B,0)</f>
        <v>0</v>
      </c>
      <c r="F662" s="46">
        <f>IF(int=Weekly,-$D$5,IF(int=Bi_Weekly,0,IF(int=Monthly,0,IF(int=Quarterly,0,IF(int=Yearly,0,IF(int=None,0,0))))))</f>
        <v>0</v>
      </c>
      <c r="G662" s="46"/>
      <c r="H662" s="46">
        <f t="shared" si="257"/>
        <v>-15750</v>
      </c>
      <c r="I662" s="47"/>
      <c r="J662" s="38">
        <f t="shared" si="244"/>
        <v>0</v>
      </c>
      <c r="K662" s="48"/>
      <c r="L662" s="48">
        <f t="shared" si="249"/>
        <v>540.48991856908185</v>
      </c>
      <c r="M662" s="48"/>
      <c r="N662" s="38">
        <f t="shared" si="250"/>
        <v>0</v>
      </c>
      <c r="O662" s="36">
        <f t="shared" si="251"/>
        <v>0</v>
      </c>
      <c r="P662" s="84">
        <f t="shared" si="252"/>
        <v>-21578.450920576081</v>
      </c>
      <c r="Q662" s="38">
        <f t="shared" si="253"/>
        <v>0</v>
      </c>
      <c r="R662" s="48">
        <f t="shared" si="254"/>
        <v>188.02869237226969</v>
      </c>
      <c r="S662" s="38">
        <f t="shared" si="245"/>
        <v>728.51861094135154</v>
      </c>
      <c r="T662" s="50">
        <f t="shared" si="258"/>
        <v>15750</v>
      </c>
      <c r="U662" s="40">
        <f t="shared" si="259"/>
        <v>18733.380577604374</v>
      </c>
      <c r="V662" s="41">
        <f t="shared" si="260"/>
        <v>0.18942098905424598</v>
      </c>
      <c r="W662" s="39">
        <f t="shared" si="261"/>
        <v>2983.3805776043737</v>
      </c>
      <c r="X662" s="50">
        <f t="shared" si="255"/>
        <v>5828.9196705923541</v>
      </c>
      <c r="Y662" s="41">
        <f t="shared" si="262"/>
        <v>0.55951112686963356</v>
      </c>
      <c r="Z662" s="52"/>
      <c r="AA662" s="50">
        <f t="shared" si="268"/>
        <v>21578.919670592357</v>
      </c>
      <c r="AB662" s="39">
        <f t="shared" si="269"/>
        <v>25250.455055227241</v>
      </c>
      <c r="AC662" s="39">
        <f t="shared" si="263"/>
        <v>3671.5353846348844</v>
      </c>
      <c r="AD662" s="41">
        <f t="shared" si="264"/>
        <v>0.17014454109296473</v>
      </c>
      <c r="AF662" s="46">
        <f t="shared" si="246"/>
        <v>0</v>
      </c>
      <c r="AG662" s="46">
        <f t="shared" si="265"/>
        <v>0</v>
      </c>
      <c r="AH662" s="54">
        <f t="shared" si="247"/>
        <v>4417</v>
      </c>
      <c r="AI662" s="55">
        <f t="shared" si="256"/>
        <v>0.29732739420935411</v>
      </c>
      <c r="AJ662" s="55">
        <f t="shared" si="266"/>
        <v>0</v>
      </c>
      <c r="AK662" s="55">
        <f t="shared" si="267"/>
        <v>0</v>
      </c>
    </row>
    <row r="663" spans="2:37" s="53" customFormat="1" ht="17.25" customHeight="1" x14ac:dyDescent="0.25">
      <c r="B663" s="91" t="str">
        <f t="shared" si="248"/>
        <v/>
      </c>
      <c r="C663" s="81">
        <f>IF(Sheet3!A634="","",Sheet3!A634)</f>
        <v>42051</v>
      </c>
      <c r="D663" s="82">
        <f>IF(C663="","",Sheet3!E634)</f>
        <v>34.080002</v>
      </c>
      <c r="E663" s="56">
        <f>_xlfn.XLOOKUP(WEEKNUM(C663)&amp;YEAR(C663),Sheet4!C:C,Sheet4!B:B,0)</f>
        <v>0</v>
      </c>
      <c r="F663" s="46">
        <f>IF(int=Weekly,-$D$5,IF(int=Bi_Weekly,-$D$5,IF(int=Monthly,-$D$5,IF(int=Quarterly,0,IF(int=Yearly,0,IF(int=None,0,0))))))</f>
        <v>-100</v>
      </c>
      <c r="G663" s="46"/>
      <c r="H663" s="46">
        <f t="shared" si="257"/>
        <v>-15850</v>
      </c>
      <c r="I663" s="47"/>
      <c r="J663" s="38">
        <f t="shared" si="244"/>
        <v>2.9342721282704152</v>
      </c>
      <c r="K663" s="48"/>
      <c r="L663" s="48">
        <f t="shared" si="249"/>
        <v>543.42419069735229</v>
      </c>
      <c r="M663" s="48"/>
      <c r="N663" s="38">
        <f t="shared" si="250"/>
        <v>0</v>
      </c>
      <c r="O663" s="36">
        <f t="shared" si="251"/>
        <v>0</v>
      </c>
      <c r="P663" s="84">
        <f t="shared" si="252"/>
        <v>-21678.450920576081</v>
      </c>
      <c r="Q663" s="38">
        <f t="shared" si="253"/>
        <v>0</v>
      </c>
      <c r="R663" s="48">
        <f t="shared" si="254"/>
        <v>188.02869237226969</v>
      </c>
      <c r="S663" s="38">
        <f t="shared" si="245"/>
        <v>731.45288306962198</v>
      </c>
      <c r="T663" s="50">
        <f t="shared" si="258"/>
        <v>15850</v>
      </c>
      <c r="U663" s="40">
        <f t="shared" si="259"/>
        <v>18519.897505814148</v>
      </c>
      <c r="V663" s="41">
        <f t="shared" si="260"/>
        <v>0.16844779216493055</v>
      </c>
      <c r="W663" s="39">
        <f t="shared" si="261"/>
        <v>2669.8975058141477</v>
      </c>
      <c r="X663" s="50">
        <f t="shared" si="255"/>
        <v>5828.9196705923541</v>
      </c>
      <c r="Y663" s="41">
        <f t="shared" si="262"/>
        <v>0.53620297642943227</v>
      </c>
      <c r="Z663" s="52"/>
      <c r="AA663" s="50">
        <f t="shared" si="268"/>
        <v>21678.919670592357</v>
      </c>
      <c r="AB663" s="39">
        <f t="shared" si="269"/>
        <v>24927.915717918484</v>
      </c>
      <c r="AC663" s="39">
        <f t="shared" si="263"/>
        <v>3248.9960473261272</v>
      </c>
      <c r="AD663" s="41">
        <f t="shared" si="264"/>
        <v>0.1498689093688288</v>
      </c>
      <c r="AF663" s="46">
        <f t="shared" si="246"/>
        <v>-100</v>
      </c>
      <c r="AG663" s="46">
        <f t="shared" si="265"/>
        <v>-100</v>
      </c>
      <c r="AH663" s="54">
        <f t="shared" si="247"/>
        <v>4424</v>
      </c>
      <c r="AI663" s="55">
        <f t="shared" si="256"/>
        <v>0.29621380846325168</v>
      </c>
      <c r="AJ663" s="55">
        <f t="shared" si="266"/>
        <v>-29.621380846325167</v>
      </c>
      <c r="AK663" s="55">
        <f t="shared" si="267"/>
        <v>-29.621380846325167</v>
      </c>
    </row>
    <row r="664" spans="2:37" s="53" customFormat="1" ht="17.25" customHeight="1" x14ac:dyDescent="0.25">
      <c r="B664" s="91" t="str">
        <f t="shared" si="248"/>
        <v/>
      </c>
      <c r="C664" s="81">
        <f>IF(Sheet3!A635="","",Sheet3!A635)</f>
        <v>42058</v>
      </c>
      <c r="D664" s="82">
        <f>IF(C664="","",Sheet3!E635)</f>
        <v>34.560001</v>
      </c>
      <c r="E664" s="56">
        <f>_xlfn.XLOOKUP(WEEKNUM(C664)&amp;YEAR(C664),Sheet4!C:C,Sheet4!B:B,0)</f>
        <v>0</v>
      </c>
      <c r="F664" s="46">
        <f>IF(int=Weekly,-$D$5,IF(int=Bi_Weekly,0,IF(int=Monthly,0,IF(int=Quarterly,0,IF(int=Yearly,0,IF(int=None,0,0))))))</f>
        <v>0</v>
      </c>
      <c r="G664" s="46"/>
      <c r="H664" s="46">
        <f t="shared" si="257"/>
        <v>-15850</v>
      </c>
      <c r="I664" s="47"/>
      <c r="J664" s="38">
        <f t="shared" si="244"/>
        <v>0</v>
      </c>
      <c r="K664" s="48"/>
      <c r="L664" s="48">
        <f t="shared" si="249"/>
        <v>543.42419069735229</v>
      </c>
      <c r="M664" s="48"/>
      <c r="N664" s="38">
        <f t="shared" si="250"/>
        <v>0</v>
      </c>
      <c r="O664" s="36">
        <f t="shared" si="251"/>
        <v>0</v>
      </c>
      <c r="P664" s="84">
        <f t="shared" si="252"/>
        <v>-21678.450920576081</v>
      </c>
      <c r="Q664" s="38">
        <f t="shared" si="253"/>
        <v>0</v>
      </c>
      <c r="R664" s="48">
        <f t="shared" si="254"/>
        <v>188.02869237226969</v>
      </c>
      <c r="S664" s="38">
        <f t="shared" si="245"/>
        <v>731.45288306962198</v>
      </c>
      <c r="T664" s="50">
        <f t="shared" si="258"/>
        <v>15850</v>
      </c>
      <c r="U664" s="40">
        <f t="shared" si="259"/>
        <v>18780.740573924686</v>
      </c>
      <c r="V664" s="41">
        <f t="shared" si="260"/>
        <v>0.18490476807095813</v>
      </c>
      <c r="W664" s="39">
        <f t="shared" si="261"/>
        <v>2930.740573924686</v>
      </c>
      <c r="X664" s="50">
        <f t="shared" si="255"/>
        <v>5828.9196705923541</v>
      </c>
      <c r="Y664" s="41">
        <f t="shared" si="262"/>
        <v>0.55265995233545984</v>
      </c>
      <c r="Z664" s="52"/>
      <c r="AA664" s="50">
        <f t="shared" si="268"/>
        <v>21678.919670592357</v>
      </c>
      <c r="AB664" s="39">
        <f t="shared" si="269"/>
        <v>25279.01237033902</v>
      </c>
      <c r="AC664" s="39">
        <f t="shared" si="263"/>
        <v>3600.0926997466631</v>
      </c>
      <c r="AD664" s="41">
        <f t="shared" si="264"/>
        <v>0.166064211429789</v>
      </c>
      <c r="AF664" s="46">
        <f t="shared" si="246"/>
        <v>0</v>
      </c>
      <c r="AG664" s="46">
        <f t="shared" si="265"/>
        <v>0</v>
      </c>
      <c r="AH664" s="54">
        <f t="shared" si="247"/>
        <v>4431</v>
      </c>
      <c r="AI664" s="55">
        <f t="shared" si="256"/>
        <v>0.2951002227171492</v>
      </c>
      <c r="AJ664" s="55">
        <f t="shared" si="266"/>
        <v>0</v>
      </c>
      <c r="AK664" s="55">
        <f t="shared" si="267"/>
        <v>0</v>
      </c>
    </row>
    <row r="665" spans="2:37" s="53" customFormat="1" ht="17.25" customHeight="1" x14ac:dyDescent="0.25">
      <c r="B665" s="91" t="str">
        <f t="shared" si="248"/>
        <v/>
      </c>
      <c r="C665" s="81">
        <f>IF(Sheet3!A636="","",Sheet3!A636)</f>
        <v>42065</v>
      </c>
      <c r="D665" s="82">
        <f>IF(C665="","",Sheet3!E636)</f>
        <v>33.479999999999997</v>
      </c>
      <c r="E665" s="56">
        <f>_xlfn.XLOOKUP(WEEKNUM(C665)&amp;YEAR(C665),Sheet4!C:C,Sheet4!B:B,0)</f>
        <v>0</v>
      </c>
      <c r="F665" s="46">
        <f>IF(int=Weekly,-$D$5,IF(int=Bi_Weekly,-$D$5,IF(int=Monthly,0,IF(int=Quarterly,0,IF(int=Yearly,0,IF(int=None,0,0))))))</f>
        <v>0</v>
      </c>
      <c r="G665" s="46"/>
      <c r="H665" s="46">
        <f t="shared" si="257"/>
        <v>-15850</v>
      </c>
      <c r="I665" s="47"/>
      <c r="J665" s="38">
        <f t="shared" si="244"/>
        <v>0</v>
      </c>
      <c r="K665" s="48"/>
      <c r="L665" s="48">
        <f t="shared" si="249"/>
        <v>543.42419069735229</v>
      </c>
      <c r="M665" s="48"/>
      <c r="N665" s="38">
        <f t="shared" si="250"/>
        <v>0</v>
      </c>
      <c r="O665" s="36">
        <f t="shared" si="251"/>
        <v>0</v>
      </c>
      <c r="P665" s="84">
        <f t="shared" si="252"/>
        <v>-21678.450920576081</v>
      </c>
      <c r="Q665" s="38">
        <f t="shared" si="253"/>
        <v>0</v>
      </c>
      <c r="R665" s="48">
        <f t="shared" si="254"/>
        <v>188.02869237226969</v>
      </c>
      <c r="S665" s="38">
        <f t="shared" si="245"/>
        <v>731.45288306962198</v>
      </c>
      <c r="T665" s="50">
        <f t="shared" si="258"/>
        <v>15850</v>
      </c>
      <c r="U665" s="40">
        <f t="shared" si="259"/>
        <v>18193.841904547353</v>
      </c>
      <c r="V665" s="41">
        <f t="shared" si="260"/>
        <v>0.1478764608547225</v>
      </c>
      <c r="W665" s="39">
        <f t="shared" si="261"/>
        <v>2343.8419045473529</v>
      </c>
      <c r="X665" s="50">
        <f t="shared" si="255"/>
        <v>5828.9196705923541</v>
      </c>
      <c r="Y665" s="41">
        <f t="shared" si="262"/>
        <v>0.51563164511922444</v>
      </c>
      <c r="Z665" s="52"/>
      <c r="AA665" s="50">
        <f t="shared" si="268"/>
        <v>21678.919670592357</v>
      </c>
      <c r="AB665" s="39">
        <f t="shared" si="269"/>
        <v>24489.042525170942</v>
      </c>
      <c r="AC665" s="39">
        <f t="shared" si="263"/>
        <v>2810.1228545785852</v>
      </c>
      <c r="AD665" s="41">
        <f t="shared" si="264"/>
        <v>0.12962467213670892</v>
      </c>
      <c r="AF665" s="46">
        <f t="shared" si="246"/>
        <v>0</v>
      </c>
      <c r="AG665" s="46">
        <f t="shared" si="265"/>
        <v>0</v>
      </c>
      <c r="AH665" s="54">
        <f t="shared" si="247"/>
        <v>4438</v>
      </c>
      <c r="AI665" s="55">
        <f t="shared" si="256"/>
        <v>0.29398663697104677</v>
      </c>
      <c r="AJ665" s="55">
        <f t="shared" si="266"/>
        <v>0</v>
      </c>
      <c r="AK665" s="55">
        <f t="shared" si="267"/>
        <v>0</v>
      </c>
    </row>
    <row r="666" spans="2:37" s="53" customFormat="1" ht="17.25" customHeight="1" x14ac:dyDescent="0.25">
      <c r="B666" s="91" t="str">
        <f t="shared" si="248"/>
        <v/>
      </c>
      <c r="C666" s="81">
        <f>IF(Sheet3!A637="","",Sheet3!A637)</f>
        <v>42072</v>
      </c>
      <c r="D666" s="82">
        <f>IF(C666="","",Sheet3!E637)</f>
        <v>32.759998000000003</v>
      </c>
      <c r="E666" s="56">
        <f>_xlfn.XLOOKUP(WEEKNUM(C666)&amp;YEAR(C666),Sheet4!C:C,Sheet4!B:B,0)</f>
        <v>0</v>
      </c>
      <c r="F666" s="46">
        <f>IF(int=Weekly,-$D$5,IF(int=Bi_Weekly,0,IF(int=Monthly,0,IF(int=Quarterly,0,IF(int=Yearly,0,IF(int=None,0,0))))))</f>
        <v>0</v>
      </c>
      <c r="G666" s="46"/>
      <c r="H666" s="46">
        <f t="shared" si="257"/>
        <v>-15850</v>
      </c>
      <c r="I666" s="47"/>
      <c r="J666" s="38">
        <f t="shared" si="244"/>
        <v>0</v>
      </c>
      <c r="K666" s="48"/>
      <c r="L666" s="48">
        <f t="shared" si="249"/>
        <v>543.42419069735229</v>
      </c>
      <c r="M666" s="48"/>
      <c r="N666" s="38">
        <f t="shared" si="250"/>
        <v>0</v>
      </c>
      <c r="O666" s="36">
        <f t="shared" si="251"/>
        <v>0</v>
      </c>
      <c r="P666" s="84">
        <f t="shared" si="252"/>
        <v>-21678.450920576081</v>
      </c>
      <c r="Q666" s="38">
        <f t="shared" si="253"/>
        <v>0</v>
      </c>
      <c r="R666" s="48">
        <f t="shared" si="254"/>
        <v>188.02869237226969</v>
      </c>
      <c r="S666" s="38">
        <f t="shared" si="245"/>
        <v>731.45288306962198</v>
      </c>
      <c r="T666" s="50">
        <f t="shared" si="258"/>
        <v>15850</v>
      </c>
      <c r="U666" s="40">
        <f t="shared" si="259"/>
        <v>17802.57540039688</v>
      </c>
      <c r="V666" s="41">
        <f t="shared" si="260"/>
        <v>0.12319087699664855</v>
      </c>
      <c r="W666" s="39">
        <f t="shared" si="261"/>
        <v>1952.5754003968796</v>
      </c>
      <c r="X666" s="50">
        <f t="shared" si="255"/>
        <v>5828.9196705923541</v>
      </c>
      <c r="Y666" s="41">
        <f t="shared" si="262"/>
        <v>0.49094606126115026</v>
      </c>
      <c r="Z666" s="52"/>
      <c r="AA666" s="50">
        <f t="shared" si="268"/>
        <v>21678.919670592357</v>
      </c>
      <c r="AB666" s="39">
        <f t="shared" si="269"/>
        <v>23962.394986455052</v>
      </c>
      <c r="AC666" s="39">
        <f t="shared" si="263"/>
        <v>2283.4753158626954</v>
      </c>
      <c r="AD666" s="41">
        <f t="shared" si="264"/>
        <v>0.10533160095427863</v>
      </c>
      <c r="AF666" s="46">
        <f t="shared" si="246"/>
        <v>0</v>
      </c>
      <c r="AG666" s="46">
        <f t="shared" si="265"/>
        <v>0</v>
      </c>
      <c r="AH666" s="54">
        <f t="shared" si="247"/>
        <v>4445</v>
      </c>
      <c r="AI666" s="55">
        <f t="shared" si="256"/>
        <v>0.29287305122494434</v>
      </c>
      <c r="AJ666" s="55">
        <f t="shared" si="266"/>
        <v>0</v>
      </c>
      <c r="AK666" s="55">
        <f t="shared" si="267"/>
        <v>0</v>
      </c>
    </row>
    <row r="667" spans="2:37" s="53" customFormat="1" ht="17.25" customHeight="1" x14ac:dyDescent="0.25">
      <c r="B667" s="91" t="str">
        <f t="shared" si="248"/>
        <v/>
      </c>
      <c r="C667" s="81">
        <f>IF(Sheet3!A638="","",Sheet3!A638)</f>
        <v>42079</v>
      </c>
      <c r="D667" s="82">
        <f>IF(C667="","",Sheet3!E638)</f>
        <v>33.229999999999997</v>
      </c>
      <c r="E667" s="56">
        <f>_xlfn.XLOOKUP(WEEKNUM(C667)&amp;YEAR(C667),Sheet4!C:C,Sheet4!B:B,0)</f>
        <v>0</v>
      </c>
      <c r="F667" s="46">
        <f>IF(int=Weekly,-$D$5,IF(int=Bi_Weekly,-$D$5,IF(int=Monthly,-$D$5,IF(int=Quarterly,0,IF(int=Yearly,0,IF(int=None,0,0))))))</f>
        <v>-100</v>
      </c>
      <c r="G667" s="46"/>
      <c r="H667" s="46">
        <f t="shared" si="257"/>
        <v>-15950</v>
      </c>
      <c r="I667" s="47"/>
      <c r="J667" s="38">
        <f t="shared" si="244"/>
        <v>3.0093289196509181</v>
      </c>
      <c r="K667" s="48"/>
      <c r="L667" s="48">
        <f t="shared" si="249"/>
        <v>546.43351961700318</v>
      </c>
      <c r="M667" s="48"/>
      <c r="N667" s="38">
        <f t="shared" si="250"/>
        <v>0</v>
      </c>
      <c r="O667" s="36">
        <f t="shared" si="251"/>
        <v>0</v>
      </c>
      <c r="P667" s="84">
        <f t="shared" si="252"/>
        <v>-21778.450920576081</v>
      </c>
      <c r="Q667" s="38">
        <f t="shared" si="253"/>
        <v>0</v>
      </c>
      <c r="R667" s="48">
        <f t="shared" si="254"/>
        <v>188.02869237226969</v>
      </c>
      <c r="S667" s="38">
        <f t="shared" si="245"/>
        <v>734.46221198927287</v>
      </c>
      <c r="T667" s="50">
        <f t="shared" si="258"/>
        <v>15950</v>
      </c>
      <c r="U667" s="40">
        <f t="shared" si="259"/>
        <v>18157.985856873012</v>
      </c>
      <c r="V667" s="41">
        <f t="shared" si="260"/>
        <v>0.1384317151644523</v>
      </c>
      <c r="W667" s="39">
        <f t="shared" si="261"/>
        <v>2207.9858568730124</v>
      </c>
      <c r="X667" s="50">
        <f t="shared" si="255"/>
        <v>5828.9196705923541</v>
      </c>
      <c r="Y667" s="41">
        <f t="shared" si="262"/>
        <v>0.50388122429249949</v>
      </c>
      <c r="Z667" s="52"/>
      <c r="AA667" s="50">
        <f t="shared" si="268"/>
        <v>21778.919670592357</v>
      </c>
      <c r="AB667" s="39">
        <f t="shared" si="269"/>
        <v>24406.179304403533</v>
      </c>
      <c r="AC667" s="39">
        <f t="shared" si="263"/>
        <v>2627.2596338111762</v>
      </c>
      <c r="AD667" s="41">
        <f t="shared" si="264"/>
        <v>0.12063314772030287</v>
      </c>
      <c r="AF667" s="46">
        <f t="shared" si="246"/>
        <v>-100</v>
      </c>
      <c r="AG667" s="46">
        <f t="shared" si="265"/>
        <v>-100</v>
      </c>
      <c r="AH667" s="54">
        <f t="shared" si="247"/>
        <v>4452</v>
      </c>
      <c r="AI667" s="55">
        <f t="shared" si="256"/>
        <v>0.29175946547884185</v>
      </c>
      <c r="AJ667" s="55">
        <f t="shared" si="266"/>
        <v>-29.175946547884184</v>
      </c>
      <c r="AK667" s="55">
        <f t="shared" si="267"/>
        <v>-29.175946547884184</v>
      </c>
    </row>
    <row r="668" spans="2:37" s="53" customFormat="1" ht="17.25" customHeight="1" x14ac:dyDescent="0.25">
      <c r="B668" s="91" t="str">
        <f t="shared" si="248"/>
        <v/>
      </c>
      <c r="C668" s="81">
        <f>IF(Sheet3!A639="","",Sheet3!A639)</f>
        <v>42086</v>
      </c>
      <c r="D668" s="82">
        <f>IF(C668="","",Sheet3!E639)</f>
        <v>32.75</v>
      </c>
      <c r="E668" s="56">
        <f>_xlfn.XLOOKUP(WEEKNUM(C668)&amp;YEAR(C668),Sheet4!C:C,Sheet4!B:B,0)</f>
        <v>0</v>
      </c>
      <c r="F668" s="46">
        <f>IF(int=Weekly,-$D$5,IF(int=Bi_Weekly,0,IF(int=Monthly,0,IF(int=Quarterly,-$D$5,IF(int=Yearly,0,IF(int=None,0,0))))))</f>
        <v>0</v>
      </c>
      <c r="G668" s="46"/>
      <c r="H668" s="46">
        <f t="shared" si="257"/>
        <v>-15950</v>
      </c>
      <c r="I668" s="47"/>
      <c r="J668" s="38">
        <f t="shared" si="244"/>
        <v>0</v>
      </c>
      <c r="K668" s="48"/>
      <c r="L668" s="48">
        <f t="shared" si="249"/>
        <v>546.43351961700318</v>
      </c>
      <c r="M668" s="48"/>
      <c r="N668" s="38">
        <f t="shared" si="250"/>
        <v>0</v>
      </c>
      <c r="O668" s="36">
        <f t="shared" si="251"/>
        <v>0</v>
      </c>
      <c r="P668" s="84">
        <f t="shared" si="252"/>
        <v>-21778.450920576081</v>
      </c>
      <c r="Q668" s="38">
        <f t="shared" si="253"/>
        <v>0</v>
      </c>
      <c r="R668" s="48">
        <f t="shared" si="254"/>
        <v>188.02869237226969</v>
      </c>
      <c r="S668" s="38">
        <f t="shared" si="245"/>
        <v>734.46221198927287</v>
      </c>
      <c r="T668" s="50">
        <f t="shared" si="258"/>
        <v>15950</v>
      </c>
      <c r="U668" s="40">
        <f t="shared" si="259"/>
        <v>17895.697767456855</v>
      </c>
      <c r="V668" s="41">
        <f t="shared" si="260"/>
        <v>0.12198732084368991</v>
      </c>
      <c r="W668" s="39">
        <f t="shared" si="261"/>
        <v>1945.6977674568552</v>
      </c>
      <c r="X668" s="50">
        <f t="shared" si="255"/>
        <v>5828.9196705923541</v>
      </c>
      <c r="Y668" s="41">
        <f t="shared" si="262"/>
        <v>0.4874368299717371</v>
      </c>
      <c r="Z668" s="52"/>
      <c r="AA668" s="50">
        <f t="shared" si="268"/>
        <v>21778.919670592357</v>
      </c>
      <c r="AB668" s="39">
        <f t="shared" si="269"/>
        <v>24053.637442648687</v>
      </c>
      <c r="AC668" s="39">
        <f t="shared" si="263"/>
        <v>2274.7177720563304</v>
      </c>
      <c r="AD668" s="41">
        <f t="shared" si="264"/>
        <v>0.10444584976948312</v>
      </c>
      <c r="AF668" s="46">
        <f t="shared" si="246"/>
        <v>0</v>
      </c>
      <c r="AG668" s="46">
        <f t="shared" si="265"/>
        <v>0</v>
      </c>
      <c r="AH668" s="54">
        <f t="shared" si="247"/>
        <v>4459</v>
      </c>
      <c r="AI668" s="55">
        <f t="shared" si="256"/>
        <v>0.29064587973273942</v>
      </c>
      <c r="AJ668" s="55">
        <f t="shared" si="266"/>
        <v>0</v>
      </c>
      <c r="AK668" s="55">
        <f t="shared" si="267"/>
        <v>0</v>
      </c>
    </row>
    <row r="669" spans="2:37" s="53" customFormat="1" ht="17.25" customHeight="1" x14ac:dyDescent="0.25">
      <c r="B669" s="91" t="str">
        <f t="shared" si="248"/>
        <v/>
      </c>
      <c r="C669" s="81">
        <f>IF(Sheet3!A640="","",Sheet3!A640)</f>
        <v>42093</v>
      </c>
      <c r="D669" s="82">
        <f>IF(C669="","",Sheet3!E640)</f>
        <v>33.130001</v>
      </c>
      <c r="E669" s="56">
        <f>_xlfn.XLOOKUP(WEEKNUM(C669)&amp;YEAR(C669),Sheet4!C:C,Sheet4!B:B,0)</f>
        <v>0</v>
      </c>
      <c r="F669" s="46">
        <f>IF(int=Weekly,-$D$5,IF(int=Bi_Weekly,-$D$5,IF(int=Monthly,0,IF(int=Quarterly,0,IF(int=Yearly,0,IF(int=None,0,0))))))</f>
        <v>0</v>
      </c>
      <c r="G669" s="46"/>
      <c r="H669" s="46">
        <f t="shared" si="257"/>
        <v>-15950</v>
      </c>
      <c r="I669" s="47"/>
      <c r="J669" s="38">
        <f t="shared" si="244"/>
        <v>0</v>
      </c>
      <c r="K669" s="48"/>
      <c r="L669" s="48">
        <f t="shared" si="249"/>
        <v>546.43351961700318</v>
      </c>
      <c r="M669" s="48"/>
      <c r="N669" s="38">
        <f t="shared" si="250"/>
        <v>0</v>
      </c>
      <c r="O669" s="36">
        <f t="shared" si="251"/>
        <v>0</v>
      </c>
      <c r="P669" s="84">
        <f t="shared" si="252"/>
        <v>-21778.450920576081</v>
      </c>
      <c r="Q669" s="38">
        <f t="shared" si="253"/>
        <v>0</v>
      </c>
      <c r="R669" s="48">
        <f t="shared" si="254"/>
        <v>188.02869237226969</v>
      </c>
      <c r="S669" s="38">
        <f t="shared" si="245"/>
        <v>734.46221198927287</v>
      </c>
      <c r="T669" s="50">
        <f t="shared" si="258"/>
        <v>15950</v>
      </c>
      <c r="U669" s="40">
        <f t="shared" si="259"/>
        <v>18103.343051344837</v>
      </c>
      <c r="V669" s="41">
        <f t="shared" si="260"/>
        <v>0.13500583394011523</v>
      </c>
      <c r="W669" s="39">
        <f t="shared" si="261"/>
        <v>2153.3430513448366</v>
      </c>
      <c r="X669" s="50">
        <f t="shared" si="255"/>
        <v>5828.9196705923541</v>
      </c>
      <c r="Y669" s="41">
        <f t="shared" si="262"/>
        <v>0.50045534306816242</v>
      </c>
      <c r="Z669" s="52"/>
      <c r="AA669" s="50">
        <f t="shared" si="268"/>
        <v>21778.919670592357</v>
      </c>
      <c r="AB669" s="39">
        <f t="shared" si="269"/>
        <v>24332.733817666824</v>
      </c>
      <c r="AC669" s="39">
        <f t="shared" si="263"/>
        <v>2553.8141470744667</v>
      </c>
      <c r="AD669" s="41">
        <f t="shared" si="264"/>
        <v>0.1172608277040863</v>
      </c>
      <c r="AF669" s="46">
        <f t="shared" si="246"/>
        <v>0</v>
      </c>
      <c r="AG669" s="46">
        <f t="shared" si="265"/>
        <v>0</v>
      </c>
      <c r="AH669" s="54">
        <f t="shared" si="247"/>
        <v>4466</v>
      </c>
      <c r="AI669" s="55">
        <f t="shared" si="256"/>
        <v>0.28953229398663699</v>
      </c>
      <c r="AJ669" s="55">
        <f t="shared" si="266"/>
        <v>0</v>
      </c>
      <c r="AK669" s="55">
        <f t="shared" si="267"/>
        <v>0</v>
      </c>
    </row>
    <row r="670" spans="2:37" s="53" customFormat="1" ht="17.25" customHeight="1" x14ac:dyDescent="0.25">
      <c r="B670" s="91" t="str">
        <f t="shared" si="248"/>
        <v/>
      </c>
      <c r="C670" s="81">
        <f>IF(Sheet3!A641="","",Sheet3!A641)</f>
        <v>42100</v>
      </c>
      <c r="D670" s="82">
        <f>IF(C670="","",Sheet3!E641)</f>
        <v>32.770000000000003</v>
      </c>
      <c r="E670" s="56">
        <f>_xlfn.XLOOKUP(WEEKNUM(C670)&amp;YEAR(C670),Sheet4!C:C,Sheet4!B:B,0)</f>
        <v>0.47</v>
      </c>
      <c r="F670" s="46">
        <f>IF(int=Weekly,-$D$5,IF(int=Bi_Weekly,0,IF(int=Monthly,0,IF(int=Quarterly,0,IF(int=Yearly,0,IF(int=None,0,0))))))</f>
        <v>0</v>
      </c>
      <c r="G670" s="46"/>
      <c r="H670" s="46">
        <f t="shared" si="257"/>
        <v>-15950</v>
      </c>
      <c r="I670" s="47"/>
      <c r="J670" s="38">
        <f t="shared" si="244"/>
        <v>0</v>
      </c>
      <c r="K670" s="48"/>
      <c r="L670" s="48">
        <f t="shared" si="249"/>
        <v>546.43351961700318</v>
      </c>
      <c r="M670" s="48"/>
      <c r="N670" s="38">
        <f t="shared" si="250"/>
        <v>256.82375421999149</v>
      </c>
      <c r="O670" s="36">
        <f t="shared" si="251"/>
        <v>-256.82375421999149</v>
      </c>
      <c r="P670" s="84">
        <f t="shared" si="252"/>
        <v>-22035.274674796074</v>
      </c>
      <c r="Q670" s="38">
        <f t="shared" si="253"/>
        <v>7.8371606414400814</v>
      </c>
      <c r="R670" s="48">
        <f t="shared" si="254"/>
        <v>195.86585301370977</v>
      </c>
      <c r="S670" s="38">
        <f t="shared" si="245"/>
        <v>742.29937263071292</v>
      </c>
      <c r="T670" s="50">
        <f t="shared" si="258"/>
        <v>15950</v>
      </c>
      <c r="U670" s="40">
        <f t="shared" si="259"/>
        <v>17906.626437849198</v>
      </c>
      <c r="V670" s="41">
        <f t="shared" si="260"/>
        <v>0.12267250394038864</v>
      </c>
      <c r="W670" s="39">
        <f t="shared" si="261"/>
        <v>1956.6264378491978</v>
      </c>
      <c r="X670" s="50">
        <f t="shared" si="255"/>
        <v>6085.7434248123454</v>
      </c>
      <c r="Y670" s="41">
        <f t="shared" si="262"/>
        <v>0.50422381584084919</v>
      </c>
      <c r="Z670" s="52"/>
      <c r="AA670" s="50">
        <f t="shared" si="268"/>
        <v>22035.74342481235</v>
      </c>
      <c r="AB670" s="39">
        <f t="shared" si="269"/>
        <v>24325.150441108468</v>
      </c>
      <c r="AC670" s="39">
        <f t="shared" si="263"/>
        <v>2289.4070162961179</v>
      </c>
      <c r="AD670" s="41">
        <f t="shared" si="264"/>
        <v>0.10389515670790739</v>
      </c>
      <c r="AF670" s="46">
        <f t="shared" si="246"/>
        <v>256.82375421999149</v>
      </c>
      <c r="AG670" s="46">
        <f t="shared" si="265"/>
        <v>0</v>
      </c>
      <c r="AH670" s="54">
        <f t="shared" si="247"/>
        <v>4473</v>
      </c>
      <c r="AI670" s="55">
        <f t="shared" si="256"/>
        <v>0.2884187082405345</v>
      </c>
      <c r="AJ670" s="55">
        <f t="shared" si="266"/>
        <v>74.072775437614467</v>
      </c>
      <c r="AK670" s="55">
        <f t="shared" si="267"/>
        <v>0</v>
      </c>
    </row>
    <row r="671" spans="2:37" s="53" customFormat="1" ht="17.25" customHeight="1" x14ac:dyDescent="0.25">
      <c r="B671" s="91" t="str">
        <f t="shared" si="248"/>
        <v/>
      </c>
      <c r="C671" s="81">
        <f>IF(Sheet3!A642="","",Sheet3!A642)</f>
        <v>42107</v>
      </c>
      <c r="D671" s="82">
        <f>IF(C671="","",Sheet3!E642)</f>
        <v>32.509998000000003</v>
      </c>
      <c r="E671" s="56">
        <f>_xlfn.XLOOKUP(WEEKNUM(C671)&amp;YEAR(C671),Sheet4!C:C,Sheet4!B:B,0)</f>
        <v>0</v>
      </c>
      <c r="F671" s="46">
        <f>IF(int=Weekly,-$D$5,IF(int=Bi_Weekly,-$D$5,IF(int=Monthly,-$D$5,IF(int=Quarterly,0,IF(int=Yearly,0,IF(int=None,0,0))))))</f>
        <v>-100</v>
      </c>
      <c r="G671" s="46"/>
      <c r="H671" s="46">
        <f t="shared" si="257"/>
        <v>-16050</v>
      </c>
      <c r="I671" s="47"/>
      <c r="J671" s="38">
        <f t="shared" ref="J671:J734" si="270">IF(D$24=0,"",ABS($F671*D$24)/D671)</f>
        <v>3.0759768118103232</v>
      </c>
      <c r="K671" s="48"/>
      <c r="L671" s="48">
        <f t="shared" si="249"/>
        <v>549.50949642881346</v>
      </c>
      <c r="M671" s="48"/>
      <c r="N671" s="38">
        <f t="shared" si="250"/>
        <v>0</v>
      </c>
      <c r="O671" s="36">
        <f t="shared" si="251"/>
        <v>0</v>
      </c>
      <c r="P671" s="84">
        <f t="shared" si="252"/>
        <v>-22135.274674796074</v>
      </c>
      <c r="Q671" s="38">
        <f t="shared" si="253"/>
        <v>0</v>
      </c>
      <c r="R671" s="48">
        <f t="shared" si="254"/>
        <v>195.86585301370977</v>
      </c>
      <c r="S671" s="38">
        <f t="shared" ref="S671:S734" si="271">IF(D671=0,"",L671+R671)</f>
        <v>745.3753494425232</v>
      </c>
      <c r="T671" s="50">
        <f t="shared" si="258"/>
        <v>16050</v>
      </c>
      <c r="U671" s="40">
        <f t="shared" si="259"/>
        <v>17864.552629881735</v>
      </c>
      <c r="V671" s="41">
        <f t="shared" si="260"/>
        <v>0.11305623862191494</v>
      </c>
      <c r="W671" s="39">
        <f t="shared" si="261"/>
        <v>1814.5526298817349</v>
      </c>
      <c r="X671" s="50">
        <f t="shared" si="255"/>
        <v>6085.7434248123454</v>
      </c>
      <c r="Y671" s="41">
        <f t="shared" si="262"/>
        <v>0.49223028378156264</v>
      </c>
      <c r="Z671" s="52"/>
      <c r="AA671" s="50">
        <f t="shared" si="268"/>
        <v>22135.74342481235</v>
      </c>
      <c r="AB671" s="39">
        <f t="shared" si="269"/>
        <v>24232.151119625734</v>
      </c>
      <c r="AC671" s="39">
        <f t="shared" si="263"/>
        <v>2096.4076948133843</v>
      </c>
      <c r="AD671" s="41">
        <f t="shared" si="264"/>
        <v>9.4706902523250314E-2</v>
      </c>
      <c r="AF671" s="46">
        <f t="shared" ref="AF671:AF734" si="272">F671+ABS(O671)</f>
        <v>-100</v>
      </c>
      <c r="AG671" s="46">
        <f t="shared" si="265"/>
        <v>-100</v>
      </c>
      <c r="AH671" s="54">
        <f t="shared" ref="AH671:AH734" si="273">DATEDIF($C$31,C671,"d")</f>
        <v>4480</v>
      </c>
      <c r="AI671" s="55">
        <f t="shared" si="256"/>
        <v>0.28730512249443207</v>
      </c>
      <c r="AJ671" s="55">
        <f t="shared" si="266"/>
        <v>-28.730512249443208</v>
      </c>
      <c r="AK671" s="55">
        <f t="shared" si="267"/>
        <v>-28.730512249443208</v>
      </c>
    </row>
    <row r="672" spans="2:37" s="53" customFormat="1" ht="17.25" customHeight="1" x14ac:dyDescent="0.25">
      <c r="B672" s="91" t="str">
        <f t="shared" ref="B672:B735" si="274">IF(C671="","",IF(C$30&lt;C672,"",B671+1))</f>
        <v/>
      </c>
      <c r="C672" s="81">
        <f>IF(Sheet3!A643="","",Sheet3!A643)</f>
        <v>42114</v>
      </c>
      <c r="D672" s="82">
        <f>IF(C672="","",Sheet3!E643)</f>
        <v>34.009998000000003</v>
      </c>
      <c r="E672" s="56">
        <f>_xlfn.XLOOKUP(WEEKNUM(C672)&amp;YEAR(C672),Sheet4!C:C,Sheet4!B:B,0)</f>
        <v>0</v>
      </c>
      <c r="F672" s="46">
        <f>IF(int=Weekly,-$D$5,IF(int=Bi_Weekly,0,IF(int=Monthly,0,IF(int=Quarterly,0,IF(int=Yearly,0,IF(int=None,0,0))))))</f>
        <v>0</v>
      </c>
      <c r="G672" s="46"/>
      <c r="H672" s="46">
        <f t="shared" si="257"/>
        <v>-16050</v>
      </c>
      <c r="I672" s="47"/>
      <c r="J672" s="38">
        <f t="shared" si="270"/>
        <v>0</v>
      </c>
      <c r="K672" s="48"/>
      <c r="L672" s="48">
        <f t="shared" ref="L672:L735" si="275">IF(D672=0,"",L671+J672)</f>
        <v>549.50949642881346</v>
      </c>
      <c r="M672" s="48"/>
      <c r="N672" s="38">
        <f t="shared" ref="N672:N735" si="276">IF(D672=0,"",L672*E672)</f>
        <v>0</v>
      </c>
      <c r="O672" s="36">
        <f t="shared" ref="O672:O735" si="277">-(IF(D672=0,"",N672))</f>
        <v>0</v>
      </c>
      <c r="P672" s="84">
        <f t="shared" ref="P672:P735" si="278">P671+F672+O672</f>
        <v>-22135.274674796074</v>
      </c>
      <c r="Q672" s="38">
        <f t="shared" ref="Q672:Q735" si="279">IF(D672=0,"",ABS($O672)/D672)</f>
        <v>0</v>
      </c>
      <c r="R672" s="48">
        <f t="shared" ref="R672:R735" si="280">IF(D672=0,"",Q672+R671)</f>
        <v>195.86585301370977</v>
      </c>
      <c r="S672" s="38">
        <f t="shared" si="271"/>
        <v>745.3753494425232</v>
      </c>
      <c r="T672" s="50">
        <f t="shared" si="258"/>
        <v>16050</v>
      </c>
      <c r="U672" s="40">
        <f t="shared" si="259"/>
        <v>18688.816874524953</v>
      </c>
      <c r="V672" s="41">
        <f t="shared" si="260"/>
        <v>0.16441226632554229</v>
      </c>
      <c r="W672" s="39">
        <f t="shared" si="261"/>
        <v>2638.8168745249532</v>
      </c>
      <c r="X672" s="50">
        <f t="shared" ref="X672:X735" si="281">ABS(O672)+X671</f>
        <v>6085.7434248123454</v>
      </c>
      <c r="Y672" s="41">
        <f t="shared" si="262"/>
        <v>0.54358631148518999</v>
      </c>
      <c r="Z672" s="52"/>
      <c r="AA672" s="50">
        <f t="shared" si="268"/>
        <v>22135.74342481235</v>
      </c>
      <c r="AB672" s="39">
        <f t="shared" si="269"/>
        <v>25350.214143789519</v>
      </c>
      <c r="AC672" s="39">
        <f t="shared" si="263"/>
        <v>3214.4707189771689</v>
      </c>
      <c r="AD672" s="41">
        <f t="shared" si="264"/>
        <v>0.14521629824160365</v>
      </c>
      <c r="AF672" s="46">
        <f t="shared" si="272"/>
        <v>0</v>
      </c>
      <c r="AG672" s="46">
        <f t="shared" si="265"/>
        <v>0</v>
      </c>
      <c r="AH672" s="54">
        <f t="shared" si="273"/>
        <v>4487</v>
      </c>
      <c r="AI672" s="55">
        <f t="shared" ref="AI672:AI735" si="282">(AH$30-AH672)/AH$30</f>
        <v>0.28619153674832964</v>
      </c>
      <c r="AJ672" s="55">
        <f t="shared" si="266"/>
        <v>0</v>
      </c>
      <c r="AK672" s="55">
        <f t="shared" si="267"/>
        <v>0</v>
      </c>
    </row>
    <row r="673" spans="2:37" s="53" customFormat="1" ht="17.25" customHeight="1" x14ac:dyDescent="0.25">
      <c r="B673" s="91" t="str">
        <f t="shared" si="274"/>
        <v/>
      </c>
      <c r="C673" s="81">
        <f>IF(Sheet3!A644="","",Sheet3!A644)</f>
        <v>42121</v>
      </c>
      <c r="D673" s="82">
        <f>IF(C673="","",Sheet3!E644)</f>
        <v>34.419998</v>
      </c>
      <c r="E673" s="56">
        <f>_xlfn.XLOOKUP(WEEKNUM(C673)&amp;YEAR(C673),Sheet4!C:C,Sheet4!B:B,0)</f>
        <v>0</v>
      </c>
      <c r="F673" s="46">
        <f>IF(int=Weekly,-$D$5,IF(int=Bi_Weekly,-$D$5,IF(int=Monthly,0,IF(int=Quarterly,0,IF(int=Yearly,0,IF(int=None,0,0))))))</f>
        <v>0</v>
      </c>
      <c r="G673" s="46"/>
      <c r="H673" s="46">
        <f t="shared" ref="H673:H736" si="283">H672+F673</f>
        <v>-16050</v>
      </c>
      <c r="I673" s="47"/>
      <c r="J673" s="38">
        <f t="shared" si="270"/>
        <v>0</v>
      </c>
      <c r="K673" s="48"/>
      <c r="L673" s="48">
        <f t="shared" si="275"/>
        <v>549.50949642881346</v>
      </c>
      <c r="M673" s="48"/>
      <c r="N673" s="38">
        <f t="shared" si="276"/>
        <v>0</v>
      </c>
      <c r="O673" s="36">
        <f t="shared" si="277"/>
        <v>0</v>
      </c>
      <c r="P673" s="84">
        <f t="shared" si="278"/>
        <v>-22135.274674796074</v>
      </c>
      <c r="Q673" s="38">
        <f t="shared" si="279"/>
        <v>0</v>
      </c>
      <c r="R673" s="48">
        <f t="shared" si="280"/>
        <v>195.86585301370977</v>
      </c>
      <c r="S673" s="38">
        <f t="shared" si="271"/>
        <v>745.3753494425232</v>
      </c>
      <c r="T673" s="50">
        <f t="shared" ref="T673:T736" si="284">IF(D673=0,"",D673*J673)+T672</f>
        <v>16050</v>
      </c>
      <c r="U673" s="40">
        <f t="shared" ref="U673:U736" si="285">IF(D673=0,"",L673*D673)</f>
        <v>18914.115768060765</v>
      </c>
      <c r="V673" s="41">
        <f t="shared" ref="V673:V736" si="286">(U673/T673)-1</f>
        <v>0.17844958056453364</v>
      </c>
      <c r="W673" s="39">
        <f t="shared" ref="W673:W736" si="287">U673-T673</f>
        <v>2864.1157680607648</v>
      </c>
      <c r="X673" s="50">
        <f t="shared" si="281"/>
        <v>6085.7434248123454</v>
      </c>
      <c r="Y673" s="41">
        <f t="shared" ref="Y673:Y736" si="288">((U673+X673)/T673)-1</f>
        <v>0.55762362572418134</v>
      </c>
      <c r="Z673" s="52"/>
      <c r="AA673" s="50">
        <f t="shared" si="268"/>
        <v>22135.74342481235</v>
      </c>
      <c r="AB673" s="39">
        <f t="shared" si="269"/>
        <v>25655.818037060948</v>
      </c>
      <c r="AC673" s="39">
        <f t="shared" ref="AC673:AC736" si="289">AB673-AA673</f>
        <v>3520.074612248598</v>
      </c>
      <c r="AD673" s="41">
        <f t="shared" ref="AD673:AD736" si="290">(AB673/AA673)-1</f>
        <v>0.15902219973795328</v>
      </c>
      <c r="AF673" s="46">
        <f t="shared" si="272"/>
        <v>0</v>
      </c>
      <c r="AG673" s="46">
        <f t="shared" ref="AG673:AG736" si="291">F673</f>
        <v>0</v>
      </c>
      <c r="AH673" s="54">
        <f t="shared" si="273"/>
        <v>4494</v>
      </c>
      <c r="AI673" s="55">
        <f t="shared" si="282"/>
        <v>0.28507795100222716</v>
      </c>
      <c r="AJ673" s="55">
        <f t="shared" ref="AJ673:AJ736" si="292">AI673*AF673</f>
        <v>0</v>
      </c>
      <c r="AK673" s="55">
        <f t="shared" ref="AK673:AK736" si="293">$AI673*AG673</f>
        <v>0</v>
      </c>
    </row>
    <row r="674" spans="2:37" s="53" customFormat="1" ht="17.25" customHeight="1" x14ac:dyDescent="0.25">
      <c r="B674" s="91" t="str">
        <f t="shared" si="274"/>
        <v/>
      </c>
      <c r="C674" s="81">
        <f>IF(Sheet3!A645="","",Sheet3!A645)</f>
        <v>42128</v>
      </c>
      <c r="D674" s="82">
        <f>IF(C674="","",Sheet3!E645)</f>
        <v>33.689999</v>
      </c>
      <c r="E674" s="56">
        <f>_xlfn.XLOOKUP(WEEKNUM(C674)&amp;YEAR(C674),Sheet4!C:C,Sheet4!B:B,0)</f>
        <v>0</v>
      </c>
      <c r="F674" s="46">
        <f>IF(int=Weekly,-$D$5,IF(int=Bi_Weekly,0,IF(int=Monthly,0,IF(int=Quarterly,0,IF(int=Yearly,0,IF(int=None,0,0))))))</f>
        <v>0</v>
      </c>
      <c r="G674" s="46"/>
      <c r="H674" s="46">
        <f t="shared" si="283"/>
        <v>-16050</v>
      </c>
      <c r="I674" s="47"/>
      <c r="J674" s="38">
        <f t="shared" si="270"/>
        <v>0</v>
      </c>
      <c r="K674" s="48"/>
      <c r="L674" s="48">
        <f t="shared" si="275"/>
        <v>549.50949642881346</v>
      </c>
      <c r="M674" s="48"/>
      <c r="N674" s="38">
        <f t="shared" si="276"/>
        <v>0</v>
      </c>
      <c r="O674" s="36">
        <f t="shared" si="277"/>
        <v>0</v>
      </c>
      <c r="P674" s="84">
        <f t="shared" si="278"/>
        <v>-22135.274674796074</v>
      </c>
      <c r="Q674" s="38">
        <f t="shared" si="279"/>
        <v>0</v>
      </c>
      <c r="R674" s="48">
        <f t="shared" si="280"/>
        <v>195.86585301370977</v>
      </c>
      <c r="S674" s="38">
        <f t="shared" si="271"/>
        <v>745.3753494425232</v>
      </c>
      <c r="T674" s="50">
        <f t="shared" si="284"/>
        <v>16050</v>
      </c>
      <c r="U674" s="40">
        <f t="shared" si="285"/>
        <v>18512.974385177229</v>
      </c>
      <c r="V674" s="41">
        <f t="shared" si="286"/>
        <v>0.15345634798612018</v>
      </c>
      <c r="W674" s="39">
        <f t="shared" si="287"/>
        <v>2462.9743851772291</v>
      </c>
      <c r="X674" s="50">
        <f t="shared" si="281"/>
        <v>6085.7434248123454</v>
      </c>
      <c r="Y674" s="41">
        <f t="shared" si="288"/>
        <v>0.53263039314576788</v>
      </c>
      <c r="Z674" s="52"/>
      <c r="AA674" s="50">
        <f t="shared" si="268"/>
        <v>22135.74342481235</v>
      </c>
      <c r="AB674" s="39">
        <f t="shared" si="269"/>
        <v>25111.694777343258</v>
      </c>
      <c r="AC674" s="39">
        <f t="shared" si="289"/>
        <v>2975.9513525309085</v>
      </c>
      <c r="AD674" s="41">
        <f t="shared" si="290"/>
        <v>0.13444099416128541</v>
      </c>
      <c r="AF674" s="46">
        <f t="shared" si="272"/>
        <v>0</v>
      </c>
      <c r="AG674" s="46">
        <f t="shared" si="291"/>
        <v>0</v>
      </c>
      <c r="AH674" s="54">
        <f t="shared" si="273"/>
        <v>4501</v>
      </c>
      <c r="AI674" s="55">
        <f t="shared" si="282"/>
        <v>0.28396436525612473</v>
      </c>
      <c r="AJ674" s="55">
        <f t="shared" si="292"/>
        <v>0</v>
      </c>
      <c r="AK674" s="55">
        <f t="shared" si="293"/>
        <v>0</v>
      </c>
    </row>
    <row r="675" spans="2:37" s="53" customFormat="1" ht="17.25" customHeight="1" x14ac:dyDescent="0.25">
      <c r="B675" s="91" t="str">
        <f t="shared" si="274"/>
        <v/>
      </c>
      <c r="C675" s="81">
        <f>IF(Sheet3!A646="","",Sheet3!A646)</f>
        <v>42135</v>
      </c>
      <c r="D675" s="82">
        <f>IF(C675="","",Sheet3!E646)</f>
        <v>34.330002</v>
      </c>
      <c r="E675" s="56">
        <f>_xlfn.XLOOKUP(WEEKNUM(C675)&amp;YEAR(C675),Sheet4!C:C,Sheet4!B:B,0)</f>
        <v>0</v>
      </c>
      <c r="F675" s="46">
        <f>IF(int=Weekly,-$D$5,IF(int=Bi_Weekly,-$D$5,IF(int=Monthly,-$D$5,IF(int=Quarterly,0,IF(int=Yearly,0,IF(int=None,0,0))))))</f>
        <v>-100</v>
      </c>
      <c r="G675" s="46"/>
      <c r="H675" s="46">
        <f t="shared" si="283"/>
        <v>-16150</v>
      </c>
      <c r="I675" s="47"/>
      <c r="J675" s="38">
        <f t="shared" si="270"/>
        <v>2.9129039957527527</v>
      </c>
      <c r="K675" s="48"/>
      <c r="L675" s="48">
        <f t="shared" si="275"/>
        <v>552.42240042456626</v>
      </c>
      <c r="M675" s="48"/>
      <c r="N675" s="38">
        <f t="shared" si="276"/>
        <v>0</v>
      </c>
      <c r="O675" s="36">
        <f t="shared" si="277"/>
        <v>0</v>
      </c>
      <c r="P675" s="84">
        <f t="shared" si="278"/>
        <v>-22235.274674796074</v>
      </c>
      <c r="Q675" s="38">
        <f t="shared" si="279"/>
        <v>0</v>
      </c>
      <c r="R675" s="48">
        <f t="shared" si="280"/>
        <v>195.86585301370977</v>
      </c>
      <c r="S675" s="38">
        <f t="shared" si="271"/>
        <v>748.288253438276</v>
      </c>
      <c r="T675" s="50">
        <f t="shared" si="284"/>
        <v>16150</v>
      </c>
      <c r="U675" s="40">
        <f t="shared" si="285"/>
        <v>18964.662111420163</v>
      </c>
      <c r="V675" s="41">
        <f t="shared" si="286"/>
        <v>0.17428248367926713</v>
      </c>
      <c r="W675" s="39">
        <f t="shared" si="287"/>
        <v>2814.6621114201625</v>
      </c>
      <c r="X675" s="50">
        <f t="shared" si="281"/>
        <v>6085.7434248123454</v>
      </c>
      <c r="Y675" s="41">
        <f t="shared" si="288"/>
        <v>0.55110870193390138</v>
      </c>
      <c r="Z675" s="52"/>
      <c r="AA675" s="50">
        <f t="shared" si="268"/>
        <v>22235.74342481235</v>
      </c>
      <c r="AB675" s="39">
        <f t="shared" si="269"/>
        <v>25688.737237112524</v>
      </c>
      <c r="AC675" s="39">
        <f t="shared" si="289"/>
        <v>3452.9938123001739</v>
      </c>
      <c r="AD675" s="41">
        <f t="shared" si="290"/>
        <v>0.15529023457102209</v>
      </c>
      <c r="AF675" s="46">
        <f t="shared" si="272"/>
        <v>-100</v>
      </c>
      <c r="AG675" s="46">
        <f t="shared" si="291"/>
        <v>-100</v>
      </c>
      <c r="AH675" s="54">
        <f t="shared" si="273"/>
        <v>4508</v>
      </c>
      <c r="AI675" s="55">
        <f t="shared" si="282"/>
        <v>0.2828507795100223</v>
      </c>
      <c r="AJ675" s="55">
        <f t="shared" si="292"/>
        <v>-28.285077951002229</v>
      </c>
      <c r="AK675" s="55">
        <f t="shared" si="293"/>
        <v>-28.285077951002229</v>
      </c>
    </row>
    <row r="676" spans="2:37" s="53" customFormat="1" ht="17.25" customHeight="1" x14ac:dyDescent="0.25">
      <c r="B676" s="91" t="str">
        <f t="shared" si="274"/>
        <v/>
      </c>
      <c r="C676" s="81">
        <f>IF(Sheet3!A647="","",Sheet3!A647)</f>
        <v>42142</v>
      </c>
      <c r="D676" s="82">
        <f>IF(C676="","",Sheet3!E647)</f>
        <v>34.709999000000003</v>
      </c>
      <c r="E676" s="56">
        <f>_xlfn.XLOOKUP(WEEKNUM(C676)&amp;YEAR(C676),Sheet4!C:C,Sheet4!B:B,0)</f>
        <v>0</v>
      </c>
      <c r="F676" s="46">
        <f>IF(int=Weekly,-$D$5,IF(int=Bi_Weekly,0,IF(int=Monthly,0,IF(int=Quarterly,0,IF(int=Yearly,0,IF(int=None,0,0))))))</f>
        <v>0</v>
      </c>
      <c r="G676" s="46"/>
      <c r="H676" s="46">
        <f t="shared" si="283"/>
        <v>-16150</v>
      </c>
      <c r="I676" s="47"/>
      <c r="J676" s="38">
        <f t="shared" si="270"/>
        <v>0</v>
      </c>
      <c r="K676" s="48"/>
      <c r="L676" s="48">
        <f t="shared" si="275"/>
        <v>552.42240042456626</v>
      </c>
      <c r="M676" s="48"/>
      <c r="N676" s="38">
        <f t="shared" si="276"/>
        <v>0</v>
      </c>
      <c r="O676" s="36">
        <f t="shared" si="277"/>
        <v>0</v>
      </c>
      <c r="P676" s="84">
        <f t="shared" si="278"/>
        <v>-22235.274674796074</v>
      </c>
      <c r="Q676" s="38">
        <f t="shared" si="279"/>
        <v>0</v>
      </c>
      <c r="R676" s="48">
        <f t="shared" si="280"/>
        <v>195.86585301370977</v>
      </c>
      <c r="S676" s="38">
        <f t="shared" si="271"/>
        <v>748.288253438276</v>
      </c>
      <c r="T676" s="50">
        <f t="shared" si="284"/>
        <v>16150</v>
      </c>
      <c r="U676" s="40">
        <f t="shared" si="285"/>
        <v>19174.580966314297</v>
      </c>
      <c r="V676" s="41">
        <f t="shared" si="286"/>
        <v>0.18728055518973985</v>
      </c>
      <c r="W676" s="39">
        <f t="shared" si="287"/>
        <v>3024.5809663142973</v>
      </c>
      <c r="X676" s="50">
        <f t="shared" si="281"/>
        <v>6085.7434248123454</v>
      </c>
      <c r="Y676" s="41">
        <f t="shared" si="288"/>
        <v>0.56410677344437432</v>
      </c>
      <c r="Z676" s="52"/>
      <c r="AA676" s="50">
        <f t="shared" si="268"/>
        <v>22235.74342481235</v>
      </c>
      <c r="AB676" s="39">
        <f t="shared" si="269"/>
        <v>25973.084528554311</v>
      </c>
      <c r="AC676" s="39">
        <f t="shared" si="289"/>
        <v>3737.341103741961</v>
      </c>
      <c r="AD676" s="41">
        <f t="shared" si="290"/>
        <v>0.16807808186757311</v>
      </c>
      <c r="AF676" s="46">
        <f t="shared" si="272"/>
        <v>0</v>
      </c>
      <c r="AG676" s="46">
        <f t="shared" si="291"/>
        <v>0</v>
      </c>
      <c r="AH676" s="54">
        <f t="shared" si="273"/>
        <v>4515</v>
      </c>
      <c r="AI676" s="55">
        <f t="shared" si="282"/>
        <v>0.28173719376391981</v>
      </c>
      <c r="AJ676" s="55">
        <f t="shared" si="292"/>
        <v>0</v>
      </c>
      <c r="AK676" s="55">
        <f t="shared" si="293"/>
        <v>0</v>
      </c>
    </row>
    <row r="677" spans="2:37" s="53" customFormat="1" ht="17.25" customHeight="1" x14ac:dyDescent="0.25">
      <c r="B677" s="91" t="str">
        <f t="shared" si="274"/>
        <v/>
      </c>
      <c r="C677" s="81">
        <f>IF(Sheet3!A648="","",Sheet3!A648)</f>
        <v>42149</v>
      </c>
      <c r="D677" s="82">
        <f>IF(C677="","",Sheet3!E648)</f>
        <v>34.540000999999997</v>
      </c>
      <c r="E677" s="56">
        <f>_xlfn.XLOOKUP(WEEKNUM(C677)&amp;YEAR(C677),Sheet4!C:C,Sheet4!B:B,0)</f>
        <v>0</v>
      </c>
      <c r="F677" s="46">
        <f>IF(int=Weekly,-$D$5,IF(int=Bi_Weekly,-$D$5,IF(int=Monthly,0,IF(int=Quarterly,0,IF(int=Yearly,0,IF(int=None,0,0))))))</f>
        <v>0</v>
      </c>
      <c r="G677" s="46"/>
      <c r="H677" s="46">
        <f t="shared" si="283"/>
        <v>-16150</v>
      </c>
      <c r="I677" s="47"/>
      <c r="J677" s="38">
        <f t="shared" si="270"/>
        <v>0</v>
      </c>
      <c r="K677" s="48"/>
      <c r="L677" s="48">
        <f t="shared" si="275"/>
        <v>552.42240042456626</v>
      </c>
      <c r="M677" s="48"/>
      <c r="N677" s="38">
        <f t="shared" si="276"/>
        <v>0</v>
      </c>
      <c r="O677" s="36">
        <f t="shared" si="277"/>
        <v>0</v>
      </c>
      <c r="P677" s="84">
        <f t="shared" si="278"/>
        <v>-22235.274674796074</v>
      </c>
      <c r="Q677" s="38">
        <f t="shared" si="279"/>
        <v>0</v>
      </c>
      <c r="R677" s="48">
        <f t="shared" si="280"/>
        <v>195.86585301370977</v>
      </c>
      <c r="S677" s="38">
        <f t="shared" si="271"/>
        <v>748.288253438276</v>
      </c>
      <c r="T677" s="50">
        <f t="shared" si="284"/>
        <v>16150</v>
      </c>
      <c r="U677" s="40">
        <f t="shared" si="285"/>
        <v>19080.670263086919</v>
      </c>
      <c r="V677" s="41">
        <f t="shared" si="286"/>
        <v>0.18146565096513423</v>
      </c>
      <c r="W677" s="39">
        <f t="shared" si="287"/>
        <v>2930.6702630869186</v>
      </c>
      <c r="X677" s="50">
        <f t="shared" si="281"/>
        <v>6085.7434248123454</v>
      </c>
      <c r="Y677" s="41">
        <f t="shared" si="288"/>
        <v>0.5582918692197687</v>
      </c>
      <c r="Z677" s="52"/>
      <c r="AA677" s="50">
        <f t="shared" si="268"/>
        <v>22235.74342481235</v>
      </c>
      <c r="AB677" s="39">
        <f t="shared" si="269"/>
        <v>25845.877022046305</v>
      </c>
      <c r="AC677" s="39">
        <f t="shared" si="289"/>
        <v>3610.1335972339548</v>
      </c>
      <c r="AD677" s="41">
        <f t="shared" si="290"/>
        <v>0.16235722495365246</v>
      </c>
      <c r="AF677" s="46">
        <f t="shared" si="272"/>
        <v>0</v>
      </c>
      <c r="AG677" s="46">
        <f t="shared" si="291"/>
        <v>0</v>
      </c>
      <c r="AH677" s="54">
        <f t="shared" si="273"/>
        <v>4522</v>
      </c>
      <c r="AI677" s="55">
        <f t="shared" si="282"/>
        <v>0.28062360801781738</v>
      </c>
      <c r="AJ677" s="55">
        <f t="shared" si="292"/>
        <v>0</v>
      </c>
      <c r="AK677" s="55">
        <f t="shared" si="293"/>
        <v>0</v>
      </c>
    </row>
    <row r="678" spans="2:37" s="53" customFormat="1" ht="17.25" customHeight="1" x14ac:dyDescent="0.25">
      <c r="B678" s="91" t="str">
        <f t="shared" si="274"/>
        <v/>
      </c>
      <c r="C678" s="81">
        <f>IF(Sheet3!A649="","",Sheet3!A649)</f>
        <v>42156</v>
      </c>
      <c r="D678" s="82">
        <f>IF(C678="","",Sheet3!E649)</f>
        <v>34.57</v>
      </c>
      <c r="E678" s="56">
        <f>_xlfn.XLOOKUP(WEEKNUM(C678)&amp;YEAR(C678),Sheet4!C:C,Sheet4!B:B,0)</f>
        <v>0</v>
      </c>
      <c r="F678" s="46">
        <f>IF(int=Weekly,-$D$5,IF(int=Bi_Weekly,0,IF(int=Monthly,0,IF(int=Quarterly,0,IF(int=Yearly,0,IF(int=None,0,0))))))</f>
        <v>0</v>
      </c>
      <c r="G678" s="46"/>
      <c r="H678" s="46">
        <f t="shared" si="283"/>
        <v>-16150</v>
      </c>
      <c r="I678" s="47"/>
      <c r="J678" s="38">
        <f t="shared" si="270"/>
        <v>0</v>
      </c>
      <c r="K678" s="48"/>
      <c r="L678" s="48">
        <f t="shared" si="275"/>
        <v>552.42240042456626</v>
      </c>
      <c r="M678" s="48"/>
      <c r="N678" s="38">
        <f t="shared" si="276"/>
        <v>0</v>
      </c>
      <c r="O678" s="36">
        <f t="shared" si="277"/>
        <v>0</v>
      </c>
      <c r="P678" s="84">
        <f t="shared" si="278"/>
        <v>-22235.274674796074</v>
      </c>
      <c r="Q678" s="38">
        <f t="shared" si="279"/>
        <v>0</v>
      </c>
      <c r="R678" s="48">
        <f t="shared" si="280"/>
        <v>195.86585301370977</v>
      </c>
      <c r="S678" s="38">
        <f t="shared" si="271"/>
        <v>748.288253438276</v>
      </c>
      <c r="T678" s="50">
        <f t="shared" si="284"/>
        <v>16150</v>
      </c>
      <c r="U678" s="40">
        <f t="shared" si="285"/>
        <v>19097.242382677257</v>
      </c>
      <c r="V678" s="41">
        <f t="shared" si="286"/>
        <v>0.18249178840106861</v>
      </c>
      <c r="W678" s="39">
        <f t="shared" si="287"/>
        <v>2947.2423826772574</v>
      </c>
      <c r="X678" s="50">
        <f t="shared" si="281"/>
        <v>6085.7434248123454</v>
      </c>
      <c r="Y678" s="41">
        <f t="shared" si="288"/>
        <v>0.55931800665570308</v>
      </c>
      <c r="Z678" s="52"/>
      <c r="AA678" s="50">
        <f t="shared" si="268"/>
        <v>22235.74342481235</v>
      </c>
      <c r="AB678" s="39">
        <f t="shared" si="269"/>
        <v>25868.324921361203</v>
      </c>
      <c r="AC678" s="39">
        <f t="shared" si="289"/>
        <v>3632.5814965488535</v>
      </c>
      <c r="AD678" s="41">
        <f t="shared" si="290"/>
        <v>0.16336676616331802</v>
      </c>
      <c r="AF678" s="46">
        <f t="shared" si="272"/>
        <v>0</v>
      </c>
      <c r="AG678" s="46">
        <f t="shared" si="291"/>
        <v>0</v>
      </c>
      <c r="AH678" s="54">
        <f t="shared" si="273"/>
        <v>4529</v>
      </c>
      <c r="AI678" s="55">
        <f t="shared" si="282"/>
        <v>0.2795100222717149</v>
      </c>
      <c r="AJ678" s="55">
        <f t="shared" si="292"/>
        <v>0</v>
      </c>
      <c r="AK678" s="55">
        <f t="shared" si="293"/>
        <v>0</v>
      </c>
    </row>
    <row r="679" spans="2:37" s="53" customFormat="1" ht="17.25" customHeight="1" x14ac:dyDescent="0.25">
      <c r="B679" s="91" t="str">
        <f t="shared" si="274"/>
        <v/>
      </c>
      <c r="C679" s="81">
        <f>IF(Sheet3!A650="","",Sheet3!A650)</f>
        <v>42163</v>
      </c>
      <c r="D679" s="82">
        <f>IF(C679="","",Sheet3!E650)</f>
        <v>34.650002000000001</v>
      </c>
      <c r="E679" s="56">
        <f>_xlfn.XLOOKUP(WEEKNUM(C679)&amp;YEAR(C679),Sheet4!C:C,Sheet4!B:B,0)</f>
        <v>0</v>
      </c>
      <c r="F679" s="46">
        <f>IF(int=Weekly,-$D$5,IF(int=Bi_Weekly,-$D$5,IF(int=Monthly,-$D$5,IF(int=Quarterly,0,IF(int=Yearly,0,IF(int=None,0,0))))))</f>
        <v>-100</v>
      </c>
      <c r="G679" s="46"/>
      <c r="H679" s="46">
        <f t="shared" si="283"/>
        <v>-16250</v>
      </c>
      <c r="I679" s="47"/>
      <c r="J679" s="38">
        <f t="shared" si="270"/>
        <v>2.8860027194226423</v>
      </c>
      <c r="K679" s="48"/>
      <c r="L679" s="48">
        <f t="shared" si="275"/>
        <v>555.30840314398893</v>
      </c>
      <c r="M679" s="48"/>
      <c r="N679" s="38">
        <f t="shared" si="276"/>
        <v>0</v>
      </c>
      <c r="O679" s="36">
        <f t="shared" si="277"/>
        <v>0</v>
      </c>
      <c r="P679" s="84">
        <f t="shared" si="278"/>
        <v>-22335.274674796074</v>
      </c>
      <c r="Q679" s="38">
        <f t="shared" si="279"/>
        <v>0</v>
      </c>
      <c r="R679" s="48">
        <f t="shared" si="280"/>
        <v>195.86585301370977</v>
      </c>
      <c r="S679" s="38">
        <f t="shared" si="271"/>
        <v>751.17425615769866</v>
      </c>
      <c r="T679" s="50">
        <f t="shared" si="284"/>
        <v>16250</v>
      </c>
      <c r="U679" s="40">
        <f t="shared" si="285"/>
        <v>19241.437279556023</v>
      </c>
      <c r="V679" s="41">
        <f t="shared" si="286"/>
        <v>0.18408844797267832</v>
      </c>
      <c r="W679" s="39">
        <f t="shared" si="287"/>
        <v>2991.437279556023</v>
      </c>
      <c r="X679" s="50">
        <f t="shared" si="281"/>
        <v>6085.7434248123454</v>
      </c>
      <c r="Y679" s="41">
        <f t="shared" si="288"/>
        <v>0.55859573565343812</v>
      </c>
      <c r="Z679" s="52"/>
      <c r="AA679" s="50">
        <f t="shared" si="268"/>
        <v>22335.74342481235</v>
      </c>
      <c r="AB679" s="39">
        <f t="shared" si="269"/>
        <v>26028.189478212771</v>
      </c>
      <c r="AC679" s="39">
        <f t="shared" si="289"/>
        <v>3692.4460534004211</v>
      </c>
      <c r="AD679" s="41">
        <f t="shared" si="290"/>
        <v>0.16531556542230663</v>
      </c>
      <c r="AF679" s="46">
        <f t="shared" si="272"/>
        <v>-100</v>
      </c>
      <c r="AG679" s="46">
        <f t="shared" si="291"/>
        <v>-100</v>
      </c>
      <c r="AH679" s="54">
        <f t="shared" si="273"/>
        <v>4536</v>
      </c>
      <c r="AI679" s="55">
        <f t="shared" si="282"/>
        <v>0.27839643652561247</v>
      </c>
      <c r="AJ679" s="55">
        <f t="shared" si="292"/>
        <v>-27.839643652561247</v>
      </c>
      <c r="AK679" s="55">
        <f t="shared" si="293"/>
        <v>-27.839643652561247</v>
      </c>
    </row>
    <row r="680" spans="2:37" s="53" customFormat="1" ht="17.25" customHeight="1" x14ac:dyDescent="0.25">
      <c r="B680" s="91" t="str">
        <f t="shared" si="274"/>
        <v/>
      </c>
      <c r="C680" s="81">
        <f>IF(Sheet3!A651="","",Sheet3!A651)</f>
        <v>42170</v>
      </c>
      <c r="D680" s="82">
        <f>IF(C680="","",Sheet3!E651)</f>
        <v>34.990001999999997</v>
      </c>
      <c r="E680" s="56">
        <f>_xlfn.XLOOKUP(WEEKNUM(C680)&amp;YEAR(C680),Sheet4!C:C,Sheet4!B:B,0)</f>
        <v>0</v>
      </c>
      <c r="F680" s="46">
        <f>IF(int=Weekly,-$D$5,IF(int=Bi_Weekly,0,IF(int=Monthly,0,IF(int=Quarterly,0,IF(int=Yearly,0,IF(int=None,0,0))))))</f>
        <v>0</v>
      </c>
      <c r="G680" s="46"/>
      <c r="H680" s="46">
        <f t="shared" si="283"/>
        <v>-16250</v>
      </c>
      <c r="I680" s="47"/>
      <c r="J680" s="38">
        <f t="shared" si="270"/>
        <v>0</v>
      </c>
      <c r="K680" s="48"/>
      <c r="L680" s="48">
        <f t="shared" si="275"/>
        <v>555.30840314398893</v>
      </c>
      <c r="M680" s="48"/>
      <c r="N680" s="38">
        <f t="shared" si="276"/>
        <v>0</v>
      </c>
      <c r="O680" s="36">
        <f t="shared" si="277"/>
        <v>0</v>
      </c>
      <c r="P680" s="84">
        <f t="shared" si="278"/>
        <v>-22335.274674796074</v>
      </c>
      <c r="Q680" s="38">
        <f t="shared" si="279"/>
        <v>0</v>
      </c>
      <c r="R680" s="48">
        <f t="shared" si="280"/>
        <v>195.86585301370977</v>
      </c>
      <c r="S680" s="38">
        <f t="shared" si="271"/>
        <v>751.17425615769866</v>
      </c>
      <c r="T680" s="50">
        <f t="shared" si="284"/>
        <v>16250</v>
      </c>
      <c r="U680" s="40">
        <f t="shared" si="285"/>
        <v>19430.242136624976</v>
      </c>
      <c r="V680" s="41">
        <f t="shared" si="286"/>
        <v>0.19570720840769096</v>
      </c>
      <c r="W680" s="39">
        <f t="shared" si="287"/>
        <v>3180.2421366249764</v>
      </c>
      <c r="X680" s="50">
        <f t="shared" si="281"/>
        <v>6085.7434248123454</v>
      </c>
      <c r="Y680" s="41">
        <f t="shared" si="288"/>
        <v>0.57021449608845054</v>
      </c>
      <c r="Z680" s="52"/>
      <c r="AA680" s="50">
        <f t="shared" si="268"/>
        <v>22335.74342481235</v>
      </c>
      <c r="AB680" s="39">
        <f t="shared" si="269"/>
        <v>26283.588725306385</v>
      </c>
      <c r="AC680" s="39">
        <f t="shared" si="289"/>
        <v>3947.8453004940347</v>
      </c>
      <c r="AD680" s="41">
        <f t="shared" si="290"/>
        <v>0.1767501186510072</v>
      </c>
      <c r="AF680" s="46">
        <f t="shared" si="272"/>
        <v>0</v>
      </c>
      <c r="AG680" s="46">
        <f t="shared" si="291"/>
        <v>0</v>
      </c>
      <c r="AH680" s="54">
        <f t="shared" si="273"/>
        <v>4543</v>
      </c>
      <c r="AI680" s="55">
        <f t="shared" si="282"/>
        <v>0.27728285077951004</v>
      </c>
      <c r="AJ680" s="55">
        <f t="shared" si="292"/>
        <v>0</v>
      </c>
      <c r="AK680" s="55">
        <f t="shared" si="293"/>
        <v>0</v>
      </c>
    </row>
    <row r="681" spans="2:37" s="53" customFormat="1" ht="17.25" customHeight="1" x14ac:dyDescent="0.25">
      <c r="B681" s="91" t="str">
        <f t="shared" si="274"/>
        <v/>
      </c>
      <c r="C681" s="81">
        <f>IF(Sheet3!A652="","",Sheet3!A652)</f>
        <v>42177</v>
      </c>
      <c r="D681" s="82">
        <f>IF(C681="","",Sheet3!E652)</f>
        <v>36.119999</v>
      </c>
      <c r="E681" s="56">
        <f>_xlfn.XLOOKUP(WEEKNUM(C681)&amp;YEAR(C681),Sheet4!C:C,Sheet4!B:B,0)</f>
        <v>0</v>
      </c>
      <c r="F681" s="46">
        <f>IF(int=Weekly,-$D$5,IF(int=Bi_Weekly,-$D$5,IF(int=Monthly,0,IF(int=Quarterly,-$D$5,IF(int=Yearly,0,IF(int=None,0,0))))))</f>
        <v>0</v>
      </c>
      <c r="G681" s="46"/>
      <c r="H681" s="46">
        <f t="shared" si="283"/>
        <v>-16250</v>
      </c>
      <c r="I681" s="47"/>
      <c r="J681" s="38">
        <f t="shared" si="270"/>
        <v>0</v>
      </c>
      <c r="K681" s="48"/>
      <c r="L681" s="48">
        <f t="shared" si="275"/>
        <v>555.30840314398893</v>
      </c>
      <c r="M681" s="48"/>
      <c r="N681" s="38">
        <f t="shared" si="276"/>
        <v>0</v>
      </c>
      <c r="O681" s="36">
        <f t="shared" si="277"/>
        <v>0</v>
      </c>
      <c r="P681" s="84">
        <f t="shared" si="278"/>
        <v>-22335.274674796074</v>
      </c>
      <c r="Q681" s="38">
        <f t="shared" si="279"/>
        <v>0</v>
      </c>
      <c r="R681" s="48">
        <f t="shared" si="280"/>
        <v>195.86585301370977</v>
      </c>
      <c r="S681" s="38">
        <f t="shared" si="271"/>
        <v>751.17425615769866</v>
      </c>
      <c r="T681" s="50">
        <f t="shared" si="284"/>
        <v>16250</v>
      </c>
      <c r="U681" s="40">
        <f t="shared" si="285"/>
        <v>20057.738966252477</v>
      </c>
      <c r="V681" s="41">
        <f t="shared" si="286"/>
        <v>0.2343223979232294</v>
      </c>
      <c r="W681" s="39">
        <f t="shared" si="287"/>
        <v>3807.7389662524765</v>
      </c>
      <c r="X681" s="50">
        <f t="shared" si="281"/>
        <v>6085.7434248123454</v>
      </c>
      <c r="Y681" s="41">
        <f t="shared" si="288"/>
        <v>0.6088296856039892</v>
      </c>
      <c r="Z681" s="52"/>
      <c r="AA681" s="50">
        <f t="shared" si="268"/>
        <v>22335.74342481235</v>
      </c>
      <c r="AB681" s="39">
        <f t="shared" si="269"/>
        <v>27132.413381241822</v>
      </c>
      <c r="AC681" s="39">
        <f t="shared" si="289"/>
        <v>4796.6699564294722</v>
      </c>
      <c r="AD681" s="41">
        <f t="shared" si="290"/>
        <v>0.21475309172386647</v>
      </c>
      <c r="AF681" s="46">
        <f t="shared" si="272"/>
        <v>0</v>
      </c>
      <c r="AG681" s="46">
        <f t="shared" si="291"/>
        <v>0</v>
      </c>
      <c r="AH681" s="54">
        <f t="shared" si="273"/>
        <v>4550</v>
      </c>
      <c r="AI681" s="55">
        <f t="shared" si="282"/>
        <v>0.27616926503340755</v>
      </c>
      <c r="AJ681" s="55">
        <f t="shared" si="292"/>
        <v>0</v>
      </c>
      <c r="AK681" s="55">
        <f t="shared" si="293"/>
        <v>0</v>
      </c>
    </row>
    <row r="682" spans="2:37" s="53" customFormat="1" ht="17.25" customHeight="1" x14ac:dyDescent="0.25">
      <c r="B682" s="91" t="str">
        <f t="shared" si="274"/>
        <v/>
      </c>
      <c r="C682" s="81">
        <f>IF(Sheet3!A653="","",Sheet3!A653)</f>
        <v>42184</v>
      </c>
      <c r="D682" s="82">
        <f>IF(C682="","",Sheet3!E653)</f>
        <v>35.729999999999997</v>
      </c>
      <c r="E682" s="56">
        <f>_xlfn.XLOOKUP(WEEKNUM(C682)&amp;YEAR(C682),Sheet4!C:C,Sheet4!B:B,0)</f>
        <v>0</v>
      </c>
      <c r="F682" s="46">
        <f>IF(int=Weekly,-$D$5,IF(int=Bi_Weekly,0,IF(int=Monthly,0,IF(int=Quarterly,0,IF(int=Yearly,0,IF(int=None,0,0))))))</f>
        <v>0</v>
      </c>
      <c r="G682" s="46"/>
      <c r="H682" s="46">
        <f t="shared" si="283"/>
        <v>-16250</v>
      </c>
      <c r="I682" s="47"/>
      <c r="J682" s="38">
        <f t="shared" si="270"/>
        <v>0</v>
      </c>
      <c r="K682" s="48"/>
      <c r="L682" s="48">
        <f t="shared" si="275"/>
        <v>555.30840314398893</v>
      </c>
      <c r="M682" s="48"/>
      <c r="N682" s="38">
        <f t="shared" si="276"/>
        <v>0</v>
      </c>
      <c r="O682" s="36">
        <f t="shared" si="277"/>
        <v>0</v>
      </c>
      <c r="P682" s="84">
        <f t="shared" si="278"/>
        <v>-22335.274674796074</v>
      </c>
      <c r="Q682" s="38">
        <f t="shared" si="279"/>
        <v>0</v>
      </c>
      <c r="R682" s="48">
        <f t="shared" si="280"/>
        <v>195.86585301370977</v>
      </c>
      <c r="S682" s="38">
        <f t="shared" si="271"/>
        <v>751.17425615769866</v>
      </c>
      <c r="T682" s="50">
        <f t="shared" si="284"/>
        <v>16250</v>
      </c>
      <c r="U682" s="40">
        <f t="shared" si="285"/>
        <v>19841.169244334724</v>
      </c>
      <c r="V682" s="41">
        <f t="shared" si="286"/>
        <v>0.22099503042059832</v>
      </c>
      <c r="W682" s="39">
        <f t="shared" si="287"/>
        <v>3591.1692443347238</v>
      </c>
      <c r="X682" s="50">
        <f t="shared" si="281"/>
        <v>6085.7434248123454</v>
      </c>
      <c r="Y682" s="41">
        <f t="shared" si="288"/>
        <v>0.59550231810135812</v>
      </c>
      <c r="Z682" s="52"/>
      <c r="AA682" s="50">
        <f t="shared" si="268"/>
        <v>22335.74342481235</v>
      </c>
      <c r="AB682" s="39">
        <f t="shared" si="269"/>
        <v>26839.456172514572</v>
      </c>
      <c r="AC682" s="39">
        <f t="shared" si="289"/>
        <v>4503.7127477022223</v>
      </c>
      <c r="AD682" s="41">
        <f t="shared" si="290"/>
        <v>0.20163702018080731</v>
      </c>
      <c r="AF682" s="46">
        <f t="shared" si="272"/>
        <v>0</v>
      </c>
      <c r="AG682" s="46">
        <f t="shared" si="291"/>
        <v>0</v>
      </c>
      <c r="AH682" s="54">
        <f t="shared" si="273"/>
        <v>4557</v>
      </c>
      <c r="AI682" s="55">
        <f t="shared" si="282"/>
        <v>0.27505567928730512</v>
      </c>
      <c r="AJ682" s="55">
        <f t="shared" si="292"/>
        <v>0</v>
      </c>
      <c r="AK682" s="55">
        <f t="shared" si="293"/>
        <v>0</v>
      </c>
    </row>
    <row r="683" spans="2:37" s="53" customFormat="1" ht="17.25" customHeight="1" x14ac:dyDescent="0.25">
      <c r="B683" s="91" t="str">
        <f t="shared" si="274"/>
        <v/>
      </c>
      <c r="C683" s="81">
        <f>IF(Sheet3!A654="","",Sheet3!A654)</f>
        <v>42191</v>
      </c>
      <c r="D683" s="82">
        <f>IF(C683="","",Sheet3!E654)</f>
        <v>34.650002000000001</v>
      </c>
      <c r="E683" s="56">
        <f>_xlfn.XLOOKUP(WEEKNUM(C683)&amp;YEAR(C683),Sheet4!C:C,Sheet4!B:B,0)</f>
        <v>0.47</v>
      </c>
      <c r="F683" s="46">
        <f>IF(int=Weekly,-$D$5,IF(int=Bi_Weekly,-$D$5,IF(int=Monthly,-$D$5,IF(int=Quarterly,0,IF(int=Yearly,0,IF(int=None,0,0))))))</f>
        <v>-100</v>
      </c>
      <c r="G683" s="46"/>
      <c r="H683" s="46">
        <f t="shared" si="283"/>
        <v>-16350</v>
      </c>
      <c r="I683" s="47"/>
      <c r="J683" s="38">
        <f t="shared" si="270"/>
        <v>2.8860027194226423</v>
      </c>
      <c r="K683" s="48"/>
      <c r="L683" s="48">
        <f t="shared" si="275"/>
        <v>558.19440586341159</v>
      </c>
      <c r="M683" s="48"/>
      <c r="N683" s="38">
        <f t="shared" si="276"/>
        <v>262.35137075580343</v>
      </c>
      <c r="O683" s="36">
        <f t="shared" si="277"/>
        <v>-262.35137075580343</v>
      </c>
      <c r="P683" s="84">
        <f t="shared" si="278"/>
        <v>-22697.626045551879</v>
      </c>
      <c r="Q683" s="38">
        <f t="shared" si="279"/>
        <v>7.5714676944550661</v>
      </c>
      <c r="R683" s="48">
        <f t="shared" si="280"/>
        <v>203.43732070816483</v>
      </c>
      <c r="S683" s="38">
        <f t="shared" si="271"/>
        <v>761.63172657157645</v>
      </c>
      <c r="T683" s="50">
        <f t="shared" si="284"/>
        <v>16350</v>
      </c>
      <c r="U683" s="40">
        <f t="shared" si="285"/>
        <v>19341.437279556023</v>
      </c>
      <c r="V683" s="41">
        <f t="shared" si="286"/>
        <v>0.18296252474348762</v>
      </c>
      <c r="W683" s="39">
        <f t="shared" si="287"/>
        <v>2991.437279556023</v>
      </c>
      <c r="X683" s="50">
        <f t="shared" si="281"/>
        <v>6348.0947955681486</v>
      </c>
      <c r="Y683" s="41">
        <f t="shared" si="288"/>
        <v>0.57122520337150884</v>
      </c>
      <c r="Z683" s="52"/>
      <c r="AA683" s="50">
        <f t="shared" si="268"/>
        <v>22698.094795568155</v>
      </c>
      <c r="AB683" s="39">
        <f t="shared" si="269"/>
        <v>26390.540848968576</v>
      </c>
      <c r="AC683" s="39">
        <f t="shared" si="289"/>
        <v>3692.4460534004211</v>
      </c>
      <c r="AD683" s="41">
        <f t="shared" si="290"/>
        <v>0.16267647512518879</v>
      </c>
      <c r="AF683" s="46">
        <f t="shared" si="272"/>
        <v>162.35137075580343</v>
      </c>
      <c r="AG683" s="46">
        <f t="shared" si="291"/>
        <v>-100</v>
      </c>
      <c r="AH683" s="54">
        <f t="shared" si="273"/>
        <v>4564</v>
      </c>
      <c r="AI683" s="55">
        <f t="shared" si="282"/>
        <v>0.27394209354120269</v>
      </c>
      <c r="AJ683" s="55">
        <f t="shared" si="292"/>
        <v>44.474874394128783</v>
      </c>
      <c r="AK683" s="55">
        <f t="shared" si="293"/>
        <v>-27.394209354120271</v>
      </c>
    </row>
    <row r="684" spans="2:37" s="53" customFormat="1" ht="17.25" customHeight="1" x14ac:dyDescent="0.25">
      <c r="B684" s="91" t="str">
        <f t="shared" si="274"/>
        <v/>
      </c>
      <c r="C684" s="81">
        <f>IF(Sheet3!A655="","",Sheet3!A655)</f>
        <v>42198</v>
      </c>
      <c r="D684" s="82">
        <f>IF(C684="","",Sheet3!E655)</f>
        <v>35.009998000000003</v>
      </c>
      <c r="E684" s="56">
        <f>_xlfn.XLOOKUP(WEEKNUM(C684)&amp;YEAR(C684),Sheet4!C:C,Sheet4!B:B,0)</f>
        <v>0</v>
      </c>
      <c r="F684" s="46">
        <f>IF(int=Weekly,-$D$5,IF(int=Bi_Weekly,0,IF(int=Monthly,0,IF(int=Quarterly,0,IF(int=Yearly,0,IF(int=None,0,0))))))</f>
        <v>0</v>
      </c>
      <c r="G684" s="46"/>
      <c r="H684" s="46">
        <f t="shared" si="283"/>
        <v>-16350</v>
      </c>
      <c r="I684" s="47"/>
      <c r="J684" s="38">
        <f t="shared" si="270"/>
        <v>0</v>
      </c>
      <c r="K684" s="48"/>
      <c r="L684" s="48">
        <f t="shared" si="275"/>
        <v>558.19440586341159</v>
      </c>
      <c r="M684" s="48"/>
      <c r="N684" s="38">
        <f t="shared" si="276"/>
        <v>0</v>
      </c>
      <c r="O684" s="36">
        <f t="shared" si="277"/>
        <v>0</v>
      </c>
      <c r="P684" s="84">
        <f t="shared" si="278"/>
        <v>-22697.626045551879</v>
      </c>
      <c r="Q684" s="38">
        <f t="shared" si="279"/>
        <v>0</v>
      </c>
      <c r="R684" s="48">
        <f t="shared" si="280"/>
        <v>203.43732070816483</v>
      </c>
      <c r="S684" s="38">
        <f t="shared" si="271"/>
        <v>761.63172657157645</v>
      </c>
      <c r="T684" s="50">
        <f t="shared" si="284"/>
        <v>16350</v>
      </c>
      <c r="U684" s="40">
        <f t="shared" si="285"/>
        <v>19542.385032889229</v>
      </c>
      <c r="V684" s="41">
        <f t="shared" si="286"/>
        <v>0.19525290721035038</v>
      </c>
      <c r="W684" s="39">
        <f t="shared" si="287"/>
        <v>3192.3850328892295</v>
      </c>
      <c r="X684" s="50">
        <f t="shared" si="281"/>
        <v>6348.0947955681486</v>
      </c>
      <c r="Y684" s="41">
        <f t="shared" si="288"/>
        <v>0.5835155858383716</v>
      </c>
      <c r="Z684" s="52"/>
      <c r="AA684" s="50">
        <f t="shared" si="268"/>
        <v>22698.094795568155</v>
      </c>
      <c r="AB684" s="39">
        <f t="shared" si="269"/>
        <v>26664.725224007438</v>
      </c>
      <c r="AC684" s="39">
        <f t="shared" si="289"/>
        <v>3966.6304284392827</v>
      </c>
      <c r="AD684" s="41">
        <f t="shared" si="290"/>
        <v>0.17475609579416229</v>
      </c>
      <c r="AF684" s="46">
        <f t="shared" si="272"/>
        <v>0</v>
      </c>
      <c r="AG684" s="46">
        <f t="shared" si="291"/>
        <v>0</v>
      </c>
      <c r="AH684" s="54">
        <f t="shared" si="273"/>
        <v>4571</v>
      </c>
      <c r="AI684" s="55">
        <f t="shared" si="282"/>
        <v>0.27282850779510021</v>
      </c>
      <c r="AJ684" s="55">
        <f t="shared" si="292"/>
        <v>0</v>
      </c>
      <c r="AK684" s="55">
        <f t="shared" si="293"/>
        <v>0</v>
      </c>
    </row>
    <row r="685" spans="2:37" s="53" customFormat="1" ht="17.25" customHeight="1" x14ac:dyDescent="0.25">
      <c r="B685" s="91" t="str">
        <f t="shared" si="274"/>
        <v/>
      </c>
      <c r="C685" s="81">
        <f>IF(Sheet3!A656="","",Sheet3!A656)</f>
        <v>42205</v>
      </c>
      <c r="D685" s="82">
        <f>IF(C685="","",Sheet3!E656)</f>
        <v>34.290000999999997</v>
      </c>
      <c r="E685" s="56">
        <f>_xlfn.XLOOKUP(WEEKNUM(C685)&amp;YEAR(C685),Sheet4!C:C,Sheet4!B:B,0)</f>
        <v>0</v>
      </c>
      <c r="F685" s="46">
        <f>IF(int=Weekly,-$D$5,IF(int=Bi_Weekly,-$D$5,IF(int=Monthly,0,IF(int=Quarterly,0,IF(int=Yearly,0,IF(int=None,0,0))))))</f>
        <v>0</v>
      </c>
      <c r="G685" s="46"/>
      <c r="H685" s="46">
        <f t="shared" si="283"/>
        <v>-16350</v>
      </c>
      <c r="I685" s="47"/>
      <c r="J685" s="38">
        <f t="shared" si="270"/>
        <v>0</v>
      </c>
      <c r="K685" s="48"/>
      <c r="L685" s="48">
        <f t="shared" si="275"/>
        <v>558.19440586341159</v>
      </c>
      <c r="M685" s="48"/>
      <c r="N685" s="38">
        <f t="shared" si="276"/>
        <v>0</v>
      </c>
      <c r="O685" s="36">
        <f t="shared" si="277"/>
        <v>0</v>
      </c>
      <c r="P685" s="84">
        <f t="shared" si="278"/>
        <v>-22697.626045551879</v>
      </c>
      <c r="Q685" s="38">
        <f t="shared" si="279"/>
        <v>0</v>
      </c>
      <c r="R685" s="48">
        <f t="shared" si="280"/>
        <v>203.43732070816483</v>
      </c>
      <c r="S685" s="38">
        <f t="shared" si="271"/>
        <v>761.63172657157645</v>
      </c>
      <c r="T685" s="50">
        <f t="shared" si="284"/>
        <v>16350</v>
      </c>
      <c r="U685" s="40">
        <f t="shared" si="285"/>
        <v>19140.486735250786</v>
      </c>
      <c r="V685" s="41">
        <f t="shared" si="286"/>
        <v>0.1706719715749716</v>
      </c>
      <c r="W685" s="39">
        <f t="shared" si="287"/>
        <v>2790.4867352507863</v>
      </c>
      <c r="X685" s="50">
        <f t="shared" si="281"/>
        <v>6348.0947955681486</v>
      </c>
      <c r="Y685" s="41">
        <f t="shared" si="288"/>
        <v>0.55893465020299282</v>
      </c>
      <c r="Z685" s="52"/>
      <c r="AA685" s="50">
        <f t="shared" si="268"/>
        <v>22698.094795568155</v>
      </c>
      <c r="AB685" s="39">
        <f t="shared" si="269"/>
        <v>26116.352665771079</v>
      </c>
      <c r="AC685" s="39">
        <f t="shared" si="289"/>
        <v>3418.2578702029241</v>
      </c>
      <c r="AD685" s="41">
        <f t="shared" si="290"/>
        <v>0.15059668668184201</v>
      </c>
      <c r="AF685" s="46">
        <f t="shared" si="272"/>
        <v>0</v>
      </c>
      <c r="AG685" s="46">
        <f t="shared" si="291"/>
        <v>0</v>
      </c>
      <c r="AH685" s="54">
        <f t="shared" si="273"/>
        <v>4578</v>
      </c>
      <c r="AI685" s="55">
        <f t="shared" si="282"/>
        <v>0.27171492204899778</v>
      </c>
      <c r="AJ685" s="55">
        <f t="shared" si="292"/>
        <v>0</v>
      </c>
      <c r="AK685" s="55">
        <f t="shared" si="293"/>
        <v>0</v>
      </c>
    </row>
    <row r="686" spans="2:37" s="53" customFormat="1" ht="17.25" customHeight="1" x14ac:dyDescent="0.25">
      <c r="B686" s="91" t="str">
        <f t="shared" si="274"/>
        <v/>
      </c>
      <c r="C686" s="81">
        <f>IF(Sheet3!A657="","",Sheet3!A657)</f>
        <v>42212</v>
      </c>
      <c r="D686" s="82">
        <f>IF(C686="","",Sheet3!E657)</f>
        <v>34.740001999999997</v>
      </c>
      <c r="E686" s="56">
        <f>_xlfn.XLOOKUP(WEEKNUM(C686)&amp;YEAR(C686),Sheet4!C:C,Sheet4!B:B,0)</f>
        <v>0</v>
      </c>
      <c r="F686" s="46">
        <f>IF(int=Weekly,-$D$5,IF(int=Bi_Weekly,0,IF(int=Monthly,0,IF(int=Quarterly,0,IF(int=Yearly,0,IF(int=None,0,0))))))</f>
        <v>0</v>
      </c>
      <c r="G686" s="46"/>
      <c r="H686" s="46">
        <f t="shared" si="283"/>
        <v>-16350</v>
      </c>
      <c r="I686" s="47"/>
      <c r="J686" s="38">
        <f t="shared" si="270"/>
        <v>0</v>
      </c>
      <c r="K686" s="48"/>
      <c r="L686" s="48">
        <f t="shared" si="275"/>
        <v>558.19440586341159</v>
      </c>
      <c r="M686" s="48"/>
      <c r="N686" s="38">
        <f t="shared" si="276"/>
        <v>0</v>
      </c>
      <c r="O686" s="36">
        <f t="shared" si="277"/>
        <v>0</v>
      </c>
      <c r="P686" s="84">
        <f t="shared" si="278"/>
        <v>-22697.626045551879</v>
      </c>
      <c r="Q686" s="38">
        <f t="shared" si="279"/>
        <v>0</v>
      </c>
      <c r="R686" s="48">
        <f t="shared" si="280"/>
        <v>203.43732070816483</v>
      </c>
      <c r="S686" s="38">
        <f t="shared" si="271"/>
        <v>761.63172657157645</v>
      </c>
      <c r="T686" s="50">
        <f t="shared" si="284"/>
        <v>16350</v>
      </c>
      <c r="U686" s="40">
        <f t="shared" si="285"/>
        <v>19391.674776083728</v>
      </c>
      <c r="V686" s="41">
        <f t="shared" si="286"/>
        <v>0.18603515450053387</v>
      </c>
      <c r="W686" s="39">
        <f t="shared" si="287"/>
        <v>3041.6747760837279</v>
      </c>
      <c r="X686" s="50">
        <f t="shared" si="281"/>
        <v>6348.0947955681486</v>
      </c>
      <c r="Y686" s="41">
        <f t="shared" si="288"/>
        <v>0.57429783312855509</v>
      </c>
      <c r="Z686" s="52"/>
      <c r="AA686" s="50">
        <f t="shared" si="268"/>
        <v>22698.094795568155</v>
      </c>
      <c r="AB686" s="39">
        <f t="shared" si="269"/>
        <v>26459.087704360016</v>
      </c>
      <c r="AC686" s="39">
        <f t="shared" si="289"/>
        <v>3760.9929087918608</v>
      </c>
      <c r="AD686" s="41">
        <f t="shared" si="290"/>
        <v>0.16569641384730671</v>
      </c>
      <c r="AF686" s="46">
        <f t="shared" si="272"/>
        <v>0</v>
      </c>
      <c r="AG686" s="46">
        <f t="shared" si="291"/>
        <v>0</v>
      </c>
      <c r="AH686" s="54">
        <f t="shared" si="273"/>
        <v>4585</v>
      </c>
      <c r="AI686" s="55">
        <f t="shared" si="282"/>
        <v>0.27060133630289535</v>
      </c>
      <c r="AJ686" s="55">
        <f t="shared" si="292"/>
        <v>0</v>
      </c>
      <c r="AK686" s="55">
        <f t="shared" si="293"/>
        <v>0</v>
      </c>
    </row>
    <row r="687" spans="2:37" s="53" customFormat="1" ht="17.25" customHeight="1" x14ac:dyDescent="0.25">
      <c r="B687" s="91" t="str">
        <f t="shared" si="274"/>
        <v/>
      </c>
      <c r="C687" s="81">
        <f>IF(Sheet3!A658="","",Sheet3!A658)</f>
        <v>42219</v>
      </c>
      <c r="D687" s="82">
        <f>IF(C687="","",Sheet3!E658)</f>
        <v>34.209999000000003</v>
      </c>
      <c r="E687" s="56">
        <f>_xlfn.XLOOKUP(WEEKNUM(C687)&amp;YEAR(C687),Sheet4!C:C,Sheet4!B:B,0)</f>
        <v>0</v>
      </c>
      <c r="F687" s="46">
        <f>IF(int=Weekly,-$D$5,IF(int=Bi_Weekly,-$D$5,IF(int=Monthly,-$D$5,IF(int=Quarterly,0,IF(int=Yearly,0,IF(int=None,0,0))))))</f>
        <v>-100</v>
      </c>
      <c r="G687" s="46"/>
      <c r="H687" s="46">
        <f t="shared" si="283"/>
        <v>-16450</v>
      </c>
      <c r="I687" s="47"/>
      <c r="J687" s="38">
        <f t="shared" si="270"/>
        <v>2.9231219796294057</v>
      </c>
      <c r="K687" s="48"/>
      <c r="L687" s="48">
        <f t="shared" si="275"/>
        <v>561.11752784304099</v>
      </c>
      <c r="M687" s="48"/>
      <c r="N687" s="38">
        <f t="shared" si="276"/>
        <v>0</v>
      </c>
      <c r="O687" s="36">
        <f t="shared" si="277"/>
        <v>0</v>
      </c>
      <c r="P687" s="84">
        <f t="shared" si="278"/>
        <v>-22797.626045551879</v>
      </c>
      <c r="Q687" s="38">
        <f t="shared" si="279"/>
        <v>0</v>
      </c>
      <c r="R687" s="48">
        <f t="shared" si="280"/>
        <v>203.43732070816483</v>
      </c>
      <c r="S687" s="38">
        <f t="shared" si="271"/>
        <v>764.55484855120585</v>
      </c>
      <c r="T687" s="50">
        <f t="shared" si="284"/>
        <v>16450</v>
      </c>
      <c r="U687" s="40">
        <f t="shared" si="285"/>
        <v>19195.830066392908</v>
      </c>
      <c r="V687" s="41">
        <f t="shared" si="286"/>
        <v>0.16691976087494886</v>
      </c>
      <c r="W687" s="39">
        <f t="shared" si="287"/>
        <v>2745.8300663929076</v>
      </c>
      <c r="X687" s="50">
        <f t="shared" si="281"/>
        <v>6348.0947955681486</v>
      </c>
      <c r="Y687" s="41">
        <f t="shared" si="288"/>
        <v>0.55282218005842276</v>
      </c>
      <c r="Z687" s="52"/>
      <c r="AA687" s="50">
        <f t="shared" si="268"/>
        <v>22798.094795568155</v>
      </c>
      <c r="AB687" s="39">
        <f t="shared" si="269"/>
        <v>26155.420604381907</v>
      </c>
      <c r="AC687" s="39">
        <f t="shared" si="289"/>
        <v>3357.3258088137518</v>
      </c>
      <c r="AD687" s="41">
        <f t="shared" si="290"/>
        <v>0.14726343753366611</v>
      </c>
      <c r="AF687" s="46">
        <f t="shared" si="272"/>
        <v>-100</v>
      </c>
      <c r="AG687" s="46">
        <f t="shared" si="291"/>
        <v>-100</v>
      </c>
      <c r="AH687" s="54">
        <f t="shared" si="273"/>
        <v>4592</v>
      </c>
      <c r="AI687" s="55">
        <f t="shared" si="282"/>
        <v>0.26948775055679286</v>
      </c>
      <c r="AJ687" s="55">
        <f t="shared" si="292"/>
        <v>-26.948775055679285</v>
      </c>
      <c r="AK687" s="55">
        <f t="shared" si="293"/>
        <v>-26.948775055679285</v>
      </c>
    </row>
    <row r="688" spans="2:37" s="53" customFormat="1" ht="17.25" customHeight="1" x14ac:dyDescent="0.25">
      <c r="B688" s="91" t="str">
        <f t="shared" si="274"/>
        <v/>
      </c>
      <c r="C688" s="81">
        <f>IF(Sheet3!A659="","",Sheet3!A659)</f>
        <v>42226</v>
      </c>
      <c r="D688" s="82">
        <f>IF(C688="","",Sheet3!E659)</f>
        <v>34.049999</v>
      </c>
      <c r="E688" s="56">
        <f>_xlfn.XLOOKUP(WEEKNUM(C688)&amp;YEAR(C688),Sheet4!C:C,Sheet4!B:B,0)</f>
        <v>0</v>
      </c>
      <c r="F688" s="46">
        <f>IF(int=Weekly,-$D$5,IF(int=Bi_Weekly,0,IF(int=Monthly,0,IF(int=Quarterly,0,IF(int=Yearly,0,IF(int=None,0,0))))))</f>
        <v>0</v>
      </c>
      <c r="G688" s="46"/>
      <c r="H688" s="46">
        <f t="shared" si="283"/>
        <v>-16450</v>
      </c>
      <c r="I688" s="47"/>
      <c r="J688" s="38">
        <f t="shared" si="270"/>
        <v>0</v>
      </c>
      <c r="K688" s="48"/>
      <c r="L688" s="48">
        <f t="shared" si="275"/>
        <v>561.11752784304099</v>
      </c>
      <c r="M688" s="48"/>
      <c r="N688" s="38">
        <f t="shared" si="276"/>
        <v>0</v>
      </c>
      <c r="O688" s="36">
        <f t="shared" si="277"/>
        <v>0</v>
      </c>
      <c r="P688" s="84">
        <f t="shared" si="278"/>
        <v>-22797.626045551879</v>
      </c>
      <c r="Q688" s="38">
        <f t="shared" si="279"/>
        <v>0</v>
      </c>
      <c r="R688" s="48">
        <f t="shared" si="280"/>
        <v>203.43732070816483</v>
      </c>
      <c r="S688" s="38">
        <f t="shared" si="271"/>
        <v>764.55484855120585</v>
      </c>
      <c r="T688" s="50">
        <f t="shared" si="284"/>
        <v>16450</v>
      </c>
      <c r="U688" s="40">
        <f t="shared" si="285"/>
        <v>19106.051261938017</v>
      </c>
      <c r="V688" s="41">
        <f t="shared" si="286"/>
        <v>0.16146208279258456</v>
      </c>
      <c r="W688" s="39">
        <f t="shared" si="287"/>
        <v>2656.051261938017</v>
      </c>
      <c r="X688" s="50">
        <f t="shared" si="281"/>
        <v>6348.0947955681486</v>
      </c>
      <c r="Y688" s="41">
        <f t="shared" si="288"/>
        <v>0.54736450197605868</v>
      </c>
      <c r="Z688" s="52"/>
      <c r="AA688" s="50">
        <f t="shared" si="268"/>
        <v>22798.094795568155</v>
      </c>
      <c r="AB688" s="39">
        <f t="shared" si="269"/>
        <v>26033.091828613709</v>
      </c>
      <c r="AC688" s="39">
        <f t="shared" si="289"/>
        <v>3234.9970330455544</v>
      </c>
      <c r="AD688" s="41">
        <f t="shared" si="290"/>
        <v>0.14189769198057833</v>
      </c>
      <c r="AF688" s="46">
        <f t="shared" si="272"/>
        <v>0</v>
      </c>
      <c r="AG688" s="46">
        <f t="shared" si="291"/>
        <v>0</v>
      </c>
      <c r="AH688" s="54">
        <f t="shared" si="273"/>
        <v>4599</v>
      </c>
      <c r="AI688" s="55">
        <f t="shared" si="282"/>
        <v>0.26837416481069043</v>
      </c>
      <c r="AJ688" s="55">
        <f t="shared" si="292"/>
        <v>0</v>
      </c>
      <c r="AK688" s="55">
        <f t="shared" si="293"/>
        <v>0</v>
      </c>
    </row>
    <row r="689" spans="2:37" s="53" customFormat="1" ht="17.25" customHeight="1" x14ac:dyDescent="0.25">
      <c r="B689" s="91" t="str">
        <f t="shared" si="274"/>
        <v/>
      </c>
      <c r="C689" s="81">
        <f>IF(Sheet3!A660="","",Sheet3!A660)</f>
        <v>42233</v>
      </c>
      <c r="D689" s="82">
        <f>IF(C689="","",Sheet3!E660)</f>
        <v>33.380001</v>
      </c>
      <c r="E689" s="56">
        <f>_xlfn.XLOOKUP(WEEKNUM(C689)&amp;YEAR(C689),Sheet4!C:C,Sheet4!B:B,0)</f>
        <v>0</v>
      </c>
      <c r="F689" s="46">
        <f>IF(int=Weekly,-$D$5,IF(int=Bi_Weekly,-$D$5,IF(int=Monthly,0,IF(int=Quarterly,0,IF(int=Yearly,0,IF(int=None,0,0))))))</f>
        <v>0</v>
      </c>
      <c r="G689" s="46"/>
      <c r="H689" s="46">
        <f t="shared" si="283"/>
        <v>-16450</v>
      </c>
      <c r="I689" s="47"/>
      <c r="J689" s="38">
        <f t="shared" si="270"/>
        <v>0</v>
      </c>
      <c r="K689" s="48"/>
      <c r="L689" s="48">
        <f t="shared" si="275"/>
        <v>561.11752784304099</v>
      </c>
      <c r="M689" s="48"/>
      <c r="N689" s="38">
        <f t="shared" si="276"/>
        <v>0</v>
      </c>
      <c r="O689" s="36">
        <f t="shared" si="277"/>
        <v>0</v>
      </c>
      <c r="P689" s="84">
        <f t="shared" si="278"/>
        <v>-22797.626045551879</v>
      </c>
      <c r="Q689" s="38">
        <f t="shared" si="279"/>
        <v>0</v>
      </c>
      <c r="R689" s="48">
        <f t="shared" si="280"/>
        <v>203.43732070816483</v>
      </c>
      <c r="S689" s="38">
        <f t="shared" si="271"/>
        <v>764.55484855120585</v>
      </c>
      <c r="T689" s="50">
        <f t="shared" si="284"/>
        <v>16450</v>
      </c>
      <c r="U689" s="40">
        <f t="shared" si="285"/>
        <v>18730.103640518235</v>
      </c>
      <c r="V689" s="41">
        <f t="shared" si="286"/>
        <v>0.13860812404366163</v>
      </c>
      <c r="W689" s="39">
        <f t="shared" si="287"/>
        <v>2280.1036405182349</v>
      </c>
      <c r="X689" s="50">
        <f t="shared" si="281"/>
        <v>6348.0947955681486</v>
      </c>
      <c r="Y689" s="41">
        <f t="shared" si="288"/>
        <v>0.52451054322713575</v>
      </c>
      <c r="Z689" s="52"/>
      <c r="AA689" s="50">
        <f t="shared" ref="AA689:AA752" si="294">(D689*Q689)+(D689*J689)+AA688</f>
        <v>22798.094795568155</v>
      </c>
      <c r="AB689" s="39">
        <f t="shared" ref="AB689:AB752" si="295">(L689*D689)+(D689*R689)</f>
        <v>25520.841609194096</v>
      </c>
      <c r="AC689" s="39">
        <f t="shared" si="289"/>
        <v>2722.7468136259413</v>
      </c>
      <c r="AD689" s="41">
        <f t="shared" si="290"/>
        <v>0.1194286995488425</v>
      </c>
      <c r="AF689" s="46">
        <f t="shared" si="272"/>
        <v>0</v>
      </c>
      <c r="AG689" s="46">
        <f t="shared" si="291"/>
        <v>0</v>
      </c>
      <c r="AH689" s="54">
        <f t="shared" si="273"/>
        <v>4606</v>
      </c>
      <c r="AI689" s="55">
        <f t="shared" si="282"/>
        <v>0.267260579064588</v>
      </c>
      <c r="AJ689" s="55">
        <f t="shared" si="292"/>
        <v>0</v>
      </c>
      <c r="AK689" s="55">
        <f t="shared" si="293"/>
        <v>0</v>
      </c>
    </row>
    <row r="690" spans="2:37" s="53" customFormat="1" ht="17.25" customHeight="1" x14ac:dyDescent="0.25">
      <c r="B690" s="91" t="str">
        <f t="shared" si="274"/>
        <v/>
      </c>
      <c r="C690" s="81">
        <f>IF(Sheet3!A661="","",Sheet3!A661)</f>
        <v>42240</v>
      </c>
      <c r="D690" s="82">
        <f>IF(C690="","",Sheet3!E661)</f>
        <v>33.290000999999997</v>
      </c>
      <c r="E690" s="56">
        <f>_xlfn.XLOOKUP(WEEKNUM(C690)&amp;YEAR(C690),Sheet4!C:C,Sheet4!B:B,0)</f>
        <v>0</v>
      </c>
      <c r="F690" s="46">
        <f>IF(int=Weekly,-$D$5,IF(int=Bi_Weekly,0,IF(int=Monthly,0,IF(int=Quarterly,0,IF(int=Yearly,0,IF(int=None,0,0))))))</f>
        <v>0</v>
      </c>
      <c r="G690" s="46"/>
      <c r="H690" s="46">
        <f t="shared" si="283"/>
        <v>-16450</v>
      </c>
      <c r="I690" s="47"/>
      <c r="J690" s="38">
        <f t="shared" si="270"/>
        <v>0</v>
      </c>
      <c r="K690" s="48"/>
      <c r="L690" s="48">
        <f t="shared" si="275"/>
        <v>561.11752784304099</v>
      </c>
      <c r="M690" s="48"/>
      <c r="N690" s="38">
        <f t="shared" si="276"/>
        <v>0</v>
      </c>
      <c r="O690" s="36">
        <f t="shared" si="277"/>
        <v>0</v>
      </c>
      <c r="P690" s="84">
        <f t="shared" si="278"/>
        <v>-22797.626045551879</v>
      </c>
      <c r="Q690" s="38">
        <f t="shared" si="279"/>
        <v>0</v>
      </c>
      <c r="R690" s="48">
        <f t="shared" si="280"/>
        <v>203.43732070816483</v>
      </c>
      <c r="S690" s="38">
        <f t="shared" si="271"/>
        <v>764.55484855120585</v>
      </c>
      <c r="T690" s="50">
        <f t="shared" si="284"/>
        <v>16450</v>
      </c>
      <c r="U690" s="40">
        <f t="shared" si="285"/>
        <v>18679.603063012361</v>
      </c>
      <c r="V690" s="41">
        <f t="shared" si="286"/>
        <v>0.13553818012233187</v>
      </c>
      <c r="W690" s="39">
        <f t="shared" si="287"/>
        <v>2229.6030630123605</v>
      </c>
      <c r="X690" s="50">
        <f t="shared" si="281"/>
        <v>6348.0947955681486</v>
      </c>
      <c r="Y690" s="41">
        <f t="shared" si="288"/>
        <v>0.521440599305806</v>
      </c>
      <c r="Z690" s="52"/>
      <c r="AA690" s="50">
        <f t="shared" si="294"/>
        <v>22798.094795568155</v>
      </c>
      <c r="AB690" s="39">
        <f t="shared" si="295"/>
        <v>25452.031672824487</v>
      </c>
      <c r="AC690" s="39">
        <f t="shared" si="289"/>
        <v>2653.9368772563321</v>
      </c>
      <c r="AD690" s="41">
        <f t="shared" si="290"/>
        <v>0.11641046767523067</v>
      </c>
      <c r="AF690" s="46">
        <f t="shared" si="272"/>
        <v>0</v>
      </c>
      <c r="AG690" s="46">
        <f t="shared" si="291"/>
        <v>0</v>
      </c>
      <c r="AH690" s="54">
        <f t="shared" si="273"/>
        <v>4613</v>
      </c>
      <c r="AI690" s="55">
        <f t="shared" si="282"/>
        <v>0.26614699331848551</v>
      </c>
      <c r="AJ690" s="55">
        <f t="shared" si="292"/>
        <v>0</v>
      </c>
      <c r="AK690" s="55">
        <f t="shared" si="293"/>
        <v>0</v>
      </c>
    </row>
    <row r="691" spans="2:37" s="53" customFormat="1" ht="17.25" customHeight="1" x14ac:dyDescent="0.25">
      <c r="B691" s="91" t="str">
        <f t="shared" si="274"/>
        <v/>
      </c>
      <c r="C691" s="81">
        <f>IF(Sheet3!A662="","",Sheet3!A662)</f>
        <v>42247</v>
      </c>
      <c r="D691" s="82">
        <f>IF(C691="","",Sheet3!E662)</f>
        <v>32.560001</v>
      </c>
      <c r="E691" s="56">
        <f>_xlfn.XLOOKUP(WEEKNUM(C691)&amp;YEAR(C691),Sheet4!C:C,Sheet4!B:B,0)</f>
        <v>0</v>
      </c>
      <c r="F691" s="46">
        <f>IF(int=Weekly,-$D$5,IF(int=Bi_Weekly,-$D$5,IF(int=Monthly,-$D$5,IF(int=Quarterly,0,IF(int=Yearly,0,IF(int=None,0,0))))))</f>
        <v>-100</v>
      </c>
      <c r="G691" s="46"/>
      <c r="H691" s="46">
        <f t="shared" si="283"/>
        <v>-16550</v>
      </c>
      <c r="I691" s="47"/>
      <c r="J691" s="38">
        <f t="shared" si="270"/>
        <v>3.07125297692712</v>
      </c>
      <c r="K691" s="48"/>
      <c r="L691" s="48">
        <f t="shared" si="275"/>
        <v>564.18878081996809</v>
      </c>
      <c r="M691" s="48"/>
      <c r="N691" s="38">
        <f t="shared" si="276"/>
        <v>0</v>
      </c>
      <c r="O691" s="36">
        <f t="shared" si="277"/>
        <v>0</v>
      </c>
      <c r="P691" s="84">
        <f t="shared" si="278"/>
        <v>-22897.626045551879</v>
      </c>
      <c r="Q691" s="38">
        <f t="shared" si="279"/>
        <v>0</v>
      </c>
      <c r="R691" s="48">
        <f t="shared" si="280"/>
        <v>203.43732070816483</v>
      </c>
      <c r="S691" s="38">
        <f t="shared" si="271"/>
        <v>767.62610152813295</v>
      </c>
      <c r="T691" s="50">
        <f t="shared" si="284"/>
        <v>16550</v>
      </c>
      <c r="U691" s="40">
        <f t="shared" si="285"/>
        <v>18369.987267686942</v>
      </c>
      <c r="V691" s="41">
        <f t="shared" si="286"/>
        <v>0.10996901919558555</v>
      </c>
      <c r="W691" s="39">
        <f t="shared" si="287"/>
        <v>1819.9872676869418</v>
      </c>
      <c r="X691" s="50">
        <f t="shared" si="281"/>
        <v>6348.0947955681486</v>
      </c>
      <c r="Y691" s="41">
        <f t="shared" si="288"/>
        <v>0.49353970170725625</v>
      </c>
      <c r="Z691" s="52"/>
      <c r="AA691" s="50">
        <f t="shared" si="294"/>
        <v>22898.094795568155</v>
      </c>
      <c r="AB691" s="39">
        <f t="shared" si="295"/>
        <v>24993.90663338211</v>
      </c>
      <c r="AC691" s="39">
        <f t="shared" si="289"/>
        <v>2095.8118378139552</v>
      </c>
      <c r="AD691" s="41">
        <f t="shared" si="290"/>
        <v>9.1527782399590363E-2</v>
      </c>
      <c r="AF691" s="46">
        <f t="shared" si="272"/>
        <v>-100</v>
      </c>
      <c r="AG691" s="46">
        <f t="shared" si="291"/>
        <v>-100</v>
      </c>
      <c r="AH691" s="54">
        <f t="shared" si="273"/>
        <v>4620</v>
      </c>
      <c r="AI691" s="55">
        <f t="shared" si="282"/>
        <v>0.26503340757238308</v>
      </c>
      <c r="AJ691" s="55">
        <f t="shared" si="292"/>
        <v>-26.503340757238309</v>
      </c>
      <c r="AK691" s="55">
        <f t="shared" si="293"/>
        <v>-26.503340757238309</v>
      </c>
    </row>
    <row r="692" spans="2:37" s="53" customFormat="1" ht="17.25" customHeight="1" x14ac:dyDescent="0.25">
      <c r="B692" s="91" t="str">
        <f t="shared" si="274"/>
        <v/>
      </c>
      <c r="C692" s="81">
        <f>IF(Sheet3!A663="","",Sheet3!A663)</f>
        <v>42254</v>
      </c>
      <c r="D692" s="82">
        <f>IF(C692="","",Sheet3!E663)</f>
        <v>32.720001000000003</v>
      </c>
      <c r="E692" s="56">
        <f>_xlfn.XLOOKUP(WEEKNUM(C692)&amp;YEAR(C692),Sheet4!C:C,Sheet4!B:B,0)</f>
        <v>0</v>
      </c>
      <c r="F692" s="46">
        <f>IF(int=Weekly,-$D$5,IF(int=Bi_Weekly,0,IF(int=Monthly,0,IF(int=Quarterly,0,IF(int=Yearly,0,IF(int=None,0,0))))))</f>
        <v>0</v>
      </c>
      <c r="G692" s="46"/>
      <c r="H692" s="46">
        <f t="shared" si="283"/>
        <v>-16550</v>
      </c>
      <c r="I692" s="47"/>
      <c r="J692" s="38">
        <f t="shared" si="270"/>
        <v>0</v>
      </c>
      <c r="K692" s="48"/>
      <c r="L692" s="48">
        <f t="shared" si="275"/>
        <v>564.18878081996809</v>
      </c>
      <c r="M692" s="48"/>
      <c r="N692" s="38">
        <f t="shared" si="276"/>
        <v>0</v>
      </c>
      <c r="O692" s="36">
        <f t="shared" si="277"/>
        <v>0</v>
      </c>
      <c r="P692" s="84">
        <f t="shared" si="278"/>
        <v>-22897.626045551879</v>
      </c>
      <c r="Q692" s="38">
        <f t="shared" si="279"/>
        <v>0</v>
      </c>
      <c r="R692" s="48">
        <f t="shared" si="280"/>
        <v>203.43732070816483</v>
      </c>
      <c r="S692" s="38">
        <f t="shared" si="271"/>
        <v>767.62610152813295</v>
      </c>
      <c r="T692" s="50">
        <f t="shared" si="284"/>
        <v>16550</v>
      </c>
      <c r="U692" s="40">
        <f t="shared" si="285"/>
        <v>18460.257472618137</v>
      </c>
      <c r="V692" s="41">
        <f t="shared" si="286"/>
        <v>0.11542341224278774</v>
      </c>
      <c r="W692" s="39">
        <f t="shared" si="287"/>
        <v>1910.2574726181374</v>
      </c>
      <c r="X692" s="50">
        <f t="shared" si="281"/>
        <v>6348.0947955681486</v>
      </c>
      <c r="Y692" s="41">
        <f t="shared" si="288"/>
        <v>0.49899409475445822</v>
      </c>
      <c r="Z692" s="52"/>
      <c r="AA692" s="50">
        <f t="shared" si="294"/>
        <v>22898.094795568155</v>
      </c>
      <c r="AB692" s="39">
        <f t="shared" si="295"/>
        <v>25116.726809626613</v>
      </c>
      <c r="AC692" s="39">
        <f t="shared" si="289"/>
        <v>2218.6320140584576</v>
      </c>
      <c r="AD692" s="41">
        <f t="shared" si="290"/>
        <v>9.6891555121339845E-2</v>
      </c>
      <c r="AF692" s="46">
        <f t="shared" si="272"/>
        <v>0</v>
      </c>
      <c r="AG692" s="46">
        <f t="shared" si="291"/>
        <v>0</v>
      </c>
      <c r="AH692" s="54">
        <f t="shared" si="273"/>
        <v>4627</v>
      </c>
      <c r="AI692" s="55">
        <f t="shared" si="282"/>
        <v>0.2639198218262806</v>
      </c>
      <c r="AJ692" s="55">
        <f t="shared" si="292"/>
        <v>0</v>
      </c>
      <c r="AK692" s="55">
        <f t="shared" si="293"/>
        <v>0</v>
      </c>
    </row>
    <row r="693" spans="2:37" s="53" customFormat="1" ht="17.25" customHeight="1" x14ac:dyDescent="0.25">
      <c r="B693" s="91" t="str">
        <f t="shared" si="274"/>
        <v/>
      </c>
      <c r="C693" s="81">
        <f>IF(Sheet3!A664="","",Sheet3!A664)</f>
        <v>42261</v>
      </c>
      <c r="D693" s="82">
        <f>IF(C693="","",Sheet3!E664)</f>
        <v>32.549999</v>
      </c>
      <c r="E693" s="56">
        <f>_xlfn.XLOOKUP(WEEKNUM(C693)&amp;YEAR(C693),Sheet4!C:C,Sheet4!B:B,0)</f>
        <v>0</v>
      </c>
      <c r="F693" s="46">
        <f>IF(int=Weekly,-$D$5,IF(int=Bi_Weekly,-$D$5,IF(int=Monthly,0,IF(int=Quarterly,0,IF(int=Yearly,0,IF(int=None,0,0))))))</f>
        <v>0</v>
      </c>
      <c r="G693" s="46"/>
      <c r="H693" s="46">
        <f t="shared" si="283"/>
        <v>-16550</v>
      </c>
      <c r="I693" s="47"/>
      <c r="J693" s="38">
        <f t="shared" si="270"/>
        <v>0</v>
      </c>
      <c r="K693" s="48"/>
      <c r="L693" s="48">
        <f t="shared" si="275"/>
        <v>564.18878081996809</v>
      </c>
      <c r="M693" s="48"/>
      <c r="N693" s="38">
        <f t="shared" si="276"/>
        <v>0</v>
      </c>
      <c r="O693" s="36">
        <f t="shared" si="277"/>
        <v>0</v>
      </c>
      <c r="P693" s="84">
        <f t="shared" si="278"/>
        <v>-22897.626045551879</v>
      </c>
      <c r="Q693" s="38">
        <f t="shared" si="279"/>
        <v>0</v>
      </c>
      <c r="R693" s="48">
        <f t="shared" si="280"/>
        <v>203.43732070816483</v>
      </c>
      <c r="S693" s="38">
        <f t="shared" si="271"/>
        <v>767.62610152813295</v>
      </c>
      <c r="T693" s="50">
        <f t="shared" si="284"/>
        <v>16550</v>
      </c>
      <c r="U693" s="40">
        <f t="shared" si="285"/>
        <v>18364.344251501181</v>
      </c>
      <c r="V693" s="41">
        <f t="shared" si="286"/>
        <v>0.10962805145022236</v>
      </c>
      <c r="W693" s="39">
        <f t="shared" si="287"/>
        <v>1814.3442515011811</v>
      </c>
      <c r="X693" s="50">
        <f t="shared" si="281"/>
        <v>6348.0947955681486</v>
      </c>
      <c r="Y693" s="41">
        <f t="shared" si="288"/>
        <v>0.49319873396189307</v>
      </c>
      <c r="Z693" s="52"/>
      <c r="AA693" s="50">
        <f t="shared" si="294"/>
        <v>22898.094795568155</v>
      </c>
      <c r="AB693" s="39">
        <f t="shared" si="295"/>
        <v>24986.228837114628</v>
      </c>
      <c r="AC693" s="39">
        <f t="shared" si="289"/>
        <v>2088.1340415464729</v>
      </c>
      <c r="AD693" s="41">
        <f t="shared" si="290"/>
        <v>9.1192479557322015E-2</v>
      </c>
      <c r="AF693" s="46">
        <f t="shared" si="272"/>
        <v>0</v>
      </c>
      <c r="AG693" s="46">
        <f t="shared" si="291"/>
        <v>0</v>
      </c>
      <c r="AH693" s="54">
        <f t="shared" si="273"/>
        <v>4634</v>
      </c>
      <c r="AI693" s="55">
        <f t="shared" si="282"/>
        <v>0.26280623608017817</v>
      </c>
      <c r="AJ693" s="55">
        <f t="shared" si="292"/>
        <v>0</v>
      </c>
      <c r="AK693" s="55">
        <f t="shared" si="293"/>
        <v>0</v>
      </c>
    </row>
    <row r="694" spans="2:37" s="53" customFormat="1" ht="17.25" customHeight="1" x14ac:dyDescent="0.25">
      <c r="B694" s="91" t="str">
        <f t="shared" si="274"/>
        <v/>
      </c>
      <c r="C694" s="81">
        <f>IF(Sheet3!A665="","",Sheet3!A665)</f>
        <v>42268</v>
      </c>
      <c r="D694" s="82">
        <f>IF(C694="","",Sheet3!E665)</f>
        <v>32.330002</v>
      </c>
      <c r="E694" s="56">
        <f>_xlfn.XLOOKUP(WEEKNUM(C694)&amp;YEAR(C694),Sheet4!C:C,Sheet4!B:B,0)</f>
        <v>0</v>
      </c>
      <c r="F694" s="46">
        <f>IF(int=Weekly,-$D$5,IF(int=Bi_Weekly,0,IF(int=Monthly,0,IF(int=Quarterly,-$D$5,IF(int=Yearly,0,IF(int=None,0,0))))))</f>
        <v>0</v>
      </c>
      <c r="G694" s="46"/>
      <c r="H694" s="46">
        <f t="shared" si="283"/>
        <v>-16550</v>
      </c>
      <c r="I694" s="47"/>
      <c r="J694" s="38">
        <f t="shared" si="270"/>
        <v>0</v>
      </c>
      <c r="K694" s="48"/>
      <c r="L694" s="48">
        <f t="shared" si="275"/>
        <v>564.18878081996809</v>
      </c>
      <c r="M694" s="48"/>
      <c r="N694" s="38">
        <f t="shared" si="276"/>
        <v>0</v>
      </c>
      <c r="O694" s="36">
        <f t="shared" si="277"/>
        <v>0</v>
      </c>
      <c r="P694" s="84">
        <f t="shared" si="278"/>
        <v>-22897.626045551879</v>
      </c>
      <c r="Q694" s="38">
        <f t="shared" si="279"/>
        <v>0</v>
      </c>
      <c r="R694" s="48">
        <f t="shared" si="280"/>
        <v>203.43732070816483</v>
      </c>
      <c r="S694" s="38">
        <f t="shared" si="271"/>
        <v>767.62610152813295</v>
      </c>
      <c r="T694" s="50">
        <f t="shared" si="284"/>
        <v>16550</v>
      </c>
      <c r="U694" s="40">
        <f t="shared" si="285"/>
        <v>18240.224412287131</v>
      </c>
      <c r="V694" s="41">
        <f t="shared" si="286"/>
        <v>0.10212836328018926</v>
      </c>
      <c r="W694" s="39">
        <f t="shared" si="287"/>
        <v>1690.2244122871307</v>
      </c>
      <c r="X694" s="50">
        <f t="shared" si="281"/>
        <v>6348.0947955681486</v>
      </c>
      <c r="Y694" s="41">
        <f t="shared" si="288"/>
        <v>0.48569904579185974</v>
      </c>
      <c r="Z694" s="52"/>
      <c r="AA694" s="50">
        <f t="shared" si="294"/>
        <v>22898.094795568155</v>
      </c>
      <c r="AB694" s="39">
        <f t="shared" si="295"/>
        <v>24817.353397656741</v>
      </c>
      <c r="AC694" s="39">
        <f t="shared" si="289"/>
        <v>1919.2586020885865</v>
      </c>
      <c r="AD694" s="41">
        <f t="shared" si="290"/>
        <v>8.381739263565513E-2</v>
      </c>
      <c r="AF694" s="46">
        <f t="shared" si="272"/>
        <v>0</v>
      </c>
      <c r="AG694" s="46">
        <f t="shared" si="291"/>
        <v>0</v>
      </c>
      <c r="AH694" s="54">
        <f t="shared" si="273"/>
        <v>4641</v>
      </c>
      <c r="AI694" s="55">
        <f t="shared" si="282"/>
        <v>0.26169265033407574</v>
      </c>
      <c r="AJ694" s="55">
        <f t="shared" si="292"/>
        <v>0</v>
      </c>
      <c r="AK694" s="55">
        <f t="shared" si="293"/>
        <v>0</v>
      </c>
    </row>
    <row r="695" spans="2:37" s="53" customFormat="1" ht="17.25" customHeight="1" x14ac:dyDescent="0.25">
      <c r="B695" s="91" t="str">
        <f t="shared" si="274"/>
        <v/>
      </c>
      <c r="C695" s="81">
        <f>IF(Sheet3!A666="","",Sheet3!A666)</f>
        <v>42275</v>
      </c>
      <c r="D695" s="82">
        <f>IF(C695="","",Sheet3!E666)</f>
        <v>32.639999000000003</v>
      </c>
      <c r="E695" s="56">
        <f>_xlfn.XLOOKUP(WEEKNUM(C695)&amp;YEAR(C695),Sheet4!C:C,Sheet4!B:B,0)</f>
        <v>0</v>
      </c>
      <c r="F695" s="46">
        <f>IF(int=Weekly,-$D$5,IF(int=Bi_Weekly,-$D$5,IF(int=Monthly,-$D$5,IF(int=Quarterly,0,IF(int=Yearly,0,IF(int=None,0,0))))))</f>
        <v>-100</v>
      </c>
      <c r="G695" s="46"/>
      <c r="H695" s="46">
        <f t="shared" si="283"/>
        <v>-16650</v>
      </c>
      <c r="I695" s="47"/>
      <c r="J695" s="38">
        <f t="shared" si="270"/>
        <v>3.06372558406022</v>
      </c>
      <c r="K695" s="48"/>
      <c r="L695" s="48">
        <f t="shared" si="275"/>
        <v>567.25250640402828</v>
      </c>
      <c r="M695" s="48"/>
      <c r="N695" s="38">
        <f t="shared" si="276"/>
        <v>0</v>
      </c>
      <c r="O695" s="36">
        <f t="shared" si="277"/>
        <v>0</v>
      </c>
      <c r="P695" s="84">
        <f t="shared" si="278"/>
        <v>-22997.626045551879</v>
      </c>
      <c r="Q695" s="38">
        <f t="shared" si="279"/>
        <v>0</v>
      </c>
      <c r="R695" s="48">
        <f t="shared" si="280"/>
        <v>203.43732070816483</v>
      </c>
      <c r="S695" s="38">
        <f t="shared" si="271"/>
        <v>770.68982711219314</v>
      </c>
      <c r="T695" s="50">
        <f t="shared" si="284"/>
        <v>16650</v>
      </c>
      <c r="U695" s="40">
        <f t="shared" si="285"/>
        <v>18515.121241774978</v>
      </c>
      <c r="V695" s="41">
        <f t="shared" si="286"/>
        <v>0.11201929380029885</v>
      </c>
      <c r="W695" s="39">
        <f t="shared" si="287"/>
        <v>1865.1212417749775</v>
      </c>
      <c r="X695" s="50">
        <f t="shared" si="281"/>
        <v>6348.0947955681486</v>
      </c>
      <c r="Y695" s="41">
        <f t="shared" si="288"/>
        <v>0.49328624848907654</v>
      </c>
      <c r="Z695" s="52"/>
      <c r="AA695" s="50">
        <f t="shared" si="294"/>
        <v>22998.094795568155</v>
      </c>
      <c r="AB695" s="39">
        <f t="shared" si="295"/>
        <v>25155.315186252155</v>
      </c>
      <c r="AC695" s="39">
        <f t="shared" si="289"/>
        <v>2157.2203906840004</v>
      </c>
      <c r="AD695" s="41">
        <f t="shared" si="290"/>
        <v>9.3799960816741468E-2</v>
      </c>
      <c r="AF695" s="46">
        <f t="shared" si="272"/>
        <v>-100</v>
      </c>
      <c r="AG695" s="46">
        <f t="shared" si="291"/>
        <v>-100</v>
      </c>
      <c r="AH695" s="54">
        <f t="shared" si="273"/>
        <v>4648</v>
      </c>
      <c r="AI695" s="55">
        <f t="shared" si="282"/>
        <v>0.26057906458797325</v>
      </c>
      <c r="AJ695" s="55">
        <f t="shared" si="292"/>
        <v>-26.057906458797326</v>
      </c>
      <c r="AK695" s="55">
        <f t="shared" si="293"/>
        <v>-26.057906458797326</v>
      </c>
    </row>
    <row r="696" spans="2:37" s="53" customFormat="1" ht="17.25" customHeight="1" x14ac:dyDescent="0.25">
      <c r="B696" s="91" t="str">
        <f t="shared" si="274"/>
        <v/>
      </c>
      <c r="C696" s="81">
        <f>IF(Sheet3!A667="","",Sheet3!A667)</f>
        <v>42282</v>
      </c>
      <c r="D696" s="82">
        <f>IF(C696="","",Sheet3!E667)</f>
        <v>33.139999000000003</v>
      </c>
      <c r="E696" s="56">
        <f>_xlfn.XLOOKUP(WEEKNUM(C696)&amp;YEAR(C696),Sheet4!C:C,Sheet4!B:B,0)</f>
        <v>0.47</v>
      </c>
      <c r="F696" s="46">
        <f>IF(int=Weekly,-$D$5,IF(int=Bi_Weekly,0,IF(int=Monthly,0,IF(int=Quarterly,0,IF(int=Yearly,0,IF(int=None,0,0))))))</f>
        <v>0</v>
      </c>
      <c r="G696" s="46"/>
      <c r="H696" s="46">
        <f t="shared" si="283"/>
        <v>-16650</v>
      </c>
      <c r="I696" s="47"/>
      <c r="J696" s="38">
        <f t="shared" si="270"/>
        <v>0</v>
      </c>
      <c r="K696" s="48"/>
      <c r="L696" s="48">
        <f t="shared" si="275"/>
        <v>567.25250640402828</v>
      </c>
      <c r="M696" s="48"/>
      <c r="N696" s="38">
        <f t="shared" si="276"/>
        <v>266.60867800989325</v>
      </c>
      <c r="O696" s="36">
        <f t="shared" si="277"/>
        <v>-266.60867800989325</v>
      </c>
      <c r="P696" s="84">
        <f t="shared" si="278"/>
        <v>-23264.234723561771</v>
      </c>
      <c r="Q696" s="38">
        <f t="shared" si="279"/>
        <v>8.0449211241645848</v>
      </c>
      <c r="R696" s="48">
        <f t="shared" si="280"/>
        <v>211.48224183232941</v>
      </c>
      <c r="S696" s="38">
        <f t="shared" si="271"/>
        <v>778.73474823635775</v>
      </c>
      <c r="T696" s="50">
        <f t="shared" si="284"/>
        <v>16650</v>
      </c>
      <c r="U696" s="40">
        <f t="shared" si="285"/>
        <v>18798.747494976993</v>
      </c>
      <c r="V696" s="41">
        <f t="shared" si="286"/>
        <v>0.1290539036022218</v>
      </c>
      <c r="W696" s="39">
        <f t="shared" si="287"/>
        <v>2148.747494976993</v>
      </c>
      <c r="X696" s="50">
        <f t="shared" si="281"/>
        <v>6614.7034735780417</v>
      </c>
      <c r="Y696" s="41">
        <f t="shared" si="288"/>
        <v>0.52633339150480696</v>
      </c>
      <c r="Z696" s="52"/>
      <c r="AA696" s="50">
        <f t="shared" si="294"/>
        <v>23264.703473578047</v>
      </c>
      <c r="AB696" s="39">
        <f t="shared" si="295"/>
        <v>25807.26877781815</v>
      </c>
      <c r="AC696" s="39">
        <f t="shared" si="289"/>
        <v>2542.5653042401027</v>
      </c>
      <c r="AD696" s="41">
        <f t="shared" si="290"/>
        <v>0.10928853261025728</v>
      </c>
      <c r="AF696" s="46">
        <f t="shared" si="272"/>
        <v>266.60867800989325</v>
      </c>
      <c r="AG696" s="46">
        <f t="shared" si="291"/>
        <v>0</v>
      </c>
      <c r="AH696" s="54">
        <f t="shared" si="273"/>
        <v>4655</v>
      </c>
      <c r="AI696" s="55">
        <f t="shared" si="282"/>
        <v>0.25946547884187082</v>
      </c>
      <c r="AJ696" s="55">
        <f t="shared" si="292"/>
        <v>69.17574830323511</v>
      </c>
      <c r="AK696" s="55">
        <f t="shared" si="293"/>
        <v>0</v>
      </c>
    </row>
    <row r="697" spans="2:37" s="53" customFormat="1" ht="17.25" customHeight="1" x14ac:dyDescent="0.25">
      <c r="B697" s="91" t="str">
        <f t="shared" si="274"/>
        <v/>
      </c>
      <c r="C697" s="81">
        <f>IF(Sheet3!A668="","",Sheet3!A668)</f>
        <v>42289</v>
      </c>
      <c r="D697" s="82">
        <f>IF(C697="","",Sheet3!E668)</f>
        <v>33.830002</v>
      </c>
      <c r="E697" s="56">
        <f>_xlfn.XLOOKUP(WEEKNUM(C697)&amp;YEAR(C697),Sheet4!C:C,Sheet4!B:B,0)</f>
        <v>0</v>
      </c>
      <c r="F697" s="46">
        <f>IF(int=Weekly,-$D$5,IF(int=Bi_Weekly,-$D$5,IF(int=Monthly,0,IF(int=Quarterly,0,IF(int=Yearly,0,IF(int=None,0,0))))))</f>
        <v>0</v>
      </c>
      <c r="G697" s="46"/>
      <c r="H697" s="46">
        <f t="shared" si="283"/>
        <v>-16650</v>
      </c>
      <c r="I697" s="47"/>
      <c r="J697" s="38">
        <f t="shared" si="270"/>
        <v>0</v>
      </c>
      <c r="K697" s="48"/>
      <c r="L697" s="48">
        <f t="shared" si="275"/>
        <v>567.25250640402828</v>
      </c>
      <c r="M697" s="48"/>
      <c r="N697" s="38">
        <f t="shared" si="276"/>
        <v>0</v>
      </c>
      <c r="O697" s="36">
        <f t="shared" si="277"/>
        <v>0</v>
      </c>
      <c r="P697" s="84">
        <f t="shared" si="278"/>
        <v>-23264.234723561771</v>
      </c>
      <c r="Q697" s="38">
        <f t="shared" si="279"/>
        <v>0</v>
      </c>
      <c r="R697" s="48">
        <f t="shared" si="280"/>
        <v>211.48224183232941</v>
      </c>
      <c r="S697" s="38">
        <f t="shared" si="271"/>
        <v>778.73474823635775</v>
      </c>
      <c r="T697" s="50">
        <f t="shared" si="284"/>
        <v>16650</v>
      </c>
      <c r="U697" s="40">
        <f t="shared" si="285"/>
        <v>19190.153426153291</v>
      </c>
      <c r="V697" s="41">
        <f t="shared" si="286"/>
        <v>0.15256176733653404</v>
      </c>
      <c r="W697" s="39">
        <f t="shared" si="287"/>
        <v>2540.1534261532906</v>
      </c>
      <c r="X697" s="50">
        <f t="shared" si="281"/>
        <v>6614.7034735780417</v>
      </c>
      <c r="Y697" s="41">
        <f t="shared" si="288"/>
        <v>0.5498412552391192</v>
      </c>
      <c r="Z697" s="52"/>
      <c r="AA697" s="50">
        <f t="shared" si="294"/>
        <v>23264.703473578047</v>
      </c>
      <c r="AB697" s="39">
        <f t="shared" si="295"/>
        <v>26344.598090305477</v>
      </c>
      <c r="AC697" s="39">
        <f t="shared" si="289"/>
        <v>3079.8946167274298</v>
      </c>
      <c r="AD697" s="41">
        <f t="shared" si="290"/>
        <v>0.13238486448904441</v>
      </c>
      <c r="AF697" s="46">
        <f t="shared" si="272"/>
        <v>0</v>
      </c>
      <c r="AG697" s="46">
        <f t="shared" si="291"/>
        <v>0</v>
      </c>
      <c r="AH697" s="54">
        <f t="shared" si="273"/>
        <v>4662</v>
      </c>
      <c r="AI697" s="55">
        <f t="shared" si="282"/>
        <v>0.25835189309576839</v>
      </c>
      <c r="AJ697" s="55">
        <f t="shared" si="292"/>
        <v>0</v>
      </c>
      <c r="AK697" s="55">
        <f t="shared" si="293"/>
        <v>0</v>
      </c>
    </row>
    <row r="698" spans="2:37" s="53" customFormat="1" ht="17.25" customHeight="1" x14ac:dyDescent="0.25">
      <c r="B698" s="91" t="str">
        <f t="shared" si="274"/>
        <v/>
      </c>
      <c r="C698" s="81">
        <f>IF(Sheet3!A669="","",Sheet3!A669)</f>
        <v>42296</v>
      </c>
      <c r="D698" s="82">
        <f>IF(C698="","",Sheet3!E669)</f>
        <v>33.740001999999997</v>
      </c>
      <c r="E698" s="56">
        <f>_xlfn.XLOOKUP(WEEKNUM(C698)&amp;YEAR(C698),Sheet4!C:C,Sheet4!B:B,0)</f>
        <v>0</v>
      </c>
      <c r="F698" s="46">
        <f>IF(int=Weekly,-$D$5,IF(int=Bi_Weekly,0,IF(int=Monthly,0,IF(int=Quarterly,0,IF(int=Yearly,0,IF(int=None,0,0))))))</f>
        <v>0</v>
      </c>
      <c r="G698" s="46"/>
      <c r="H698" s="46">
        <f t="shared" si="283"/>
        <v>-16650</v>
      </c>
      <c r="I698" s="47"/>
      <c r="J698" s="38">
        <f t="shared" si="270"/>
        <v>0</v>
      </c>
      <c r="K698" s="48"/>
      <c r="L698" s="48">
        <f t="shared" si="275"/>
        <v>567.25250640402828</v>
      </c>
      <c r="M698" s="48"/>
      <c r="N698" s="38">
        <f t="shared" si="276"/>
        <v>0</v>
      </c>
      <c r="O698" s="36">
        <f t="shared" si="277"/>
        <v>0</v>
      </c>
      <c r="P698" s="84">
        <f t="shared" si="278"/>
        <v>-23264.234723561771</v>
      </c>
      <c r="Q698" s="38">
        <f t="shared" si="279"/>
        <v>0</v>
      </c>
      <c r="R698" s="48">
        <f t="shared" si="280"/>
        <v>211.48224183232941</v>
      </c>
      <c r="S698" s="38">
        <f t="shared" si="271"/>
        <v>778.73474823635775</v>
      </c>
      <c r="T698" s="50">
        <f t="shared" si="284"/>
        <v>16650</v>
      </c>
      <c r="U698" s="40">
        <f t="shared" si="285"/>
        <v>19139.100700576924</v>
      </c>
      <c r="V698" s="41">
        <f t="shared" si="286"/>
        <v>0.14949553757218759</v>
      </c>
      <c r="W698" s="39">
        <f t="shared" si="287"/>
        <v>2489.1007005769243</v>
      </c>
      <c r="X698" s="50">
        <f t="shared" si="281"/>
        <v>6614.7034735780417</v>
      </c>
      <c r="Y698" s="41">
        <f t="shared" si="288"/>
        <v>0.54677502547477275</v>
      </c>
      <c r="Z698" s="52"/>
      <c r="AA698" s="50">
        <f t="shared" si="294"/>
        <v>23264.703473578047</v>
      </c>
      <c r="AB698" s="39">
        <f t="shared" si="295"/>
        <v>26274.511962964199</v>
      </c>
      <c r="AC698" s="39">
        <f t="shared" si="289"/>
        <v>3009.8084893861524</v>
      </c>
      <c r="AD698" s="41">
        <f t="shared" si="290"/>
        <v>0.12937231255942816</v>
      </c>
      <c r="AF698" s="46">
        <f t="shared" si="272"/>
        <v>0</v>
      </c>
      <c r="AG698" s="46">
        <f t="shared" si="291"/>
        <v>0</v>
      </c>
      <c r="AH698" s="54">
        <f t="shared" si="273"/>
        <v>4669</v>
      </c>
      <c r="AI698" s="55">
        <f t="shared" si="282"/>
        <v>0.25723830734966591</v>
      </c>
      <c r="AJ698" s="55">
        <f t="shared" si="292"/>
        <v>0</v>
      </c>
      <c r="AK698" s="55">
        <f t="shared" si="293"/>
        <v>0</v>
      </c>
    </row>
    <row r="699" spans="2:37" s="53" customFormat="1" ht="17.25" customHeight="1" x14ac:dyDescent="0.25">
      <c r="B699" s="91" t="str">
        <f t="shared" si="274"/>
        <v/>
      </c>
      <c r="C699" s="81">
        <f>IF(Sheet3!A670="","",Sheet3!A670)</f>
        <v>42303</v>
      </c>
      <c r="D699" s="82">
        <f>IF(C699="","",Sheet3!E670)</f>
        <v>33.509998000000003</v>
      </c>
      <c r="E699" s="56">
        <f>_xlfn.XLOOKUP(WEEKNUM(C699)&amp;YEAR(C699),Sheet4!C:C,Sheet4!B:B,0)</f>
        <v>0</v>
      </c>
      <c r="F699" s="46">
        <f>IF(int=Weekly,-$D$5,IF(int=Bi_Weekly,-$D$5,IF(int=Monthly,-$D$5,IF(int=Quarterly,0,IF(int=Yearly,0,IF(int=None,0,0))))))</f>
        <v>-100</v>
      </c>
      <c r="G699" s="46"/>
      <c r="H699" s="46">
        <f t="shared" si="283"/>
        <v>-16750</v>
      </c>
      <c r="I699" s="47"/>
      <c r="J699" s="38">
        <f t="shared" si="270"/>
        <v>2.984184003830737</v>
      </c>
      <c r="K699" s="48"/>
      <c r="L699" s="48">
        <f t="shared" si="275"/>
        <v>570.23669040785899</v>
      </c>
      <c r="M699" s="48"/>
      <c r="N699" s="38">
        <f t="shared" si="276"/>
        <v>0</v>
      </c>
      <c r="O699" s="36">
        <f t="shared" si="277"/>
        <v>0</v>
      </c>
      <c r="P699" s="84">
        <f t="shared" si="278"/>
        <v>-23364.234723561771</v>
      </c>
      <c r="Q699" s="38">
        <f t="shared" si="279"/>
        <v>0</v>
      </c>
      <c r="R699" s="48">
        <f t="shared" si="280"/>
        <v>211.48224183232941</v>
      </c>
      <c r="S699" s="38">
        <f t="shared" si="271"/>
        <v>781.71893224018845</v>
      </c>
      <c r="T699" s="50">
        <f t="shared" si="284"/>
        <v>16750</v>
      </c>
      <c r="U699" s="40">
        <f t="shared" si="285"/>
        <v>19108.630355093974</v>
      </c>
      <c r="V699" s="41">
        <f t="shared" si="286"/>
        <v>0.14081375254292383</v>
      </c>
      <c r="W699" s="39">
        <f t="shared" si="287"/>
        <v>2358.6303550939738</v>
      </c>
      <c r="X699" s="50">
        <f t="shared" si="281"/>
        <v>6614.7034735780417</v>
      </c>
      <c r="Y699" s="41">
        <f t="shared" si="288"/>
        <v>0.53572142260728461</v>
      </c>
      <c r="Z699" s="52"/>
      <c r="AA699" s="50">
        <f t="shared" si="294"/>
        <v>23364.703473578047</v>
      </c>
      <c r="AB699" s="39">
        <f t="shared" si="295"/>
        <v>26195.399855930849</v>
      </c>
      <c r="AC699" s="39">
        <f t="shared" si="289"/>
        <v>2830.6963823528022</v>
      </c>
      <c r="AD699" s="41">
        <f t="shared" si="290"/>
        <v>0.12115267739451063</v>
      </c>
      <c r="AF699" s="46">
        <f t="shared" si="272"/>
        <v>-100</v>
      </c>
      <c r="AG699" s="46">
        <f t="shared" si="291"/>
        <v>-100</v>
      </c>
      <c r="AH699" s="54">
        <f t="shared" si="273"/>
        <v>4676</v>
      </c>
      <c r="AI699" s="55">
        <f t="shared" si="282"/>
        <v>0.25612472160356348</v>
      </c>
      <c r="AJ699" s="55">
        <f t="shared" si="292"/>
        <v>-25.612472160356347</v>
      </c>
      <c r="AK699" s="55">
        <f t="shared" si="293"/>
        <v>-25.612472160356347</v>
      </c>
    </row>
    <row r="700" spans="2:37" s="53" customFormat="1" ht="17.25" customHeight="1" x14ac:dyDescent="0.25">
      <c r="B700" s="91" t="str">
        <f t="shared" si="274"/>
        <v/>
      </c>
      <c r="C700" s="81">
        <f>IF(Sheet3!A671="","",Sheet3!A671)</f>
        <v>42310</v>
      </c>
      <c r="D700" s="82">
        <f>IF(C700="","",Sheet3!E671)</f>
        <v>33.159999999999997</v>
      </c>
      <c r="E700" s="56">
        <f>_xlfn.XLOOKUP(WEEKNUM(C700)&amp;YEAR(C700),Sheet4!C:C,Sheet4!B:B,0)</f>
        <v>0</v>
      </c>
      <c r="F700" s="46">
        <f>IF(int=Weekly,-$D$5,IF(int=Bi_Weekly,0,IF(int=Monthly,0,IF(int=Quarterly,0,IF(int=Yearly,0,IF(int=None,0,0))))))</f>
        <v>0</v>
      </c>
      <c r="G700" s="46"/>
      <c r="H700" s="46">
        <f t="shared" si="283"/>
        <v>-16750</v>
      </c>
      <c r="I700" s="47"/>
      <c r="J700" s="38">
        <f t="shared" si="270"/>
        <v>0</v>
      </c>
      <c r="K700" s="48"/>
      <c r="L700" s="48">
        <f t="shared" si="275"/>
        <v>570.23669040785899</v>
      </c>
      <c r="M700" s="48"/>
      <c r="N700" s="38">
        <f t="shared" si="276"/>
        <v>0</v>
      </c>
      <c r="O700" s="36">
        <f t="shared" si="277"/>
        <v>0</v>
      </c>
      <c r="P700" s="84">
        <f t="shared" si="278"/>
        <v>-23364.234723561771</v>
      </c>
      <c r="Q700" s="38">
        <f t="shared" si="279"/>
        <v>0</v>
      </c>
      <c r="R700" s="48">
        <f t="shared" si="280"/>
        <v>211.48224183232941</v>
      </c>
      <c r="S700" s="38">
        <f t="shared" si="271"/>
        <v>781.71893224018845</v>
      </c>
      <c r="T700" s="50">
        <f t="shared" si="284"/>
        <v>16750</v>
      </c>
      <c r="U700" s="40">
        <f t="shared" si="285"/>
        <v>18909.048653924601</v>
      </c>
      <c r="V700" s="41">
        <f t="shared" si="286"/>
        <v>0.12889842709997623</v>
      </c>
      <c r="W700" s="39">
        <f t="shared" si="287"/>
        <v>2159.0486539246012</v>
      </c>
      <c r="X700" s="50">
        <f t="shared" si="281"/>
        <v>6614.7034735780417</v>
      </c>
      <c r="Y700" s="41">
        <f t="shared" si="288"/>
        <v>0.52380609716433701</v>
      </c>
      <c r="Z700" s="52"/>
      <c r="AA700" s="50">
        <f t="shared" si="294"/>
        <v>23364.703473578047</v>
      </c>
      <c r="AB700" s="39">
        <f t="shared" si="295"/>
        <v>25921.799793084643</v>
      </c>
      <c r="AC700" s="39">
        <f t="shared" si="289"/>
        <v>2557.096319506596</v>
      </c>
      <c r="AD700" s="41">
        <f t="shared" si="290"/>
        <v>0.10944270370896358</v>
      </c>
      <c r="AF700" s="46">
        <f t="shared" si="272"/>
        <v>0</v>
      </c>
      <c r="AG700" s="46">
        <f t="shared" si="291"/>
        <v>0</v>
      </c>
      <c r="AH700" s="54">
        <f t="shared" si="273"/>
        <v>4683</v>
      </c>
      <c r="AI700" s="55">
        <f t="shared" si="282"/>
        <v>0.25501113585746105</v>
      </c>
      <c r="AJ700" s="55">
        <f t="shared" si="292"/>
        <v>0</v>
      </c>
      <c r="AK700" s="55">
        <f t="shared" si="293"/>
        <v>0</v>
      </c>
    </row>
    <row r="701" spans="2:37" s="53" customFormat="1" ht="17.25" customHeight="1" x14ac:dyDescent="0.25">
      <c r="B701" s="91" t="str">
        <f t="shared" si="274"/>
        <v/>
      </c>
      <c r="C701" s="81">
        <f>IF(Sheet3!A672="","",Sheet3!A672)</f>
        <v>42317</v>
      </c>
      <c r="D701" s="82">
        <f>IF(C701="","",Sheet3!E672)</f>
        <v>32.310001</v>
      </c>
      <c r="E701" s="56">
        <f>_xlfn.XLOOKUP(WEEKNUM(C701)&amp;YEAR(C701),Sheet4!C:C,Sheet4!B:B,0)</f>
        <v>0</v>
      </c>
      <c r="F701" s="46">
        <f>IF(int=Weekly,-$D$5,IF(int=Bi_Weekly,-$D$5,IF(int=Monthly,0,IF(int=Quarterly,0,IF(int=Yearly,0,IF(int=None,0,0))))))</f>
        <v>0</v>
      </c>
      <c r="G701" s="46"/>
      <c r="H701" s="46">
        <f t="shared" si="283"/>
        <v>-16750</v>
      </c>
      <c r="I701" s="47"/>
      <c r="J701" s="38">
        <f t="shared" si="270"/>
        <v>0</v>
      </c>
      <c r="K701" s="48"/>
      <c r="L701" s="48">
        <f t="shared" si="275"/>
        <v>570.23669040785899</v>
      </c>
      <c r="M701" s="48"/>
      <c r="N701" s="38">
        <f t="shared" si="276"/>
        <v>0</v>
      </c>
      <c r="O701" s="36">
        <f t="shared" si="277"/>
        <v>0</v>
      </c>
      <c r="P701" s="84">
        <f t="shared" si="278"/>
        <v>-23364.234723561771</v>
      </c>
      <c r="Q701" s="38">
        <f t="shared" si="279"/>
        <v>0</v>
      </c>
      <c r="R701" s="48">
        <f t="shared" si="280"/>
        <v>211.48224183232941</v>
      </c>
      <c r="S701" s="38">
        <f t="shared" si="271"/>
        <v>781.71893224018845</v>
      </c>
      <c r="T701" s="50">
        <f t="shared" si="284"/>
        <v>16750</v>
      </c>
      <c r="U701" s="40">
        <f t="shared" si="285"/>
        <v>18424.348037314616</v>
      </c>
      <c r="V701" s="41">
        <f t="shared" si="286"/>
        <v>9.9961076854603981E-2</v>
      </c>
      <c r="W701" s="39">
        <f t="shared" si="287"/>
        <v>1674.3480373146158</v>
      </c>
      <c r="X701" s="50">
        <f t="shared" si="281"/>
        <v>6614.7034735780417</v>
      </c>
      <c r="Y701" s="41">
        <f t="shared" si="288"/>
        <v>0.49486874691896454</v>
      </c>
      <c r="Z701" s="52"/>
      <c r="AA701" s="50">
        <f t="shared" si="294"/>
        <v>23364.703473578047</v>
      </c>
      <c r="AB701" s="39">
        <f t="shared" si="295"/>
        <v>25257.33948239942</v>
      </c>
      <c r="AC701" s="39">
        <f t="shared" si="289"/>
        <v>1892.6360088213733</v>
      </c>
      <c r="AD701" s="41">
        <f t="shared" si="290"/>
        <v>8.1004067137494751E-2</v>
      </c>
      <c r="AF701" s="46">
        <f t="shared" si="272"/>
        <v>0</v>
      </c>
      <c r="AG701" s="46">
        <f t="shared" si="291"/>
        <v>0</v>
      </c>
      <c r="AH701" s="54">
        <f t="shared" si="273"/>
        <v>4690</v>
      </c>
      <c r="AI701" s="55">
        <f t="shared" si="282"/>
        <v>0.25389755011135856</v>
      </c>
      <c r="AJ701" s="55">
        <f t="shared" si="292"/>
        <v>0</v>
      </c>
      <c r="AK701" s="55">
        <f t="shared" si="293"/>
        <v>0</v>
      </c>
    </row>
    <row r="702" spans="2:37" s="53" customFormat="1" ht="17.25" customHeight="1" x14ac:dyDescent="0.25">
      <c r="B702" s="91" t="str">
        <f t="shared" si="274"/>
        <v/>
      </c>
      <c r="C702" s="81">
        <f>IF(Sheet3!A673="","",Sheet3!A673)</f>
        <v>42324</v>
      </c>
      <c r="D702" s="82">
        <f>IF(C702="","",Sheet3!E673)</f>
        <v>33.659999999999997</v>
      </c>
      <c r="E702" s="56">
        <f>_xlfn.XLOOKUP(WEEKNUM(C702)&amp;YEAR(C702),Sheet4!C:C,Sheet4!B:B,0)</f>
        <v>0</v>
      </c>
      <c r="F702" s="46">
        <f>IF(int=Weekly,-$D$5,IF(int=Bi_Weekly,0,IF(int=Monthly,0,IF(int=Quarterly,0,IF(int=Yearly,0,IF(int=None,0,0))))))</f>
        <v>0</v>
      </c>
      <c r="G702" s="46"/>
      <c r="H702" s="46">
        <f t="shared" si="283"/>
        <v>-16750</v>
      </c>
      <c r="I702" s="47"/>
      <c r="J702" s="38">
        <f t="shared" si="270"/>
        <v>0</v>
      </c>
      <c r="K702" s="48"/>
      <c r="L702" s="48">
        <f t="shared" si="275"/>
        <v>570.23669040785899</v>
      </c>
      <c r="M702" s="48"/>
      <c r="N702" s="38">
        <f t="shared" si="276"/>
        <v>0</v>
      </c>
      <c r="O702" s="36">
        <f t="shared" si="277"/>
        <v>0</v>
      </c>
      <c r="P702" s="84">
        <f t="shared" si="278"/>
        <v>-23364.234723561771</v>
      </c>
      <c r="Q702" s="38">
        <f t="shared" si="279"/>
        <v>0</v>
      </c>
      <c r="R702" s="48">
        <f t="shared" si="280"/>
        <v>211.48224183232941</v>
      </c>
      <c r="S702" s="38">
        <f t="shared" si="271"/>
        <v>781.71893224018845</v>
      </c>
      <c r="T702" s="50">
        <f t="shared" si="284"/>
        <v>16750</v>
      </c>
      <c r="U702" s="40">
        <f t="shared" si="285"/>
        <v>19194.166999128531</v>
      </c>
      <c r="V702" s="41">
        <f t="shared" si="286"/>
        <v>0.14592041785841969</v>
      </c>
      <c r="W702" s="39">
        <f t="shared" si="287"/>
        <v>2444.1669991285307</v>
      </c>
      <c r="X702" s="50">
        <f t="shared" si="281"/>
        <v>6614.7034735780417</v>
      </c>
      <c r="Y702" s="41">
        <f t="shared" si="288"/>
        <v>0.54082808792278025</v>
      </c>
      <c r="Z702" s="52"/>
      <c r="AA702" s="50">
        <f t="shared" si="294"/>
        <v>23364.703473578047</v>
      </c>
      <c r="AB702" s="39">
        <f t="shared" si="295"/>
        <v>26312.659259204738</v>
      </c>
      <c r="AC702" s="39">
        <f t="shared" si="289"/>
        <v>2947.9557856266911</v>
      </c>
      <c r="AD702" s="41">
        <f t="shared" si="290"/>
        <v>0.1261713331376273</v>
      </c>
      <c r="AF702" s="46">
        <f t="shared" si="272"/>
        <v>0</v>
      </c>
      <c r="AG702" s="46">
        <f t="shared" si="291"/>
        <v>0</v>
      </c>
      <c r="AH702" s="54">
        <f t="shared" si="273"/>
        <v>4697</v>
      </c>
      <c r="AI702" s="55">
        <f t="shared" si="282"/>
        <v>0.25278396436525613</v>
      </c>
      <c r="AJ702" s="55">
        <f t="shared" si="292"/>
        <v>0</v>
      </c>
      <c r="AK702" s="55">
        <f t="shared" si="293"/>
        <v>0</v>
      </c>
    </row>
    <row r="703" spans="2:37" s="53" customFormat="1" ht="17.25" customHeight="1" x14ac:dyDescent="0.25">
      <c r="B703" s="91" t="str">
        <f t="shared" si="274"/>
        <v/>
      </c>
      <c r="C703" s="81">
        <f>IF(Sheet3!A674="","",Sheet3!A674)</f>
        <v>42331</v>
      </c>
      <c r="D703" s="82">
        <f>IF(C703="","",Sheet3!E674)</f>
        <v>33.57</v>
      </c>
      <c r="E703" s="56">
        <f>_xlfn.XLOOKUP(WEEKNUM(C703)&amp;YEAR(C703),Sheet4!C:C,Sheet4!B:B,0)</f>
        <v>0</v>
      </c>
      <c r="F703" s="46">
        <f>IF(int=Weekly,-$D$5,IF(int=Bi_Weekly,-$D$5,IF(int=Monthly,-$D$5,IF(int=Quarterly,0,IF(int=Yearly,0,IF(int=None,0,0))))))</f>
        <v>-100</v>
      </c>
      <c r="G703" s="46"/>
      <c r="H703" s="46">
        <f t="shared" si="283"/>
        <v>-16850</v>
      </c>
      <c r="I703" s="47"/>
      <c r="J703" s="38">
        <f t="shared" si="270"/>
        <v>2.9788501638367588</v>
      </c>
      <c r="K703" s="48"/>
      <c r="L703" s="48">
        <f t="shared" si="275"/>
        <v>573.21554057169578</v>
      </c>
      <c r="M703" s="48"/>
      <c r="N703" s="38">
        <f t="shared" si="276"/>
        <v>0</v>
      </c>
      <c r="O703" s="36">
        <f t="shared" si="277"/>
        <v>0</v>
      </c>
      <c r="P703" s="84">
        <f t="shared" si="278"/>
        <v>-23464.234723561771</v>
      </c>
      <c r="Q703" s="38">
        <f t="shared" si="279"/>
        <v>0</v>
      </c>
      <c r="R703" s="48">
        <f t="shared" si="280"/>
        <v>211.48224183232941</v>
      </c>
      <c r="S703" s="38">
        <f t="shared" si="271"/>
        <v>784.69778240402525</v>
      </c>
      <c r="T703" s="50">
        <f t="shared" si="284"/>
        <v>16850</v>
      </c>
      <c r="U703" s="40">
        <f t="shared" si="285"/>
        <v>19242.845696991826</v>
      </c>
      <c r="V703" s="41">
        <f t="shared" si="286"/>
        <v>0.14200864670574642</v>
      </c>
      <c r="W703" s="39">
        <f t="shared" si="287"/>
        <v>2392.8456969918261</v>
      </c>
      <c r="X703" s="50">
        <f t="shared" si="281"/>
        <v>6614.7034735780417</v>
      </c>
      <c r="Y703" s="41">
        <f t="shared" si="288"/>
        <v>0.5345726510723956</v>
      </c>
      <c r="Z703" s="52"/>
      <c r="AA703" s="50">
        <f t="shared" si="294"/>
        <v>23464.703473578047</v>
      </c>
      <c r="AB703" s="39">
        <f t="shared" si="295"/>
        <v>26342.304555303126</v>
      </c>
      <c r="AC703" s="39">
        <f t="shared" si="289"/>
        <v>2877.601081725079</v>
      </c>
      <c r="AD703" s="41">
        <f t="shared" si="290"/>
        <v>0.12263530561830205</v>
      </c>
      <c r="AF703" s="46">
        <f t="shared" si="272"/>
        <v>-100</v>
      </c>
      <c r="AG703" s="46">
        <f t="shared" si="291"/>
        <v>-100</v>
      </c>
      <c r="AH703" s="54">
        <f t="shared" si="273"/>
        <v>4704</v>
      </c>
      <c r="AI703" s="55">
        <f t="shared" si="282"/>
        <v>0.2516703786191537</v>
      </c>
      <c r="AJ703" s="55">
        <f t="shared" si="292"/>
        <v>-25.167037861915372</v>
      </c>
      <c r="AK703" s="55">
        <f t="shared" si="293"/>
        <v>-25.167037861915372</v>
      </c>
    </row>
    <row r="704" spans="2:37" s="53" customFormat="1" ht="17.25" customHeight="1" x14ac:dyDescent="0.25">
      <c r="B704" s="91" t="str">
        <f t="shared" si="274"/>
        <v/>
      </c>
      <c r="C704" s="81">
        <f>IF(Sheet3!A675="","",Sheet3!A675)</f>
        <v>42338</v>
      </c>
      <c r="D704" s="82">
        <f>IF(C704="","",Sheet3!E675)</f>
        <v>34.110000999999997</v>
      </c>
      <c r="E704" s="56">
        <f>_xlfn.XLOOKUP(WEEKNUM(C704)&amp;YEAR(C704),Sheet4!C:C,Sheet4!B:B,0)</f>
        <v>0</v>
      </c>
      <c r="F704" s="46">
        <f>IF(int=Weekly,-$D$5,IF(int=Bi_Weekly,0,IF(int=Monthly,0,IF(int=Quarterly,0,IF(int=Yearly,0,IF(int=None,0,0))))))</f>
        <v>0</v>
      </c>
      <c r="G704" s="46"/>
      <c r="H704" s="46">
        <f t="shared" si="283"/>
        <v>-16850</v>
      </c>
      <c r="I704" s="47"/>
      <c r="J704" s="38">
        <f t="shared" si="270"/>
        <v>0</v>
      </c>
      <c r="K704" s="48"/>
      <c r="L704" s="48">
        <f t="shared" si="275"/>
        <v>573.21554057169578</v>
      </c>
      <c r="M704" s="48"/>
      <c r="N704" s="38">
        <f t="shared" si="276"/>
        <v>0</v>
      </c>
      <c r="O704" s="36">
        <f t="shared" si="277"/>
        <v>0</v>
      </c>
      <c r="P704" s="84">
        <f t="shared" si="278"/>
        <v>-23464.234723561771</v>
      </c>
      <c r="Q704" s="38">
        <f t="shared" si="279"/>
        <v>0</v>
      </c>
      <c r="R704" s="48">
        <f t="shared" si="280"/>
        <v>211.48224183232941</v>
      </c>
      <c r="S704" s="38">
        <f t="shared" si="271"/>
        <v>784.69778240402525</v>
      </c>
      <c r="T704" s="50">
        <f t="shared" si="284"/>
        <v>16850</v>
      </c>
      <c r="U704" s="40">
        <f t="shared" si="285"/>
        <v>19552.382662116081</v>
      </c>
      <c r="V704" s="41">
        <f t="shared" si="286"/>
        <v>0.16037879300392177</v>
      </c>
      <c r="W704" s="39">
        <f t="shared" si="287"/>
        <v>2702.3826621160806</v>
      </c>
      <c r="X704" s="50">
        <f t="shared" si="281"/>
        <v>6614.7034735780417</v>
      </c>
      <c r="Y704" s="41">
        <f t="shared" si="288"/>
        <v>0.55294279737057117</v>
      </c>
      <c r="Z704" s="52"/>
      <c r="AA704" s="50">
        <f t="shared" si="294"/>
        <v>23464.703473578047</v>
      </c>
      <c r="AB704" s="39">
        <f t="shared" si="295"/>
        <v>26766.042142499078</v>
      </c>
      <c r="AC704" s="39">
        <f t="shared" si="289"/>
        <v>3301.3386689210311</v>
      </c>
      <c r="AD704" s="41">
        <f t="shared" si="290"/>
        <v>0.14069381582590368</v>
      </c>
      <c r="AF704" s="46">
        <f t="shared" si="272"/>
        <v>0</v>
      </c>
      <c r="AG704" s="46">
        <f t="shared" si="291"/>
        <v>0</v>
      </c>
      <c r="AH704" s="54">
        <f t="shared" si="273"/>
        <v>4711</v>
      </c>
      <c r="AI704" s="55">
        <f t="shared" si="282"/>
        <v>0.25055679287305122</v>
      </c>
      <c r="AJ704" s="55">
        <f t="shared" si="292"/>
        <v>0</v>
      </c>
      <c r="AK704" s="55">
        <f t="shared" si="293"/>
        <v>0</v>
      </c>
    </row>
    <row r="705" spans="2:37" s="53" customFormat="1" ht="17.25" customHeight="1" x14ac:dyDescent="0.25">
      <c r="B705" s="91" t="str">
        <f t="shared" si="274"/>
        <v/>
      </c>
      <c r="C705" s="81">
        <f>IF(Sheet3!A676="","",Sheet3!A676)</f>
        <v>42345</v>
      </c>
      <c r="D705" s="82">
        <f>IF(C705="","",Sheet3!E676)</f>
        <v>33.169998</v>
      </c>
      <c r="E705" s="56">
        <f>_xlfn.XLOOKUP(WEEKNUM(C705)&amp;YEAR(C705),Sheet4!C:C,Sheet4!B:B,0)</f>
        <v>0</v>
      </c>
      <c r="F705" s="46">
        <f>IF(int=Weekly,-$D$5,IF(int=Bi_Weekly,-$D$5,IF(int=Monthly,0,IF(int=Quarterly,0,IF(int=Yearly,0,IF(int=None,0,0))))))</f>
        <v>0</v>
      </c>
      <c r="G705" s="46"/>
      <c r="H705" s="46">
        <f t="shared" si="283"/>
        <v>-16850</v>
      </c>
      <c r="I705" s="47"/>
      <c r="J705" s="38">
        <f t="shared" si="270"/>
        <v>0</v>
      </c>
      <c r="K705" s="48"/>
      <c r="L705" s="48">
        <f t="shared" si="275"/>
        <v>573.21554057169578</v>
      </c>
      <c r="M705" s="48"/>
      <c r="N705" s="38">
        <f t="shared" si="276"/>
        <v>0</v>
      </c>
      <c r="O705" s="36">
        <f t="shared" si="277"/>
        <v>0</v>
      </c>
      <c r="P705" s="84">
        <f t="shared" si="278"/>
        <v>-23464.234723561771</v>
      </c>
      <c r="Q705" s="38">
        <f t="shared" si="279"/>
        <v>0</v>
      </c>
      <c r="R705" s="48">
        <f t="shared" si="280"/>
        <v>211.48224183232941</v>
      </c>
      <c r="S705" s="38">
        <f t="shared" si="271"/>
        <v>784.69778240402525</v>
      </c>
      <c r="T705" s="50">
        <f t="shared" si="284"/>
        <v>16850</v>
      </c>
      <c r="U705" s="40">
        <f t="shared" si="285"/>
        <v>19013.558334332069</v>
      </c>
      <c r="V705" s="41">
        <f t="shared" si="286"/>
        <v>0.12840108809092388</v>
      </c>
      <c r="W705" s="39">
        <f t="shared" si="287"/>
        <v>2163.5583343320686</v>
      </c>
      <c r="X705" s="50">
        <f t="shared" si="281"/>
        <v>6614.7034735780417</v>
      </c>
      <c r="Y705" s="41">
        <f t="shared" si="288"/>
        <v>0.52096509245757328</v>
      </c>
      <c r="Z705" s="52"/>
      <c r="AA705" s="50">
        <f t="shared" si="294"/>
        <v>23464.703473578047</v>
      </c>
      <c r="AB705" s="39">
        <f t="shared" si="295"/>
        <v>26028.42387294595</v>
      </c>
      <c r="AC705" s="39">
        <f t="shared" si="289"/>
        <v>2563.7203993679032</v>
      </c>
      <c r="AD705" s="41">
        <f t="shared" si="290"/>
        <v>0.10925858927877474</v>
      </c>
      <c r="AF705" s="46">
        <f t="shared" si="272"/>
        <v>0</v>
      </c>
      <c r="AG705" s="46">
        <f t="shared" si="291"/>
        <v>0</v>
      </c>
      <c r="AH705" s="54">
        <f t="shared" si="273"/>
        <v>4718</v>
      </c>
      <c r="AI705" s="55">
        <f t="shared" si="282"/>
        <v>0.24944320712694878</v>
      </c>
      <c r="AJ705" s="55">
        <f t="shared" si="292"/>
        <v>0</v>
      </c>
      <c r="AK705" s="55">
        <f t="shared" si="293"/>
        <v>0</v>
      </c>
    </row>
    <row r="706" spans="2:37" s="53" customFormat="1" ht="17.25" customHeight="1" x14ac:dyDescent="0.25">
      <c r="B706" s="91" t="str">
        <f t="shared" si="274"/>
        <v/>
      </c>
      <c r="C706" s="81">
        <f>IF(Sheet3!A677="","",Sheet3!A677)</f>
        <v>42352</v>
      </c>
      <c r="D706" s="82">
        <f>IF(C706="","",Sheet3!E677)</f>
        <v>33.599997999999999</v>
      </c>
      <c r="E706" s="56">
        <f>_xlfn.XLOOKUP(WEEKNUM(C706)&amp;YEAR(C706),Sheet4!C:C,Sheet4!B:B,0)</f>
        <v>0</v>
      </c>
      <c r="F706" s="46">
        <f>IF(int=Weekly,-$D$5,IF(int=Bi_Weekly,0,IF(int=Monthly,0,IF(int=Quarterly,0,IF(int=Yearly,0,IF(int=None,0,0))))))</f>
        <v>0</v>
      </c>
      <c r="G706" s="46"/>
      <c r="H706" s="46">
        <f t="shared" si="283"/>
        <v>-16850</v>
      </c>
      <c r="I706" s="47"/>
      <c r="J706" s="38">
        <f t="shared" si="270"/>
        <v>0</v>
      </c>
      <c r="K706" s="48"/>
      <c r="L706" s="48">
        <f t="shared" si="275"/>
        <v>573.21554057169578</v>
      </c>
      <c r="M706" s="48"/>
      <c r="N706" s="38">
        <f t="shared" si="276"/>
        <v>0</v>
      </c>
      <c r="O706" s="36">
        <f t="shared" si="277"/>
        <v>0</v>
      </c>
      <c r="P706" s="84">
        <f t="shared" si="278"/>
        <v>-23464.234723561771</v>
      </c>
      <c r="Q706" s="38">
        <f t="shared" si="279"/>
        <v>0</v>
      </c>
      <c r="R706" s="48">
        <f t="shared" si="280"/>
        <v>211.48224183232941</v>
      </c>
      <c r="S706" s="38">
        <f t="shared" si="271"/>
        <v>784.69778240402525</v>
      </c>
      <c r="T706" s="50">
        <f t="shared" si="284"/>
        <v>16850</v>
      </c>
      <c r="U706" s="40">
        <f t="shared" si="285"/>
        <v>19260.041016777897</v>
      </c>
      <c r="V706" s="41">
        <f t="shared" si="286"/>
        <v>0.1430291404615962</v>
      </c>
      <c r="W706" s="39">
        <f t="shared" si="287"/>
        <v>2410.0410167778973</v>
      </c>
      <c r="X706" s="50">
        <f t="shared" si="281"/>
        <v>6614.7034735780417</v>
      </c>
      <c r="Y706" s="41">
        <f t="shared" si="288"/>
        <v>0.5355931448282456</v>
      </c>
      <c r="Z706" s="52"/>
      <c r="AA706" s="50">
        <f t="shared" si="294"/>
        <v>23464.703473578047</v>
      </c>
      <c r="AB706" s="39">
        <f t="shared" si="295"/>
        <v>26365.84391937968</v>
      </c>
      <c r="AC706" s="39">
        <f t="shared" si="289"/>
        <v>2901.1404458016332</v>
      </c>
      <c r="AD706" s="41">
        <f t="shared" si="290"/>
        <v>0.12363848744427575</v>
      </c>
      <c r="AF706" s="46">
        <f t="shared" si="272"/>
        <v>0</v>
      </c>
      <c r="AG706" s="46">
        <f t="shared" si="291"/>
        <v>0</v>
      </c>
      <c r="AH706" s="54">
        <f t="shared" si="273"/>
        <v>4725</v>
      </c>
      <c r="AI706" s="55">
        <f t="shared" si="282"/>
        <v>0.24832962138084633</v>
      </c>
      <c r="AJ706" s="55">
        <f t="shared" si="292"/>
        <v>0</v>
      </c>
      <c r="AK706" s="55">
        <f t="shared" si="293"/>
        <v>0</v>
      </c>
    </row>
    <row r="707" spans="2:37" s="53" customFormat="1" ht="17.25" customHeight="1" x14ac:dyDescent="0.25">
      <c r="B707" s="91" t="str">
        <f t="shared" si="274"/>
        <v/>
      </c>
      <c r="C707" s="81">
        <f>IF(Sheet3!A678="","",Sheet3!A678)</f>
        <v>42359</v>
      </c>
      <c r="D707" s="82">
        <f>IF(C707="","",Sheet3!E678)</f>
        <v>34.659999999999997</v>
      </c>
      <c r="E707" s="56">
        <f>_xlfn.XLOOKUP(WEEKNUM(C707)&amp;YEAR(C707),Sheet4!C:C,Sheet4!B:B,0)</f>
        <v>0</v>
      </c>
      <c r="F707" s="46">
        <f>IF(int=Weekly,-$D$5,IF(int=Bi_Weekly,-$D$5,IF(int=Monthly,-$D$5,IF(int=Quarterly,-$D$5,IF(int=Yearly,-$D$5,IF(int=None,0,0))))))</f>
        <v>-100</v>
      </c>
      <c r="G707" s="46"/>
      <c r="H707" s="46">
        <f t="shared" si="283"/>
        <v>-16950</v>
      </c>
      <c r="I707" s="47"/>
      <c r="J707" s="38">
        <f t="shared" si="270"/>
        <v>2.8851702250432778</v>
      </c>
      <c r="K707" s="48"/>
      <c r="L707" s="48">
        <f t="shared" si="275"/>
        <v>576.10071079673901</v>
      </c>
      <c r="M707" s="48"/>
      <c r="N707" s="38">
        <f t="shared" si="276"/>
        <v>0</v>
      </c>
      <c r="O707" s="36">
        <f t="shared" si="277"/>
        <v>0</v>
      </c>
      <c r="P707" s="84">
        <f t="shared" si="278"/>
        <v>-23564.234723561771</v>
      </c>
      <c r="Q707" s="38">
        <f t="shared" si="279"/>
        <v>0</v>
      </c>
      <c r="R707" s="48">
        <f t="shared" si="280"/>
        <v>211.48224183232941</v>
      </c>
      <c r="S707" s="38">
        <f t="shared" si="271"/>
        <v>787.58295262906836</v>
      </c>
      <c r="T707" s="50">
        <f t="shared" si="284"/>
        <v>16950</v>
      </c>
      <c r="U707" s="40">
        <f t="shared" si="285"/>
        <v>19967.65063621497</v>
      </c>
      <c r="V707" s="41">
        <f t="shared" si="286"/>
        <v>0.17803248591238763</v>
      </c>
      <c r="W707" s="39">
        <f t="shared" si="287"/>
        <v>3017.6506362149703</v>
      </c>
      <c r="X707" s="50">
        <f t="shared" si="281"/>
        <v>6614.7034735780417</v>
      </c>
      <c r="Y707" s="41">
        <f t="shared" si="288"/>
        <v>0.56828047845386509</v>
      </c>
      <c r="Z707" s="52"/>
      <c r="AA707" s="50">
        <f t="shared" si="294"/>
        <v>23564.703473578047</v>
      </c>
      <c r="AB707" s="39">
        <f t="shared" si="295"/>
        <v>27297.625138123505</v>
      </c>
      <c r="AC707" s="39">
        <f t="shared" si="289"/>
        <v>3732.921664545458</v>
      </c>
      <c r="AD707" s="41">
        <f t="shared" si="290"/>
        <v>0.15841156960583014</v>
      </c>
      <c r="AF707" s="46">
        <f t="shared" si="272"/>
        <v>-100</v>
      </c>
      <c r="AG707" s="46">
        <f t="shared" si="291"/>
        <v>-100</v>
      </c>
      <c r="AH707" s="54">
        <f t="shared" si="273"/>
        <v>4732</v>
      </c>
      <c r="AI707" s="55">
        <f t="shared" si="282"/>
        <v>0.24721603563474387</v>
      </c>
      <c r="AJ707" s="55">
        <f t="shared" si="292"/>
        <v>-24.721603563474385</v>
      </c>
      <c r="AK707" s="55">
        <f t="shared" si="293"/>
        <v>-24.721603563474385</v>
      </c>
    </row>
    <row r="708" spans="2:37" s="53" customFormat="1" ht="17.25" customHeight="1" x14ac:dyDescent="0.25">
      <c r="B708" s="91" t="str">
        <f t="shared" si="274"/>
        <v/>
      </c>
      <c r="C708" s="81">
        <f>IF(Sheet3!A679="","",Sheet3!A679)</f>
        <v>42366</v>
      </c>
      <c r="D708" s="82">
        <f>IF(C708="","",Sheet3!E679)</f>
        <v>34.409999999999997</v>
      </c>
      <c r="E708" s="56">
        <f>_xlfn.XLOOKUP(WEEKNUM(C708)&amp;YEAR(C708),Sheet4!C:C,Sheet4!B:B,0)</f>
        <v>0</v>
      </c>
      <c r="F708" s="46">
        <f>IF(int=Weekly,-$D$5,IF(int=Bi_Weekly,0,IF(int=Monthly,0,IF(int=Quarterly,0,IF(int=Yearly,0,IF(int=None,0,0))))))</f>
        <v>0</v>
      </c>
      <c r="G708" s="46"/>
      <c r="H708" s="46">
        <f t="shared" si="283"/>
        <v>-16950</v>
      </c>
      <c r="I708" s="47"/>
      <c r="J708" s="38">
        <f t="shared" si="270"/>
        <v>0</v>
      </c>
      <c r="K708" s="48"/>
      <c r="L708" s="48">
        <f t="shared" si="275"/>
        <v>576.10071079673901</v>
      </c>
      <c r="M708" s="48"/>
      <c r="N708" s="38">
        <f t="shared" si="276"/>
        <v>0</v>
      </c>
      <c r="O708" s="36">
        <f t="shared" si="277"/>
        <v>0</v>
      </c>
      <c r="P708" s="84">
        <f t="shared" si="278"/>
        <v>-23564.234723561771</v>
      </c>
      <c r="Q708" s="38">
        <f t="shared" si="279"/>
        <v>0</v>
      </c>
      <c r="R708" s="48">
        <f t="shared" si="280"/>
        <v>211.48224183232941</v>
      </c>
      <c r="S708" s="38">
        <f t="shared" si="271"/>
        <v>787.58295262906836</v>
      </c>
      <c r="T708" s="50">
        <f t="shared" si="284"/>
        <v>16950</v>
      </c>
      <c r="U708" s="40">
        <f t="shared" si="285"/>
        <v>19823.625458515788</v>
      </c>
      <c r="V708" s="41">
        <f t="shared" si="286"/>
        <v>0.16953542528116738</v>
      </c>
      <c r="W708" s="39">
        <f t="shared" si="287"/>
        <v>2873.6254585157876</v>
      </c>
      <c r="X708" s="50">
        <f t="shared" si="281"/>
        <v>6614.7034735780417</v>
      </c>
      <c r="Y708" s="41">
        <f t="shared" si="288"/>
        <v>0.55978341782264462</v>
      </c>
      <c r="Z708" s="52"/>
      <c r="AA708" s="50">
        <f t="shared" si="294"/>
        <v>23564.703473578047</v>
      </c>
      <c r="AB708" s="39">
        <f t="shared" si="295"/>
        <v>27100.729399966243</v>
      </c>
      <c r="AC708" s="39">
        <f t="shared" si="289"/>
        <v>3536.0259263881962</v>
      </c>
      <c r="AD708" s="41">
        <f t="shared" si="290"/>
        <v>0.15005603318339955</v>
      </c>
      <c r="AF708" s="46">
        <f t="shared" si="272"/>
        <v>0</v>
      </c>
      <c r="AG708" s="46">
        <f t="shared" si="291"/>
        <v>0</v>
      </c>
      <c r="AH708" s="54">
        <f t="shared" si="273"/>
        <v>4739</v>
      </c>
      <c r="AI708" s="55">
        <f t="shared" si="282"/>
        <v>0.24610244988864144</v>
      </c>
      <c r="AJ708" s="55">
        <f t="shared" si="292"/>
        <v>0</v>
      </c>
      <c r="AK708" s="55">
        <f t="shared" si="293"/>
        <v>0</v>
      </c>
    </row>
    <row r="709" spans="2:37" s="53" customFormat="1" ht="17.25" customHeight="1" x14ac:dyDescent="0.25">
      <c r="B709" s="91" t="str">
        <f t="shared" si="274"/>
        <v/>
      </c>
      <c r="C709" s="81">
        <f>IF(Sheet3!A680="","",Sheet3!A680)</f>
        <v>42373</v>
      </c>
      <c r="D709" s="82">
        <f>IF(C709="","",Sheet3!E680)</f>
        <v>33.540000999999997</v>
      </c>
      <c r="E709" s="56">
        <f>_xlfn.XLOOKUP(WEEKNUM(C709)&amp;YEAR(C709),Sheet4!C:C,Sheet4!B:B,0)</f>
        <v>0.48</v>
      </c>
      <c r="F709" s="46">
        <f>IF(int=Weekly,-$D$5,IF(int=Bi_Weekly,-$D$5,IF(int=Monthly,0,IF(int=Quarterly,0,IF(int=Yearly,0,IF(int=None,0,0))))))</f>
        <v>0</v>
      </c>
      <c r="G709" s="46"/>
      <c r="H709" s="46">
        <f t="shared" si="283"/>
        <v>-16950</v>
      </c>
      <c r="I709" s="47"/>
      <c r="J709" s="38">
        <f t="shared" si="270"/>
        <v>0</v>
      </c>
      <c r="K709" s="48"/>
      <c r="L709" s="48">
        <f t="shared" si="275"/>
        <v>576.10071079673901</v>
      </c>
      <c r="M709" s="48"/>
      <c r="N709" s="38">
        <f t="shared" si="276"/>
        <v>276.5283411824347</v>
      </c>
      <c r="O709" s="36">
        <f t="shared" si="277"/>
        <v>-276.5283411824347</v>
      </c>
      <c r="P709" s="84">
        <f t="shared" si="278"/>
        <v>-23840.763064744206</v>
      </c>
      <c r="Q709" s="38">
        <f t="shared" si="279"/>
        <v>8.2447326457275523</v>
      </c>
      <c r="R709" s="48">
        <f t="shared" si="280"/>
        <v>219.72697447805695</v>
      </c>
      <c r="S709" s="38">
        <f t="shared" si="271"/>
        <v>795.82768527479595</v>
      </c>
      <c r="T709" s="50">
        <f t="shared" si="284"/>
        <v>16950</v>
      </c>
      <c r="U709" s="40">
        <f t="shared" si="285"/>
        <v>19322.418416223336</v>
      </c>
      <c r="V709" s="41">
        <f t="shared" si="286"/>
        <v>0.13996568827276312</v>
      </c>
      <c r="W709" s="39">
        <f t="shared" si="287"/>
        <v>2372.418416223336</v>
      </c>
      <c r="X709" s="50">
        <f t="shared" si="281"/>
        <v>6891.2318147604765</v>
      </c>
      <c r="Y709" s="41">
        <f t="shared" si="288"/>
        <v>0.54652803722618359</v>
      </c>
      <c r="Z709" s="52"/>
      <c r="AA709" s="50">
        <f t="shared" si="294"/>
        <v>23841.231814760482</v>
      </c>
      <c r="AB709" s="39">
        <f t="shared" si="295"/>
        <v>26692.061359944339</v>
      </c>
      <c r="AC709" s="39">
        <f t="shared" si="289"/>
        <v>2850.8295451838567</v>
      </c>
      <c r="AD709" s="41">
        <f t="shared" si="290"/>
        <v>0.11957559774318627</v>
      </c>
      <c r="AF709" s="46">
        <f t="shared" si="272"/>
        <v>276.5283411824347</v>
      </c>
      <c r="AG709" s="46">
        <f t="shared" si="291"/>
        <v>0</v>
      </c>
      <c r="AH709" s="54">
        <f t="shared" si="273"/>
        <v>4746</v>
      </c>
      <c r="AI709" s="55">
        <f t="shared" si="282"/>
        <v>0.24498886414253898</v>
      </c>
      <c r="AJ709" s="55">
        <f t="shared" si="292"/>
        <v>67.74636420950516</v>
      </c>
      <c r="AK709" s="55">
        <f t="shared" si="293"/>
        <v>0</v>
      </c>
    </row>
    <row r="710" spans="2:37" s="53" customFormat="1" ht="17.25" customHeight="1" x14ac:dyDescent="0.25">
      <c r="B710" s="91" t="str">
        <f t="shared" si="274"/>
        <v/>
      </c>
      <c r="C710" s="81">
        <f>IF(Sheet3!A681="","",Sheet3!A681)</f>
        <v>42380</v>
      </c>
      <c r="D710" s="82">
        <f>IF(C710="","",Sheet3!E681)</f>
        <v>33.990001999999997</v>
      </c>
      <c r="E710" s="56">
        <f>_xlfn.XLOOKUP(WEEKNUM(C710)&amp;YEAR(C710),Sheet4!C:C,Sheet4!B:B,0)</f>
        <v>0</v>
      </c>
      <c r="F710" s="46">
        <f>IF(int=Weekly,-$D$5,IF(int=Bi_Weekly,0,IF(int=Monthly,0,IF(int=Quarterly,0,IF(int=Yearly,0,IF(int=None,0,0))))))</f>
        <v>0</v>
      </c>
      <c r="G710" s="46"/>
      <c r="H710" s="46">
        <f t="shared" si="283"/>
        <v>-16950</v>
      </c>
      <c r="I710" s="47"/>
      <c r="J710" s="38">
        <f t="shared" si="270"/>
        <v>0</v>
      </c>
      <c r="K710" s="48"/>
      <c r="L710" s="48">
        <f t="shared" si="275"/>
        <v>576.10071079673901</v>
      </c>
      <c r="M710" s="48"/>
      <c r="N710" s="38">
        <f t="shared" si="276"/>
        <v>0</v>
      </c>
      <c r="O710" s="36">
        <f t="shared" si="277"/>
        <v>0</v>
      </c>
      <c r="P710" s="84">
        <f t="shared" si="278"/>
        <v>-23840.763064744206</v>
      </c>
      <c r="Q710" s="38">
        <f t="shared" si="279"/>
        <v>0</v>
      </c>
      <c r="R710" s="48">
        <f t="shared" si="280"/>
        <v>219.72697447805695</v>
      </c>
      <c r="S710" s="38">
        <f t="shared" si="271"/>
        <v>795.82768527479595</v>
      </c>
      <c r="T710" s="50">
        <f t="shared" si="284"/>
        <v>16950</v>
      </c>
      <c r="U710" s="40">
        <f t="shared" si="285"/>
        <v>19581.66431218258</v>
      </c>
      <c r="V710" s="41">
        <f t="shared" si="286"/>
        <v>0.15526043139720236</v>
      </c>
      <c r="W710" s="39">
        <f t="shared" si="287"/>
        <v>2631.66431218258</v>
      </c>
      <c r="X710" s="50">
        <f t="shared" si="281"/>
        <v>6891.2318147604765</v>
      </c>
      <c r="Y710" s="41">
        <f t="shared" si="288"/>
        <v>0.56182278035062283</v>
      </c>
      <c r="Z710" s="52"/>
      <c r="AA710" s="50">
        <f t="shared" si="294"/>
        <v>23841.231814760482</v>
      </c>
      <c r="AB710" s="39">
        <f t="shared" si="295"/>
        <v>27050.184614145684</v>
      </c>
      <c r="AC710" s="39">
        <f t="shared" si="289"/>
        <v>3208.9527993852025</v>
      </c>
      <c r="AD710" s="41">
        <f t="shared" si="290"/>
        <v>0.13459677018024241</v>
      </c>
      <c r="AF710" s="46">
        <f t="shared" si="272"/>
        <v>0</v>
      </c>
      <c r="AG710" s="46">
        <f t="shared" si="291"/>
        <v>0</v>
      </c>
      <c r="AH710" s="54">
        <f t="shared" si="273"/>
        <v>4753</v>
      </c>
      <c r="AI710" s="55">
        <f t="shared" si="282"/>
        <v>0.24387527839643652</v>
      </c>
      <c r="AJ710" s="55">
        <f t="shared" si="292"/>
        <v>0</v>
      </c>
      <c r="AK710" s="55">
        <f t="shared" si="293"/>
        <v>0</v>
      </c>
    </row>
    <row r="711" spans="2:37" s="53" customFormat="1" ht="17.25" customHeight="1" x14ac:dyDescent="0.25">
      <c r="B711" s="91" t="str">
        <f t="shared" si="274"/>
        <v/>
      </c>
      <c r="C711" s="81">
        <f>IF(Sheet3!A682="","",Sheet3!A682)</f>
        <v>42387</v>
      </c>
      <c r="D711" s="82">
        <f>IF(C711="","",Sheet3!E682)</f>
        <v>35.139999000000003</v>
      </c>
      <c r="E711" s="56">
        <f>_xlfn.XLOOKUP(WEEKNUM(C711)&amp;YEAR(C711),Sheet4!C:C,Sheet4!B:B,0)</f>
        <v>0</v>
      </c>
      <c r="F711" s="46">
        <f>IF(int=Weekly,-$D$5,IF(int=Bi_Weekly,-$D$5,IF(int=Monthly,-$D$5,IF(int=Quarterly,0,IF(int=Yearly,0,IF(int=None,0,0))))))</f>
        <v>-100</v>
      </c>
      <c r="G711" s="46"/>
      <c r="H711" s="46">
        <f t="shared" si="283"/>
        <v>-17050</v>
      </c>
      <c r="I711" s="47"/>
      <c r="J711" s="38">
        <f t="shared" si="270"/>
        <v>2.8457598988548631</v>
      </c>
      <c r="K711" s="48"/>
      <c r="L711" s="48">
        <f t="shared" si="275"/>
        <v>578.94647069559392</v>
      </c>
      <c r="M711" s="48"/>
      <c r="N711" s="38">
        <f t="shared" si="276"/>
        <v>0</v>
      </c>
      <c r="O711" s="36">
        <f t="shared" si="277"/>
        <v>0</v>
      </c>
      <c r="P711" s="84">
        <f t="shared" si="278"/>
        <v>-23940.763064744206</v>
      </c>
      <c r="Q711" s="38">
        <f t="shared" si="279"/>
        <v>0</v>
      </c>
      <c r="R711" s="48">
        <f t="shared" si="280"/>
        <v>219.72697447805695</v>
      </c>
      <c r="S711" s="38">
        <f t="shared" si="271"/>
        <v>798.67344517365086</v>
      </c>
      <c r="T711" s="50">
        <f t="shared" si="284"/>
        <v>17050</v>
      </c>
      <c r="U711" s="40">
        <f t="shared" si="285"/>
        <v>20344.1784012967</v>
      </c>
      <c r="V711" s="41">
        <f t="shared" si="286"/>
        <v>0.19320694435757768</v>
      </c>
      <c r="W711" s="39">
        <f t="shared" si="287"/>
        <v>3294.1784012967</v>
      </c>
      <c r="X711" s="50">
        <f t="shared" si="281"/>
        <v>6891.2318147604765</v>
      </c>
      <c r="Y711" s="41">
        <f t="shared" si="288"/>
        <v>0.59738476340511304</v>
      </c>
      <c r="Z711" s="52"/>
      <c r="AA711" s="50">
        <f t="shared" si="294"/>
        <v>23941.231814760482</v>
      </c>
      <c r="AB711" s="39">
        <f t="shared" si="295"/>
        <v>28065.384064728649</v>
      </c>
      <c r="AC711" s="39">
        <f t="shared" si="289"/>
        <v>4124.1522499681669</v>
      </c>
      <c r="AD711" s="41">
        <f t="shared" si="290"/>
        <v>0.17226148937856678</v>
      </c>
      <c r="AF711" s="46">
        <f t="shared" si="272"/>
        <v>-100</v>
      </c>
      <c r="AG711" s="46">
        <f t="shared" si="291"/>
        <v>-100</v>
      </c>
      <c r="AH711" s="54">
        <f t="shared" si="273"/>
        <v>4760</v>
      </c>
      <c r="AI711" s="55">
        <f t="shared" si="282"/>
        <v>0.24276169265033407</v>
      </c>
      <c r="AJ711" s="55">
        <f t="shared" si="292"/>
        <v>-24.276169265033406</v>
      </c>
      <c r="AK711" s="55">
        <f t="shared" si="293"/>
        <v>-24.276169265033406</v>
      </c>
    </row>
    <row r="712" spans="2:37" s="53" customFormat="1" ht="17.25" customHeight="1" x14ac:dyDescent="0.25">
      <c r="B712" s="91" t="str">
        <f t="shared" si="274"/>
        <v/>
      </c>
      <c r="C712" s="81">
        <f>IF(Sheet3!A683="","",Sheet3!A683)</f>
        <v>42394</v>
      </c>
      <c r="D712" s="82">
        <f>IF(C712="","",Sheet3!E683)</f>
        <v>36.060001</v>
      </c>
      <c r="E712" s="56">
        <f>_xlfn.XLOOKUP(WEEKNUM(C712)&amp;YEAR(C712),Sheet4!C:C,Sheet4!B:B,0)</f>
        <v>0</v>
      </c>
      <c r="F712" s="46">
        <f>IF(int=Weekly,-$D$5,IF(int=Bi_Weekly,0,IF(int=Monthly,0,IF(int=Quarterly,0,IF(int=Yearly,0,IF(int=None,0,0))))))</f>
        <v>0</v>
      </c>
      <c r="G712" s="46"/>
      <c r="H712" s="46">
        <f t="shared" si="283"/>
        <v>-17050</v>
      </c>
      <c r="I712" s="47"/>
      <c r="J712" s="38">
        <f t="shared" si="270"/>
        <v>0</v>
      </c>
      <c r="K712" s="48"/>
      <c r="L712" s="48">
        <f t="shared" si="275"/>
        <v>578.94647069559392</v>
      </c>
      <c r="M712" s="48"/>
      <c r="N712" s="38">
        <f t="shared" si="276"/>
        <v>0</v>
      </c>
      <c r="O712" s="36">
        <f t="shared" si="277"/>
        <v>0</v>
      </c>
      <c r="P712" s="84">
        <f t="shared" si="278"/>
        <v>-23940.763064744206</v>
      </c>
      <c r="Q712" s="38">
        <f t="shared" si="279"/>
        <v>0</v>
      </c>
      <c r="R712" s="48">
        <f t="shared" si="280"/>
        <v>219.72697447805695</v>
      </c>
      <c r="S712" s="38">
        <f t="shared" si="271"/>
        <v>798.67344517365086</v>
      </c>
      <c r="T712" s="50">
        <f t="shared" si="284"/>
        <v>17050</v>
      </c>
      <c r="U712" s="40">
        <f t="shared" si="285"/>
        <v>20876.810312229587</v>
      </c>
      <c r="V712" s="41">
        <f t="shared" si="286"/>
        <v>0.22444635262343615</v>
      </c>
      <c r="W712" s="39">
        <f t="shared" si="287"/>
        <v>3826.810312229587</v>
      </c>
      <c r="X712" s="50">
        <f t="shared" si="281"/>
        <v>6891.2318147604765</v>
      </c>
      <c r="Y712" s="41">
        <f t="shared" si="288"/>
        <v>0.62862417167097129</v>
      </c>
      <c r="Z712" s="52"/>
      <c r="AA712" s="50">
        <f t="shared" si="294"/>
        <v>23941.231814760482</v>
      </c>
      <c r="AB712" s="39">
        <f t="shared" si="295"/>
        <v>28800.165231635296</v>
      </c>
      <c r="AC712" s="39">
        <f t="shared" si="289"/>
        <v>4858.9334168748137</v>
      </c>
      <c r="AD712" s="41">
        <f t="shared" si="290"/>
        <v>0.20295252368255912</v>
      </c>
      <c r="AF712" s="46">
        <f t="shared" si="272"/>
        <v>0</v>
      </c>
      <c r="AG712" s="46">
        <f t="shared" si="291"/>
        <v>0</v>
      </c>
      <c r="AH712" s="54">
        <f t="shared" si="273"/>
        <v>4767</v>
      </c>
      <c r="AI712" s="55">
        <f t="shared" si="282"/>
        <v>0.24164810690423164</v>
      </c>
      <c r="AJ712" s="55">
        <f t="shared" si="292"/>
        <v>0</v>
      </c>
      <c r="AK712" s="55">
        <f t="shared" si="293"/>
        <v>0</v>
      </c>
    </row>
    <row r="713" spans="2:37" s="53" customFormat="1" ht="17.25" customHeight="1" x14ac:dyDescent="0.25">
      <c r="B713" s="91" t="str">
        <f t="shared" si="274"/>
        <v/>
      </c>
      <c r="C713" s="81">
        <f>IF(Sheet3!A684="","",Sheet3!A684)</f>
        <v>42401</v>
      </c>
      <c r="D713" s="82">
        <f>IF(C713="","",Sheet3!E684)</f>
        <v>36.880001</v>
      </c>
      <c r="E713" s="56">
        <f>_xlfn.XLOOKUP(WEEKNUM(C713)&amp;YEAR(C713),Sheet4!C:C,Sheet4!B:B,0)</f>
        <v>0</v>
      </c>
      <c r="F713" s="46">
        <f>IF(int=Weekly,-$D$5,IF(int=Bi_Weekly,-$D$5,IF(int=Monthly,0,IF(int=Quarterly,0,IF(int=Yearly,0,IF(int=None,0,0))))))</f>
        <v>0</v>
      </c>
      <c r="G713" s="46"/>
      <c r="H713" s="46">
        <f t="shared" si="283"/>
        <v>-17050</v>
      </c>
      <c r="I713" s="47"/>
      <c r="J713" s="38">
        <f t="shared" si="270"/>
        <v>0</v>
      </c>
      <c r="K713" s="48"/>
      <c r="L713" s="48">
        <f t="shared" si="275"/>
        <v>578.94647069559392</v>
      </c>
      <c r="M713" s="48"/>
      <c r="N713" s="38">
        <f t="shared" si="276"/>
        <v>0</v>
      </c>
      <c r="O713" s="36">
        <f t="shared" si="277"/>
        <v>0</v>
      </c>
      <c r="P713" s="84">
        <f t="shared" si="278"/>
        <v>-23940.763064744206</v>
      </c>
      <c r="Q713" s="38">
        <f t="shared" si="279"/>
        <v>0</v>
      </c>
      <c r="R713" s="48">
        <f t="shared" si="280"/>
        <v>219.72697447805695</v>
      </c>
      <c r="S713" s="38">
        <f t="shared" si="271"/>
        <v>798.67344517365086</v>
      </c>
      <c r="T713" s="50">
        <f t="shared" si="284"/>
        <v>17050</v>
      </c>
      <c r="U713" s="40">
        <f t="shared" si="285"/>
        <v>21351.546418199974</v>
      </c>
      <c r="V713" s="41">
        <f t="shared" si="286"/>
        <v>0.25229011250439726</v>
      </c>
      <c r="W713" s="39">
        <f t="shared" si="287"/>
        <v>4301.5464181999741</v>
      </c>
      <c r="X713" s="50">
        <f t="shared" si="281"/>
        <v>6891.2318147604765</v>
      </c>
      <c r="Y713" s="41">
        <f t="shared" si="288"/>
        <v>0.65646793155193262</v>
      </c>
      <c r="Z713" s="52"/>
      <c r="AA713" s="50">
        <f t="shared" si="294"/>
        <v>23941.231814760482</v>
      </c>
      <c r="AB713" s="39">
        <f t="shared" si="295"/>
        <v>29455.077456677689</v>
      </c>
      <c r="AC713" s="39">
        <f t="shared" si="289"/>
        <v>5513.8456419172071</v>
      </c>
      <c r="AD713" s="41">
        <f t="shared" si="290"/>
        <v>0.23030751652961134</v>
      </c>
      <c r="AF713" s="46">
        <f t="shared" si="272"/>
        <v>0</v>
      </c>
      <c r="AG713" s="46">
        <f t="shared" si="291"/>
        <v>0</v>
      </c>
      <c r="AH713" s="54">
        <f t="shared" si="273"/>
        <v>4774</v>
      </c>
      <c r="AI713" s="55">
        <f t="shared" si="282"/>
        <v>0.24053452115812918</v>
      </c>
      <c r="AJ713" s="55">
        <f t="shared" si="292"/>
        <v>0</v>
      </c>
      <c r="AK713" s="55">
        <f t="shared" si="293"/>
        <v>0</v>
      </c>
    </row>
    <row r="714" spans="2:37" s="53" customFormat="1" ht="17.25" customHeight="1" x14ac:dyDescent="0.25">
      <c r="B714" s="91" t="str">
        <f t="shared" si="274"/>
        <v/>
      </c>
      <c r="C714" s="81">
        <f>IF(Sheet3!A685="","",Sheet3!A685)</f>
        <v>42408</v>
      </c>
      <c r="D714" s="82">
        <f>IF(C714="","",Sheet3!E685)</f>
        <v>36.470001000000003</v>
      </c>
      <c r="E714" s="56">
        <f>_xlfn.XLOOKUP(WEEKNUM(C714)&amp;YEAR(C714),Sheet4!C:C,Sheet4!B:B,0)</f>
        <v>0</v>
      </c>
      <c r="F714" s="46">
        <f>IF(int=Weekly,-$D$5,IF(int=Bi_Weekly,0,IF(int=Monthly,0,IF(int=Quarterly,0,IF(int=Yearly,0,IF(int=None,0,0))))))</f>
        <v>0</v>
      </c>
      <c r="G714" s="46"/>
      <c r="H714" s="46">
        <f t="shared" si="283"/>
        <v>-17050</v>
      </c>
      <c r="I714" s="47"/>
      <c r="J714" s="38">
        <f t="shared" si="270"/>
        <v>0</v>
      </c>
      <c r="K714" s="48"/>
      <c r="L714" s="48">
        <f t="shared" si="275"/>
        <v>578.94647069559392</v>
      </c>
      <c r="M714" s="48"/>
      <c r="N714" s="38">
        <f t="shared" si="276"/>
        <v>0</v>
      </c>
      <c r="O714" s="36">
        <f t="shared" si="277"/>
        <v>0</v>
      </c>
      <c r="P714" s="84">
        <f t="shared" si="278"/>
        <v>-23940.763064744206</v>
      </c>
      <c r="Q714" s="38">
        <f t="shared" si="279"/>
        <v>0</v>
      </c>
      <c r="R714" s="48">
        <f t="shared" si="280"/>
        <v>219.72697447805695</v>
      </c>
      <c r="S714" s="38">
        <f t="shared" si="271"/>
        <v>798.67344517365086</v>
      </c>
      <c r="T714" s="50">
        <f t="shared" si="284"/>
        <v>17050</v>
      </c>
      <c r="U714" s="40">
        <f t="shared" si="285"/>
        <v>21114.178365214782</v>
      </c>
      <c r="V714" s="41">
        <f t="shared" si="286"/>
        <v>0.23836823256391693</v>
      </c>
      <c r="W714" s="39">
        <f t="shared" si="287"/>
        <v>4064.1783652147824</v>
      </c>
      <c r="X714" s="50">
        <f t="shared" si="281"/>
        <v>6891.2318147604765</v>
      </c>
      <c r="Y714" s="41">
        <f t="shared" si="288"/>
        <v>0.64254605161145228</v>
      </c>
      <c r="Z714" s="52"/>
      <c r="AA714" s="50">
        <f t="shared" si="294"/>
        <v>23941.231814760482</v>
      </c>
      <c r="AB714" s="39">
        <f t="shared" si="295"/>
        <v>29127.621344156494</v>
      </c>
      <c r="AC714" s="39">
        <f t="shared" si="289"/>
        <v>5186.3895293960122</v>
      </c>
      <c r="AD714" s="41">
        <f t="shared" si="290"/>
        <v>0.21663002010608534</v>
      </c>
      <c r="AF714" s="46">
        <f t="shared" si="272"/>
        <v>0</v>
      </c>
      <c r="AG714" s="46">
        <f t="shared" si="291"/>
        <v>0</v>
      </c>
      <c r="AH714" s="54">
        <f t="shared" si="273"/>
        <v>4781</v>
      </c>
      <c r="AI714" s="55">
        <f t="shared" si="282"/>
        <v>0.23942093541202672</v>
      </c>
      <c r="AJ714" s="55">
        <f t="shared" si="292"/>
        <v>0</v>
      </c>
      <c r="AK714" s="55">
        <f t="shared" si="293"/>
        <v>0</v>
      </c>
    </row>
    <row r="715" spans="2:37" s="53" customFormat="1" ht="17.25" customHeight="1" x14ac:dyDescent="0.25">
      <c r="B715" s="91" t="str">
        <f t="shared" si="274"/>
        <v/>
      </c>
      <c r="C715" s="81">
        <f>IF(Sheet3!A686="","",Sheet3!A686)</f>
        <v>42415</v>
      </c>
      <c r="D715" s="82">
        <f>IF(C715="","",Sheet3!E686)</f>
        <v>36.57</v>
      </c>
      <c r="E715" s="56">
        <f>_xlfn.XLOOKUP(WEEKNUM(C715)&amp;YEAR(C715),Sheet4!C:C,Sheet4!B:B,0)</f>
        <v>0</v>
      </c>
      <c r="F715" s="46">
        <f>IF(int=Weekly,-$D$5,IF(int=Bi_Weekly,-$D$5,IF(int=Monthly,-$D$5,IF(int=Quarterly,0,IF(int=Yearly,0,IF(int=None,0,0))))))</f>
        <v>-100</v>
      </c>
      <c r="G715" s="46"/>
      <c r="H715" s="46">
        <f t="shared" si="283"/>
        <v>-17150</v>
      </c>
      <c r="I715" s="47"/>
      <c r="J715" s="38">
        <f t="shared" si="270"/>
        <v>2.7344818156959256</v>
      </c>
      <c r="K715" s="48"/>
      <c r="L715" s="48">
        <f t="shared" si="275"/>
        <v>581.68095251128989</v>
      </c>
      <c r="M715" s="48"/>
      <c r="N715" s="38">
        <f t="shared" si="276"/>
        <v>0</v>
      </c>
      <c r="O715" s="36">
        <f t="shared" si="277"/>
        <v>0</v>
      </c>
      <c r="P715" s="84">
        <f t="shared" si="278"/>
        <v>-24040.763064744206</v>
      </c>
      <c r="Q715" s="38">
        <f t="shared" si="279"/>
        <v>0</v>
      </c>
      <c r="R715" s="48">
        <f t="shared" si="280"/>
        <v>219.72697447805695</v>
      </c>
      <c r="S715" s="38">
        <f t="shared" si="271"/>
        <v>801.40792698934683</v>
      </c>
      <c r="T715" s="50">
        <f t="shared" si="284"/>
        <v>17150</v>
      </c>
      <c r="U715" s="40">
        <f t="shared" si="285"/>
        <v>21272.072433337871</v>
      </c>
      <c r="V715" s="41">
        <f t="shared" si="286"/>
        <v>0.24035407774564854</v>
      </c>
      <c r="W715" s="39">
        <f t="shared" si="287"/>
        <v>4122.0724333378712</v>
      </c>
      <c r="X715" s="50">
        <f t="shared" si="281"/>
        <v>6891.2318147604765</v>
      </c>
      <c r="Y715" s="41">
        <f t="shared" si="288"/>
        <v>0.64217517481623032</v>
      </c>
      <c r="Z715" s="52"/>
      <c r="AA715" s="50">
        <f t="shared" si="294"/>
        <v>24041.231814760482</v>
      </c>
      <c r="AB715" s="39">
        <f t="shared" si="295"/>
        <v>29307.487890000415</v>
      </c>
      <c r="AC715" s="39">
        <f t="shared" si="289"/>
        <v>5266.2560752399331</v>
      </c>
      <c r="AD715" s="41">
        <f t="shared" si="290"/>
        <v>0.21905100852638659</v>
      </c>
      <c r="AF715" s="46">
        <f t="shared" si="272"/>
        <v>-100</v>
      </c>
      <c r="AG715" s="46">
        <f t="shared" si="291"/>
        <v>-100</v>
      </c>
      <c r="AH715" s="54">
        <f t="shared" si="273"/>
        <v>4788</v>
      </c>
      <c r="AI715" s="55">
        <f t="shared" si="282"/>
        <v>0.23830734966592429</v>
      </c>
      <c r="AJ715" s="55">
        <f t="shared" si="292"/>
        <v>-23.830734966592431</v>
      </c>
      <c r="AK715" s="55">
        <f t="shared" si="293"/>
        <v>-23.830734966592431</v>
      </c>
    </row>
    <row r="716" spans="2:37" s="53" customFormat="1" ht="17.25" customHeight="1" x14ac:dyDescent="0.25">
      <c r="B716" s="91" t="str">
        <f t="shared" si="274"/>
        <v/>
      </c>
      <c r="C716" s="81">
        <f>IF(Sheet3!A687="","",Sheet3!A687)</f>
        <v>42422</v>
      </c>
      <c r="D716" s="82">
        <f>IF(C716="","",Sheet3!E687)</f>
        <v>37.130001</v>
      </c>
      <c r="E716" s="56">
        <f>_xlfn.XLOOKUP(WEEKNUM(C716)&amp;YEAR(C716),Sheet4!C:C,Sheet4!B:B,0)</f>
        <v>0</v>
      </c>
      <c r="F716" s="46">
        <f>IF(int=Weekly,-$D$5,IF(int=Bi_Weekly,0,IF(int=Monthly,0,IF(int=Quarterly,0,IF(int=Yearly,0,IF(int=None,0,0))))))</f>
        <v>0</v>
      </c>
      <c r="G716" s="46"/>
      <c r="H716" s="46">
        <f t="shared" si="283"/>
        <v>-17150</v>
      </c>
      <c r="I716" s="47"/>
      <c r="J716" s="38">
        <f t="shared" si="270"/>
        <v>0</v>
      </c>
      <c r="K716" s="48"/>
      <c r="L716" s="48">
        <f t="shared" si="275"/>
        <v>581.68095251128989</v>
      </c>
      <c r="M716" s="48"/>
      <c r="N716" s="38">
        <f t="shared" si="276"/>
        <v>0</v>
      </c>
      <c r="O716" s="36">
        <f t="shared" si="277"/>
        <v>0</v>
      </c>
      <c r="P716" s="84">
        <f t="shared" si="278"/>
        <v>-24040.763064744206</v>
      </c>
      <c r="Q716" s="38">
        <f t="shared" si="279"/>
        <v>0</v>
      </c>
      <c r="R716" s="48">
        <f t="shared" si="280"/>
        <v>219.72697447805695</v>
      </c>
      <c r="S716" s="38">
        <f t="shared" si="271"/>
        <v>801.40792698934683</v>
      </c>
      <c r="T716" s="50">
        <f t="shared" si="284"/>
        <v>17150</v>
      </c>
      <c r="U716" s="40">
        <f t="shared" si="285"/>
        <v>21597.814348425145</v>
      </c>
      <c r="V716" s="41">
        <f t="shared" si="286"/>
        <v>0.25934777541837573</v>
      </c>
      <c r="W716" s="39">
        <f t="shared" si="287"/>
        <v>4447.814348425145</v>
      </c>
      <c r="X716" s="50">
        <f t="shared" si="281"/>
        <v>6891.2318147604765</v>
      </c>
      <c r="Y716" s="41">
        <f t="shared" si="288"/>
        <v>0.66116887248895773</v>
      </c>
      <c r="Z716" s="52"/>
      <c r="AA716" s="50">
        <f t="shared" si="294"/>
        <v>24041.231814760482</v>
      </c>
      <c r="AB716" s="39">
        <f t="shared" si="295"/>
        <v>29756.277130522372</v>
      </c>
      <c r="AC716" s="39">
        <f t="shared" si="289"/>
        <v>5715.0453157618904</v>
      </c>
      <c r="AD716" s="41">
        <f t="shared" si="290"/>
        <v>0.23771848962635311</v>
      </c>
      <c r="AF716" s="46">
        <f t="shared" si="272"/>
        <v>0</v>
      </c>
      <c r="AG716" s="46">
        <f t="shared" si="291"/>
        <v>0</v>
      </c>
      <c r="AH716" s="54">
        <f t="shared" si="273"/>
        <v>4795</v>
      </c>
      <c r="AI716" s="55">
        <f t="shared" si="282"/>
        <v>0.23719376391982183</v>
      </c>
      <c r="AJ716" s="55">
        <f t="shared" si="292"/>
        <v>0</v>
      </c>
      <c r="AK716" s="55">
        <f t="shared" si="293"/>
        <v>0</v>
      </c>
    </row>
    <row r="717" spans="2:37" s="53" customFormat="1" ht="17.25" customHeight="1" x14ac:dyDescent="0.25">
      <c r="B717" s="91" t="str">
        <f t="shared" si="274"/>
        <v/>
      </c>
      <c r="C717" s="81">
        <f>IF(Sheet3!A688="","",Sheet3!A688)</f>
        <v>42429</v>
      </c>
      <c r="D717" s="82">
        <f>IF(C717="","",Sheet3!E688)</f>
        <v>37.93</v>
      </c>
      <c r="E717" s="56">
        <f>_xlfn.XLOOKUP(WEEKNUM(C717)&amp;YEAR(C717),Sheet4!C:C,Sheet4!B:B,0)</f>
        <v>0</v>
      </c>
      <c r="F717" s="46">
        <f>IF(int=Weekly,-$D$5,IF(int=Bi_Weekly,-$D$5,IF(int=Monthly,0,IF(int=Quarterly,0,IF(int=Yearly,0,IF(int=None,0,0))))))</f>
        <v>0</v>
      </c>
      <c r="G717" s="46"/>
      <c r="H717" s="46">
        <f t="shared" si="283"/>
        <v>-17150</v>
      </c>
      <c r="I717" s="47"/>
      <c r="J717" s="38">
        <f t="shared" si="270"/>
        <v>0</v>
      </c>
      <c r="K717" s="48"/>
      <c r="L717" s="48">
        <f t="shared" si="275"/>
        <v>581.68095251128989</v>
      </c>
      <c r="M717" s="48"/>
      <c r="N717" s="38">
        <f t="shared" si="276"/>
        <v>0</v>
      </c>
      <c r="O717" s="36">
        <f t="shared" si="277"/>
        <v>0</v>
      </c>
      <c r="P717" s="84">
        <f t="shared" si="278"/>
        <v>-24040.763064744206</v>
      </c>
      <c r="Q717" s="38">
        <f t="shared" si="279"/>
        <v>0</v>
      </c>
      <c r="R717" s="48">
        <f t="shared" si="280"/>
        <v>219.72697447805695</v>
      </c>
      <c r="S717" s="38">
        <f t="shared" si="271"/>
        <v>801.40792698934683</v>
      </c>
      <c r="T717" s="50">
        <f t="shared" si="284"/>
        <v>17150</v>
      </c>
      <c r="U717" s="40">
        <f t="shared" si="285"/>
        <v>22063.158528753225</v>
      </c>
      <c r="V717" s="41">
        <f t="shared" si="286"/>
        <v>0.2864815468660773</v>
      </c>
      <c r="W717" s="39">
        <f t="shared" si="287"/>
        <v>4913.1585287532253</v>
      </c>
      <c r="X717" s="50">
        <f t="shared" si="281"/>
        <v>6891.2318147604765</v>
      </c>
      <c r="Y717" s="41">
        <f t="shared" si="288"/>
        <v>0.68830264393665908</v>
      </c>
      <c r="Z717" s="52"/>
      <c r="AA717" s="50">
        <f t="shared" si="294"/>
        <v>24041.231814760482</v>
      </c>
      <c r="AB717" s="39">
        <f t="shared" si="295"/>
        <v>30397.402670705924</v>
      </c>
      <c r="AC717" s="39">
        <f t="shared" si="289"/>
        <v>6356.1708559454419</v>
      </c>
      <c r="AD717" s="41">
        <f t="shared" si="290"/>
        <v>0.2643862388133944</v>
      </c>
      <c r="AF717" s="46">
        <f t="shared" si="272"/>
        <v>0</v>
      </c>
      <c r="AG717" s="46">
        <f t="shared" si="291"/>
        <v>0</v>
      </c>
      <c r="AH717" s="54">
        <f t="shared" si="273"/>
        <v>4802</v>
      </c>
      <c r="AI717" s="55">
        <f t="shared" si="282"/>
        <v>0.23608017817371937</v>
      </c>
      <c r="AJ717" s="55">
        <f t="shared" si="292"/>
        <v>0</v>
      </c>
      <c r="AK717" s="55">
        <f t="shared" si="293"/>
        <v>0</v>
      </c>
    </row>
    <row r="718" spans="2:37" s="53" customFormat="1" ht="17.25" customHeight="1" x14ac:dyDescent="0.25">
      <c r="B718" s="91" t="str">
        <f t="shared" si="274"/>
        <v/>
      </c>
      <c r="C718" s="81">
        <f>IF(Sheet3!A689="","",Sheet3!A689)</f>
        <v>42436</v>
      </c>
      <c r="D718" s="82">
        <f>IF(C718="","",Sheet3!E689)</f>
        <v>38.360000999999997</v>
      </c>
      <c r="E718" s="56">
        <f>_xlfn.XLOOKUP(WEEKNUM(C718)&amp;YEAR(C718),Sheet4!C:C,Sheet4!B:B,0)</f>
        <v>0</v>
      </c>
      <c r="F718" s="46">
        <f>IF(int=Weekly,-$D$5,IF(int=Bi_Weekly,0,IF(int=Monthly,0,IF(int=Quarterly,0,IF(int=Yearly,0,IF(int=None,0,0))))))</f>
        <v>0</v>
      </c>
      <c r="G718" s="46"/>
      <c r="H718" s="46">
        <f t="shared" si="283"/>
        <v>-17150</v>
      </c>
      <c r="I718" s="47"/>
      <c r="J718" s="38">
        <f t="shared" si="270"/>
        <v>0</v>
      </c>
      <c r="K718" s="48"/>
      <c r="L718" s="48">
        <f t="shared" si="275"/>
        <v>581.68095251128989</v>
      </c>
      <c r="M718" s="48"/>
      <c r="N718" s="38">
        <f t="shared" si="276"/>
        <v>0</v>
      </c>
      <c r="O718" s="36">
        <f t="shared" si="277"/>
        <v>0</v>
      </c>
      <c r="P718" s="84">
        <f t="shared" si="278"/>
        <v>-24040.763064744206</v>
      </c>
      <c r="Q718" s="38">
        <f t="shared" si="279"/>
        <v>0</v>
      </c>
      <c r="R718" s="48">
        <f t="shared" si="280"/>
        <v>219.72697447805695</v>
      </c>
      <c r="S718" s="38">
        <f t="shared" si="271"/>
        <v>801.40792698934683</v>
      </c>
      <c r="T718" s="50">
        <f t="shared" si="284"/>
        <v>17150</v>
      </c>
      <c r="U718" s="40">
        <f t="shared" si="285"/>
        <v>22313.281920014029</v>
      </c>
      <c r="V718" s="41">
        <f t="shared" si="286"/>
        <v>0.30106600116699878</v>
      </c>
      <c r="W718" s="39">
        <f t="shared" si="287"/>
        <v>5163.2819200140293</v>
      </c>
      <c r="X718" s="50">
        <f t="shared" si="281"/>
        <v>6891.2318147604765</v>
      </c>
      <c r="Y718" s="41">
        <f t="shared" si="288"/>
        <v>0.70288709823758033</v>
      </c>
      <c r="Z718" s="52"/>
      <c r="AA718" s="50">
        <f t="shared" si="294"/>
        <v>24041.231814760482</v>
      </c>
      <c r="AB718" s="39">
        <f t="shared" si="295"/>
        <v>30742.008880719266</v>
      </c>
      <c r="AC718" s="39">
        <f t="shared" si="289"/>
        <v>6700.7770659587841</v>
      </c>
      <c r="AD718" s="41">
        <f t="shared" si="290"/>
        <v>0.27872020525357355</v>
      </c>
      <c r="AF718" s="46">
        <f t="shared" si="272"/>
        <v>0</v>
      </c>
      <c r="AG718" s="46">
        <f t="shared" si="291"/>
        <v>0</v>
      </c>
      <c r="AH718" s="54">
        <f t="shared" si="273"/>
        <v>4809</v>
      </c>
      <c r="AI718" s="55">
        <f t="shared" si="282"/>
        <v>0.23496659242761692</v>
      </c>
      <c r="AJ718" s="55">
        <f t="shared" si="292"/>
        <v>0</v>
      </c>
      <c r="AK718" s="55">
        <f t="shared" si="293"/>
        <v>0</v>
      </c>
    </row>
    <row r="719" spans="2:37" s="53" customFormat="1" ht="17.25" customHeight="1" x14ac:dyDescent="0.25">
      <c r="B719" s="91" t="str">
        <f t="shared" si="274"/>
        <v/>
      </c>
      <c r="C719" s="81">
        <f>IF(Sheet3!A690="","",Sheet3!A690)</f>
        <v>42443</v>
      </c>
      <c r="D719" s="82">
        <f>IF(C719="","",Sheet3!E690)</f>
        <v>38.560001</v>
      </c>
      <c r="E719" s="56">
        <f>_xlfn.XLOOKUP(WEEKNUM(C719)&amp;YEAR(C719),Sheet4!C:C,Sheet4!B:B,0)</f>
        <v>0</v>
      </c>
      <c r="F719" s="46">
        <f>IF(int=Weekly,-$D$5,IF(int=Bi_Weekly,-$D$5,IF(int=Monthly,-$D$5,IF(int=Quarterly,0,IF(int=Yearly,0,IF(int=None,0,0))))))</f>
        <v>-100</v>
      </c>
      <c r="G719" s="46"/>
      <c r="H719" s="46">
        <f t="shared" si="283"/>
        <v>-17250</v>
      </c>
      <c r="I719" s="47"/>
      <c r="J719" s="38">
        <f t="shared" si="270"/>
        <v>2.5933609285954118</v>
      </c>
      <c r="K719" s="48"/>
      <c r="L719" s="48">
        <f t="shared" si="275"/>
        <v>584.2743134398853</v>
      </c>
      <c r="M719" s="48"/>
      <c r="N719" s="38">
        <f t="shared" si="276"/>
        <v>0</v>
      </c>
      <c r="O719" s="36">
        <f t="shared" si="277"/>
        <v>0</v>
      </c>
      <c r="P719" s="84">
        <f t="shared" si="278"/>
        <v>-24140.763064744206</v>
      </c>
      <c r="Q719" s="38">
        <f t="shared" si="279"/>
        <v>0</v>
      </c>
      <c r="R719" s="48">
        <f t="shared" si="280"/>
        <v>219.72697447805695</v>
      </c>
      <c r="S719" s="38">
        <f t="shared" si="271"/>
        <v>804.00128791794225</v>
      </c>
      <c r="T719" s="50">
        <f t="shared" si="284"/>
        <v>17250</v>
      </c>
      <c r="U719" s="40">
        <f t="shared" si="285"/>
        <v>22529.61811051629</v>
      </c>
      <c r="V719" s="41">
        <f t="shared" si="286"/>
        <v>0.30606481800094443</v>
      </c>
      <c r="W719" s="39">
        <f t="shared" si="287"/>
        <v>5279.6181105162905</v>
      </c>
      <c r="X719" s="50">
        <f t="shared" si="281"/>
        <v>6891.2318147604765</v>
      </c>
      <c r="Y719" s="41">
        <f t="shared" si="288"/>
        <v>0.70555651740734859</v>
      </c>
      <c r="Z719" s="52"/>
      <c r="AA719" s="50">
        <f t="shared" si="294"/>
        <v>24141.231814760482</v>
      </c>
      <c r="AB719" s="39">
        <f t="shared" si="295"/>
        <v>31002.290466117141</v>
      </c>
      <c r="AC719" s="39">
        <f t="shared" si="289"/>
        <v>6861.0586513566595</v>
      </c>
      <c r="AD719" s="41">
        <f t="shared" si="290"/>
        <v>0.28420499434339797</v>
      </c>
      <c r="AF719" s="46">
        <f t="shared" si="272"/>
        <v>-100</v>
      </c>
      <c r="AG719" s="46">
        <f t="shared" si="291"/>
        <v>-100</v>
      </c>
      <c r="AH719" s="54">
        <f t="shared" si="273"/>
        <v>4816</v>
      </c>
      <c r="AI719" s="55">
        <f t="shared" si="282"/>
        <v>0.23385300668151449</v>
      </c>
      <c r="AJ719" s="55">
        <f t="shared" si="292"/>
        <v>-23.385300668151448</v>
      </c>
      <c r="AK719" s="55">
        <f t="shared" si="293"/>
        <v>-23.385300668151448</v>
      </c>
    </row>
    <row r="720" spans="2:37" s="53" customFormat="1" ht="17.25" customHeight="1" x14ac:dyDescent="0.25">
      <c r="B720" s="91" t="str">
        <f t="shared" si="274"/>
        <v/>
      </c>
      <c r="C720" s="81">
        <f>IF(Sheet3!A691="","",Sheet3!A691)</f>
        <v>42450</v>
      </c>
      <c r="D720" s="82">
        <f>IF(C720="","",Sheet3!E691)</f>
        <v>38.880001</v>
      </c>
      <c r="E720" s="56">
        <f>_xlfn.XLOOKUP(WEEKNUM(C720)&amp;YEAR(C720),Sheet4!C:C,Sheet4!B:B,0)</f>
        <v>0</v>
      </c>
      <c r="F720" s="46">
        <f>IF(int=Weekly,-$D$5,IF(int=Bi_Weekly,0,IF(int=Monthly,0,IF(int=Quarterly,-$D$5,IF(int=Yearly,0,IF(int=None,0,0))))))</f>
        <v>0</v>
      </c>
      <c r="G720" s="46"/>
      <c r="H720" s="46">
        <f t="shared" si="283"/>
        <v>-17250</v>
      </c>
      <c r="I720" s="47"/>
      <c r="J720" s="38">
        <f t="shared" si="270"/>
        <v>0</v>
      </c>
      <c r="K720" s="48"/>
      <c r="L720" s="48">
        <f t="shared" si="275"/>
        <v>584.2743134398853</v>
      </c>
      <c r="M720" s="48"/>
      <c r="N720" s="38">
        <f t="shared" si="276"/>
        <v>0</v>
      </c>
      <c r="O720" s="36">
        <f t="shared" si="277"/>
        <v>0</v>
      </c>
      <c r="P720" s="84">
        <f t="shared" si="278"/>
        <v>-24140.763064744206</v>
      </c>
      <c r="Q720" s="38">
        <f t="shared" si="279"/>
        <v>0</v>
      </c>
      <c r="R720" s="48">
        <f t="shared" si="280"/>
        <v>219.72697447805695</v>
      </c>
      <c r="S720" s="38">
        <f t="shared" si="271"/>
        <v>804.00128791794225</v>
      </c>
      <c r="T720" s="50">
        <f t="shared" si="284"/>
        <v>17250</v>
      </c>
      <c r="U720" s="40">
        <f t="shared" si="285"/>
        <v>22716.585890817056</v>
      </c>
      <c r="V720" s="41">
        <f t="shared" si="286"/>
        <v>0.31690352990243809</v>
      </c>
      <c r="W720" s="39">
        <f t="shared" si="287"/>
        <v>5466.5858908170558</v>
      </c>
      <c r="X720" s="50">
        <f t="shared" si="281"/>
        <v>6891.2318147604765</v>
      </c>
      <c r="Y720" s="41">
        <f t="shared" si="288"/>
        <v>0.71639522930884225</v>
      </c>
      <c r="Z720" s="52"/>
      <c r="AA720" s="50">
        <f t="shared" si="294"/>
        <v>24141.231814760482</v>
      </c>
      <c r="AB720" s="39">
        <f t="shared" si="295"/>
        <v>31259.570878250885</v>
      </c>
      <c r="AC720" s="39">
        <f t="shared" si="289"/>
        <v>7118.3390634904026</v>
      </c>
      <c r="AD720" s="41">
        <f t="shared" si="290"/>
        <v>0.29486229692463728</v>
      </c>
      <c r="AF720" s="46">
        <f t="shared" si="272"/>
        <v>0</v>
      </c>
      <c r="AG720" s="46">
        <f t="shared" si="291"/>
        <v>0</v>
      </c>
      <c r="AH720" s="54">
        <f t="shared" si="273"/>
        <v>4823</v>
      </c>
      <c r="AI720" s="55">
        <f t="shared" si="282"/>
        <v>0.23273942093541203</v>
      </c>
      <c r="AJ720" s="55">
        <f t="shared" si="292"/>
        <v>0</v>
      </c>
      <c r="AK720" s="55">
        <f t="shared" si="293"/>
        <v>0</v>
      </c>
    </row>
    <row r="721" spans="2:37" s="53" customFormat="1" ht="17.25" customHeight="1" x14ac:dyDescent="0.25">
      <c r="B721" s="91" t="str">
        <f t="shared" si="274"/>
        <v/>
      </c>
      <c r="C721" s="81">
        <f>IF(Sheet3!A692="","",Sheet3!A692)</f>
        <v>42457</v>
      </c>
      <c r="D721" s="82">
        <f>IF(C721="","",Sheet3!E692)</f>
        <v>39.049999</v>
      </c>
      <c r="E721" s="56">
        <f>_xlfn.XLOOKUP(WEEKNUM(C721)&amp;YEAR(C721),Sheet4!C:C,Sheet4!B:B,0)</f>
        <v>0</v>
      </c>
      <c r="F721" s="46">
        <f>IF(int=Weekly,-$D$5,IF(int=Bi_Weekly,-$D$5,IF(int=Monthly,0,IF(int=Quarterly,0,IF(int=Yearly,0,IF(int=None,0,0))))))</f>
        <v>0</v>
      </c>
      <c r="G721" s="46"/>
      <c r="H721" s="46">
        <f t="shared" si="283"/>
        <v>-17250</v>
      </c>
      <c r="I721" s="47"/>
      <c r="J721" s="38">
        <f t="shared" si="270"/>
        <v>0</v>
      </c>
      <c r="K721" s="48"/>
      <c r="L721" s="48">
        <f t="shared" si="275"/>
        <v>584.2743134398853</v>
      </c>
      <c r="M721" s="48"/>
      <c r="N721" s="38">
        <f t="shared" si="276"/>
        <v>0</v>
      </c>
      <c r="O721" s="36">
        <f t="shared" si="277"/>
        <v>0</v>
      </c>
      <c r="P721" s="84">
        <f t="shared" si="278"/>
        <v>-24140.763064744206</v>
      </c>
      <c r="Q721" s="38">
        <f t="shared" si="279"/>
        <v>0</v>
      </c>
      <c r="R721" s="48">
        <f t="shared" si="280"/>
        <v>219.72697447805695</v>
      </c>
      <c r="S721" s="38">
        <f t="shared" si="271"/>
        <v>804.00128791794225</v>
      </c>
      <c r="T721" s="50">
        <f t="shared" si="284"/>
        <v>17250</v>
      </c>
      <c r="U721" s="40">
        <f t="shared" si="285"/>
        <v>22815.911355553206</v>
      </c>
      <c r="V721" s="41">
        <f t="shared" si="286"/>
        <v>0.32266152785815683</v>
      </c>
      <c r="W721" s="39">
        <f t="shared" si="287"/>
        <v>5565.9113555532058</v>
      </c>
      <c r="X721" s="50">
        <f t="shared" si="281"/>
        <v>6891.2318147604765</v>
      </c>
      <c r="Y721" s="41">
        <f t="shared" si="288"/>
        <v>0.72215322726456144</v>
      </c>
      <c r="Z721" s="52"/>
      <c r="AA721" s="50">
        <f t="shared" si="294"/>
        <v>24141.231814760482</v>
      </c>
      <c r="AB721" s="39">
        <f t="shared" si="295"/>
        <v>31396.249489194357</v>
      </c>
      <c r="AC721" s="39">
        <f t="shared" si="289"/>
        <v>7255.0176744338751</v>
      </c>
      <c r="AD721" s="41">
        <f t="shared" si="290"/>
        <v>0.30052392231277936</v>
      </c>
      <c r="AF721" s="46">
        <f t="shared" si="272"/>
        <v>0</v>
      </c>
      <c r="AG721" s="46">
        <f t="shared" si="291"/>
        <v>0</v>
      </c>
      <c r="AH721" s="54">
        <f t="shared" si="273"/>
        <v>4830</v>
      </c>
      <c r="AI721" s="55">
        <f t="shared" si="282"/>
        <v>0.23162583518930957</v>
      </c>
      <c r="AJ721" s="55">
        <f t="shared" si="292"/>
        <v>0</v>
      </c>
      <c r="AK721" s="55">
        <f t="shared" si="293"/>
        <v>0</v>
      </c>
    </row>
    <row r="722" spans="2:37" s="53" customFormat="1" ht="17.25" customHeight="1" x14ac:dyDescent="0.25">
      <c r="B722" s="91" t="str">
        <f t="shared" si="274"/>
        <v/>
      </c>
      <c r="C722" s="81">
        <f>IF(Sheet3!A693="","",Sheet3!A693)</f>
        <v>42464</v>
      </c>
      <c r="D722" s="82">
        <f>IF(C722="","",Sheet3!E693)</f>
        <v>38.5</v>
      </c>
      <c r="E722" s="56">
        <f>_xlfn.XLOOKUP(WEEKNUM(C722)&amp;YEAR(C722),Sheet4!C:C,Sheet4!B:B,0)</f>
        <v>0.48</v>
      </c>
      <c r="F722" s="46">
        <f>IF(int=Weekly,-$D$5,IF(int=Bi_Weekly,0,IF(int=Monthly,0,IF(int=Quarterly,0,IF(int=Yearly,0,IF(int=None,0,0))))))</f>
        <v>0</v>
      </c>
      <c r="G722" s="46"/>
      <c r="H722" s="46">
        <f t="shared" si="283"/>
        <v>-17250</v>
      </c>
      <c r="I722" s="47"/>
      <c r="J722" s="38">
        <f t="shared" si="270"/>
        <v>0</v>
      </c>
      <c r="K722" s="48"/>
      <c r="L722" s="48">
        <f t="shared" si="275"/>
        <v>584.2743134398853</v>
      </c>
      <c r="M722" s="48"/>
      <c r="N722" s="38">
        <f t="shared" si="276"/>
        <v>280.45167045114493</v>
      </c>
      <c r="O722" s="36">
        <f t="shared" si="277"/>
        <v>-280.45167045114493</v>
      </c>
      <c r="P722" s="84">
        <f t="shared" si="278"/>
        <v>-24421.21473519535</v>
      </c>
      <c r="Q722" s="38">
        <f t="shared" si="279"/>
        <v>7.2844589727570117</v>
      </c>
      <c r="R722" s="48">
        <f t="shared" si="280"/>
        <v>227.01143345081397</v>
      </c>
      <c r="S722" s="38">
        <f t="shared" si="271"/>
        <v>811.28574689069933</v>
      </c>
      <c r="T722" s="50">
        <f t="shared" si="284"/>
        <v>17250</v>
      </c>
      <c r="U722" s="40">
        <f t="shared" si="285"/>
        <v>22494.561067435585</v>
      </c>
      <c r="V722" s="41">
        <f t="shared" si="286"/>
        <v>0.30403252564843974</v>
      </c>
      <c r="W722" s="39">
        <f t="shared" si="287"/>
        <v>5244.5610674355848</v>
      </c>
      <c r="X722" s="50">
        <f t="shared" si="281"/>
        <v>7171.6834852116217</v>
      </c>
      <c r="Y722" s="41">
        <f t="shared" si="288"/>
        <v>0.71978229290708451</v>
      </c>
      <c r="Z722" s="52"/>
      <c r="AA722" s="50">
        <f t="shared" si="294"/>
        <v>24421.683485211626</v>
      </c>
      <c r="AB722" s="39">
        <f t="shared" si="295"/>
        <v>31234.501255291922</v>
      </c>
      <c r="AC722" s="39">
        <f t="shared" si="289"/>
        <v>6812.8177700802953</v>
      </c>
      <c r="AD722" s="41">
        <f t="shared" si="290"/>
        <v>0.27896593509639689</v>
      </c>
      <c r="AF722" s="46">
        <f t="shared" si="272"/>
        <v>280.45167045114493</v>
      </c>
      <c r="AG722" s="46">
        <f t="shared" si="291"/>
        <v>0</v>
      </c>
      <c r="AH722" s="54">
        <f t="shared" si="273"/>
        <v>4837</v>
      </c>
      <c r="AI722" s="55">
        <f t="shared" si="282"/>
        <v>0.23051224944320714</v>
      </c>
      <c r="AJ722" s="55">
        <f t="shared" si="292"/>
        <v>64.647545415798447</v>
      </c>
      <c r="AK722" s="55">
        <f t="shared" si="293"/>
        <v>0</v>
      </c>
    </row>
    <row r="723" spans="2:37" s="53" customFormat="1" ht="17.25" customHeight="1" x14ac:dyDescent="0.25">
      <c r="B723" s="91" t="str">
        <f t="shared" si="274"/>
        <v/>
      </c>
      <c r="C723" s="81">
        <f>IF(Sheet3!A694="","",Sheet3!A694)</f>
        <v>42471</v>
      </c>
      <c r="D723" s="82">
        <f>IF(C723="","",Sheet3!E694)</f>
        <v>38.479999999999997</v>
      </c>
      <c r="E723" s="56">
        <f>_xlfn.XLOOKUP(WEEKNUM(C723)&amp;YEAR(C723),Sheet4!C:C,Sheet4!B:B,0)</f>
        <v>0</v>
      </c>
      <c r="F723" s="46">
        <f>IF(int=Weekly,-$D$5,IF(int=Bi_Weekly,-$D$5,IF(int=Monthly,-$D$5,IF(int=Quarterly,0,IF(int=Yearly,0,IF(int=None,0,0))))))</f>
        <v>-100</v>
      </c>
      <c r="G723" s="46"/>
      <c r="H723" s="46">
        <f t="shared" si="283"/>
        <v>-17350</v>
      </c>
      <c r="I723" s="47"/>
      <c r="J723" s="38">
        <f t="shared" si="270"/>
        <v>2.5987525987525988</v>
      </c>
      <c r="K723" s="48"/>
      <c r="L723" s="48">
        <f t="shared" si="275"/>
        <v>586.87306603863794</v>
      </c>
      <c r="M723" s="48"/>
      <c r="N723" s="38">
        <f t="shared" si="276"/>
        <v>0</v>
      </c>
      <c r="O723" s="36">
        <f t="shared" si="277"/>
        <v>0</v>
      </c>
      <c r="P723" s="84">
        <f t="shared" si="278"/>
        <v>-24521.21473519535</v>
      </c>
      <c r="Q723" s="38">
        <f t="shared" si="279"/>
        <v>0</v>
      </c>
      <c r="R723" s="48">
        <f t="shared" si="280"/>
        <v>227.01143345081397</v>
      </c>
      <c r="S723" s="38">
        <f t="shared" si="271"/>
        <v>813.88449948945185</v>
      </c>
      <c r="T723" s="50">
        <f t="shared" si="284"/>
        <v>17350</v>
      </c>
      <c r="U723" s="40">
        <f t="shared" si="285"/>
        <v>22582.875581166787</v>
      </c>
      <c r="V723" s="41">
        <f t="shared" si="286"/>
        <v>0.30160666173871964</v>
      </c>
      <c r="W723" s="39">
        <f t="shared" si="287"/>
        <v>5232.875581166787</v>
      </c>
      <c r="X723" s="50">
        <f t="shared" si="281"/>
        <v>7171.6834852116217</v>
      </c>
      <c r="Y723" s="41">
        <f t="shared" si="288"/>
        <v>0.71496017673650769</v>
      </c>
      <c r="Z723" s="52"/>
      <c r="AA723" s="50">
        <f t="shared" si="294"/>
        <v>24521.683485211626</v>
      </c>
      <c r="AB723" s="39">
        <f t="shared" si="295"/>
        <v>31318.275540354109</v>
      </c>
      <c r="AC723" s="39">
        <f t="shared" si="289"/>
        <v>6796.5920551424824</v>
      </c>
      <c r="AD723" s="41">
        <f t="shared" si="290"/>
        <v>0.27716661701637757</v>
      </c>
      <c r="AF723" s="46">
        <f t="shared" si="272"/>
        <v>-100</v>
      </c>
      <c r="AG723" s="46">
        <f t="shared" si="291"/>
        <v>-100</v>
      </c>
      <c r="AH723" s="54">
        <f t="shared" si="273"/>
        <v>4844</v>
      </c>
      <c r="AI723" s="55">
        <f t="shared" si="282"/>
        <v>0.22939866369710468</v>
      </c>
      <c r="AJ723" s="55">
        <f t="shared" si="292"/>
        <v>-22.939866369710469</v>
      </c>
      <c r="AK723" s="55">
        <f t="shared" si="293"/>
        <v>-22.939866369710469</v>
      </c>
    </row>
    <row r="724" spans="2:37" s="53" customFormat="1" ht="17.25" customHeight="1" x14ac:dyDescent="0.25">
      <c r="B724" s="91" t="str">
        <f t="shared" si="274"/>
        <v/>
      </c>
      <c r="C724" s="81">
        <f>IF(Sheet3!A695="","",Sheet3!A695)</f>
        <v>42478</v>
      </c>
      <c r="D724" s="82">
        <f>IF(C724="","",Sheet3!E695)</f>
        <v>38.07</v>
      </c>
      <c r="E724" s="56">
        <f>_xlfn.XLOOKUP(WEEKNUM(C724)&amp;YEAR(C724),Sheet4!C:C,Sheet4!B:B,0)</f>
        <v>0</v>
      </c>
      <c r="F724" s="46">
        <f>IF(int=Weekly,-$D$5,IF(int=Bi_Weekly,0,IF(int=Monthly,0,IF(int=Quarterly,0,IF(int=Yearly,0,IF(int=None,0,0))))))</f>
        <v>0</v>
      </c>
      <c r="G724" s="46"/>
      <c r="H724" s="46">
        <f t="shared" si="283"/>
        <v>-17350</v>
      </c>
      <c r="I724" s="47"/>
      <c r="J724" s="38">
        <f t="shared" si="270"/>
        <v>0</v>
      </c>
      <c r="K724" s="48"/>
      <c r="L724" s="48">
        <f t="shared" si="275"/>
        <v>586.87306603863794</v>
      </c>
      <c r="M724" s="48"/>
      <c r="N724" s="38">
        <f t="shared" si="276"/>
        <v>0</v>
      </c>
      <c r="O724" s="36">
        <f t="shared" si="277"/>
        <v>0</v>
      </c>
      <c r="P724" s="84">
        <f t="shared" si="278"/>
        <v>-24521.21473519535</v>
      </c>
      <c r="Q724" s="38">
        <f t="shared" si="279"/>
        <v>0</v>
      </c>
      <c r="R724" s="48">
        <f t="shared" si="280"/>
        <v>227.01143345081397</v>
      </c>
      <c r="S724" s="38">
        <f t="shared" si="271"/>
        <v>813.88449948945185</v>
      </c>
      <c r="T724" s="50">
        <f t="shared" si="284"/>
        <v>17350</v>
      </c>
      <c r="U724" s="40">
        <f t="shared" si="285"/>
        <v>22342.257624090948</v>
      </c>
      <c r="V724" s="41">
        <f t="shared" si="286"/>
        <v>0.28773819159025638</v>
      </c>
      <c r="W724" s="39">
        <f t="shared" si="287"/>
        <v>4992.2576240909475</v>
      </c>
      <c r="X724" s="50">
        <f t="shared" si="281"/>
        <v>7171.6834852116217</v>
      </c>
      <c r="Y724" s="41">
        <f t="shared" si="288"/>
        <v>0.70109170658804443</v>
      </c>
      <c r="Z724" s="52"/>
      <c r="AA724" s="50">
        <f t="shared" si="294"/>
        <v>24521.683485211626</v>
      </c>
      <c r="AB724" s="39">
        <f t="shared" si="295"/>
        <v>30984.582895563435</v>
      </c>
      <c r="AC724" s="39">
        <f t="shared" si="289"/>
        <v>6462.8994103518089</v>
      </c>
      <c r="AD724" s="41">
        <f t="shared" si="290"/>
        <v>0.26355855274983098</v>
      </c>
      <c r="AF724" s="46">
        <f t="shared" si="272"/>
        <v>0</v>
      </c>
      <c r="AG724" s="46">
        <f t="shared" si="291"/>
        <v>0</v>
      </c>
      <c r="AH724" s="54">
        <f t="shared" si="273"/>
        <v>4851</v>
      </c>
      <c r="AI724" s="55">
        <f t="shared" si="282"/>
        <v>0.22828507795100222</v>
      </c>
      <c r="AJ724" s="55">
        <f t="shared" si="292"/>
        <v>0</v>
      </c>
      <c r="AK724" s="55">
        <f t="shared" si="293"/>
        <v>0</v>
      </c>
    </row>
    <row r="725" spans="2:37" s="53" customFormat="1" ht="17.25" customHeight="1" x14ac:dyDescent="0.25">
      <c r="B725" s="91" t="str">
        <f t="shared" si="274"/>
        <v/>
      </c>
      <c r="C725" s="81">
        <f>IF(Sheet3!A696="","",Sheet3!A696)</f>
        <v>42485</v>
      </c>
      <c r="D725" s="82">
        <f>IF(C725="","",Sheet3!E696)</f>
        <v>38.82</v>
      </c>
      <c r="E725" s="56">
        <f>_xlfn.XLOOKUP(WEEKNUM(C725)&amp;YEAR(C725),Sheet4!C:C,Sheet4!B:B,0)</f>
        <v>0</v>
      </c>
      <c r="F725" s="46">
        <f>IF(int=Weekly,-$D$5,IF(int=Bi_Weekly,-$D$5,IF(int=Monthly,0,IF(int=Quarterly,0,IF(int=Yearly,0,IF(int=None,0,0))))))</f>
        <v>0</v>
      </c>
      <c r="G725" s="46"/>
      <c r="H725" s="46">
        <f t="shared" si="283"/>
        <v>-17350</v>
      </c>
      <c r="I725" s="47"/>
      <c r="J725" s="38">
        <f t="shared" si="270"/>
        <v>0</v>
      </c>
      <c r="K725" s="48"/>
      <c r="L725" s="48">
        <f t="shared" si="275"/>
        <v>586.87306603863794</v>
      </c>
      <c r="M725" s="48"/>
      <c r="N725" s="38">
        <f t="shared" si="276"/>
        <v>0</v>
      </c>
      <c r="O725" s="36">
        <f t="shared" si="277"/>
        <v>0</v>
      </c>
      <c r="P725" s="84">
        <f t="shared" si="278"/>
        <v>-24521.21473519535</v>
      </c>
      <c r="Q725" s="38">
        <f t="shared" si="279"/>
        <v>0</v>
      </c>
      <c r="R725" s="48">
        <f t="shared" si="280"/>
        <v>227.01143345081397</v>
      </c>
      <c r="S725" s="38">
        <f t="shared" si="271"/>
        <v>813.88449948945185</v>
      </c>
      <c r="T725" s="50">
        <f t="shared" si="284"/>
        <v>17350</v>
      </c>
      <c r="U725" s="40">
        <f t="shared" si="285"/>
        <v>22782.412423619924</v>
      </c>
      <c r="V725" s="41">
        <f t="shared" si="286"/>
        <v>0.31310734430086007</v>
      </c>
      <c r="W725" s="39">
        <f t="shared" si="287"/>
        <v>5432.4124236199241</v>
      </c>
      <c r="X725" s="50">
        <f t="shared" si="281"/>
        <v>7171.6834852116217</v>
      </c>
      <c r="Y725" s="41">
        <f t="shared" si="288"/>
        <v>0.72646085929864812</v>
      </c>
      <c r="Z725" s="52"/>
      <c r="AA725" s="50">
        <f t="shared" si="294"/>
        <v>24521.683485211626</v>
      </c>
      <c r="AB725" s="39">
        <f t="shared" si="295"/>
        <v>31594.99627018052</v>
      </c>
      <c r="AC725" s="39">
        <f t="shared" si="289"/>
        <v>7073.3127849688935</v>
      </c>
      <c r="AD725" s="41">
        <f t="shared" si="290"/>
        <v>0.28845135323741622</v>
      </c>
      <c r="AF725" s="46">
        <f t="shared" si="272"/>
        <v>0</v>
      </c>
      <c r="AG725" s="46">
        <f t="shared" si="291"/>
        <v>0</v>
      </c>
      <c r="AH725" s="54">
        <f t="shared" si="273"/>
        <v>4858</v>
      </c>
      <c r="AI725" s="55">
        <f t="shared" si="282"/>
        <v>0.22717149220489977</v>
      </c>
      <c r="AJ725" s="55">
        <f t="shared" si="292"/>
        <v>0</v>
      </c>
      <c r="AK725" s="55">
        <f t="shared" si="293"/>
        <v>0</v>
      </c>
    </row>
    <row r="726" spans="2:37" s="53" customFormat="1" ht="17.25" customHeight="1" x14ac:dyDescent="0.25">
      <c r="B726" s="91" t="str">
        <f t="shared" si="274"/>
        <v/>
      </c>
      <c r="C726" s="81">
        <f>IF(Sheet3!A697="","",Sheet3!A697)</f>
        <v>42492</v>
      </c>
      <c r="D726" s="82">
        <f>IF(C726="","",Sheet3!E697)</f>
        <v>38.990001999999997</v>
      </c>
      <c r="E726" s="56">
        <f>_xlfn.XLOOKUP(WEEKNUM(C726)&amp;YEAR(C726),Sheet4!C:C,Sheet4!B:B,0)</f>
        <v>0</v>
      </c>
      <c r="F726" s="46">
        <f>IF(int=Weekly,-$D$5,IF(int=Bi_Weekly,0,IF(int=Monthly,0,IF(int=Quarterly,0,IF(int=Yearly,0,IF(int=None,0,0))))))</f>
        <v>0</v>
      </c>
      <c r="G726" s="46"/>
      <c r="H726" s="46">
        <f t="shared" si="283"/>
        <v>-17350</v>
      </c>
      <c r="I726" s="47"/>
      <c r="J726" s="38">
        <f t="shared" si="270"/>
        <v>0</v>
      </c>
      <c r="K726" s="48"/>
      <c r="L726" s="48">
        <f t="shared" si="275"/>
        <v>586.87306603863794</v>
      </c>
      <c r="M726" s="48"/>
      <c r="N726" s="38">
        <f t="shared" si="276"/>
        <v>0</v>
      </c>
      <c r="O726" s="36">
        <f t="shared" si="277"/>
        <v>0</v>
      </c>
      <c r="P726" s="84">
        <f t="shared" si="278"/>
        <v>-24521.21473519535</v>
      </c>
      <c r="Q726" s="38">
        <f t="shared" si="279"/>
        <v>0</v>
      </c>
      <c r="R726" s="48">
        <f t="shared" si="280"/>
        <v>227.01143345081397</v>
      </c>
      <c r="S726" s="38">
        <f t="shared" si="271"/>
        <v>813.88449948945185</v>
      </c>
      <c r="T726" s="50">
        <f t="shared" si="284"/>
        <v>17350</v>
      </c>
      <c r="U726" s="40">
        <f t="shared" si="285"/>
        <v>22882.182018592623</v>
      </c>
      <c r="V726" s="41">
        <f t="shared" si="286"/>
        <v>0.31885775323300414</v>
      </c>
      <c r="W726" s="39">
        <f t="shared" si="287"/>
        <v>5532.1820185926226</v>
      </c>
      <c r="X726" s="50">
        <f t="shared" si="281"/>
        <v>7171.6834852116217</v>
      </c>
      <c r="Y726" s="41">
        <f t="shared" si="288"/>
        <v>0.73221126823079219</v>
      </c>
      <c r="Z726" s="52"/>
      <c r="AA726" s="50">
        <f t="shared" si="294"/>
        <v>24521.683485211626</v>
      </c>
      <c r="AB726" s="39">
        <f t="shared" si="295"/>
        <v>31733.358262862726</v>
      </c>
      <c r="AC726" s="39">
        <f t="shared" si="289"/>
        <v>7211.6747776511002</v>
      </c>
      <c r="AD726" s="41">
        <f t="shared" si="290"/>
        <v>0.29409378772873684</v>
      </c>
      <c r="AF726" s="46">
        <f t="shared" si="272"/>
        <v>0</v>
      </c>
      <c r="AG726" s="46">
        <f t="shared" si="291"/>
        <v>0</v>
      </c>
      <c r="AH726" s="54">
        <f t="shared" si="273"/>
        <v>4865</v>
      </c>
      <c r="AI726" s="55">
        <f t="shared" si="282"/>
        <v>0.22605790645879734</v>
      </c>
      <c r="AJ726" s="55">
        <f t="shared" si="292"/>
        <v>0</v>
      </c>
      <c r="AK726" s="55">
        <f t="shared" si="293"/>
        <v>0</v>
      </c>
    </row>
    <row r="727" spans="2:37" s="53" customFormat="1" ht="17.25" customHeight="1" x14ac:dyDescent="0.25">
      <c r="B727" s="91" t="str">
        <f t="shared" si="274"/>
        <v/>
      </c>
      <c r="C727" s="81">
        <f>IF(Sheet3!A698="","",Sheet3!A698)</f>
        <v>42499</v>
      </c>
      <c r="D727" s="82">
        <f>IF(C727="","",Sheet3!E698)</f>
        <v>39.150002000000001</v>
      </c>
      <c r="E727" s="56">
        <f>_xlfn.XLOOKUP(WEEKNUM(C727)&amp;YEAR(C727),Sheet4!C:C,Sheet4!B:B,0)</f>
        <v>0</v>
      </c>
      <c r="F727" s="46">
        <f>IF(int=Weekly,-$D$5,IF(int=Bi_Weekly,-$D$5,IF(int=Monthly,-$D$5,IF(int=Quarterly,0,IF(int=Yearly,0,IF(int=None,0,0))))))</f>
        <v>-100</v>
      </c>
      <c r="G727" s="46"/>
      <c r="H727" s="46">
        <f t="shared" si="283"/>
        <v>-17450</v>
      </c>
      <c r="I727" s="47"/>
      <c r="J727" s="38">
        <f t="shared" si="270"/>
        <v>2.5542782858606241</v>
      </c>
      <c r="K727" s="48"/>
      <c r="L727" s="48">
        <f t="shared" si="275"/>
        <v>589.42734432449856</v>
      </c>
      <c r="M727" s="48"/>
      <c r="N727" s="38">
        <f t="shared" si="276"/>
        <v>0</v>
      </c>
      <c r="O727" s="36">
        <f t="shared" si="277"/>
        <v>0</v>
      </c>
      <c r="P727" s="84">
        <f t="shared" si="278"/>
        <v>-24621.21473519535</v>
      </c>
      <c r="Q727" s="38">
        <f t="shared" si="279"/>
        <v>0</v>
      </c>
      <c r="R727" s="48">
        <f t="shared" si="280"/>
        <v>227.01143345081397</v>
      </c>
      <c r="S727" s="38">
        <f t="shared" si="271"/>
        <v>816.43877777531247</v>
      </c>
      <c r="T727" s="50">
        <f t="shared" si="284"/>
        <v>17450</v>
      </c>
      <c r="U727" s="40">
        <f t="shared" si="285"/>
        <v>23076.081709158807</v>
      </c>
      <c r="V727" s="41">
        <f t="shared" si="286"/>
        <v>0.32241155926411502</v>
      </c>
      <c r="W727" s="39">
        <f t="shared" si="287"/>
        <v>5626.0817091588069</v>
      </c>
      <c r="X727" s="50">
        <f t="shared" si="281"/>
        <v>7171.6834852116217</v>
      </c>
      <c r="Y727" s="41">
        <f t="shared" si="288"/>
        <v>0.73339628621033981</v>
      </c>
      <c r="Z727" s="52"/>
      <c r="AA727" s="50">
        <f t="shared" si="294"/>
        <v>24621.683485211626</v>
      </c>
      <c r="AB727" s="39">
        <f t="shared" si="295"/>
        <v>31963.579782781038</v>
      </c>
      <c r="AC727" s="39">
        <f t="shared" si="289"/>
        <v>7341.8962975694121</v>
      </c>
      <c r="AD727" s="41">
        <f t="shared" si="290"/>
        <v>0.29818823322861454</v>
      </c>
      <c r="AF727" s="46">
        <f t="shared" si="272"/>
        <v>-100</v>
      </c>
      <c r="AG727" s="46">
        <f t="shared" si="291"/>
        <v>-100</v>
      </c>
      <c r="AH727" s="54">
        <f t="shared" si="273"/>
        <v>4872</v>
      </c>
      <c r="AI727" s="55">
        <f t="shared" si="282"/>
        <v>0.22494432071269488</v>
      </c>
      <c r="AJ727" s="55">
        <f t="shared" si="292"/>
        <v>-22.494432071269486</v>
      </c>
      <c r="AK727" s="55">
        <f t="shared" si="293"/>
        <v>-22.494432071269486</v>
      </c>
    </row>
    <row r="728" spans="2:37" s="53" customFormat="1" ht="17.25" customHeight="1" x14ac:dyDescent="0.25">
      <c r="B728" s="91" t="str">
        <f t="shared" si="274"/>
        <v/>
      </c>
      <c r="C728" s="81">
        <f>IF(Sheet3!A699="","",Sheet3!A699)</f>
        <v>42506</v>
      </c>
      <c r="D728" s="82">
        <f>IF(C728="","",Sheet3!E699)</f>
        <v>38.450001</v>
      </c>
      <c r="E728" s="56">
        <f>_xlfn.XLOOKUP(WEEKNUM(C728)&amp;YEAR(C728),Sheet4!C:C,Sheet4!B:B,0)</f>
        <v>0</v>
      </c>
      <c r="F728" s="46">
        <f>IF(int=Weekly,-$D$5,IF(int=Bi_Weekly,0,IF(int=Monthly,0,IF(int=Quarterly,0,IF(int=Yearly,0,IF(int=None,0,0))))))</f>
        <v>0</v>
      </c>
      <c r="G728" s="46"/>
      <c r="H728" s="46">
        <f t="shared" si="283"/>
        <v>-17450</v>
      </c>
      <c r="I728" s="47"/>
      <c r="J728" s="38">
        <f t="shared" si="270"/>
        <v>0</v>
      </c>
      <c r="K728" s="48"/>
      <c r="L728" s="48">
        <f t="shared" si="275"/>
        <v>589.42734432449856</v>
      </c>
      <c r="M728" s="48"/>
      <c r="N728" s="38">
        <f t="shared" si="276"/>
        <v>0</v>
      </c>
      <c r="O728" s="36">
        <f t="shared" si="277"/>
        <v>0</v>
      </c>
      <c r="P728" s="84">
        <f t="shared" si="278"/>
        <v>-24621.21473519535</v>
      </c>
      <c r="Q728" s="38">
        <f t="shared" si="279"/>
        <v>0</v>
      </c>
      <c r="R728" s="48">
        <f t="shared" si="280"/>
        <v>227.01143345081397</v>
      </c>
      <c r="S728" s="38">
        <f t="shared" si="271"/>
        <v>816.43877777531247</v>
      </c>
      <c r="T728" s="50">
        <f t="shared" si="284"/>
        <v>17450</v>
      </c>
      <c r="U728" s="40">
        <f t="shared" si="285"/>
        <v>22663.481978704312</v>
      </c>
      <c r="V728" s="41">
        <f t="shared" si="286"/>
        <v>0.29876687557044779</v>
      </c>
      <c r="W728" s="39">
        <f t="shared" si="287"/>
        <v>5213.4819787043125</v>
      </c>
      <c r="X728" s="50">
        <f t="shared" si="281"/>
        <v>7171.6834852116217</v>
      </c>
      <c r="Y728" s="41">
        <f t="shared" si="288"/>
        <v>0.70975160251667258</v>
      </c>
      <c r="Z728" s="52"/>
      <c r="AA728" s="50">
        <f t="shared" si="294"/>
        <v>24621.683485211626</v>
      </c>
      <c r="AB728" s="39">
        <f t="shared" si="295"/>
        <v>31392.071821899543</v>
      </c>
      <c r="AC728" s="39">
        <f t="shared" si="289"/>
        <v>6770.3883366879163</v>
      </c>
      <c r="AD728" s="41">
        <f t="shared" si="290"/>
        <v>0.27497666196360515</v>
      </c>
      <c r="AF728" s="46">
        <f t="shared" si="272"/>
        <v>0</v>
      </c>
      <c r="AG728" s="46">
        <f t="shared" si="291"/>
        <v>0</v>
      </c>
      <c r="AH728" s="54">
        <f t="shared" si="273"/>
        <v>4879</v>
      </c>
      <c r="AI728" s="55">
        <f t="shared" si="282"/>
        <v>0.22383073496659242</v>
      </c>
      <c r="AJ728" s="55">
        <f t="shared" si="292"/>
        <v>0</v>
      </c>
      <c r="AK728" s="55">
        <f t="shared" si="293"/>
        <v>0</v>
      </c>
    </row>
    <row r="729" spans="2:37" s="53" customFormat="1" ht="17.25" customHeight="1" x14ac:dyDescent="0.25">
      <c r="B729" s="91" t="str">
        <f t="shared" si="274"/>
        <v/>
      </c>
      <c r="C729" s="81">
        <f>IF(Sheet3!A700="","",Sheet3!A700)</f>
        <v>42513</v>
      </c>
      <c r="D729" s="82">
        <f>IF(C729="","",Sheet3!E700)</f>
        <v>38.990001999999997</v>
      </c>
      <c r="E729" s="56">
        <f>_xlfn.XLOOKUP(WEEKNUM(C729)&amp;YEAR(C729),Sheet4!C:C,Sheet4!B:B,0)</f>
        <v>0</v>
      </c>
      <c r="F729" s="46">
        <f>IF(int=Weekly,-$D$5,IF(int=Bi_Weekly,-$D$5,IF(int=Monthly,0,IF(int=Quarterly,0,IF(int=Yearly,0,IF(int=None,0,0))))))</f>
        <v>0</v>
      </c>
      <c r="G729" s="46"/>
      <c r="H729" s="46">
        <f t="shared" si="283"/>
        <v>-17450</v>
      </c>
      <c r="I729" s="47"/>
      <c r="J729" s="38">
        <f t="shared" si="270"/>
        <v>0</v>
      </c>
      <c r="K729" s="48"/>
      <c r="L729" s="48">
        <f t="shared" si="275"/>
        <v>589.42734432449856</v>
      </c>
      <c r="M729" s="48"/>
      <c r="N729" s="38">
        <f t="shared" si="276"/>
        <v>0</v>
      </c>
      <c r="O729" s="36">
        <f t="shared" si="277"/>
        <v>0</v>
      </c>
      <c r="P729" s="84">
        <f t="shared" si="278"/>
        <v>-24621.21473519535</v>
      </c>
      <c r="Q729" s="38">
        <f t="shared" si="279"/>
        <v>0</v>
      </c>
      <c r="R729" s="48">
        <f t="shared" si="280"/>
        <v>227.01143345081397</v>
      </c>
      <c r="S729" s="38">
        <f t="shared" si="271"/>
        <v>816.43877777531247</v>
      </c>
      <c r="T729" s="50">
        <f t="shared" si="284"/>
        <v>17450</v>
      </c>
      <c r="U729" s="40">
        <f t="shared" si="285"/>
        <v>22981.773334066886</v>
      </c>
      <c r="V729" s="41">
        <f t="shared" si="286"/>
        <v>0.31700706785483579</v>
      </c>
      <c r="W729" s="39">
        <f t="shared" si="287"/>
        <v>5531.7733340668856</v>
      </c>
      <c r="X729" s="50">
        <f t="shared" si="281"/>
        <v>7171.6834852116217</v>
      </c>
      <c r="Y729" s="41">
        <f t="shared" si="288"/>
        <v>0.72799179480106058</v>
      </c>
      <c r="Z729" s="52"/>
      <c r="AA729" s="50">
        <f t="shared" si="294"/>
        <v>24621.683485211626</v>
      </c>
      <c r="AB729" s="39">
        <f t="shared" si="295"/>
        <v>31832.949578336986</v>
      </c>
      <c r="AC729" s="39">
        <f t="shared" si="289"/>
        <v>7211.2660931253595</v>
      </c>
      <c r="AD729" s="41">
        <f t="shared" si="290"/>
        <v>0.29288273880446147</v>
      </c>
      <c r="AF729" s="46">
        <f t="shared" si="272"/>
        <v>0</v>
      </c>
      <c r="AG729" s="46">
        <f t="shared" si="291"/>
        <v>0</v>
      </c>
      <c r="AH729" s="54">
        <f t="shared" si="273"/>
        <v>4886</v>
      </c>
      <c r="AI729" s="55">
        <f t="shared" si="282"/>
        <v>0.22271714922048999</v>
      </c>
      <c r="AJ729" s="55">
        <f t="shared" si="292"/>
        <v>0</v>
      </c>
      <c r="AK729" s="55">
        <f t="shared" si="293"/>
        <v>0</v>
      </c>
    </row>
    <row r="730" spans="2:37" s="53" customFormat="1" ht="17.25" customHeight="1" x14ac:dyDescent="0.25">
      <c r="B730" s="91" t="str">
        <f t="shared" si="274"/>
        <v/>
      </c>
      <c r="C730" s="81">
        <f>IF(Sheet3!A701="","",Sheet3!A701)</f>
        <v>42520</v>
      </c>
      <c r="D730" s="82">
        <f>IF(C730="","",Sheet3!E701)</f>
        <v>39.209999000000003</v>
      </c>
      <c r="E730" s="56">
        <f>_xlfn.XLOOKUP(WEEKNUM(C730)&amp;YEAR(C730),Sheet4!C:C,Sheet4!B:B,0)</f>
        <v>0</v>
      </c>
      <c r="F730" s="46">
        <f>IF(int=Weekly,-$D$5,IF(int=Bi_Weekly,0,IF(int=Monthly,0,IF(int=Quarterly,0,IF(int=Yearly,0,IF(int=None,0,0))))))</f>
        <v>0</v>
      </c>
      <c r="G730" s="46"/>
      <c r="H730" s="46">
        <f t="shared" si="283"/>
        <v>-17450</v>
      </c>
      <c r="I730" s="47"/>
      <c r="J730" s="38">
        <f t="shared" si="270"/>
        <v>0</v>
      </c>
      <c r="K730" s="48"/>
      <c r="L730" s="48">
        <f t="shared" si="275"/>
        <v>589.42734432449856</v>
      </c>
      <c r="M730" s="48"/>
      <c r="N730" s="38">
        <f t="shared" si="276"/>
        <v>0</v>
      </c>
      <c r="O730" s="36">
        <f t="shared" si="277"/>
        <v>0</v>
      </c>
      <c r="P730" s="84">
        <f t="shared" si="278"/>
        <v>-24621.21473519535</v>
      </c>
      <c r="Q730" s="38">
        <f t="shared" si="279"/>
        <v>0</v>
      </c>
      <c r="R730" s="48">
        <f t="shared" si="280"/>
        <v>227.01143345081397</v>
      </c>
      <c r="S730" s="38">
        <f t="shared" si="271"/>
        <v>816.43877777531247</v>
      </c>
      <c r="T730" s="50">
        <f t="shared" si="284"/>
        <v>17450</v>
      </c>
      <c r="U730" s="40">
        <f t="shared" si="285"/>
        <v>23111.445581536245</v>
      </c>
      <c r="V730" s="41">
        <f t="shared" si="286"/>
        <v>0.32443814220838085</v>
      </c>
      <c r="W730" s="39">
        <f t="shared" si="287"/>
        <v>5661.4455815362453</v>
      </c>
      <c r="X730" s="50">
        <f t="shared" si="281"/>
        <v>7171.6834852116217</v>
      </c>
      <c r="Y730" s="41">
        <f t="shared" si="288"/>
        <v>0.73542286915460564</v>
      </c>
      <c r="Z730" s="52"/>
      <c r="AA730" s="50">
        <f t="shared" si="294"/>
        <v>24621.683485211626</v>
      </c>
      <c r="AB730" s="39">
        <f t="shared" si="295"/>
        <v>32012.563660131229</v>
      </c>
      <c r="AC730" s="39">
        <f t="shared" si="289"/>
        <v>7390.8801749196027</v>
      </c>
      <c r="AD730" s="41">
        <f t="shared" si="290"/>
        <v>0.30017769415965168</v>
      </c>
      <c r="AF730" s="46">
        <f t="shared" si="272"/>
        <v>0</v>
      </c>
      <c r="AG730" s="46">
        <f t="shared" si="291"/>
        <v>0</v>
      </c>
      <c r="AH730" s="54">
        <f t="shared" si="273"/>
        <v>4893</v>
      </c>
      <c r="AI730" s="55">
        <f t="shared" si="282"/>
        <v>0.22160356347438753</v>
      </c>
      <c r="AJ730" s="55">
        <f t="shared" si="292"/>
        <v>0</v>
      </c>
      <c r="AK730" s="55">
        <f t="shared" si="293"/>
        <v>0</v>
      </c>
    </row>
    <row r="731" spans="2:37" s="53" customFormat="1" ht="17.25" customHeight="1" x14ac:dyDescent="0.25">
      <c r="B731" s="91" t="str">
        <f t="shared" si="274"/>
        <v/>
      </c>
      <c r="C731" s="81">
        <f>IF(Sheet3!A702="","",Sheet3!A702)</f>
        <v>42527</v>
      </c>
      <c r="D731" s="82">
        <f>IF(C731="","",Sheet3!E702)</f>
        <v>40.330002</v>
      </c>
      <c r="E731" s="56">
        <f>_xlfn.XLOOKUP(WEEKNUM(C731)&amp;YEAR(C731),Sheet4!C:C,Sheet4!B:B,0)</f>
        <v>0</v>
      </c>
      <c r="F731" s="46">
        <f>IF(int=Weekly,-$D$5,IF(int=Bi_Weekly,-$D$5,IF(int=Monthly,-$D$5,IF(int=Quarterly,0,IF(int=Yearly,0,IF(int=None,0,0))))))</f>
        <v>-100</v>
      </c>
      <c r="G731" s="46"/>
      <c r="H731" s="46">
        <f t="shared" si="283"/>
        <v>-17550</v>
      </c>
      <c r="I731" s="47"/>
      <c r="J731" s="38">
        <f t="shared" si="270"/>
        <v>2.4795436409846943</v>
      </c>
      <c r="K731" s="48"/>
      <c r="L731" s="48">
        <f t="shared" si="275"/>
        <v>591.90688796548329</v>
      </c>
      <c r="M731" s="48"/>
      <c r="N731" s="38">
        <f t="shared" si="276"/>
        <v>0</v>
      </c>
      <c r="O731" s="36">
        <f t="shared" si="277"/>
        <v>0</v>
      </c>
      <c r="P731" s="84">
        <f t="shared" si="278"/>
        <v>-24721.21473519535</v>
      </c>
      <c r="Q731" s="38">
        <f t="shared" si="279"/>
        <v>0</v>
      </c>
      <c r="R731" s="48">
        <f t="shared" si="280"/>
        <v>227.01143345081397</v>
      </c>
      <c r="S731" s="38">
        <f t="shared" si="271"/>
        <v>818.9183214162972</v>
      </c>
      <c r="T731" s="50">
        <f t="shared" si="284"/>
        <v>17550</v>
      </c>
      <c r="U731" s="40">
        <f t="shared" si="285"/>
        <v>23871.605975461716</v>
      </c>
      <c r="V731" s="41">
        <f t="shared" si="286"/>
        <v>0.36020546868727732</v>
      </c>
      <c r="W731" s="39">
        <f t="shared" si="287"/>
        <v>6321.6059754617163</v>
      </c>
      <c r="X731" s="50">
        <f t="shared" si="281"/>
        <v>7171.6834852116217</v>
      </c>
      <c r="Y731" s="41">
        <f t="shared" si="288"/>
        <v>0.76884840231756924</v>
      </c>
      <c r="Z731" s="52"/>
      <c r="AA731" s="50">
        <f t="shared" si="294"/>
        <v>24721.683485211626</v>
      </c>
      <c r="AB731" s="39">
        <f t="shared" si="295"/>
        <v>33026.977540555912</v>
      </c>
      <c r="AC731" s="39">
        <f t="shared" si="289"/>
        <v>8305.2940553442859</v>
      </c>
      <c r="AD731" s="41">
        <f t="shared" si="290"/>
        <v>0.33595179957353904</v>
      </c>
      <c r="AF731" s="46">
        <f t="shared" si="272"/>
        <v>-100</v>
      </c>
      <c r="AG731" s="46">
        <f t="shared" si="291"/>
        <v>-100</v>
      </c>
      <c r="AH731" s="54">
        <f t="shared" si="273"/>
        <v>4900</v>
      </c>
      <c r="AI731" s="55">
        <f t="shared" si="282"/>
        <v>0.22048997772828507</v>
      </c>
      <c r="AJ731" s="55">
        <f t="shared" si="292"/>
        <v>-22.048997772828507</v>
      </c>
      <c r="AK731" s="55">
        <f t="shared" si="293"/>
        <v>-22.048997772828507</v>
      </c>
    </row>
    <row r="732" spans="2:37" s="53" customFormat="1" ht="17.25" customHeight="1" x14ac:dyDescent="0.25">
      <c r="B732" s="91" t="str">
        <f t="shared" si="274"/>
        <v/>
      </c>
      <c r="C732" s="81">
        <f>IF(Sheet3!A703="","",Sheet3!A703)</f>
        <v>42534</v>
      </c>
      <c r="D732" s="82">
        <f>IF(C732="","",Sheet3!E703)</f>
        <v>40.729999999999997</v>
      </c>
      <c r="E732" s="56">
        <f>_xlfn.XLOOKUP(WEEKNUM(C732)&amp;YEAR(C732),Sheet4!C:C,Sheet4!B:B,0)</f>
        <v>0</v>
      </c>
      <c r="F732" s="46">
        <f>IF(int=Weekly,-$D$5,IF(int=Bi_Weekly,0,IF(int=Monthly,0,IF(int=Quarterly,0,IF(int=Yearly,0,IF(int=None,0,0))))))</f>
        <v>0</v>
      </c>
      <c r="G732" s="46"/>
      <c r="H732" s="46">
        <f t="shared" si="283"/>
        <v>-17550</v>
      </c>
      <c r="I732" s="47"/>
      <c r="J732" s="38">
        <f t="shared" si="270"/>
        <v>0</v>
      </c>
      <c r="K732" s="48"/>
      <c r="L732" s="48">
        <f t="shared" si="275"/>
        <v>591.90688796548329</v>
      </c>
      <c r="M732" s="48"/>
      <c r="N732" s="38">
        <f t="shared" si="276"/>
        <v>0</v>
      </c>
      <c r="O732" s="36">
        <f t="shared" si="277"/>
        <v>0</v>
      </c>
      <c r="P732" s="84">
        <f t="shared" si="278"/>
        <v>-24721.21473519535</v>
      </c>
      <c r="Q732" s="38">
        <f t="shared" si="279"/>
        <v>0</v>
      </c>
      <c r="R732" s="48">
        <f t="shared" si="280"/>
        <v>227.01143345081397</v>
      </c>
      <c r="S732" s="38">
        <f t="shared" si="271"/>
        <v>818.9183214162972</v>
      </c>
      <c r="T732" s="50">
        <f t="shared" si="284"/>
        <v>17550</v>
      </c>
      <c r="U732" s="40">
        <f t="shared" si="285"/>
        <v>24108.367546834132</v>
      </c>
      <c r="V732" s="41">
        <f t="shared" si="286"/>
        <v>0.3736961565147654</v>
      </c>
      <c r="W732" s="39">
        <f t="shared" si="287"/>
        <v>6558.3675468341316</v>
      </c>
      <c r="X732" s="50">
        <f t="shared" si="281"/>
        <v>7171.6834852116217</v>
      </c>
      <c r="Y732" s="41">
        <f t="shared" si="288"/>
        <v>0.78233909014505731</v>
      </c>
      <c r="Z732" s="52"/>
      <c r="AA732" s="50">
        <f t="shared" si="294"/>
        <v>24721.683485211626</v>
      </c>
      <c r="AB732" s="39">
        <f t="shared" si="295"/>
        <v>33354.543231285788</v>
      </c>
      <c r="AC732" s="39">
        <f t="shared" si="289"/>
        <v>8632.8597460741621</v>
      </c>
      <c r="AD732" s="41">
        <f t="shared" si="290"/>
        <v>0.34920193647970166</v>
      </c>
      <c r="AF732" s="46">
        <f t="shared" si="272"/>
        <v>0</v>
      </c>
      <c r="AG732" s="46">
        <f t="shared" si="291"/>
        <v>0</v>
      </c>
      <c r="AH732" s="54">
        <f t="shared" si="273"/>
        <v>4907</v>
      </c>
      <c r="AI732" s="55">
        <f t="shared" si="282"/>
        <v>0.21937639198218262</v>
      </c>
      <c r="AJ732" s="55">
        <f t="shared" si="292"/>
        <v>0</v>
      </c>
      <c r="AK732" s="55">
        <f t="shared" si="293"/>
        <v>0</v>
      </c>
    </row>
    <row r="733" spans="2:37" s="53" customFormat="1" ht="17.25" customHeight="1" x14ac:dyDescent="0.25">
      <c r="B733" s="91" t="str">
        <f t="shared" si="274"/>
        <v/>
      </c>
      <c r="C733" s="81">
        <f>IF(Sheet3!A704="","",Sheet3!A704)</f>
        <v>42541</v>
      </c>
      <c r="D733" s="82">
        <f>IF(C733="","",Sheet3!E704)</f>
        <v>41.52</v>
      </c>
      <c r="E733" s="56">
        <f>_xlfn.XLOOKUP(WEEKNUM(C733)&amp;YEAR(C733),Sheet4!C:C,Sheet4!B:B,0)</f>
        <v>0</v>
      </c>
      <c r="F733" s="46">
        <f>IF(int=Weekly,-$D$5,IF(int=Bi_Weekly,-$D$5,IF(int=Monthly,0,IF(int=Quarterly,-$D$5,IF(int=Yearly,0,IF(int=None,0,0))))))</f>
        <v>0</v>
      </c>
      <c r="G733" s="46"/>
      <c r="H733" s="46">
        <f t="shared" si="283"/>
        <v>-17550</v>
      </c>
      <c r="I733" s="47"/>
      <c r="J733" s="38">
        <f t="shared" si="270"/>
        <v>0</v>
      </c>
      <c r="K733" s="48"/>
      <c r="L733" s="48">
        <f t="shared" si="275"/>
        <v>591.90688796548329</v>
      </c>
      <c r="M733" s="48"/>
      <c r="N733" s="38">
        <f t="shared" si="276"/>
        <v>0</v>
      </c>
      <c r="O733" s="36">
        <f t="shared" si="277"/>
        <v>0</v>
      </c>
      <c r="P733" s="84">
        <f t="shared" si="278"/>
        <v>-24721.21473519535</v>
      </c>
      <c r="Q733" s="38">
        <f t="shared" si="279"/>
        <v>0</v>
      </c>
      <c r="R733" s="48">
        <f t="shared" si="280"/>
        <v>227.01143345081397</v>
      </c>
      <c r="S733" s="38">
        <f t="shared" si="271"/>
        <v>818.9183214162972</v>
      </c>
      <c r="T733" s="50">
        <f t="shared" si="284"/>
        <v>17550</v>
      </c>
      <c r="U733" s="40">
        <f t="shared" si="285"/>
        <v>24575.973988326867</v>
      </c>
      <c r="V733" s="41">
        <f t="shared" si="286"/>
        <v>0.40034039819526313</v>
      </c>
      <c r="W733" s="39">
        <f t="shared" si="287"/>
        <v>7025.9739883268667</v>
      </c>
      <c r="X733" s="50">
        <f t="shared" si="281"/>
        <v>7171.6834852116217</v>
      </c>
      <c r="Y733" s="41">
        <f t="shared" si="288"/>
        <v>0.80898333182555504</v>
      </c>
      <c r="Z733" s="52"/>
      <c r="AA733" s="50">
        <f t="shared" si="294"/>
        <v>24721.683485211626</v>
      </c>
      <c r="AB733" s="39">
        <f t="shared" si="295"/>
        <v>34001.488705204662</v>
      </c>
      <c r="AC733" s="39">
        <f t="shared" si="289"/>
        <v>9279.8052199930353</v>
      </c>
      <c r="AD733" s="41">
        <f t="shared" si="290"/>
        <v>0.37537108771512928</v>
      </c>
      <c r="AF733" s="46">
        <f t="shared" si="272"/>
        <v>0</v>
      </c>
      <c r="AG733" s="46">
        <f t="shared" si="291"/>
        <v>0</v>
      </c>
      <c r="AH733" s="54">
        <f t="shared" si="273"/>
        <v>4914</v>
      </c>
      <c r="AI733" s="55">
        <f t="shared" si="282"/>
        <v>0.21826280623608019</v>
      </c>
      <c r="AJ733" s="55">
        <f t="shared" si="292"/>
        <v>0</v>
      </c>
      <c r="AK733" s="55">
        <f t="shared" si="293"/>
        <v>0</v>
      </c>
    </row>
    <row r="734" spans="2:37" s="53" customFormat="1" ht="17.25" customHeight="1" x14ac:dyDescent="0.25">
      <c r="B734" s="91" t="str">
        <f t="shared" si="274"/>
        <v/>
      </c>
      <c r="C734" s="81">
        <f>IF(Sheet3!A705="","",Sheet3!A705)</f>
        <v>42548</v>
      </c>
      <c r="D734" s="82">
        <f>IF(C734="","",Sheet3!E705)</f>
        <v>43.470001000000003</v>
      </c>
      <c r="E734" s="56">
        <f>_xlfn.XLOOKUP(WEEKNUM(C734)&amp;YEAR(C734),Sheet4!C:C,Sheet4!B:B,0)</f>
        <v>0</v>
      </c>
      <c r="F734" s="46">
        <f>IF(int=Weekly,-$D$5,IF(int=Bi_Weekly,0,IF(int=Monthly,0,IF(int=Quarterly,0,IF(int=Yearly,0,IF(int=None,0,0))))))</f>
        <v>0</v>
      </c>
      <c r="G734" s="46"/>
      <c r="H734" s="46">
        <f t="shared" si="283"/>
        <v>-17550</v>
      </c>
      <c r="I734" s="47"/>
      <c r="J734" s="38">
        <f t="shared" si="270"/>
        <v>0</v>
      </c>
      <c r="K734" s="48"/>
      <c r="L734" s="48">
        <f t="shared" si="275"/>
        <v>591.90688796548329</v>
      </c>
      <c r="M734" s="48"/>
      <c r="N734" s="38">
        <f t="shared" si="276"/>
        <v>0</v>
      </c>
      <c r="O734" s="36">
        <f t="shared" si="277"/>
        <v>0</v>
      </c>
      <c r="P734" s="84">
        <f t="shared" si="278"/>
        <v>-24721.21473519535</v>
      </c>
      <c r="Q734" s="38">
        <f t="shared" si="279"/>
        <v>0</v>
      </c>
      <c r="R734" s="48">
        <f t="shared" si="280"/>
        <v>227.01143345081397</v>
      </c>
      <c r="S734" s="38">
        <f t="shared" si="271"/>
        <v>818.9183214162972</v>
      </c>
      <c r="T734" s="50">
        <f t="shared" si="284"/>
        <v>17550</v>
      </c>
      <c r="U734" s="40">
        <f t="shared" si="285"/>
        <v>25730.193011766449</v>
      </c>
      <c r="V734" s="41">
        <f t="shared" si="286"/>
        <v>0.46610786391831627</v>
      </c>
      <c r="W734" s="39">
        <f t="shared" si="287"/>
        <v>8180.1930117664488</v>
      </c>
      <c r="X734" s="50">
        <f t="shared" si="281"/>
        <v>7171.6834852116217</v>
      </c>
      <c r="Y734" s="41">
        <f t="shared" si="288"/>
        <v>0.87475079754860774</v>
      </c>
      <c r="Z734" s="52"/>
      <c r="AA734" s="50">
        <f t="shared" si="294"/>
        <v>24721.683485211626</v>
      </c>
      <c r="AB734" s="39">
        <f t="shared" si="295"/>
        <v>35598.380250884766</v>
      </c>
      <c r="AC734" s="39">
        <f t="shared" si="289"/>
        <v>10876.696765673139</v>
      </c>
      <c r="AD734" s="41">
        <f t="shared" si="290"/>
        <v>0.43996586123188242</v>
      </c>
      <c r="AF734" s="46">
        <f t="shared" si="272"/>
        <v>0</v>
      </c>
      <c r="AG734" s="46">
        <f t="shared" si="291"/>
        <v>0</v>
      </c>
      <c r="AH734" s="54">
        <f t="shared" si="273"/>
        <v>4921</v>
      </c>
      <c r="AI734" s="55">
        <f t="shared" si="282"/>
        <v>0.21714922048997773</v>
      </c>
      <c r="AJ734" s="55">
        <f t="shared" si="292"/>
        <v>0</v>
      </c>
      <c r="AK734" s="55">
        <f t="shared" si="293"/>
        <v>0</v>
      </c>
    </row>
    <row r="735" spans="2:37" s="53" customFormat="1" ht="17.25" customHeight="1" x14ac:dyDescent="0.25">
      <c r="B735" s="91" t="str">
        <f t="shared" si="274"/>
        <v/>
      </c>
      <c r="C735" s="81">
        <f>IF(Sheet3!A706="","",Sheet3!A706)</f>
        <v>42555</v>
      </c>
      <c r="D735" s="82">
        <f>IF(C735="","",Sheet3!E706)</f>
        <v>42.610000999999997</v>
      </c>
      <c r="E735" s="56">
        <f>_xlfn.XLOOKUP(WEEKNUM(C735)&amp;YEAR(C735),Sheet4!C:C,Sheet4!B:B,0)</f>
        <v>0.48</v>
      </c>
      <c r="F735" s="46">
        <f>IF(int=Weekly,-$D$5,IF(int=Bi_Weekly,-$D$5,IF(int=Monthly,-$D$5,IF(int=Quarterly,0,IF(int=Yearly,0,IF(int=None,0,0))))))</f>
        <v>-100</v>
      </c>
      <c r="G735" s="46"/>
      <c r="H735" s="46">
        <f t="shared" si="283"/>
        <v>-17650</v>
      </c>
      <c r="I735" s="47"/>
      <c r="J735" s="38">
        <f t="shared" ref="J735:J798" si="296">IF(D$24=0,"",ABS($F735*D$24)/D735)</f>
        <v>2.3468668775670767</v>
      </c>
      <c r="K735" s="48"/>
      <c r="L735" s="48">
        <f t="shared" si="275"/>
        <v>594.25375484305039</v>
      </c>
      <c r="M735" s="48"/>
      <c r="N735" s="38">
        <f t="shared" si="276"/>
        <v>285.24180232466415</v>
      </c>
      <c r="O735" s="36">
        <f t="shared" si="277"/>
        <v>-285.24180232466415</v>
      </c>
      <c r="P735" s="84">
        <f t="shared" si="278"/>
        <v>-25106.456537520015</v>
      </c>
      <c r="Q735" s="38">
        <f t="shared" si="279"/>
        <v>6.694245379732898</v>
      </c>
      <c r="R735" s="48">
        <f t="shared" si="280"/>
        <v>233.70567883054687</v>
      </c>
      <c r="S735" s="38">
        <f t="shared" ref="S735:S798" si="297">IF(D735=0,"",L735+R735)</f>
        <v>827.95943367359723</v>
      </c>
      <c r="T735" s="50">
        <f t="shared" si="284"/>
        <v>17650</v>
      </c>
      <c r="U735" s="40">
        <f t="shared" si="285"/>
        <v>25321.153088116131</v>
      </c>
      <c r="V735" s="41">
        <f t="shared" si="286"/>
        <v>0.43462623728703287</v>
      </c>
      <c r="W735" s="39">
        <f t="shared" si="287"/>
        <v>7671.1530881161307</v>
      </c>
      <c r="X735" s="50">
        <f t="shared" si="281"/>
        <v>7456.9252875362854</v>
      </c>
      <c r="Y735" s="41">
        <f t="shared" si="288"/>
        <v>0.85711492213328144</v>
      </c>
      <c r="Z735" s="52"/>
      <c r="AA735" s="50">
        <f t="shared" si="294"/>
        <v>25106.925287536291</v>
      </c>
      <c r="AB735" s="39">
        <f t="shared" si="295"/>
        <v>35279.35229679141</v>
      </c>
      <c r="AC735" s="39">
        <f t="shared" si="289"/>
        <v>10172.42700925512</v>
      </c>
      <c r="AD735" s="41">
        <f t="shared" si="290"/>
        <v>0.40516418847611613</v>
      </c>
      <c r="AF735" s="46">
        <f t="shared" ref="AF735:AF798" si="298">F735+ABS(O735)</f>
        <v>185.24180232466415</v>
      </c>
      <c r="AG735" s="46">
        <f t="shared" si="291"/>
        <v>-100</v>
      </c>
      <c r="AH735" s="54">
        <f t="shared" ref="AH735:AH798" si="299">DATEDIF($C$31,C735,"d")</f>
        <v>4928</v>
      </c>
      <c r="AI735" s="55">
        <f t="shared" si="282"/>
        <v>0.21603563474387527</v>
      </c>
      <c r="AJ735" s="55">
        <f t="shared" si="292"/>
        <v>40.018830346308292</v>
      </c>
      <c r="AK735" s="55">
        <f t="shared" si="293"/>
        <v>-21.603563474387528</v>
      </c>
    </row>
    <row r="736" spans="2:37" s="53" customFormat="1" ht="17.25" customHeight="1" x14ac:dyDescent="0.25">
      <c r="B736" s="91" t="str">
        <f t="shared" ref="B736:B799" si="300">IF(C735="","",IF(C$30&lt;C736,"",B735+1))</f>
        <v/>
      </c>
      <c r="C736" s="81">
        <f>IF(Sheet3!A707="","",Sheet3!A707)</f>
        <v>42562</v>
      </c>
      <c r="D736" s="82">
        <f>IF(C736="","",Sheet3!E707)</f>
        <v>42.889999000000003</v>
      </c>
      <c r="E736" s="56">
        <f>_xlfn.XLOOKUP(WEEKNUM(C736)&amp;YEAR(C736),Sheet4!C:C,Sheet4!B:B,0)</f>
        <v>0</v>
      </c>
      <c r="F736" s="46">
        <f>IF(int=Weekly,-$D$5,IF(int=Bi_Weekly,0,IF(int=Monthly,0,IF(int=Quarterly,0,IF(int=Yearly,0,IF(int=None,0,0))))))</f>
        <v>0</v>
      </c>
      <c r="G736" s="46"/>
      <c r="H736" s="46">
        <f t="shared" si="283"/>
        <v>-17650</v>
      </c>
      <c r="I736" s="47"/>
      <c r="J736" s="38">
        <f t="shared" si="296"/>
        <v>0</v>
      </c>
      <c r="K736" s="48"/>
      <c r="L736" s="48">
        <f t="shared" ref="L736:L799" si="301">IF(D736=0,"",L735+J736)</f>
        <v>594.25375484305039</v>
      </c>
      <c r="M736" s="48"/>
      <c r="N736" s="38">
        <f t="shared" ref="N736:N799" si="302">IF(D736=0,"",L736*E736)</f>
        <v>0</v>
      </c>
      <c r="O736" s="36">
        <f t="shared" ref="O736:O799" si="303">-(IF(D736=0,"",N736))</f>
        <v>0</v>
      </c>
      <c r="P736" s="84">
        <f t="shared" ref="P736:P799" si="304">P735+F736+O736</f>
        <v>-25106.456537520015</v>
      </c>
      <c r="Q736" s="38">
        <f t="shared" ref="Q736:Q799" si="305">IF(D736=0,"",ABS($O736)/D736)</f>
        <v>0</v>
      </c>
      <c r="R736" s="48">
        <f t="shared" ref="R736:R799" si="306">IF(D736=0,"",Q736+R735)</f>
        <v>233.70567883054687</v>
      </c>
      <c r="S736" s="38">
        <f t="shared" si="297"/>
        <v>827.95943367359723</v>
      </c>
      <c r="T736" s="50">
        <f t="shared" si="284"/>
        <v>17650</v>
      </c>
      <c r="U736" s="40">
        <f t="shared" si="285"/>
        <v>25487.542950964678</v>
      </c>
      <c r="V736" s="41">
        <f t="shared" si="286"/>
        <v>0.44405342498383438</v>
      </c>
      <c r="W736" s="39">
        <f t="shared" si="287"/>
        <v>7837.5429509646783</v>
      </c>
      <c r="X736" s="50">
        <f t="shared" ref="X736:X799" si="307">ABS(O736)+X735</f>
        <v>7456.9252875362854</v>
      </c>
      <c r="Y736" s="41">
        <f t="shared" si="288"/>
        <v>0.86654210983008295</v>
      </c>
      <c r="Z736" s="52"/>
      <c r="AA736" s="50">
        <f t="shared" si="294"/>
        <v>25106.925287536291</v>
      </c>
      <c r="AB736" s="39">
        <f t="shared" si="295"/>
        <v>35511.179282301156</v>
      </c>
      <c r="AC736" s="39">
        <f t="shared" si="289"/>
        <v>10404.253994764866</v>
      </c>
      <c r="AD736" s="41">
        <f t="shared" si="290"/>
        <v>0.41439777573758896</v>
      </c>
      <c r="AF736" s="46">
        <f t="shared" si="298"/>
        <v>0</v>
      </c>
      <c r="AG736" s="46">
        <f t="shared" si="291"/>
        <v>0</v>
      </c>
      <c r="AH736" s="54">
        <f t="shared" si="299"/>
        <v>4935</v>
      </c>
      <c r="AI736" s="55">
        <f t="shared" ref="AI736:AI799" si="308">(AH$30-AH736)/AH$30</f>
        <v>0.21492204899777284</v>
      </c>
      <c r="AJ736" s="55">
        <f t="shared" si="292"/>
        <v>0</v>
      </c>
      <c r="AK736" s="55">
        <f t="shared" si="293"/>
        <v>0</v>
      </c>
    </row>
    <row r="737" spans="2:37" s="53" customFormat="1" ht="17.25" customHeight="1" x14ac:dyDescent="0.25">
      <c r="B737" s="91" t="str">
        <f t="shared" si="300"/>
        <v/>
      </c>
      <c r="C737" s="81">
        <f>IF(Sheet3!A708="","",Sheet3!A708)</f>
        <v>42569</v>
      </c>
      <c r="D737" s="82">
        <f>IF(C737="","",Sheet3!E708)</f>
        <v>43.110000999999997</v>
      </c>
      <c r="E737" s="56">
        <f>_xlfn.XLOOKUP(WEEKNUM(C737)&amp;YEAR(C737),Sheet4!C:C,Sheet4!B:B,0)</f>
        <v>0</v>
      </c>
      <c r="F737" s="46">
        <f>IF(int=Weekly,-$D$5,IF(int=Bi_Weekly,-$D$5,IF(int=Monthly,0,IF(int=Quarterly,0,IF(int=Yearly,0,IF(int=None,0,0))))))</f>
        <v>0</v>
      </c>
      <c r="G737" s="46"/>
      <c r="H737" s="46">
        <f t="shared" ref="H737:H800" si="309">H736+F737</f>
        <v>-17650</v>
      </c>
      <c r="I737" s="47"/>
      <c r="J737" s="38">
        <f t="shared" si="296"/>
        <v>0</v>
      </c>
      <c r="K737" s="48"/>
      <c r="L737" s="48">
        <f t="shared" si="301"/>
        <v>594.25375484305039</v>
      </c>
      <c r="M737" s="48"/>
      <c r="N737" s="38">
        <f t="shared" si="302"/>
        <v>0</v>
      </c>
      <c r="O737" s="36">
        <f t="shared" si="303"/>
        <v>0</v>
      </c>
      <c r="P737" s="84">
        <f t="shared" si="304"/>
        <v>-25106.456537520015</v>
      </c>
      <c r="Q737" s="38">
        <f t="shared" si="305"/>
        <v>0</v>
      </c>
      <c r="R737" s="48">
        <f t="shared" si="306"/>
        <v>233.70567883054687</v>
      </c>
      <c r="S737" s="38">
        <f t="shared" si="297"/>
        <v>827.95943367359723</v>
      </c>
      <c r="T737" s="50">
        <f t="shared" ref="T737:T800" si="310">IF(D737=0,"",D737*J737)+T736</f>
        <v>17650</v>
      </c>
      <c r="U737" s="40">
        <f t="shared" ref="U737:U800" si="311">IF(D737=0,"",L737*D737)</f>
        <v>25618.279965537655</v>
      </c>
      <c r="V737" s="41">
        <f t="shared" ref="V737:V800" si="312">(U737/T737)-1</f>
        <v>0.45146062127692099</v>
      </c>
      <c r="W737" s="39">
        <f t="shared" ref="W737:W800" si="313">U737-T737</f>
        <v>7968.2799655376548</v>
      </c>
      <c r="X737" s="50">
        <f t="shared" si="307"/>
        <v>7456.9252875362854</v>
      </c>
      <c r="Y737" s="41">
        <f t="shared" ref="Y737:Y800" si="314">((U737+X737)/T737)-1</f>
        <v>0.87394930612316934</v>
      </c>
      <c r="Z737" s="52"/>
      <c r="AA737" s="50">
        <f t="shared" si="294"/>
        <v>25106.925287536291</v>
      </c>
      <c r="AB737" s="39">
        <f t="shared" si="295"/>
        <v>35693.332013628213</v>
      </c>
      <c r="AC737" s="39">
        <f t="shared" ref="AC737:AC800" si="315">AB737-AA737</f>
        <v>10586.406726091922</v>
      </c>
      <c r="AD737" s="41">
        <f t="shared" ref="AD737:AD800" si="316">(AB737/AA737)-1</f>
        <v>0.42165285493350635</v>
      </c>
      <c r="AF737" s="46">
        <f t="shared" si="298"/>
        <v>0</v>
      </c>
      <c r="AG737" s="46">
        <f t="shared" ref="AG737:AG800" si="317">F737</f>
        <v>0</v>
      </c>
      <c r="AH737" s="54">
        <f t="shared" si="299"/>
        <v>4942</v>
      </c>
      <c r="AI737" s="55">
        <f t="shared" si="308"/>
        <v>0.21380846325167038</v>
      </c>
      <c r="AJ737" s="55">
        <f t="shared" ref="AJ737:AJ800" si="318">AI737*AF737</f>
        <v>0</v>
      </c>
      <c r="AK737" s="55">
        <f t="shared" ref="AK737:AK800" si="319">$AI737*AG737</f>
        <v>0</v>
      </c>
    </row>
    <row r="738" spans="2:37" s="53" customFormat="1" ht="17.25" customHeight="1" x14ac:dyDescent="0.25">
      <c r="B738" s="91" t="str">
        <f t="shared" si="300"/>
        <v/>
      </c>
      <c r="C738" s="81">
        <f>IF(Sheet3!A709="","",Sheet3!A709)</f>
        <v>42576</v>
      </c>
      <c r="D738" s="82">
        <f>IF(C738="","",Sheet3!E709)</f>
        <v>43.290000999999997</v>
      </c>
      <c r="E738" s="56">
        <f>_xlfn.XLOOKUP(WEEKNUM(C738)&amp;YEAR(C738),Sheet4!C:C,Sheet4!B:B,0)</f>
        <v>0</v>
      </c>
      <c r="F738" s="46">
        <f>IF(int=Weekly,-$D$5,IF(int=Bi_Weekly,0,IF(int=Monthly,0,IF(int=Quarterly,0,IF(int=Yearly,0,IF(int=None,0,0))))))</f>
        <v>0</v>
      </c>
      <c r="G738" s="46"/>
      <c r="H738" s="46">
        <f t="shared" si="309"/>
        <v>-17650</v>
      </c>
      <c r="I738" s="47"/>
      <c r="J738" s="38">
        <f t="shared" si="296"/>
        <v>0</v>
      </c>
      <c r="K738" s="48"/>
      <c r="L738" s="48">
        <f t="shared" si="301"/>
        <v>594.25375484305039</v>
      </c>
      <c r="M738" s="48"/>
      <c r="N738" s="38">
        <f t="shared" si="302"/>
        <v>0</v>
      </c>
      <c r="O738" s="36">
        <f t="shared" si="303"/>
        <v>0</v>
      </c>
      <c r="P738" s="84">
        <f t="shared" si="304"/>
        <v>-25106.456537520015</v>
      </c>
      <c r="Q738" s="38">
        <f t="shared" si="305"/>
        <v>0</v>
      </c>
      <c r="R738" s="48">
        <f t="shared" si="306"/>
        <v>233.70567883054687</v>
      </c>
      <c r="S738" s="38">
        <f t="shared" si="297"/>
        <v>827.95943367359723</v>
      </c>
      <c r="T738" s="50">
        <f t="shared" si="310"/>
        <v>17650</v>
      </c>
      <c r="U738" s="40">
        <f t="shared" si="311"/>
        <v>25725.245641409405</v>
      </c>
      <c r="V738" s="41">
        <f t="shared" si="312"/>
        <v>0.45752099951328074</v>
      </c>
      <c r="W738" s="39">
        <f t="shared" si="313"/>
        <v>8075.2456414094049</v>
      </c>
      <c r="X738" s="50">
        <f t="shared" si="307"/>
        <v>7456.9252875362854</v>
      </c>
      <c r="Y738" s="41">
        <f t="shared" si="314"/>
        <v>0.88000968435952931</v>
      </c>
      <c r="Z738" s="52"/>
      <c r="AA738" s="50">
        <f t="shared" si="294"/>
        <v>25106.925287536291</v>
      </c>
      <c r="AB738" s="39">
        <f t="shared" si="295"/>
        <v>35842.364711689457</v>
      </c>
      <c r="AC738" s="39">
        <f t="shared" si="315"/>
        <v>10735.439424153166</v>
      </c>
      <c r="AD738" s="41">
        <f t="shared" si="316"/>
        <v>0.4275887748581666</v>
      </c>
      <c r="AF738" s="46">
        <f t="shared" si="298"/>
        <v>0</v>
      </c>
      <c r="AG738" s="46">
        <f t="shared" si="317"/>
        <v>0</v>
      </c>
      <c r="AH738" s="54">
        <f t="shared" si="299"/>
        <v>4949</v>
      </c>
      <c r="AI738" s="55">
        <f t="shared" si="308"/>
        <v>0.21269487750556793</v>
      </c>
      <c r="AJ738" s="55">
        <f t="shared" si="318"/>
        <v>0</v>
      </c>
      <c r="AK738" s="55">
        <f t="shared" si="319"/>
        <v>0</v>
      </c>
    </row>
    <row r="739" spans="2:37" s="53" customFormat="1" ht="17.25" customHeight="1" x14ac:dyDescent="0.25">
      <c r="B739" s="91" t="str">
        <f t="shared" si="300"/>
        <v/>
      </c>
      <c r="C739" s="81">
        <f>IF(Sheet3!A710="","",Sheet3!A710)</f>
        <v>42583</v>
      </c>
      <c r="D739" s="82">
        <f>IF(C739="","",Sheet3!E710)</f>
        <v>43.16</v>
      </c>
      <c r="E739" s="56">
        <f>_xlfn.XLOOKUP(WEEKNUM(C739)&amp;YEAR(C739),Sheet4!C:C,Sheet4!B:B,0)</f>
        <v>0</v>
      </c>
      <c r="F739" s="46">
        <f>IF(int=Weekly,-$D$5,IF(int=Bi_Weekly,-$D$5,IF(int=Monthly,-$D$5,IF(int=Quarterly,0,IF(int=Yearly,0,IF(int=None,0,0))))))</f>
        <v>-100</v>
      </c>
      <c r="G739" s="46"/>
      <c r="H739" s="46">
        <f t="shared" si="309"/>
        <v>-17750</v>
      </c>
      <c r="I739" s="47"/>
      <c r="J739" s="38">
        <f t="shared" si="296"/>
        <v>2.3169601482854496</v>
      </c>
      <c r="K739" s="48"/>
      <c r="L739" s="48">
        <f t="shared" si="301"/>
        <v>596.57071499133588</v>
      </c>
      <c r="M739" s="48"/>
      <c r="N739" s="38">
        <f t="shared" si="302"/>
        <v>0</v>
      </c>
      <c r="O739" s="36">
        <f t="shared" si="303"/>
        <v>0</v>
      </c>
      <c r="P739" s="84">
        <f t="shared" si="304"/>
        <v>-25206.456537520015</v>
      </c>
      <c r="Q739" s="38">
        <f t="shared" si="305"/>
        <v>0</v>
      </c>
      <c r="R739" s="48">
        <f t="shared" si="306"/>
        <v>233.70567883054687</v>
      </c>
      <c r="S739" s="38">
        <f t="shared" si="297"/>
        <v>830.27639382188272</v>
      </c>
      <c r="T739" s="50">
        <f t="shared" si="310"/>
        <v>17750</v>
      </c>
      <c r="U739" s="40">
        <f t="shared" si="311"/>
        <v>25747.992059026055</v>
      </c>
      <c r="V739" s="41">
        <f t="shared" si="312"/>
        <v>0.45059110191696083</v>
      </c>
      <c r="W739" s="39">
        <f t="shared" si="313"/>
        <v>7997.9920590260554</v>
      </c>
      <c r="X739" s="50">
        <f t="shared" si="307"/>
        <v>7456.9252875362854</v>
      </c>
      <c r="Y739" s="41">
        <f t="shared" si="314"/>
        <v>0.87069956882041355</v>
      </c>
      <c r="Z739" s="52"/>
      <c r="AA739" s="50">
        <f t="shared" si="294"/>
        <v>25206.925287536291</v>
      </c>
      <c r="AB739" s="39">
        <f t="shared" si="295"/>
        <v>35834.729157352456</v>
      </c>
      <c r="AC739" s="39">
        <f t="shared" si="315"/>
        <v>10627.803869816165</v>
      </c>
      <c r="AD739" s="41">
        <f t="shared" si="316"/>
        <v>0.42162238149176989</v>
      </c>
      <c r="AF739" s="46">
        <f t="shared" si="298"/>
        <v>-100</v>
      </c>
      <c r="AG739" s="46">
        <f t="shared" si="317"/>
        <v>-100</v>
      </c>
      <c r="AH739" s="54">
        <f t="shared" si="299"/>
        <v>4956</v>
      </c>
      <c r="AI739" s="55">
        <f t="shared" si="308"/>
        <v>0.21158129175946547</v>
      </c>
      <c r="AJ739" s="55">
        <f t="shared" si="318"/>
        <v>-21.158129175946545</v>
      </c>
      <c r="AK739" s="55">
        <f t="shared" si="319"/>
        <v>-21.158129175946545</v>
      </c>
    </row>
    <row r="740" spans="2:37" s="53" customFormat="1" ht="17.25" customHeight="1" x14ac:dyDescent="0.25">
      <c r="B740" s="91" t="str">
        <f t="shared" si="300"/>
        <v/>
      </c>
      <c r="C740" s="81">
        <f>IF(Sheet3!A711="","",Sheet3!A711)</f>
        <v>42590</v>
      </c>
      <c r="D740" s="82">
        <f>IF(C740="","",Sheet3!E711)</f>
        <v>43.279998999999997</v>
      </c>
      <c r="E740" s="56">
        <f>_xlfn.XLOOKUP(WEEKNUM(C740)&amp;YEAR(C740),Sheet4!C:C,Sheet4!B:B,0)</f>
        <v>0</v>
      </c>
      <c r="F740" s="46">
        <f>IF(int=Weekly,-$D$5,IF(int=Bi_Weekly,0,IF(int=Monthly,0,IF(int=Quarterly,0,IF(int=Yearly,0,IF(int=None,0,0))))))</f>
        <v>0</v>
      </c>
      <c r="G740" s="46"/>
      <c r="H740" s="46">
        <f t="shared" si="309"/>
        <v>-17750</v>
      </c>
      <c r="I740" s="47"/>
      <c r="J740" s="38">
        <f t="shared" si="296"/>
        <v>0</v>
      </c>
      <c r="K740" s="48"/>
      <c r="L740" s="48">
        <f t="shared" si="301"/>
        <v>596.57071499133588</v>
      </c>
      <c r="M740" s="48"/>
      <c r="N740" s="38">
        <f t="shared" si="302"/>
        <v>0</v>
      </c>
      <c r="O740" s="36">
        <f t="shared" si="303"/>
        <v>0</v>
      </c>
      <c r="P740" s="84">
        <f t="shared" si="304"/>
        <v>-25206.456537520015</v>
      </c>
      <c r="Q740" s="38">
        <f t="shared" si="305"/>
        <v>0</v>
      </c>
      <c r="R740" s="48">
        <f t="shared" si="306"/>
        <v>233.70567883054687</v>
      </c>
      <c r="S740" s="38">
        <f t="shared" si="297"/>
        <v>830.27639382188272</v>
      </c>
      <c r="T740" s="50">
        <f t="shared" si="310"/>
        <v>17750</v>
      </c>
      <c r="U740" s="40">
        <f t="shared" si="311"/>
        <v>25819.579948254301</v>
      </c>
      <c r="V740" s="41">
        <f t="shared" si="312"/>
        <v>0.45462422243686196</v>
      </c>
      <c r="W740" s="39">
        <f t="shared" si="313"/>
        <v>8069.5799482543007</v>
      </c>
      <c r="X740" s="50">
        <f t="shared" si="307"/>
        <v>7456.9252875362854</v>
      </c>
      <c r="Y740" s="41">
        <f t="shared" si="314"/>
        <v>0.8747326893403149</v>
      </c>
      <c r="Z740" s="52"/>
      <c r="AA740" s="50">
        <f t="shared" si="294"/>
        <v>25206.925287536291</v>
      </c>
      <c r="AB740" s="39">
        <f t="shared" si="295"/>
        <v>35934.361494334691</v>
      </c>
      <c r="AC740" s="39">
        <f t="shared" si="315"/>
        <v>10727.4362067984</v>
      </c>
      <c r="AD740" s="41">
        <f t="shared" si="316"/>
        <v>0.42557495943793833</v>
      </c>
      <c r="AF740" s="46">
        <f t="shared" si="298"/>
        <v>0</v>
      </c>
      <c r="AG740" s="46">
        <f t="shared" si="317"/>
        <v>0</v>
      </c>
      <c r="AH740" s="54">
        <f t="shared" si="299"/>
        <v>4963</v>
      </c>
      <c r="AI740" s="55">
        <f t="shared" si="308"/>
        <v>0.21046770601336304</v>
      </c>
      <c r="AJ740" s="55">
        <f t="shared" si="318"/>
        <v>0</v>
      </c>
      <c r="AK740" s="55">
        <f t="shared" si="319"/>
        <v>0</v>
      </c>
    </row>
    <row r="741" spans="2:37" s="53" customFormat="1" ht="17.25" customHeight="1" x14ac:dyDescent="0.25">
      <c r="B741" s="91" t="str">
        <f t="shared" si="300"/>
        <v/>
      </c>
      <c r="C741" s="81">
        <f>IF(Sheet3!A712="","",Sheet3!A712)</f>
        <v>42597</v>
      </c>
      <c r="D741" s="82">
        <f>IF(C741="","",Sheet3!E712)</f>
        <v>41.009998000000003</v>
      </c>
      <c r="E741" s="56">
        <f>_xlfn.XLOOKUP(WEEKNUM(C741)&amp;YEAR(C741),Sheet4!C:C,Sheet4!B:B,0)</f>
        <v>0</v>
      </c>
      <c r="F741" s="46">
        <f>IF(int=Weekly,-$D$5,IF(int=Bi_Weekly,-$D$5,IF(int=Monthly,0,IF(int=Quarterly,0,IF(int=Yearly,0,IF(int=None,0,0))))))</f>
        <v>0</v>
      </c>
      <c r="G741" s="46"/>
      <c r="H741" s="46">
        <f t="shared" si="309"/>
        <v>-17750</v>
      </c>
      <c r="I741" s="47"/>
      <c r="J741" s="38">
        <f t="shared" si="296"/>
        <v>0</v>
      </c>
      <c r="K741" s="48"/>
      <c r="L741" s="48">
        <f t="shared" si="301"/>
        <v>596.57071499133588</v>
      </c>
      <c r="M741" s="48"/>
      <c r="N741" s="38">
        <f t="shared" si="302"/>
        <v>0</v>
      </c>
      <c r="O741" s="36">
        <f t="shared" si="303"/>
        <v>0</v>
      </c>
      <c r="P741" s="84">
        <f t="shared" si="304"/>
        <v>-25206.456537520015</v>
      </c>
      <c r="Q741" s="38">
        <f t="shared" si="305"/>
        <v>0</v>
      </c>
      <c r="R741" s="48">
        <f t="shared" si="306"/>
        <v>233.70567883054687</v>
      </c>
      <c r="S741" s="38">
        <f t="shared" si="297"/>
        <v>830.27639382188272</v>
      </c>
      <c r="T741" s="50">
        <f t="shared" si="310"/>
        <v>17750</v>
      </c>
      <c r="U741" s="40">
        <f t="shared" si="311"/>
        <v>24465.363828653255</v>
      </c>
      <c r="V741" s="41">
        <f t="shared" si="312"/>
        <v>0.37833035654384539</v>
      </c>
      <c r="W741" s="39">
        <f t="shared" si="313"/>
        <v>6715.363828653255</v>
      </c>
      <c r="X741" s="50">
        <f t="shared" si="307"/>
        <v>7456.9252875362854</v>
      </c>
      <c r="Y741" s="41">
        <f t="shared" si="314"/>
        <v>0.79843882344729789</v>
      </c>
      <c r="Z741" s="52"/>
      <c r="AA741" s="50">
        <f t="shared" si="294"/>
        <v>25206.925287536291</v>
      </c>
      <c r="AB741" s="39">
        <f t="shared" si="295"/>
        <v>34049.633250082625</v>
      </c>
      <c r="AC741" s="39">
        <f t="shared" si="315"/>
        <v>8842.7079625463339</v>
      </c>
      <c r="AD741" s="41">
        <f t="shared" si="316"/>
        <v>0.35080470393263963</v>
      </c>
      <c r="AF741" s="46">
        <f t="shared" si="298"/>
        <v>0</v>
      </c>
      <c r="AG741" s="46">
        <f t="shared" si="317"/>
        <v>0</v>
      </c>
      <c r="AH741" s="54">
        <f t="shared" si="299"/>
        <v>4970</v>
      </c>
      <c r="AI741" s="55">
        <f t="shared" si="308"/>
        <v>0.20935412026726058</v>
      </c>
      <c r="AJ741" s="55">
        <f t="shared" si="318"/>
        <v>0</v>
      </c>
      <c r="AK741" s="55">
        <f t="shared" si="319"/>
        <v>0</v>
      </c>
    </row>
    <row r="742" spans="2:37" s="53" customFormat="1" ht="17.25" customHeight="1" x14ac:dyDescent="0.25">
      <c r="B742" s="91" t="str">
        <f t="shared" si="300"/>
        <v/>
      </c>
      <c r="C742" s="81">
        <f>IF(Sheet3!A713="","",Sheet3!A713)</f>
        <v>42604</v>
      </c>
      <c r="D742" s="82">
        <f>IF(C742="","",Sheet3!E713)</f>
        <v>40.68</v>
      </c>
      <c r="E742" s="56">
        <f>_xlfn.XLOOKUP(WEEKNUM(C742)&amp;YEAR(C742),Sheet4!C:C,Sheet4!B:B,0)</f>
        <v>0</v>
      </c>
      <c r="F742" s="46">
        <f>IF(int=Weekly,-$D$5,IF(int=Bi_Weekly,0,IF(int=Monthly,0,IF(int=Quarterly,0,IF(int=Yearly,0,IF(int=None,0,0))))))</f>
        <v>0</v>
      </c>
      <c r="G742" s="46"/>
      <c r="H742" s="46">
        <f t="shared" si="309"/>
        <v>-17750</v>
      </c>
      <c r="I742" s="47"/>
      <c r="J742" s="38">
        <f t="shared" si="296"/>
        <v>0</v>
      </c>
      <c r="K742" s="48"/>
      <c r="L742" s="48">
        <f t="shared" si="301"/>
        <v>596.57071499133588</v>
      </c>
      <c r="M742" s="48"/>
      <c r="N742" s="38">
        <f t="shared" si="302"/>
        <v>0</v>
      </c>
      <c r="O742" s="36">
        <f t="shared" si="303"/>
        <v>0</v>
      </c>
      <c r="P742" s="84">
        <f t="shared" si="304"/>
        <v>-25206.456537520015</v>
      </c>
      <c r="Q742" s="38">
        <f t="shared" si="305"/>
        <v>0</v>
      </c>
      <c r="R742" s="48">
        <f t="shared" si="306"/>
        <v>233.70567883054687</v>
      </c>
      <c r="S742" s="38">
        <f t="shared" si="297"/>
        <v>830.27639382188272</v>
      </c>
      <c r="T742" s="50">
        <f t="shared" si="310"/>
        <v>17750</v>
      </c>
      <c r="U742" s="40">
        <f t="shared" si="311"/>
        <v>24268.496685847542</v>
      </c>
      <c r="V742" s="41">
        <f t="shared" si="312"/>
        <v>0.36723924990690371</v>
      </c>
      <c r="W742" s="39">
        <f t="shared" si="313"/>
        <v>6518.4966858475418</v>
      </c>
      <c r="X742" s="50">
        <f t="shared" si="307"/>
        <v>7456.9252875362854</v>
      </c>
      <c r="Y742" s="41">
        <f t="shared" si="314"/>
        <v>0.78734771681035642</v>
      </c>
      <c r="Z742" s="52"/>
      <c r="AA742" s="50">
        <f t="shared" si="294"/>
        <v>25206.925287536291</v>
      </c>
      <c r="AB742" s="39">
        <f t="shared" si="295"/>
        <v>33775.643700674191</v>
      </c>
      <c r="AC742" s="39">
        <f t="shared" si="315"/>
        <v>8568.7184131378999</v>
      </c>
      <c r="AD742" s="41">
        <f t="shared" si="316"/>
        <v>0.33993508987685828</v>
      </c>
      <c r="AF742" s="46">
        <f t="shared" si="298"/>
        <v>0</v>
      </c>
      <c r="AG742" s="46">
        <f t="shared" si="317"/>
        <v>0</v>
      </c>
      <c r="AH742" s="54">
        <f t="shared" si="299"/>
        <v>4977</v>
      </c>
      <c r="AI742" s="55">
        <f t="shared" si="308"/>
        <v>0.20824053452115812</v>
      </c>
      <c r="AJ742" s="55">
        <f t="shared" si="318"/>
        <v>0</v>
      </c>
      <c r="AK742" s="55">
        <f t="shared" si="319"/>
        <v>0</v>
      </c>
    </row>
    <row r="743" spans="2:37" s="53" customFormat="1" ht="17.25" customHeight="1" x14ac:dyDescent="0.25">
      <c r="B743" s="91" t="str">
        <f t="shared" si="300"/>
        <v/>
      </c>
      <c r="C743" s="81">
        <f>IF(Sheet3!A714="","",Sheet3!A714)</f>
        <v>42611</v>
      </c>
      <c r="D743" s="82">
        <f>IF(C743="","",Sheet3!E714)</f>
        <v>40.950001</v>
      </c>
      <c r="E743" s="56">
        <f>_xlfn.XLOOKUP(WEEKNUM(C743)&amp;YEAR(C743),Sheet4!C:C,Sheet4!B:B,0)</f>
        <v>0</v>
      </c>
      <c r="F743" s="46">
        <f>IF(int=Weekly,-$D$5,IF(int=Bi_Weekly,-$D$5,IF(int=Monthly,-$D$5,IF(int=Quarterly,0,IF(int=Yearly,0,IF(int=None,0,0))))))</f>
        <v>-100</v>
      </c>
      <c r="G743" s="46"/>
      <c r="H743" s="46">
        <f t="shared" si="309"/>
        <v>-17850</v>
      </c>
      <c r="I743" s="47"/>
      <c r="J743" s="38">
        <f t="shared" si="296"/>
        <v>2.4420023823686843</v>
      </c>
      <c r="K743" s="48"/>
      <c r="L743" s="48">
        <f t="shared" si="301"/>
        <v>599.0127173737045</v>
      </c>
      <c r="M743" s="48"/>
      <c r="N743" s="38">
        <f t="shared" si="302"/>
        <v>0</v>
      </c>
      <c r="O743" s="36">
        <f t="shared" si="303"/>
        <v>0</v>
      </c>
      <c r="P743" s="84">
        <f t="shared" si="304"/>
        <v>-25306.456537520015</v>
      </c>
      <c r="Q743" s="38">
        <f t="shared" si="305"/>
        <v>0</v>
      </c>
      <c r="R743" s="48">
        <f t="shared" si="306"/>
        <v>233.70567883054687</v>
      </c>
      <c r="S743" s="38">
        <f t="shared" si="297"/>
        <v>832.71839620425135</v>
      </c>
      <c r="T743" s="50">
        <f t="shared" si="310"/>
        <v>17850</v>
      </c>
      <c r="U743" s="40">
        <f t="shared" si="311"/>
        <v>24529.571375465915</v>
      </c>
      <c r="V743" s="41">
        <f t="shared" si="312"/>
        <v>0.37420567929781035</v>
      </c>
      <c r="W743" s="39">
        <f t="shared" si="313"/>
        <v>6679.5713754659155</v>
      </c>
      <c r="X743" s="50">
        <f t="shared" si="307"/>
        <v>7456.9252875362854</v>
      </c>
      <c r="Y743" s="41">
        <f t="shared" si="314"/>
        <v>0.79196059736707025</v>
      </c>
      <c r="Z743" s="52"/>
      <c r="AA743" s="50">
        <f t="shared" si="294"/>
        <v>25306.925287536291</v>
      </c>
      <c r="AB743" s="39">
        <f t="shared" si="295"/>
        <v>34099.819157282487</v>
      </c>
      <c r="AC743" s="39">
        <f t="shared" si="315"/>
        <v>8792.8938697461963</v>
      </c>
      <c r="AD743" s="41">
        <f t="shared" si="316"/>
        <v>0.34745010584421787</v>
      </c>
      <c r="AF743" s="46">
        <f t="shared" si="298"/>
        <v>-100</v>
      </c>
      <c r="AG743" s="46">
        <f t="shared" si="317"/>
        <v>-100</v>
      </c>
      <c r="AH743" s="54">
        <f t="shared" si="299"/>
        <v>4984</v>
      </c>
      <c r="AI743" s="55">
        <f t="shared" si="308"/>
        <v>0.20712694877505569</v>
      </c>
      <c r="AJ743" s="55">
        <f t="shared" si="318"/>
        <v>-20.712694877505569</v>
      </c>
      <c r="AK743" s="55">
        <f t="shared" si="319"/>
        <v>-20.712694877505569</v>
      </c>
    </row>
    <row r="744" spans="2:37" s="53" customFormat="1" ht="17.25" customHeight="1" x14ac:dyDescent="0.25">
      <c r="B744" s="91" t="str">
        <f t="shared" si="300"/>
        <v/>
      </c>
      <c r="C744" s="81">
        <f>IF(Sheet3!A715="","",Sheet3!A715)</f>
        <v>42618</v>
      </c>
      <c r="D744" s="82">
        <f>IF(C744="","",Sheet3!E715)</f>
        <v>39.709999000000003</v>
      </c>
      <c r="E744" s="56">
        <f>_xlfn.XLOOKUP(WEEKNUM(C744)&amp;YEAR(C744),Sheet4!C:C,Sheet4!B:B,0)</f>
        <v>0</v>
      </c>
      <c r="F744" s="46">
        <f>IF(int=Weekly,-$D$5,IF(int=Bi_Weekly,0,IF(int=Monthly,0,IF(int=Quarterly,0,IF(int=Yearly,0,IF(int=None,0,0))))))</f>
        <v>0</v>
      </c>
      <c r="G744" s="46"/>
      <c r="H744" s="46">
        <f t="shared" si="309"/>
        <v>-17850</v>
      </c>
      <c r="I744" s="47"/>
      <c r="J744" s="38">
        <f t="shared" si="296"/>
        <v>0</v>
      </c>
      <c r="K744" s="48"/>
      <c r="L744" s="48">
        <f t="shared" si="301"/>
        <v>599.0127173737045</v>
      </c>
      <c r="M744" s="48"/>
      <c r="N744" s="38">
        <f t="shared" si="302"/>
        <v>0</v>
      </c>
      <c r="O744" s="36">
        <f t="shared" si="303"/>
        <v>0</v>
      </c>
      <c r="P744" s="84">
        <f t="shared" si="304"/>
        <v>-25306.456537520015</v>
      </c>
      <c r="Q744" s="38">
        <f t="shared" si="305"/>
        <v>0</v>
      </c>
      <c r="R744" s="48">
        <f t="shared" si="306"/>
        <v>233.70567883054687</v>
      </c>
      <c r="S744" s="38">
        <f t="shared" si="297"/>
        <v>832.71839620425135</v>
      </c>
      <c r="T744" s="50">
        <f t="shared" si="310"/>
        <v>17850</v>
      </c>
      <c r="U744" s="40">
        <f t="shared" si="311"/>
        <v>23786.79440789709</v>
      </c>
      <c r="V744" s="41">
        <f t="shared" si="312"/>
        <v>0.33259352425193778</v>
      </c>
      <c r="W744" s="39">
        <f t="shared" si="313"/>
        <v>5936.7944078970904</v>
      </c>
      <c r="X744" s="50">
        <f t="shared" si="307"/>
        <v>7456.9252875362854</v>
      </c>
      <c r="Y744" s="41">
        <f t="shared" si="314"/>
        <v>0.75034844232119768</v>
      </c>
      <c r="Z744" s="52"/>
      <c r="AA744" s="50">
        <f t="shared" si="294"/>
        <v>25306.925287536291</v>
      </c>
      <c r="AB744" s="39">
        <f t="shared" si="295"/>
        <v>33067.246680552431</v>
      </c>
      <c r="AC744" s="39">
        <f t="shared" si="315"/>
        <v>7760.3213930161401</v>
      </c>
      <c r="AD744" s="41">
        <f t="shared" si="316"/>
        <v>0.30664813306411864</v>
      </c>
      <c r="AF744" s="46">
        <f t="shared" si="298"/>
        <v>0</v>
      </c>
      <c r="AG744" s="46">
        <f t="shared" si="317"/>
        <v>0</v>
      </c>
      <c r="AH744" s="54">
        <f t="shared" si="299"/>
        <v>4991</v>
      </c>
      <c r="AI744" s="55">
        <f t="shared" si="308"/>
        <v>0.20601336302895323</v>
      </c>
      <c r="AJ744" s="55">
        <f t="shared" si="318"/>
        <v>0</v>
      </c>
      <c r="AK744" s="55">
        <f t="shared" si="319"/>
        <v>0</v>
      </c>
    </row>
    <row r="745" spans="2:37" s="53" customFormat="1" ht="17.25" customHeight="1" x14ac:dyDescent="0.25">
      <c r="B745" s="91" t="str">
        <f t="shared" si="300"/>
        <v/>
      </c>
      <c r="C745" s="81">
        <f>IF(Sheet3!A716="","",Sheet3!A716)</f>
        <v>42625</v>
      </c>
      <c r="D745" s="82">
        <f>IF(C745="","",Sheet3!E716)</f>
        <v>40.200001</v>
      </c>
      <c r="E745" s="56">
        <f>_xlfn.XLOOKUP(WEEKNUM(C745)&amp;YEAR(C745),Sheet4!C:C,Sheet4!B:B,0)</f>
        <v>0</v>
      </c>
      <c r="F745" s="46">
        <f>IF(int=Weekly,-$D$5,IF(int=Bi_Weekly,-$D$5,IF(int=Monthly,0,IF(int=Quarterly,0,IF(int=Yearly,0,IF(int=None,0,0))))))</f>
        <v>0</v>
      </c>
      <c r="G745" s="46"/>
      <c r="H745" s="46">
        <f t="shared" si="309"/>
        <v>-17850</v>
      </c>
      <c r="I745" s="47"/>
      <c r="J745" s="38">
        <f t="shared" si="296"/>
        <v>0</v>
      </c>
      <c r="K745" s="48"/>
      <c r="L745" s="48">
        <f t="shared" si="301"/>
        <v>599.0127173737045</v>
      </c>
      <c r="M745" s="48"/>
      <c r="N745" s="38">
        <f t="shared" si="302"/>
        <v>0</v>
      </c>
      <c r="O745" s="36">
        <f t="shared" si="303"/>
        <v>0</v>
      </c>
      <c r="P745" s="84">
        <f t="shared" si="304"/>
        <v>-25306.456537520015</v>
      </c>
      <c r="Q745" s="38">
        <f t="shared" si="305"/>
        <v>0</v>
      </c>
      <c r="R745" s="48">
        <f t="shared" si="306"/>
        <v>233.70567883054687</v>
      </c>
      <c r="S745" s="38">
        <f t="shared" si="297"/>
        <v>832.71839620425135</v>
      </c>
      <c r="T745" s="50">
        <f t="shared" si="310"/>
        <v>17850</v>
      </c>
      <c r="U745" s="40">
        <f t="shared" si="311"/>
        <v>24080.311837435638</v>
      </c>
      <c r="V745" s="41">
        <f t="shared" si="312"/>
        <v>0.34903707772748671</v>
      </c>
      <c r="W745" s="39">
        <f t="shared" si="313"/>
        <v>6230.3118374356382</v>
      </c>
      <c r="X745" s="50">
        <f t="shared" si="307"/>
        <v>7456.9252875362854</v>
      </c>
      <c r="Y745" s="41">
        <f t="shared" si="314"/>
        <v>0.7667919957967464</v>
      </c>
      <c r="Z745" s="52"/>
      <c r="AA745" s="50">
        <f t="shared" si="294"/>
        <v>25306.925287536291</v>
      </c>
      <c r="AB745" s="39">
        <f t="shared" si="295"/>
        <v>33475.280360129298</v>
      </c>
      <c r="AC745" s="39">
        <f t="shared" si="315"/>
        <v>8168.3550725930072</v>
      </c>
      <c r="AD745" s="41">
        <f t="shared" si="316"/>
        <v>0.32277153307975892</v>
      </c>
      <c r="AF745" s="46">
        <f t="shared" si="298"/>
        <v>0</v>
      </c>
      <c r="AG745" s="46">
        <f t="shared" si="317"/>
        <v>0</v>
      </c>
      <c r="AH745" s="54">
        <f t="shared" si="299"/>
        <v>4998</v>
      </c>
      <c r="AI745" s="55">
        <f t="shared" si="308"/>
        <v>0.20489977728285078</v>
      </c>
      <c r="AJ745" s="55">
        <f t="shared" si="318"/>
        <v>0</v>
      </c>
      <c r="AK745" s="55">
        <f t="shared" si="319"/>
        <v>0</v>
      </c>
    </row>
    <row r="746" spans="2:37" s="53" customFormat="1" ht="17.25" customHeight="1" x14ac:dyDescent="0.25">
      <c r="B746" s="91" t="str">
        <f t="shared" si="300"/>
        <v/>
      </c>
      <c r="C746" s="81">
        <f>IF(Sheet3!A717="","",Sheet3!A717)</f>
        <v>42632</v>
      </c>
      <c r="D746" s="82">
        <f>IF(C746="","",Sheet3!E717)</f>
        <v>41.279998999999997</v>
      </c>
      <c r="E746" s="56">
        <f>_xlfn.XLOOKUP(WEEKNUM(C746)&amp;YEAR(C746),Sheet4!C:C,Sheet4!B:B,0)</f>
        <v>0</v>
      </c>
      <c r="F746" s="46">
        <f>IF(int=Weekly,-$D$5,IF(int=Bi_Weekly,0,IF(int=Monthly,0,IF(int=Quarterly,-$D$5,IF(int=Yearly,0,IF(int=None,0,0))))))</f>
        <v>0</v>
      </c>
      <c r="G746" s="46"/>
      <c r="H746" s="46">
        <f t="shared" si="309"/>
        <v>-17850</v>
      </c>
      <c r="I746" s="47"/>
      <c r="J746" s="38">
        <f t="shared" si="296"/>
        <v>0</v>
      </c>
      <c r="K746" s="48"/>
      <c r="L746" s="48">
        <f t="shared" si="301"/>
        <v>599.0127173737045</v>
      </c>
      <c r="M746" s="48"/>
      <c r="N746" s="38">
        <f t="shared" si="302"/>
        <v>0</v>
      </c>
      <c r="O746" s="36">
        <f t="shared" si="303"/>
        <v>0</v>
      </c>
      <c r="P746" s="84">
        <f t="shared" si="304"/>
        <v>-25306.456537520015</v>
      </c>
      <c r="Q746" s="38">
        <f t="shared" si="305"/>
        <v>0</v>
      </c>
      <c r="R746" s="48">
        <f t="shared" si="306"/>
        <v>233.70567883054687</v>
      </c>
      <c r="S746" s="38">
        <f t="shared" si="297"/>
        <v>832.71839620425135</v>
      </c>
      <c r="T746" s="50">
        <f t="shared" si="310"/>
        <v>17850</v>
      </c>
      <c r="U746" s="40">
        <f t="shared" si="311"/>
        <v>24727.244374173802</v>
      </c>
      <c r="V746" s="41">
        <f t="shared" si="312"/>
        <v>0.38527979687248193</v>
      </c>
      <c r="W746" s="39">
        <f t="shared" si="313"/>
        <v>6877.2443741738025</v>
      </c>
      <c r="X746" s="50">
        <f t="shared" si="307"/>
        <v>7456.9252875362854</v>
      </c>
      <c r="Y746" s="41">
        <f t="shared" si="314"/>
        <v>0.80303471494174161</v>
      </c>
      <c r="Z746" s="52"/>
      <c r="AA746" s="50">
        <f t="shared" si="294"/>
        <v>25306.925287536291</v>
      </c>
      <c r="AB746" s="39">
        <f t="shared" si="295"/>
        <v>34374.614562593095</v>
      </c>
      <c r="AC746" s="39">
        <f t="shared" si="315"/>
        <v>9067.689275056804</v>
      </c>
      <c r="AD746" s="41">
        <f t="shared" si="316"/>
        <v>0.35830861205105213</v>
      </c>
      <c r="AF746" s="46">
        <f t="shared" si="298"/>
        <v>0</v>
      </c>
      <c r="AG746" s="46">
        <f t="shared" si="317"/>
        <v>0</v>
      </c>
      <c r="AH746" s="54">
        <f t="shared" si="299"/>
        <v>5005</v>
      </c>
      <c r="AI746" s="55">
        <f t="shared" si="308"/>
        <v>0.20378619153674832</v>
      </c>
      <c r="AJ746" s="55">
        <f t="shared" si="318"/>
        <v>0</v>
      </c>
      <c r="AK746" s="55">
        <f t="shared" si="319"/>
        <v>0</v>
      </c>
    </row>
    <row r="747" spans="2:37" s="53" customFormat="1" ht="17.25" customHeight="1" x14ac:dyDescent="0.25">
      <c r="B747" s="91" t="str">
        <f t="shared" si="300"/>
        <v/>
      </c>
      <c r="C747" s="81">
        <f>IF(Sheet3!A718="","",Sheet3!A718)</f>
        <v>42639</v>
      </c>
      <c r="D747" s="82">
        <f>IF(C747="","",Sheet3!E718)</f>
        <v>40.610000999999997</v>
      </c>
      <c r="E747" s="56">
        <f>_xlfn.XLOOKUP(WEEKNUM(C747)&amp;YEAR(C747),Sheet4!C:C,Sheet4!B:B,0)</f>
        <v>0</v>
      </c>
      <c r="F747" s="46">
        <f>IF(int=Weekly,-$D$5,IF(int=Bi_Weekly,-$D$5,IF(int=Monthly,-$D$5,IF(int=Quarterly,0,IF(int=Yearly,0,IF(int=None,0,0))))))</f>
        <v>-100</v>
      </c>
      <c r="G747" s="46"/>
      <c r="H747" s="46">
        <f t="shared" si="309"/>
        <v>-17950</v>
      </c>
      <c r="I747" s="47"/>
      <c r="J747" s="38">
        <f t="shared" si="296"/>
        <v>2.4624476123504655</v>
      </c>
      <c r="K747" s="48"/>
      <c r="L747" s="48">
        <f t="shared" si="301"/>
        <v>601.47516498605501</v>
      </c>
      <c r="M747" s="48"/>
      <c r="N747" s="38">
        <f t="shared" si="302"/>
        <v>0</v>
      </c>
      <c r="O747" s="36">
        <f t="shared" si="303"/>
        <v>0</v>
      </c>
      <c r="P747" s="84">
        <f t="shared" si="304"/>
        <v>-25406.456537520015</v>
      </c>
      <c r="Q747" s="38">
        <f t="shared" si="305"/>
        <v>0</v>
      </c>
      <c r="R747" s="48">
        <f t="shared" si="306"/>
        <v>233.70567883054687</v>
      </c>
      <c r="S747" s="38">
        <f t="shared" si="297"/>
        <v>835.18084381660185</v>
      </c>
      <c r="T747" s="50">
        <f t="shared" si="310"/>
        <v>17950</v>
      </c>
      <c r="U747" s="40">
        <f t="shared" si="311"/>
        <v>24425.907051558857</v>
      </c>
      <c r="V747" s="41">
        <f t="shared" si="312"/>
        <v>0.36077476610355741</v>
      </c>
      <c r="W747" s="39">
        <f t="shared" si="313"/>
        <v>6475.9070515588573</v>
      </c>
      <c r="X747" s="50">
        <f t="shared" si="307"/>
        <v>7456.9252875362854</v>
      </c>
      <c r="Y747" s="41">
        <f t="shared" si="314"/>
        <v>0.77620235872396326</v>
      </c>
      <c r="Z747" s="52"/>
      <c r="AA747" s="50">
        <f t="shared" si="294"/>
        <v>25406.925287536291</v>
      </c>
      <c r="AB747" s="39">
        <f t="shared" si="295"/>
        <v>33916.694902573043</v>
      </c>
      <c r="AC747" s="39">
        <f t="shared" si="315"/>
        <v>8509.7696150367519</v>
      </c>
      <c r="AD747" s="41">
        <f t="shared" si="316"/>
        <v>0.33493897898819469</v>
      </c>
      <c r="AF747" s="46">
        <f t="shared" si="298"/>
        <v>-100</v>
      </c>
      <c r="AG747" s="46">
        <f t="shared" si="317"/>
        <v>-100</v>
      </c>
      <c r="AH747" s="54">
        <f t="shared" si="299"/>
        <v>5012</v>
      </c>
      <c r="AI747" s="55">
        <f t="shared" si="308"/>
        <v>0.20267260579064589</v>
      </c>
      <c r="AJ747" s="55">
        <f t="shared" si="318"/>
        <v>-20.26726057906459</v>
      </c>
      <c r="AK747" s="55">
        <f t="shared" si="319"/>
        <v>-20.26726057906459</v>
      </c>
    </row>
    <row r="748" spans="2:37" s="53" customFormat="1" ht="17.25" customHeight="1" x14ac:dyDescent="0.25">
      <c r="B748" s="91" t="str">
        <f t="shared" si="300"/>
        <v/>
      </c>
      <c r="C748" s="81">
        <f>IF(Sheet3!A719="","",Sheet3!A719)</f>
        <v>42646</v>
      </c>
      <c r="D748" s="82">
        <f>IF(C748="","",Sheet3!E719)</f>
        <v>38.869999</v>
      </c>
      <c r="E748" s="56">
        <f>_xlfn.XLOOKUP(WEEKNUM(C748)&amp;YEAR(C748),Sheet4!C:C,Sheet4!B:B,0)</f>
        <v>0.48</v>
      </c>
      <c r="F748" s="46">
        <f>IF(int=Weekly,-$D$5,IF(int=Bi_Weekly,0,IF(int=Monthly,0,IF(int=Quarterly,0,IF(int=Yearly,0,IF(int=None,0,0))))))</f>
        <v>0</v>
      </c>
      <c r="G748" s="46"/>
      <c r="H748" s="46">
        <f t="shared" si="309"/>
        <v>-17950</v>
      </c>
      <c r="I748" s="47"/>
      <c r="J748" s="38">
        <f t="shared" si="296"/>
        <v>0</v>
      </c>
      <c r="K748" s="48"/>
      <c r="L748" s="48">
        <f t="shared" si="301"/>
        <v>601.47516498605501</v>
      </c>
      <c r="M748" s="48"/>
      <c r="N748" s="38">
        <f t="shared" si="302"/>
        <v>288.70807919330639</v>
      </c>
      <c r="O748" s="36">
        <f t="shared" si="303"/>
        <v>-288.70807919330639</v>
      </c>
      <c r="P748" s="84">
        <f t="shared" si="304"/>
        <v>-25695.164616713322</v>
      </c>
      <c r="Q748" s="38">
        <f t="shared" si="305"/>
        <v>7.4275298847655336</v>
      </c>
      <c r="R748" s="48">
        <f t="shared" si="306"/>
        <v>241.13320871531241</v>
      </c>
      <c r="S748" s="38">
        <f t="shared" si="297"/>
        <v>842.60837370136744</v>
      </c>
      <c r="T748" s="50">
        <f t="shared" si="310"/>
        <v>17950</v>
      </c>
      <c r="U748" s="40">
        <f t="shared" si="311"/>
        <v>23379.339061532792</v>
      </c>
      <c r="V748" s="41">
        <f t="shared" si="312"/>
        <v>0.30247014270377659</v>
      </c>
      <c r="W748" s="39">
        <f t="shared" si="313"/>
        <v>5429.3390615327917</v>
      </c>
      <c r="X748" s="50">
        <f t="shared" si="307"/>
        <v>7745.6333667295921</v>
      </c>
      <c r="Y748" s="41">
        <f t="shared" si="314"/>
        <v>0.73398175087812723</v>
      </c>
      <c r="Z748" s="52"/>
      <c r="AA748" s="50">
        <f t="shared" si="294"/>
        <v>25695.633366729598</v>
      </c>
      <c r="AB748" s="39">
        <f t="shared" si="295"/>
        <v>32752.186643163775</v>
      </c>
      <c r="AC748" s="39">
        <f t="shared" si="315"/>
        <v>7056.553276434177</v>
      </c>
      <c r="AD748" s="41">
        <f t="shared" si="316"/>
        <v>0.27462071768080709</v>
      </c>
      <c r="AF748" s="46">
        <f t="shared" si="298"/>
        <v>288.70807919330639</v>
      </c>
      <c r="AG748" s="46">
        <f t="shared" si="317"/>
        <v>0</v>
      </c>
      <c r="AH748" s="54">
        <f t="shared" si="299"/>
        <v>5019</v>
      </c>
      <c r="AI748" s="55">
        <f t="shared" si="308"/>
        <v>0.20155902004454343</v>
      </c>
      <c r="AJ748" s="55">
        <f t="shared" si="318"/>
        <v>58.191717521145272</v>
      </c>
      <c r="AK748" s="55">
        <f t="shared" si="319"/>
        <v>0</v>
      </c>
    </row>
    <row r="749" spans="2:37" s="53" customFormat="1" ht="17.25" customHeight="1" x14ac:dyDescent="0.25">
      <c r="B749" s="91" t="str">
        <f t="shared" si="300"/>
        <v/>
      </c>
      <c r="C749" s="81">
        <f>IF(Sheet3!A720="","",Sheet3!A720)</f>
        <v>42653</v>
      </c>
      <c r="D749" s="82">
        <f>IF(C749="","",Sheet3!E720)</f>
        <v>39.220001000000003</v>
      </c>
      <c r="E749" s="56">
        <f>_xlfn.XLOOKUP(WEEKNUM(C749)&amp;YEAR(C749),Sheet4!C:C,Sheet4!B:B,0)</f>
        <v>0</v>
      </c>
      <c r="F749" s="46">
        <f>IF(int=Weekly,-$D$5,IF(int=Bi_Weekly,-$D$5,IF(int=Monthly,0,IF(int=Quarterly,0,IF(int=Yearly,0,IF(int=None,0,0))))))</f>
        <v>0</v>
      </c>
      <c r="G749" s="46"/>
      <c r="H749" s="46">
        <f t="shared" si="309"/>
        <v>-17950</v>
      </c>
      <c r="I749" s="47"/>
      <c r="J749" s="38">
        <f t="shared" si="296"/>
        <v>0</v>
      </c>
      <c r="K749" s="48"/>
      <c r="L749" s="48">
        <f t="shared" si="301"/>
        <v>601.47516498605501</v>
      </c>
      <c r="M749" s="48"/>
      <c r="N749" s="38">
        <f t="shared" si="302"/>
        <v>0</v>
      </c>
      <c r="O749" s="36">
        <f t="shared" si="303"/>
        <v>0</v>
      </c>
      <c r="P749" s="84">
        <f t="shared" si="304"/>
        <v>-25695.164616713322</v>
      </c>
      <c r="Q749" s="38">
        <f t="shared" si="305"/>
        <v>0</v>
      </c>
      <c r="R749" s="48">
        <f t="shared" si="306"/>
        <v>241.13320871531241</v>
      </c>
      <c r="S749" s="38">
        <f t="shared" si="297"/>
        <v>842.60837370136744</v>
      </c>
      <c r="T749" s="50">
        <f t="shared" si="310"/>
        <v>17950</v>
      </c>
      <c r="U749" s="40">
        <f t="shared" si="311"/>
        <v>23589.856572228244</v>
      </c>
      <c r="V749" s="41">
        <f t="shared" si="312"/>
        <v>0.31419813772859295</v>
      </c>
      <c r="W749" s="39">
        <f t="shared" si="313"/>
        <v>5639.8565722282437</v>
      </c>
      <c r="X749" s="50">
        <f t="shared" si="307"/>
        <v>7745.6333667295921</v>
      </c>
      <c r="Y749" s="41">
        <f t="shared" si="314"/>
        <v>0.74570974590294337</v>
      </c>
      <c r="Z749" s="52"/>
      <c r="AA749" s="50">
        <f t="shared" si="294"/>
        <v>25695.633366729598</v>
      </c>
      <c r="AB749" s="39">
        <f t="shared" si="295"/>
        <v>33047.101259176008</v>
      </c>
      <c r="AC749" s="39">
        <f t="shared" si="315"/>
        <v>7351.4678924464097</v>
      </c>
      <c r="AD749" s="41">
        <f t="shared" si="316"/>
        <v>0.28609794464008043</v>
      </c>
      <c r="AF749" s="46">
        <f t="shared" si="298"/>
        <v>0</v>
      </c>
      <c r="AG749" s="46">
        <f t="shared" si="317"/>
        <v>0</v>
      </c>
      <c r="AH749" s="54">
        <f t="shared" si="299"/>
        <v>5026</v>
      </c>
      <c r="AI749" s="55">
        <f t="shared" si="308"/>
        <v>0.20044543429844097</v>
      </c>
      <c r="AJ749" s="55">
        <f t="shared" si="318"/>
        <v>0</v>
      </c>
      <c r="AK749" s="55">
        <f t="shared" si="319"/>
        <v>0</v>
      </c>
    </row>
    <row r="750" spans="2:37" s="53" customFormat="1" ht="17.25" customHeight="1" x14ac:dyDescent="0.25">
      <c r="B750" s="91" t="str">
        <f t="shared" si="300"/>
        <v/>
      </c>
      <c r="C750" s="81">
        <f>IF(Sheet3!A721="","",Sheet3!A721)</f>
        <v>42660</v>
      </c>
      <c r="D750" s="82">
        <f>IF(C750="","",Sheet3!E721)</f>
        <v>37.490001999999997</v>
      </c>
      <c r="E750" s="56">
        <f>_xlfn.XLOOKUP(WEEKNUM(C750)&amp;YEAR(C750),Sheet4!C:C,Sheet4!B:B,0)</f>
        <v>0</v>
      </c>
      <c r="F750" s="46">
        <f>IF(int=Weekly,-$D$5,IF(int=Bi_Weekly,0,IF(int=Monthly,0,IF(int=Quarterly,0,IF(int=Yearly,0,IF(int=None,0,0))))))</f>
        <v>0</v>
      </c>
      <c r="G750" s="46"/>
      <c r="H750" s="46">
        <f t="shared" si="309"/>
        <v>-17950</v>
      </c>
      <c r="I750" s="47"/>
      <c r="J750" s="38">
        <f t="shared" si="296"/>
        <v>0</v>
      </c>
      <c r="K750" s="48"/>
      <c r="L750" s="48">
        <f t="shared" si="301"/>
        <v>601.47516498605501</v>
      </c>
      <c r="M750" s="48"/>
      <c r="N750" s="38">
        <f t="shared" si="302"/>
        <v>0</v>
      </c>
      <c r="O750" s="36">
        <f t="shared" si="303"/>
        <v>0</v>
      </c>
      <c r="P750" s="84">
        <f t="shared" si="304"/>
        <v>-25695.164616713322</v>
      </c>
      <c r="Q750" s="38">
        <f t="shared" si="305"/>
        <v>0</v>
      </c>
      <c r="R750" s="48">
        <f t="shared" si="306"/>
        <v>241.13320871531241</v>
      </c>
      <c r="S750" s="38">
        <f t="shared" si="297"/>
        <v>842.60837370136744</v>
      </c>
      <c r="T750" s="50">
        <f t="shared" si="310"/>
        <v>17950</v>
      </c>
      <c r="U750" s="40">
        <f t="shared" si="311"/>
        <v>22549.30513827753</v>
      </c>
      <c r="V750" s="41">
        <f t="shared" si="312"/>
        <v>0.25622869851128294</v>
      </c>
      <c r="W750" s="39">
        <f t="shared" si="313"/>
        <v>4599.3051382775302</v>
      </c>
      <c r="X750" s="50">
        <f t="shared" si="307"/>
        <v>7745.6333667295921</v>
      </c>
      <c r="Y750" s="41">
        <f t="shared" si="314"/>
        <v>0.68774030668563357</v>
      </c>
      <c r="Z750" s="52"/>
      <c r="AA750" s="50">
        <f t="shared" si="294"/>
        <v>25695.633366729598</v>
      </c>
      <c r="AB750" s="39">
        <f t="shared" si="295"/>
        <v>31589.389615281008</v>
      </c>
      <c r="AC750" s="39">
        <f t="shared" si="315"/>
        <v>5893.75624855141</v>
      </c>
      <c r="AD750" s="41">
        <f t="shared" si="316"/>
        <v>0.22936800834738613</v>
      </c>
      <c r="AF750" s="46">
        <f t="shared" si="298"/>
        <v>0</v>
      </c>
      <c r="AG750" s="46">
        <f t="shared" si="317"/>
        <v>0</v>
      </c>
      <c r="AH750" s="54">
        <f t="shared" si="299"/>
        <v>5033</v>
      </c>
      <c r="AI750" s="55">
        <f t="shared" si="308"/>
        <v>0.19933184855233854</v>
      </c>
      <c r="AJ750" s="55">
        <f t="shared" si="318"/>
        <v>0</v>
      </c>
      <c r="AK750" s="55">
        <f t="shared" si="319"/>
        <v>0</v>
      </c>
    </row>
    <row r="751" spans="2:37" s="53" customFormat="1" ht="17.25" customHeight="1" x14ac:dyDescent="0.25">
      <c r="B751" s="91" t="str">
        <f t="shared" si="300"/>
        <v/>
      </c>
      <c r="C751" s="81">
        <f>IF(Sheet3!A722="","",Sheet3!A722)</f>
        <v>42667</v>
      </c>
      <c r="D751" s="82">
        <f>IF(C751="","",Sheet3!E722)</f>
        <v>36.509998000000003</v>
      </c>
      <c r="E751" s="56">
        <f>_xlfn.XLOOKUP(WEEKNUM(C751)&amp;YEAR(C751),Sheet4!C:C,Sheet4!B:B,0)</f>
        <v>0</v>
      </c>
      <c r="F751" s="46">
        <f>IF(int=Weekly,-$D$5,IF(int=Bi_Weekly,-$D$5,IF(int=Monthly,-$D$5,IF(int=Quarterly,0,IF(int=Yearly,0,IF(int=None,0,0))))))</f>
        <v>-100</v>
      </c>
      <c r="G751" s="46"/>
      <c r="H751" s="46">
        <f t="shared" si="309"/>
        <v>-18050</v>
      </c>
      <c r="I751" s="47"/>
      <c r="J751" s="38">
        <f t="shared" si="296"/>
        <v>2.7389757731567115</v>
      </c>
      <c r="K751" s="48"/>
      <c r="L751" s="48">
        <f t="shared" si="301"/>
        <v>604.21414075921177</v>
      </c>
      <c r="M751" s="48"/>
      <c r="N751" s="38">
        <f t="shared" si="302"/>
        <v>0</v>
      </c>
      <c r="O751" s="36">
        <f t="shared" si="303"/>
        <v>0</v>
      </c>
      <c r="P751" s="84">
        <f t="shared" si="304"/>
        <v>-25795.164616713322</v>
      </c>
      <c r="Q751" s="38">
        <f t="shared" si="305"/>
        <v>0</v>
      </c>
      <c r="R751" s="48">
        <f t="shared" si="306"/>
        <v>241.13320871531241</v>
      </c>
      <c r="S751" s="38">
        <f t="shared" si="297"/>
        <v>845.34734947452421</v>
      </c>
      <c r="T751" s="50">
        <f t="shared" si="310"/>
        <v>18050</v>
      </c>
      <c r="U751" s="40">
        <f t="shared" si="311"/>
        <v>22059.857070690541</v>
      </c>
      <c r="V751" s="41">
        <f t="shared" si="312"/>
        <v>0.22215274629864501</v>
      </c>
      <c r="W751" s="39">
        <f t="shared" si="313"/>
        <v>4009.8570706905411</v>
      </c>
      <c r="X751" s="50">
        <f t="shared" si="307"/>
        <v>7745.6333667295921</v>
      </c>
      <c r="Y751" s="41">
        <f t="shared" si="314"/>
        <v>0.65127370844432875</v>
      </c>
      <c r="Z751" s="52"/>
      <c r="AA751" s="50">
        <f t="shared" si="294"/>
        <v>25795.633366729598</v>
      </c>
      <c r="AB751" s="39">
        <f t="shared" si="295"/>
        <v>30863.63003862018</v>
      </c>
      <c r="AC751" s="39">
        <f t="shared" si="315"/>
        <v>5067.9966718905816</v>
      </c>
      <c r="AD751" s="41">
        <f t="shared" si="316"/>
        <v>0.19646723148217493</v>
      </c>
      <c r="AF751" s="46">
        <f t="shared" si="298"/>
        <v>-100</v>
      </c>
      <c r="AG751" s="46">
        <f t="shared" si="317"/>
        <v>-100</v>
      </c>
      <c r="AH751" s="54">
        <f t="shared" si="299"/>
        <v>5040</v>
      </c>
      <c r="AI751" s="55">
        <f t="shared" si="308"/>
        <v>0.19821826280623608</v>
      </c>
      <c r="AJ751" s="55">
        <f t="shared" si="318"/>
        <v>-19.821826280623608</v>
      </c>
      <c r="AK751" s="55">
        <f t="shared" si="319"/>
        <v>-19.821826280623608</v>
      </c>
    </row>
    <row r="752" spans="2:37" s="53" customFormat="1" ht="17.25" customHeight="1" x14ac:dyDescent="0.25">
      <c r="B752" s="91" t="str">
        <f t="shared" si="300"/>
        <v/>
      </c>
      <c r="C752" s="81">
        <f>IF(Sheet3!A723="","",Sheet3!A723)</f>
        <v>42674</v>
      </c>
      <c r="D752" s="82">
        <f>IF(C752="","",Sheet3!E723)</f>
        <v>36.5</v>
      </c>
      <c r="E752" s="56">
        <f>_xlfn.XLOOKUP(WEEKNUM(C752)&amp;YEAR(C752),Sheet4!C:C,Sheet4!B:B,0)</f>
        <v>0</v>
      </c>
      <c r="F752" s="46">
        <f>IF(int=Weekly,-$D$5,IF(int=Bi_Weekly,0,IF(int=Monthly,0,IF(int=Quarterly,0,IF(int=Yearly,0,IF(int=None,0,0))))))</f>
        <v>0</v>
      </c>
      <c r="G752" s="46"/>
      <c r="H752" s="46">
        <f t="shared" si="309"/>
        <v>-18050</v>
      </c>
      <c r="I752" s="47"/>
      <c r="J752" s="38">
        <f t="shared" si="296"/>
        <v>0</v>
      </c>
      <c r="K752" s="48"/>
      <c r="L752" s="48">
        <f t="shared" si="301"/>
        <v>604.21414075921177</v>
      </c>
      <c r="M752" s="48"/>
      <c r="N752" s="38">
        <f t="shared" si="302"/>
        <v>0</v>
      </c>
      <c r="O752" s="36">
        <f t="shared" si="303"/>
        <v>0</v>
      </c>
      <c r="P752" s="84">
        <f t="shared" si="304"/>
        <v>-25795.164616713322</v>
      </c>
      <c r="Q752" s="38">
        <f t="shared" si="305"/>
        <v>0</v>
      </c>
      <c r="R752" s="48">
        <f t="shared" si="306"/>
        <v>241.13320871531241</v>
      </c>
      <c r="S752" s="38">
        <f t="shared" si="297"/>
        <v>845.34734947452421</v>
      </c>
      <c r="T752" s="50">
        <f t="shared" si="310"/>
        <v>18050</v>
      </c>
      <c r="U752" s="40">
        <f t="shared" si="311"/>
        <v>22053.81613771123</v>
      </c>
      <c r="V752" s="41">
        <f t="shared" si="312"/>
        <v>0.22181806857125919</v>
      </c>
      <c r="W752" s="39">
        <f t="shared" si="313"/>
        <v>4003.8161377112301</v>
      </c>
      <c r="X752" s="50">
        <f t="shared" si="307"/>
        <v>7745.6333667295921</v>
      </c>
      <c r="Y752" s="41">
        <f t="shared" si="314"/>
        <v>0.65093903071694292</v>
      </c>
      <c r="Z752" s="52"/>
      <c r="AA752" s="50">
        <f t="shared" si="294"/>
        <v>25795.633366729598</v>
      </c>
      <c r="AB752" s="39">
        <f t="shared" si="295"/>
        <v>30855.17825582013</v>
      </c>
      <c r="AC752" s="39">
        <f t="shared" si="315"/>
        <v>5059.5448890905318</v>
      </c>
      <c r="AD752" s="41">
        <f t="shared" si="316"/>
        <v>0.19613958754802963</v>
      </c>
      <c r="AF752" s="46">
        <f t="shared" si="298"/>
        <v>0</v>
      </c>
      <c r="AG752" s="46">
        <f t="shared" si="317"/>
        <v>0</v>
      </c>
      <c r="AH752" s="54">
        <f t="shared" si="299"/>
        <v>5047</v>
      </c>
      <c r="AI752" s="55">
        <f t="shared" si="308"/>
        <v>0.19710467706013363</v>
      </c>
      <c r="AJ752" s="55">
        <f t="shared" si="318"/>
        <v>0</v>
      </c>
      <c r="AK752" s="55">
        <f t="shared" si="319"/>
        <v>0</v>
      </c>
    </row>
    <row r="753" spans="2:37" s="53" customFormat="1" ht="17.25" customHeight="1" x14ac:dyDescent="0.25">
      <c r="B753" s="91" t="str">
        <f t="shared" si="300"/>
        <v/>
      </c>
      <c r="C753" s="81">
        <f>IF(Sheet3!A724="","",Sheet3!A724)</f>
        <v>42681</v>
      </c>
      <c r="D753" s="82">
        <f>IF(C753="","",Sheet3!E724)</f>
        <v>36.509998000000003</v>
      </c>
      <c r="E753" s="56">
        <f>_xlfn.XLOOKUP(WEEKNUM(C753)&amp;YEAR(C753),Sheet4!C:C,Sheet4!B:B,0)</f>
        <v>0</v>
      </c>
      <c r="F753" s="46">
        <f>IF(int=Weekly,-$D$5,IF(int=Bi_Weekly,-$D$5,IF(int=Monthly,0,IF(int=Quarterly,0,IF(int=Yearly,0,IF(int=None,0,0))))))</f>
        <v>0</v>
      </c>
      <c r="G753" s="46"/>
      <c r="H753" s="46">
        <f t="shared" si="309"/>
        <v>-18050</v>
      </c>
      <c r="I753" s="47"/>
      <c r="J753" s="38">
        <f t="shared" si="296"/>
        <v>0</v>
      </c>
      <c r="K753" s="48"/>
      <c r="L753" s="48">
        <f t="shared" si="301"/>
        <v>604.21414075921177</v>
      </c>
      <c r="M753" s="48"/>
      <c r="N753" s="38">
        <f t="shared" si="302"/>
        <v>0</v>
      </c>
      <c r="O753" s="36">
        <f t="shared" si="303"/>
        <v>0</v>
      </c>
      <c r="P753" s="84">
        <f t="shared" si="304"/>
        <v>-25795.164616713322</v>
      </c>
      <c r="Q753" s="38">
        <f t="shared" si="305"/>
        <v>0</v>
      </c>
      <c r="R753" s="48">
        <f t="shared" si="306"/>
        <v>241.13320871531241</v>
      </c>
      <c r="S753" s="38">
        <f t="shared" si="297"/>
        <v>845.34734947452421</v>
      </c>
      <c r="T753" s="50">
        <f t="shared" si="310"/>
        <v>18050</v>
      </c>
      <c r="U753" s="40">
        <f t="shared" si="311"/>
        <v>22059.857070690541</v>
      </c>
      <c r="V753" s="41">
        <f t="shared" si="312"/>
        <v>0.22215274629864501</v>
      </c>
      <c r="W753" s="39">
        <f t="shared" si="313"/>
        <v>4009.8570706905411</v>
      </c>
      <c r="X753" s="50">
        <f t="shared" si="307"/>
        <v>7745.6333667295921</v>
      </c>
      <c r="Y753" s="41">
        <f t="shared" si="314"/>
        <v>0.65127370844432875</v>
      </c>
      <c r="Z753" s="52"/>
      <c r="AA753" s="50">
        <f t="shared" ref="AA753:AA816" si="320">(D753*Q753)+(D753*J753)+AA752</f>
        <v>25795.633366729598</v>
      </c>
      <c r="AB753" s="39">
        <f t="shared" ref="AB753:AB816" si="321">(L753*D753)+(D753*R753)</f>
        <v>30863.63003862018</v>
      </c>
      <c r="AC753" s="39">
        <f t="shared" si="315"/>
        <v>5067.9966718905816</v>
      </c>
      <c r="AD753" s="41">
        <f t="shared" si="316"/>
        <v>0.19646723148217493</v>
      </c>
      <c r="AF753" s="46">
        <f t="shared" si="298"/>
        <v>0</v>
      </c>
      <c r="AG753" s="46">
        <f t="shared" si="317"/>
        <v>0</v>
      </c>
      <c r="AH753" s="54">
        <f t="shared" si="299"/>
        <v>5054</v>
      </c>
      <c r="AI753" s="55">
        <f t="shared" si="308"/>
        <v>0.19599109131403117</v>
      </c>
      <c r="AJ753" s="55">
        <f t="shared" si="318"/>
        <v>0</v>
      </c>
      <c r="AK753" s="55">
        <f t="shared" si="319"/>
        <v>0</v>
      </c>
    </row>
    <row r="754" spans="2:37" s="53" customFormat="1" ht="17.25" customHeight="1" x14ac:dyDescent="0.25">
      <c r="B754" s="91" t="str">
        <f t="shared" si="300"/>
        <v/>
      </c>
      <c r="C754" s="81">
        <f>IF(Sheet3!A725="","",Sheet3!A725)</f>
        <v>42688</v>
      </c>
      <c r="D754" s="82">
        <f>IF(C754="","",Sheet3!E725)</f>
        <v>37.560001</v>
      </c>
      <c r="E754" s="56">
        <f>_xlfn.XLOOKUP(WEEKNUM(C754)&amp;YEAR(C754),Sheet4!C:C,Sheet4!B:B,0)</f>
        <v>0</v>
      </c>
      <c r="F754" s="46">
        <f>IF(int=Weekly,-$D$5,IF(int=Bi_Weekly,0,IF(int=Monthly,0,IF(int=Quarterly,0,IF(int=Yearly,0,IF(int=None,0,0))))))</f>
        <v>0</v>
      </c>
      <c r="G754" s="46"/>
      <c r="H754" s="46">
        <f t="shared" si="309"/>
        <v>-18050</v>
      </c>
      <c r="I754" s="47"/>
      <c r="J754" s="38">
        <f t="shared" si="296"/>
        <v>0</v>
      </c>
      <c r="K754" s="48"/>
      <c r="L754" s="48">
        <f t="shared" si="301"/>
        <v>604.21414075921177</v>
      </c>
      <c r="M754" s="48"/>
      <c r="N754" s="38">
        <f t="shared" si="302"/>
        <v>0</v>
      </c>
      <c r="O754" s="36">
        <f t="shared" si="303"/>
        <v>0</v>
      </c>
      <c r="P754" s="84">
        <f t="shared" si="304"/>
        <v>-25795.164616713322</v>
      </c>
      <c r="Q754" s="38">
        <f t="shared" si="305"/>
        <v>0</v>
      </c>
      <c r="R754" s="48">
        <f t="shared" si="306"/>
        <v>241.13320871531241</v>
      </c>
      <c r="S754" s="38">
        <f t="shared" si="297"/>
        <v>845.34734947452421</v>
      </c>
      <c r="T754" s="50">
        <f t="shared" si="310"/>
        <v>18050</v>
      </c>
      <c r="U754" s="40">
        <f t="shared" si="311"/>
        <v>22694.283731130134</v>
      </c>
      <c r="V754" s="41">
        <f t="shared" si="312"/>
        <v>0.25730103773574142</v>
      </c>
      <c r="W754" s="39">
        <f t="shared" si="313"/>
        <v>4644.2837311301337</v>
      </c>
      <c r="X754" s="50">
        <f t="shared" si="307"/>
        <v>7745.6333667295921</v>
      </c>
      <c r="Y754" s="41">
        <f t="shared" si="314"/>
        <v>0.68642199988142516</v>
      </c>
      <c r="Z754" s="52"/>
      <c r="AA754" s="50">
        <f t="shared" si="320"/>
        <v>25795.633366729598</v>
      </c>
      <c r="AB754" s="39">
        <f t="shared" si="321"/>
        <v>31751.247291610474</v>
      </c>
      <c r="AC754" s="39">
        <f t="shared" si="315"/>
        <v>5955.6139248808759</v>
      </c>
      <c r="AD754" s="41">
        <f t="shared" si="316"/>
        <v>0.23087682477927607</v>
      </c>
      <c r="AF754" s="46">
        <f t="shared" si="298"/>
        <v>0</v>
      </c>
      <c r="AG754" s="46">
        <f t="shared" si="317"/>
        <v>0</v>
      </c>
      <c r="AH754" s="54">
        <f t="shared" si="299"/>
        <v>5061</v>
      </c>
      <c r="AI754" s="55">
        <f t="shared" si="308"/>
        <v>0.19487750556792874</v>
      </c>
      <c r="AJ754" s="55">
        <f t="shared" si="318"/>
        <v>0</v>
      </c>
      <c r="AK754" s="55">
        <f t="shared" si="319"/>
        <v>0</v>
      </c>
    </row>
    <row r="755" spans="2:37" s="53" customFormat="1" ht="17.25" customHeight="1" x14ac:dyDescent="0.25">
      <c r="B755" s="91" t="str">
        <f t="shared" si="300"/>
        <v/>
      </c>
      <c r="C755" s="81">
        <f>IF(Sheet3!A726="","",Sheet3!A726)</f>
        <v>42695</v>
      </c>
      <c r="D755" s="82">
        <f>IF(C755="","",Sheet3!E726)</f>
        <v>39.209999000000003</v>
      </c>
      <c r="E755" s="56">
        <f>_xlfn.XLOOKUP(WEEKNUM(C755)&amp;YEAR(C755),Sheet4!C:C,Sheet4!B:B,0)</f>
        <v>0</v>
      </c>
      <c r="F755" s="46">
        <f>IF(int=Weekly,-$D$5,IF(int=Bi_Weekly,-$D$5,IF(int=Monthly,-$D$5,IF(int=Quarterly,0,IF(int=Yearly,0,IF(int=None,0,0))))))</f>
        <v>-100</v>
      </c>
      <c r="G755" s="46"/>
      <c r="H755" s="46">
        <f t="shared" si="309"/>
        <v>-18150</v>
      </c>
      <c r="I755" s="47"/>
      <c r="J755" s="38">
        <f t="shared" si="296"/>
        <v>2.550369868665388</v>
      </c>
      <c r="K755" s="48"/>
      <c r="L755" s="48">
        <f t="shared" si="301"/>
        <v>606.76451062787714</v>
      </c>
      <c r="M755" s="48"/>
      <c r="N755" s="38">
        <f t="shared" si="302"/>
        <v>0</v>
      </c>
      <c r="O755" s="36">
        <f t="shared" si="303"/>
        <v>0</v>
      </c>
      <c r="P755" s="84">
        <f t="shared" si="304"/>
        <v>-25895.164616713322</v>
      </c>
      <c r="Q755" s="38">
        <f t="shared" si="305"/>
        <v>0</v>
      </c>
      <c r="R755" s="48">
        <f t="shared" si="306"/>
        <v>241.13320871531241</v>
      </c>
      <c r="S755" s="38">
        <f t="shared" si="297"/>
        <v>847.89771934318958</v>
      </c>
      <c r="T755" s="50">
        <f t="shared" si="310"/>
        <v>18150</v>
      </c>
      <c r="U755" s="40">
        <f t="shared" si="311"/>
        <v>23791.235854954553</v>
      </c>
      <c r="V755" s="41">
        <f t="shared" si="312"/>
        <v>0.31081189283496169</v>
      </c>
      <c r="W755" s="39">
        <f t="shared" si="313"/>
        <v>5641.2358549545534</v>
      </c>
      <c r="X755" s="50">
        <f t="shared" si="307"/>
        <v>7745.6333667295921</v>
      </c>
      <c r="Y755" s="41">
        <f t="shared" si="314"/>
        <v>0.73756855215890593</v>
      </c>
      <c r="Z755" s="52"/>
      <c r="AA755" s="50">
        <f t="shared" si="320"/>
        <v>25895.633366729598</v>
      </c>
      <c r="AB755" s="39">
        <f t="shared" si="321"/>
        <v>33246.068727548743</v>
      </c>
      <c r="AC755" s="39">
        <f t="shared" si="315"/>
        <v>7350.435360819145</v>
      </c>
      <c r="AD755" s="41">
        <f t="shared" si="316"/>
        <v>0.28384844876058901</v>
      </c>
      <c r="AF755" s="46">
        <f t="shared" si="298"/>
        <v>-100</v>
      </c>
      <c r="AG755" s="46">
        <f t="shared" si="317"/>
        <v>-100</v>
      </c>
      <c r="AH755" s="54">
        <f t="shared" si="299"/>
        <v>5068</v>
      </c>
      <c r="AI755" s="55">
        <f t="shared" si="308"/>
        <v>0.19376391982182628</v>
      </c>
      <c r="AJ755" s="55">
        <f t="shared" si="318"/>
        <v>-19.376391982182628</v>
      </c>
      <c r="AK755" s="55">
        <f t="shared" si="319"/>
        <v>-19.376391982182628</v>
      </c>
    </row>
    <row r="756" spans="2:37" s="53" customFormat="1" ht="17.25" customHeight="1" x14ac:dyDescent="0.25">
      <c r="B756" s="91" t="str">
        <f t="shared" si="300"/>
        <v/>
      </c>
      <c r="C756" s="81">
        <f>IF(Sheet3!A727="","",Sheet3!A727)</f>
        <v>42702</v>
      </c>
      <c r="D756" s="82">
        <f>IF(C756="","",Sheet3!E727)</f>
        <v>38.610000999999997</v>
      </c>
      <c r="E756" s="56">
        <f>_xlfn.XLOOKUP(WEEKNUM(C756)&amp;YEAR(C756),Sheet4!C:C,Sheet4!B:B,0)</f>
        <v>0</v>
      </c>
      <c r="F756" s="46">
        <f>IF(int=Weekly,-$D$5,IF(int=Bi_Weekly,0,IF(int=Monthly,0,IF(int=Quarterly,0,IF(int=Yearly,0,IF(int=None,0,0))))))</f>
        <v>0</v>
      </c>
      <c r="G756" s="46"/>
      <c r="H756" s="46">
        <f t="shared" si="309"/>
        <v>-18150</v>
      </c>
      <c r="I756" s="47"/>
      <c r="J756" s="38">
        <f t="shared" si="296"/>
        <v>0</v>
      </c>
      <c r="K756" s="48"/>
      <c r="L756" s="48">
        <f t="shared" si="301"/>
        <v>606.76451062787714</v>
      </c>
      <c r="M756" s="48"/>
      <c r="N756" s="38">
        <f t="shared" si="302"/>
        <v>0</v>
      </c>
      <c r="O756" s="36">
        <f t="shared" si="303"/>
        <v>0</v>
      </c>
      <c r="P756" s="84">
        <f t="shared" si="304"/>
        <v>-25895.164616713322</v>
      </c>
      <c r="Q756" s="38">
        <f t="shared" si="305"/>
        <v>0</v>
      </c>
      <c r="R756" s="48">
        <f t="shared" si="306"/>
        <v>241.13320871531241</v>
      </c>
      <c r="S756" s="38">
        <f t="shared" si="297"/>
        <v>847.89771934318958</v>
      </c>
      <c r="T756" s="50">
        <f t="shared" si="310"/>
        <v>18150</v>
      </c>
      <c r="U756" s="40">
        <f t="shared" si="311"/>
        <v>23427.178362106846</v>
      </c>
      <c r="V756" s="41">
        <f t="shared" si="312"/>
        <v>0.29075362876621735</v>
      </c>
      <c r="W756" s="39">
        <f t="shared" si="313"/>
        <v>5277.1783621068462</v>
      </c>
      <c r="X756" s="50">
        <f t="shared" si="307"/>
        <v>7745.6333667295921</v>
      </c>
      <c r="Y756" s="41">
        <f t="shared" si="314"/>
        <v>0.71751028809016182</v>
      </c>
      <c r="Z756" s="52"/>
      <c r="AA756" s="50">
        <f t="shared" si="320"/>
        <v>25895.633366729598</v>
      </c>
      <c r="AB756" s="39">
        <f t="shared" si="321"/>
        <v>32737.331791738266</v>
      </c>
      <c r="AC756" s="39">
        <f t="shared" si="315"/>
        <v>6841.698425008668</v>
      </c>
      <c r="AD756" s="41">
        <f t="shared" si="316"/>
        <v>0.26420278384844598</v>
      </c>
      <c r="AF756" s="46">
        <f t="shared" si="298"/>
        <v>0</v>
      </c>
      <c r="AG756" s="46">
        <f t="shared" si="317"/>
        <v>0</v>
      </c>
      <c r="AH756" s="54">
        <f t="shared" si="299"/>
        <v>5075</v>
      </c>
      <c r="AI756" s="55">
        <f t="shared" si="308"/>
        <v>0.19265033407572382</v>
      </c>
      <c r="AJ756" s="55">
        <f t="shared" si="318"/>
        <v>0</v>
      </c>
      <c r="AK756" s="55">
        <f t="shared" si="319"/>
        <v>0</v>
      </c>
    </row>
    <row r="757" spans="2:37" s="53" customFormat="1" ht="17.25" customHeight="1" x14ac:dyDescent="0.25">
      <c r="B757" s="91" t="str">
        <f t="shared" si="300"/>
        <v/>
      </c>
      <c r="C757" s="81">
        <f>IF(Sheet3!A728="","",Sheet3!A728)</f>
        <v>42709</v>
      </c>
      <c r="D757" s="82">
        <f>IF(C757="","",Sheet3!E728)</f>
        <v>40.380001</v>
      </c>
      <c r="E757" s="56">
        <f>_xlfn.XLOOKUP(WEEKNUM(C757)&amp;YEAR(C757),Sheet4!C:C,Sheet4!B:B,0)</f>
        <v>0</v>
      </c>
      <c r="F757" s="46">
        <f>IF(int=Weekly,-$D$5,IF(int=Bi_Weekly,-$D$5,IF(int=Monthly,0,IF(int=Quarterly,0,IF(int=Yearly,0,IF(int=None,0,0))))))</f>
        <v>0</v>
      </c>
      <c r="G757" s="46"/>
      <c r="H757" s="46">
        <f t="shared" si="309"/>
        <v>-18150</v>
      </c>
      <c r="I757" s="47"/>
      <c r="J757" s="38">
        <f t="shared" si="296"/>
        <v>0</v>
      </c>
      <c r="K757" s="48"/>
      <c r="L757" s="48">
        <f t="shared" si="301"/>
        <v>606.76451062787714</v>
      </c>
      <c r="M757" s="48"/>
      <c r="N757" s="38">
        <f t="shared" si="302"/>
        <v>0</v>
      </c>
      <c r="O757" s="36">
        <f t="shared" si="303"/>
        <v>0</v>
      </c>
      <c r="P757" s="84">
        <f t="shared" si="304"/>
        <v>-25895.164616713322</v>
      </c>
      <c r="Q757" s="38">
        <f t="shared" si="305"/>
        <v>0</v>
      </c>
      <c r="R757" s="48">
        <f t="shared" si="306"/>
        <v>241.13320871531241</v>
      </c>
      <c r="S757" s="38">
        <f t="shared" si="297"/>
        <v>847.89771934318958</v>
      </c>
      <c r="T757" s="50">
        <f t="shared" si="310"/>
        <v>18150</v>
      </c>
      <c r="U757" s="40">
        <f t="shared" si="311"/>
        <v>24501.15154591819</v>
      </c>
      <c r="V757" s="41">
        <f t="shared" si="312"/>
        <v>0.34992570500926656</v>
      </c>
      <c r="W757" s="39">
        <f t="shared" si="313"/>
        <v>6351.1515459181901</v>
      </c>
      <c r="X757" s="50">
        <f t="shared" si="307"/>
        <v>7745.6333667295921</v>
      </c>
      <c r="Y757" s="41">
        <f t="shared" si="314"/>
        <v>0.77668236433321103</v>
      </c>
      <c r="Z757" s="52"/>
      <c r="AA757" s="50">
        <f t="shared" si="320"/>
        <v>25895.633366729598</v>
      </c>
      <c r="AB757" s="39">
        <f t="shared" si="321"/>
        <v>34238.110754975714</v>
      </c>
      <c r="AC757" s="39">
        <f t="shared" si="315"/>
        <v>8342.4773882461159</v>
      </c>
      <c r="AD757" s="41">
        <f t="shared" si="316"/>
        <v>0.32215768852228321</v>
      </c>
      <c r="AF757" s="46">
        <f t="shared" si="298"/>
        <v>0</v>
      </c>
      <c r="AG757" s="46">
        <f t="shared" si="317"/>
        <v>0</v>
      </c>
      <c r="AH757" s="54">
        <f t="shared" si="299"/>
        <v>5082</v>
      </c>
      <c r="AI757" s="55">
        <f t="shared" si="308"/>
        <v>0.19153674832962139</v>
      </c>
      <c r="AJ757" s="55">
        <f t="shared" si="318"/>
        <v>0</v>
      </c>
      <c r="AK757" s="55">
        <f t="shared" si="319"/>
        <v>0</v>
      </c>
    </row>
    <row r="758" spans="2:37" s="53" customFormat="1" ht="17.25" customHeight="1" x14ac:dyDescent="0.25">
      <c r="B758" s="91" t="str">
        <f t="shared" si="300"/>
        <v/>
      </c>
      <c r="C758" s="81">
        <f>IF(Sheet3!A729="","",Sheet3!A729)</f>
        <v>42716</v>
      </c>
      <c r="D758" s="82">
        <f>IF(C758="","",Sheet3!E729)</f>
        <v>41.669998</v>
      </c>
      <c r="E758" s="56">
        <f>_xlfn.XLOOKUP(WEEKNUM(C758)&amp;YEAR(C758),Sheet4!C:C,Sheet4!B:B,0)</f>
        <v>0</v>
      </c>
      <c r="F758" s="46">
        <f>IF(int=Weekly,-$D$5,IF(int=Bi_Weekly,0,IF(int=Monthly,0,IF(int=Quarterly,0,IF(int=Yearly,0,IF(int=None,0,0))))))</f>
        <v>0</v>
      </c>
      <c r="G758" s="46"/>
      <c r="H758" s="46">
        <f t="shared" si="309"/>
        <v>-18150</v>
      </c>
      <c r="I758" s="47"/>
      <c r="J758" s="38">
        <f t="shared" si="296"/>
        <v>0</v>
      </c>
      <c r="K758" s="48"/>
      <c r="L758" s="48">
        <f t="shared" si="301"/>
        <v>606.76451062787714</v>
      </c>
      <c r="M758" s="48"/>
      <c r="N758" s="38">
        <f t="shared" si="302"/>
        <v>0</v>
      </c>
      <c r="O758" s="36">
        <f t="shared" si="303"/>
        <v>0</v>
      </c>
      <c r="P758" s="84">
        <f t="shared" si="304"/>
        <v>-25895.164616713322</v>
      </c>
      <c r="Q758" s="38">
        <f t="shared" si="305"/>
        <v>0</v>
      </c>
      <c r="R758" s="48">
        <f t="shared" si="306"/>
        <v>241.13320871531241</v>
      </c>
      <c r="S758" s="38">
        <f t="shared" si="297"/>
        <v>847.89771934318958</v>
      </c>
      <c r="T758" s="50">
        <f t="shared" si="310"/>
        <v>18150</v>
      </c>
      <c r="U758" s="40">
        <f t="shared" si="311"/>
        <v>25283.875944334621</v>
      </c>
      <c r="V758" s="41">
        <f t="shared" si="312"/>
        <v>0.39305101621678351</v>
      </c>
      <c r="W758" s="39">
        <f t="shared" si="313"/>
        <v>7133.8759443346207</v>
      </c>
      <c r="X758" s="50">
        <f t="shared" si="307"/>
        <v>7745.6333667295921</v>
      </c>
      <c r="Y758" s="41">
        <f t="shared" si="314"/>
        <v>0.81980767554072798</v>
      </c>
      <c r="Z758" s="52"/>
      <c r="AA758" s="50">
        <f t="shared" si="320"/>
        <v>25895.633366729598</v>
      </c>
      <c r="AB758" s="39">
        <f t="shared" si="321"/>
        <v>35331.896269235272</v>
      </c>
      <c r="AC758" s="39">
        <f t="shared" si="315"/>
        <v>9436.262902505674</v>
      </c>
      <c r="AD758" s="41">
        <f t="shared" si="316"/>
        <v>0.36439591064913945</v>
      </c>
      <c r="AF758" s="46">
        <f t="shared" si="298"/>
        <v>0</v>
      </c>
      <c r="AG758" s="46">
        <f t="shared" si="317"/>
        <v>0</v>
      </c>
      <c r="AH758" s="54">
        <f t="shared" si="299"/>
        <v>5089</v>
      </c>
      <c r="AI758" s="55">
        <f t="shared" si="308"/>
        <v>0.19042316258351893</v>
      </c>
      <c r="AJ758" s="55">
        <f t="shared" si="318"/>
        <v>0</v>
      </c>
      <c r="AK758" s="55">
        <f t="shared" si="319"/>
        <v>0</v>
      </c>
    </row>
    <row r="759" spans="2:37" s="53" customFormat="1" ht="17.25" customHeight="1" x14ac:dyDescent="0.25">
      <c r="B759" s="91" t="str">
        <f t="shared" si="300"/>
        <v/>
      </c>
      <c r="C759" s="81">
        <f>IF(Sheet3!A730="","",Sheet3!A730)</f>
        <v>42723</v>
      </c>
      <c r="D759" s="82">
        <f>IF(C759="","",Sheet3!E730)</f>
        <v>42.73</v>
      </c>
      <c r="E759" s="56">
        <f>_xlfn.XLOOKUP(WEEKNUM(C759)&amp;YEAR(C759),Sheet4!C:C,Sheet4!B:B,0)</f>
        <v>0</v>
      </c>
      <c r="F759" s="46">
        <f>IF(int=Weekly,-$D$5,IF(int=Bi_Weekly,-$D$5,IF(int=Monthly,-$D$5,IF(int=Quarterly,-$D$5,IF(int=Yearly,-$D$5,IF(int=None,0,0))))))</f>
        <v>-100</v>
      </c>
      <c r="G759" s="46"/>
      <c r="H759" s="46">
        <f t="shared" si="309"/>
        <v>-18250</v>
      </c>
      <c r="I759" s="47"/>
      <c r="J759" s="38">
        <f t="shared" si="296"/>
        <v>2.3402761525860054</v>
      </c>
      <c r="K759" s="48"/>
      <c r="L759" s="48">
        <f t="shared" si="301"/>
        <v>609.1047867804632</v>
      </c>
      <c r="M759" s="48"/>
      <c r="N759" s="38">
        <f t="shared" si="302"/>
        <v>0</v>
      </c>
      <c r="O759" s="36">
        <f t="shared" si="303"/>
        <v>0</v>
      </c>
      <c r="P759" s="84">
        <f t="shared" si="304"/>
        <v>-25995.164616713322</v>
      </c>
      <c r="Q759" s="38">
        <f t="shared" si="305"/>
        <v>0</v>
      </c>
      <c r="R759" s="48">
        <f t="shared" si="306"/>
        <v>241.13320871531241</v>
      </c>
      <c r="S759" s="38">
        <f t="shared" si="297"/>
        <v>850.23799549577564</v>
      </c>
      <c r="T759" s="50">
        <f t="shared" si="310"/>
        <v>18250</v>
      </c>
      <c r="U759" s="40">
        <f t="shared" si="311"/>
        <v>26027.047539129191</v>
      </c>
      <c r="V759" s="41">
        <f t="shared" si="312"/>
        <v>0.42613959118516109</v>
      </c>
      <c r="W759" s="39">
        <f t="shared" si="313"/>
        <v>7777.0475391291911</v>
      </c>
      <c r="X759" s="50">
        <f t="shared" si="307"/>
        <v>7745.6333667295921</v>
      </c>
      <c r="Y759" s="41">
        <f t="shared" si="314"/>
        <v>0.85055785785527571</v>
      </c>
      <c r="Z759" s="52"/>
      <c r="AA759" s="50">
        <f t="shared" si="320"/>
        <v>25995.633366729598</v>
      </c>
      <c r="AB759" s="39">
        <f t="shared" si="321"/>
        <v>36330.66954753449</v>
      </c>
      <c r="AC759" s="39">
        <f t="shared" si="315"/>
        <v>10335.036180804891</v>
      </c>
      <c r="AD759" s="41">
        <f t="shared" si="316"/>
        <v>0.3975681621218794</v>
      </c>
      <c r="AF759" s="46">
        <f t="shared" si="298"/>
        <v>-100</v>
      </c>
      <c r="AG759" s="46">
        <f t="shared" si="317"/>
        <v>-100</v>
      </c>
      <c r="AH759" s="54">
        <f t="shared" si="299"/>
        <v>5096</v>
      </c>
      <c r="AI759" s="55">
        <f t="shared" si="308"/>
        <v>0.18930957683741648</v>
      </c>
      <c r="AJ759" s="55">
        <f t="shared" si="318"/>
        <v>-18.930957683741649</v>
      </c>
      <c r="AK759" s="55">
        <f t="shared" si="319"/>
        <v>-18.930957683741649</v>
      </c>
    </row>
    <row r="760" spans="2:37" s="53" customFormat="1" ht="17.25" customHeight="1" x14ac:dyDescent="0.25">
      <c r="B760" s="91" t="str">
        <f t="shared" si="300"/>
        <v/>
      </c>
      <c r="C760" s="81">
        <f>IF(Sheet3!A731="","",Sheet3!A731)</f>
        <v>42730</v>
      </c>
      <c r="D760" s="82">
        <f>IF(C760="","",Sheet3!E731)</f>
        <v>42.529998999999997</v>
      </c>
      <c r="E760" s="56">
        <f>_xlfn.XLOOKUP(WEEKNUM(C760)&amp;YEAR(C760),Sheet4!C:C,Sheet4!B:B,0)</f>
        <v>0</v>
      </c>
      <c r="F760" s="46">
        <f>IF(int=Weekly,-$D$5,IF(int=Bi_Weekly,0,IF(int=Monthly,0,IF(int=Quarterly,0,IF(int=Yearly,0,IF(int=None,0,0))))))</f>
        <v>0</v>
      </c>
      <c r="G760" s="46"/>
      <c r="H760" s="46">
        <f t="shared" si="309"/>
        <v>-18250</v>
      </c>
      <c r="I760" s="47"/>
      <c r="J760" s="38">
        <f t="shared" si="296"/>
        <v>0</v>
      </c>
      <c r="K760" s="48"/>
      <c r="L760" s="48">
        <f t="shared" si="301"/>
        <v>609.1047867804632</v>
      </c>
      <c r="M760" s="48"/>
      <c r="N760" s="38">
        <f t="shared" si="302"/>
        <v>0</v>
      </c>
      <c r="O760" s="36">
        <f t="shared" si="303"/>
        <v>0</v>
      </c>
      <c r="P760" s="84">
        <f t="shared" si="304"/>
        <v>-25995.164616713322</v>
      </c>
      <c r="Q760" s="38">
        <f t="shared" si="305"/>
        <v>0</v>
      </c>
      <c r="R760" s="48">
        <f t="shared" si="306"/>
        <v>241.13320871531241</v>
      </c>
      <c r="S760" s="38">
        <f t="shared" si="297"/>
        <v>850.23799549577564</v>
      </c>
      <c r="T760" s="50">
        <f t="shared" si="310"/>
        <v>18250</v>
      </c>
      <c r="U760" s="40">
        <f t="shared" si="311"/>
        <v>25905.225972668311</v>
      </c>
      <c r="V760" s="41">
        <f t="shared" si="312"/>
        <v>0.41946443685853763</v>
      </c>
      <c r="W760" s="39">
        <f t="shared" si="313"/>
        <v>7655.2259726683114</v>
      </c>
      <c r="X760" s="50">
        <f t="shared" si="307"/>
        <v>7745.6333667295921</v>
      </c>
      <c r="Y760" s="41">
        <f t="shared" si="314"/>
        <v>0.84388270352865224</v>
      </c>
      <c r="Z760" s="52"/>
      <c r="AA760" s="50">
        <f t="shared" si="320"/>
        <v>25995.633366729598</v>
      </c>
      <c r="AB760" s="39">
        <f t="shared" si="321"/>
        <v>36160.621098197342</v>
      </c>
      <c r="AC760" s="39">
        <f t="shared" si="315"/>
        <v>10164.987731467743</v>
      </c>
      <c r="AD760" s="41">
        <f t="shared" si="316"/>
        <v>0.39102673853207048</v>
      </c>
      <c r="AF760" s="46">
        <f t="shared" si="298"/>
        <v>0</v>
      </c>
      <c r="AG760" s="46">
        <f t="shared" si="317"/>
        <v>0</v>
      </c>
      <c r="AH760" s="54">
        <f t="shared" si="299"/>
        <v>5103</v>
      </c>
      <c r="AI760" s="55">
        <f t="shared" si="308"/>
        <v>0.18819599109131402</v>
      </c>
      <c r="AJ760" s="55">
        <f t="shared" si="318"/>
        <v>0</v>
      </c>
      <c r="AK760" s="55">
        <f t="shared" si="319"/>
        <v>0</v>
      </c>
    </row>
    <row r="761" spans="2:37" s="53" customFormat="1" ht="17.25" customHeight="1" x14ac:dyDescent="0.25">
      <c r="B761" s="91" t="str">
        <f t="shared" si="300"/>
        <v/>
      </c>
      <c r="C761" s="81">
        <f>IF(Sheet3!A732="","",Sheet3!A732)</f>
        <v>42737</v>
      </c>
      <c r="D761" s="82">
        <f>IF(C761="","",Sheet3!E732)</f>
        <v>41.32</v>
      </c>
      <c r="E761" s="56">
        <f>_xlfn.XLOOKUP(WEEKNUM(C761)&amp;YEAR(C761),Sheet4!C:C,Sheet4!B:B,0)</f>
        <v>0.49</v>
      </c>
      <c r="F761" s="46">
        <f>IF(int=Weekly,-$D$5,IF(int=Bi_Weekly,-$D$5,IF(int=Monthly,0,IF(int=Quarterly,0,IF(int=Yearly,0,IF(int=None,0,0))))))</f>
        <v>0</v>
      </c>
      <c r="G761" s="46"/>
      <c r="H761" s="46">
        <f t="shared" si="309"/>
        <v>-18250</v>
      </c>
      <c r="I761" s="47"/>
      <c r="J761" s="38">
        <f t="shared" si="296"/>
        <v>0</v>
      </c>
      <c r="K761" s="48"/>
      <c r="L761" s="48">
        <f t="shared" si="301"/>
        <v>609.1047867804632</v>
      </c>
      <c r="M761" s="48"/>
      <c r="N761" s="38">
        <f t="shared" si="302"/>
        <v>298.46134552242694</v>
      </c>
      <c r="O761" s="36">
        <f t="shared" si="303"/>
        <v>-298.46134552242694</v>
      </c>
      <c r="P761" s="84">
        <f t="shared" si="304"/>
        <v>-26293.62596223575</v>
      </c>
      <c r="Q761" s="38">
        <f t="shared" si="305"/>
        <v>7.2231690591100417</v>
      </c>
      <c r="R761" s="48">
        <f t="shared" si="306"/>
        <v>248.35637777442244</v>
      </c>
      <c r="S761" s="38">
        <f t="shared" si="297"/>
        <v>857.46116455488561</v>
      </c>
      <c r="T761" s="50">
        <f t="shared" si="310"/>
        <v>18250</v>
      </c>
      <c r="U761" s="40">
        <f t="shared" si="311"/>
        <v>25168.209789768738</v>
      </c>
      <c r="V761" s="41">
        <f t="shared" si="312"/>
        <v>0.37907998848047875</v>
      </c>
      <c r="W761" s="39">
        <f t="shared" si="313"/>
        <v>6918.2097897687381</v>
      </c>
      <c r="X761" s="50">
        <f t="shared" si="307"/>
        <v>8044.0947122520192</v>
      </c>
      <c r="Y761" s="41">
        <f t="shared" si="314"/>
        <v>0.81985230148058941</v>
      </c>
      <c r="Z761" s="52"/>
      <c r="AA761" s="50">
        <f t="shared" si="320"/>
        <v>26294.094712252027</v>
      </c>
      <c r="AB761" s="39">
        <f t="shared" si="321"/>
        <v>35430.295319407873</v>
      </c>
      <c r="AC761" s="39">
        <f t="shared" si="315"/>
        <v>9136.2006071558462</v>
      </c>
      <c r="AD761" s="41">
        <f t="shared" si="316"/>
        <v>0.34746207112803673</v>
      </c>
      <c r="AF761" s="46">
        <f t="shared" si="298"/>
        <v>298.46134552242694</v>
      </c>
      <c r="AG761" s="46">
        <f t="shared" si="317"/>
        <v>0</v>
      </c>
      <c r="AH761" s="54">
        <f t="shared" si="299"/>
        <v>5110</v>
      </c>
      <c r="AI761" s="55">
        <f t="shared" si="308"/>
        <v>0.18708240534521159</v>
      </c>
      <c r="AJ761" s="55">
        <f t="shared" si="318"/>
        <v>55.836866422903931</v>
      </c>
      <c r="AK761" s="55">
        <f t="shared" si="319"/>
        <v>0</v>
      </c>
    </row>
    <row r="762" spans="2:37" s="53" customFormat="1" ht="17.25" customHeight="1" x14ac:dyDescent="0.25">
      <c r="B762" s="91" t="str">
        <f t="shared" si="300"/>
        <v/>
      </c>
      <c r="C762" s="81">
        <f>IF(Sheet3!A733="","",Sheet3!A733)</f>
        <v>42744</v>
      </c>
      <c r="D762" s="82">
        <f>IF(C762="","",Sheet3!E733)</f>
        <v>40.959999000000003</v>
      </c>
      <c r="E762" s="56">
        <f>_xlfn.XLOOKUP(WEEKNUM(C762)&amp;YEAR(C762),Sheet4!C:C,Sheet4!B:B,0)</f>
        <v>0</v>
      </c>
      <c r="F762" s="46">
        <f>IF(int=Weekly,-$D$5,IF(int=Bi_Weekly,0,IF(int=Monthly,0,IF(int=Quarterly,0,IF(int=Yearly,0,IF(int=None,0,0))))))</f>
        <v>0</v>
      </c>
      <c r="G762" s="46"/>
      <c r="H762" s="46">
        <f t="shared" si="309"/>
        <v>-18250</v>
      </c>
      <c r="I762" s="47"/>
      <c r="J762" s="38">
        <f t="shared" si="296"/>
        <v>0</v>
      </c>
      <c r="K762" s="48"/>
      <c r="L762" s="48">
        <f t="shared" si="301"/>
        <v>609.1047867804632</v>
      </c>
      <c r="M762" s="48"/>
      <c r="N762" s="38">
        <f t="shared" si="302"/>
        <v>0</v>
      </c>
      <c r="O762" s="36">
        <f t="shared" si="303"/>
        <v>0</v>
      </c>
      <c r="P762" s="84">
        <f t="shared" si="304"/>
        <v>-26293.62596223575</v>
      </c>
      <c r="Q762" s="38">
        <f t="shared" si="305"/>
        <v>0</v>
      </c>
      <c r="R762" s="48">
        <f t="shared" si="306"/>
        <v>248.35637777442244</v>
      </c>
      <c r="S762" s="38">
        <f t="shared" si="297"/>
        <v>857.46116455488561</v>
      </c>
      <c r="T762" s="50">
        <f t="shared" si="310"/>
        <v>18250</v>
      </c>
      <c r="U762" s="40">
        <f t="shared" si="311"/>
        <v>24948.931457422987</v>
      </c>
      <c r="V762" s="41">
        <f t="shared" si="312"/>
        <v>0.36706473739304046</v>
      </c>
      <c r="W762" s="39">
        <f t="shared" si="313"/>
        <v>6698.9314574229866</v>
      </c>
      <c r="X762" s="50">
        <f t="shared" si="307"/>
        <v>8044.0947122520192</v>
      </c>
      <c r="Y762" s="41">
        <f t="shared" si="314"/>
        <v>0.80783705039315112</v>
      </c>
      <c r="Z762" s="52"/>
      <c r="AA762" s="50">
        <f t="shared" si="320"/>
        <v>26294.094712252027</v>
      </c>
      <c r="AB762" s="39">
        <f t="shared" si="321"/>
        <v>35121.608442706951</v>
      </c>
      <c r="AC762" s="39">
        <f t="shared" si="315"/>
        <v>8827.5137304549244</v>
      </c>
      <c r="AD762" s="41">
        <f t="shared" si="316"/>
        <v>0.33572229152812949</v>
      </c>
      <c r="AF762" s="46">
        <f t="shared" si="298"/>
        <v>0</v>
      </c>
      <c r="AG762" s="46">
        <f t="shared" si="317"/>
        <v>0</v>
      </c>
      <c r="AH762" s="54">
        <f t="shared" si="299"/>
        <v>5117</v>
      </c>
      <c r="AI762" s="55">
        <f t="shared" si="308"/>
        <v>0.18596881959910913</v>
      </c>
      <c r="AJ762" s="55">
        <f t="shared" si="318"/>
        <v>0</v>
      </c>
      <c r="AK762" s="55">
        <f t="shared" si="319"/>
        <v>0</v>
      </c>
    </row>
    <row r="763" spans="2:37" s="53" customFormat="1" ht="17.25" customHeight="1" x14ac:dyDescent="0.25">
      <c r="B763" s="91" t="str">
        <f t="shared" si="300"/>
        <v/>
      </c>
      <c r="C763" s="81">
        <f>IF(Sheet3!A734="","",Sheet3!A734)</f>
        <v>42751</v>
      </c>
      <c r="D763" s="82">
        <f>IF(C763="","",Sheet3!E734)</f>
        <v>41.450001</v>
      </c>
      <c r="E763" s="56">
        <f>_xlfn.XLOOKUP(WEEKNUM(C763)&amp;YEAR(C763),Sheet4!C:C,Sheet4!B:B,0)</f>
        <v>0</v>
      </c>
      <c r="F763" s="46">
        <f>IF(int=Weekly,-$D$5,IF(int=Bi_Weekly,-$D$5,IF(int=Monthly,-$D$5,IF(int=Quarterly,0,IF(int=Yearly,0,IF(int=None,0,0))))))</f>
        <v>-100</v>
      </c>
      <c r="G763" s="46"/>
      <c r="H763" s="46">
        <f t="shared" si="309"/>
        <v>-18350</v>
      </c>
      <c r="I763" s="47"/>
      <c r="J763" s="38">
        <f t="shared" si="296"/>
        <v>2.4125451770194166</v>
      </c>
      <c r="K763" s="48"/>
      <c r="L763" s="48">
        <f t="shared" si="301"/>
        <v>611.51733195748261</v>
      </c>
      <c r="M763" s="48"/>
      <c r="N763" s="38">
        <f t="shared" si="302"/>
        <v>0</v>
      </c>
      <c r="O763" s="36">
        <f t="shared" si="303"/>
        <v>0</v>
      </c>
      <c r="P763" s="84">
        <f t="shared" si="304"/>
        <v>-26393.62596223575</v>
      </c>
      <c r="Q763" s="38">
        <f t="shared" si="305"/>
        <v>0</v>
      </c>
      <c r="R763" s="48">
        <f t="shared" si="306"/>
        <v>248.35637777442244</v>
      </c>
      <c r="S763" s="38">
        <f t="shared" si="297"/>
        <v>859.87370973190502</v>
      </c>
      <c r="T763" s="50">
        <f t="shared" si="310"/>
        <v>18350</v>
      </c>
      <c r="U763" s="40">
        <f t="shared" si="311"/>
        <v>25347.394021154985</v>
      </c>
      <c r="V763" s="41">
        <f t="shared" si="312"/>
        <v>0.38132937444986292</v>
      </c>
      <c r="W763" s="39">
        <f t="shared" si="313"/>
        <v>6997.3940211549852</v>
      </c>
      <c r="X763" s="50">
        <f t="shared" si="307"/>
        <v>8044.0947122520192</v>
      </c>
      <c r="Y763" s="41">
        <f t="shared" si="314"/>
        <v>0.81969965849629478</v>
      </c>
      <c r="Z763" s="52"/>
      <c r="AA763" s="50">
        <f t="shared" si="320"/>
        <v>26394.094712252027</v>
      </c>
      <c r="AB763" s="39">
        <f t="shared" si="321"/>
        <v>35641.766128261173</v>
      </c>
      <c r="AC763" s="39">
        <f t="shared" si="315"/>
        <v>9247.6714160091469</v>
      </c>
      <c r="AD763" s="41">
        <f t="shared" si="316"/>
        <v>0.35036895626946496</v>
      </c>
      <c r="AF763" s="46">
        <f t="shared" si="298"/>
        <v>-100</v>
      </c>
      <c r="AG763" s="46">
        <f t="shared" si="317"/>
        <v>-100</v>
      </c>
      <c r="AH763" s="54">
        <f t="shared" si="299"/>
        <v>5124</v>
      </c>
      <c r="AI763" s="55">
        <f t="shared" si="308"/>
        <v>0.18485523385300667</v>
      </c>
      <c r="AJ763" s="55">
        <f t="shared" si="318"/>
        <v>-18.485523385300667</v>
      </c>
      <c r="AK763" s="55">
        <f t="shared" si="319"/>
        <v>-18.485523385300667</v>
      </c>
    </row>
    <row r="764" spans="2:37" s="53" customFormat="1" ht="17.25" customHeight="1" x14ac:dyDescent="0.25">
      <c r="B764" s="91" t="str">
        <f t="shared" si="300"/>
        <v/>
      </c>
      <c r="C764" s="81">
        <f>IF(Sheet3!A735="","",Sheet3!A735)</f>
        <v>42758</v>
      </c>
      <c r="D764" s="82">
        <f>IF(C764="","",Sheet3!E735)</f>
        <v>42.009998000000003</v>
      </c>
      <c r="E764" s="56">
        <f>_xlfn.XLOOKUP(WEEKNUM(C764)&amp;YEAR(C764),Sheet4!C:C,Sheet4!B:B,0)</f>
        <v>0</v>
      </c>
      <c r="F764" s="46">
        <f>IF(int=Weekly,-$D$5,IF(int=Bi_Weekly,0,IF(int=Monthly,0,IF(int=Quarterly,0,IF(int=Yearly,0,IF(int=None,0,0))))))</f>
        <v>0</v>
      </c>
      <c r="G764" s="46"/>
      <c r="H764" s="46">
        <f t="shared" si="309"/>
        <v>-18350</v>
      </c>
      <c r="I764" s="47"/>
      <c r="J764" s="38">
        <f t="shared" si="296"/>
        <v>0</v>
      </c>
      <c r="K764" s="48"/>
      <c r="L764" s="48">
        <f t="shared" si="301"/>
        <v>611.51733195748261</v>
      </c>
      <c r="M764" s="48"/>
      <c r="N764" s="38">
        <f t="shared" si="302"/>
        <v>0</v>
      </c>
      <c r="O764" s="36">
        <f t="shared" si="303"/>
        <v>0</v>
      </c>
      <c r="P764" s="84">
        <f t="shared" si="304"/>
        <v>-26393.62596223575</v>
      </c>
      <c r="Q764" s="38">
        <f t="shared" si="305"/>
        <v>0</v>
      </c>
      <c r="R764" s="48">
        <f t="shared" si="306"/>
        <v>248.35637777442244</v>
      </c>
      <c r="S764" s="38">
        <f t="shared" si="297"/>
        <v>859.87370973190502</v>
      </c>
      <c r="T764" s="50">
        <f t="shared" si="310"/>
        <v>18350</v>
      </c>
      <c r="U764" s="40">
        <f t="shared" si="311"/>
        <v>25689.841892499182</v>
      </c>
      <c r="V764" s="41">
        <f t="shared" si="312"/>
        <v>0.39999138378742138</v>
      </c>
      <c r="W764" s="39">
        <f t="shared" si="313"/>
        <v>7339.841892499182</v>
      </c>
      <c r="X764" s="50">
        <f t="shared" si="307"/>
        <v>8044.0947122520192</v>
      </c>
      <c r="Y764" s="41">
        <f t="shared" si="314"/>
        <v>0.83836166783385302</v>
      </c>
      <c r="Z764" s="52"/>
      <c r="AA764" s="50">
        <f t="shared" si="320"/>
        <v>26394.094712252027</v>
      </c>
      <c r="AB764" s="39">
        <f t="shared" si="321"/>
        <v>36123.292826089913</v>
      </c>
      <c r="AC764" s="39">
        <f t="shared" si="315"/>
        <v>9729.1981138378869</v>
      </c>
      <c r="AD764" s="41">
        <f t="shared" si="316"/>
        <v>0.36861268476549158</v>
      </c>
      <c r="AF764" s="46">
        <f t="shared" si="298"/>
        <v>0</v>
      </c>
      <c r="AG764" s="46">
        <f t="shared" si="317"/>
        <v>0</v>
      </c>
      <c r="AH764" s="54">
        <f t="shared" si="299"/>
        <v>5131</v>
      </c>
      <c r="AI764" s="55">
        <f t="shared" si="308"/>
        <v>0.18374164810690424</v>
      </c>
      <c r="AJ764" s="55">
        <f t="shared" si="318"/>
        <v>0</v>
      </c>
      <c r="AK764" s="55">
        <f t="shared" si="319"/>
        <v>0</v>
      </c>
    </row>
    <row r="765" spans="2:37" s="53" customFormat="1" ht="17.25" customHeight="1" x14ac:dyDescent="0.25">
      <c r="B765" s="91" t="str">
        <f t="shared" si="300"/>
        <v/>
      </c>
      <c r="C765" s="81">
        <f>IF(Sheet3!A736="","",Sheet3!A736)</f>
        <v>42765</v>
      </c>
      <c r="D765" s="82">
        <f>IF(C765="","",Sheet3!E736)</f>
        <v>41.25</v>
      </c>
      <c r="E765" s="56">
        <f>_xlfn.XLOOKUP(WEEKNUM(C765)&amp;YEAR(C765),Sheet4!C:C,Sheet4!B:B,0)</f>
        <v>0</v>
      </c>
      <c r="F765" s="46">
        <f>IF(int=Weekly,-$D$5,IF(int=Bi_Weekly,-$D$5,IF(int=Monthly,0,IF(int=Quarterly,0,IF(int=Yearly,0,IF(int=None,0,0))))))</f>
        <v>0</v>
      </c>
      <c r="G765" s="46"/>
      <c r="H765" s="46">
        <f t="shared" si="309"/>
        <v>-18350</v>
      </c>
      <c r="I765" s="47"/>
      <c r="J765" s="38">
        <f t="shared" si="296"/>
        <v>0</v>
      </c>
      <c r="K765" s="48"/>
      <c r="L765" s="48">
        <f t="shared" si="301"/>
        <v>611.51733195748261</v>
      </c>
      <c r="M765" s="48"/>
      <c r="N765" s="38">
        <f t="shared" si="302"/>
        <v>0</v>
      </c>
      <c r="O765" s="36">
        <f t="shared" si="303"/>
        <v>0</v>
      </c>
      <c r="P765" s="84">
        <f t="shared" si="304"/>
        <v>-26393.62596223575</v>
      </c>
      <c r="Q765" s="38">
        <f t="shared" si="305"/>
        <v>0</v>
      </c>
      <c r="R765" s="48">
        <f t="shared" si="306"/>
        <v>248.35637777442244</v>
      </c>
      <c r="S765" s="38">
        <f t="shared" si="297"/>
        <v>859.87370973190502</v>
      </c>
      <c r="T765" s="50">
        <f t="shared" si="310"/>
        <v>18350</v>
      </c>
      <c r="U765" s="40">
        <f t="shared" si="311"/>
        <v>25225.089943246159</v>
      </c>
      <c r="V765" s="41">
        <f t="shared" si="312"/>
        <v>0.37466430208425927</v>
      </c>
      <c r="W765" s="39">
        <f t="shared" si="313"/>
        <v>6875.0899432461592</v>
      </c>
      <c r="X765" s="50">
        <f t="shared" si="307"/>
        <v>8044.0947122520192</v>
      </c>
      <c r="Y765" s="41">
        <f t="shared" si="314"/>
        <v>0.81303458613069068</v>
      </c>
      <c r="Z765" s="52"/>
      <c r="AA765" s="50">
        <f t="shared" si="320"/>
        <v>26394.094712252027</v>
      </c>
      <c r="AB765" s="39">
        <f t="shared" si="321"/>
        <v>35469.790526441087</v>
      </c>
      <c r="AC765" s="39">
        <f t="shared" si="315"/>
        <v>9075.6958141890609</v>
      </c>
      <c r="AD765" s="41">
        <f t="shared" si="316"/>
        <v>0.34385327146591482</v>
      </c>
      <c r="AF765" s="46">
        <f t="shared" si="298"/>
        <v>0</v>
      </c>
      <c r="AG765" s="46">
        <f t="shared" si="317"/>
        <v>0</v>
      </c>
      <c r="AH765" s="54">
        <f t="shared" si="299"/>
        <v>5138</v>
      </c>
      <c r="AI765" s="55">
        <f t="shared" si="308"/>
        <v>0.18262806236080179</v>
      </c>
      <c r="AJ765" s="55">
        <f t="shared" si="318"/>
        <v>0</v>
      </c>
      <c r="AK765" s="55">
        <f t="shared" si="319"/>
        <v>0</v>
      </c>
    </row>
    <row r="766" spans="2:37" s="53" customFormat="1" ht="17.25" customHeight="1" x14ac:dyDescent="0.25">
      <c r="B766" s="91" t="str">
        <f t="shared" si="300"/>
        <v/>
      </c>
      <c r="C766" s="81">
        <f>IF(Sheet3!A737="","",Sheet3!A737)</f>
        <v>42772</v>
      </c>
      <c r="D766" s="82">
        <f>IF(C766="","",Sheet3!E737)</f>
        <v>41.380001</v>
      </c>
      <c r="E766" s="56">
        <f>_xlfn.XLOOKUP(WEEKNUM(C766)&amp;YEAR(C766),Sheet4!C:C,Sheet4!B:B,0)</f>
        <v>0</v>
      </c>
      <c r="F766" s="46">
        <f>IF(int=Weekly,-$D$5,IF(int=Bi_Weekly,0,IF(int=Monthly,0,IF(int=Quarterly,0,IF(int=Yearly,0,IF(int=None,0,0))))))</f>
        <v>0</v>
      </c>
      <c r="G766" s="46"/>
      <c r="H766" s="46">
        <f t="shared" si="309"/>
        <v>-18350</v>
      </c>
      <c r="I766" s="47"/>
      <c r="J766" s="38">
        <f t="shared" si="296"/>
        <v>0</v>
      </c>
      <c r="K766" s="48"/>
      <c r="L766" s="48">
        <f t="shared" si="301"/>
        <v>611.51733195748261</v>
      </c>
      <c r="M766" s="48"/>
      <c r="N766" s="38">
        <f t="shared" si="302"/>
        <v>0</v>
      </c>
      <c r="O766" s="36">
        <f t="shared" si="303"/>
        <v>0</v>
      </c>
      <c r="P766" s="84">
        <f t="shared" si="304"/>
        <v>-26393.62596223575</v>
      </c>
      <c r="Q766" s="38">
        <f t="shared" si="305"/>
        <v>0</v>
      </c>
      <c r="R766" s="48">
        <f t="shared" si="306"/>
        <v>248.35637777442244</v>
      </c>
      <c r="S766" s="38">
        <f t="shared" si="297"/>
        <v>859.87370973190502</v>
      </c>
      <c r="T766" s="50">
        <f t="shared" si="310"/>
        <v>18350</v>
      </c>
      <c r="U766" s="40">
        <f t="shared" si="311"/>
        <v>25304.587807917964</v>
      </c>
      <c r="V766" s="41">
        <f t="shared" si="312"/>
        <v>0.37899661078572011</v>
      </c>
      <c r="W766" s="39">
        <f t="shared" si="313"/>
        <v>6954.5878079179638</v>
      </c>
      <c r="X766" s="50">
        <f t="shared" si="307"/>
        <v>8044.0947122520192</v>
      </c>
      <c r="Y766" s="41">
        <f t="shared" si="314"/>
        <v>0.81736689483215175</v>
      </c>
      <c r="Z766" s="52"/>
      <c r="AA766" s="50">
        <f t="shared" si="320"/>
        <v>26394.094712252027</v>
      </c>
      <c r="AB766" s="39">
        <f t="shared" si="321"/>
        <v>35581.574968579938</v>
      </c>
      <c r="AC766" s="39">
        <f t="shared" si="315"/>
        <v>9187.4802563279118</v>
      </c>
      <c r="AD766" s="41">
        <f t="shared" si="316"/>
        <v>0.34808847799061371</v>
      </c>
      <c r="AF766" s="46">
        <f t="shared" si="298"/>
        <v>0</v>
      </c>
      <c r="AG766" s="46">
        <f t="shared" si="317"/>
        <v>0</v>
      </c>
      <c r="AH766" s="54">
        <f t="shared" si="299"/>
        <v>5145</v>
      </c>
      <c r="AI766" s="55">
        <f t="shared" si="308"/>
        <v>0.18151447661469933</v>
      </c>
      <c r="AJ766" s="55">
        <f t="shared" si="318"/>
        <v>0</v>
      </c>
      <c r="AK766" s="55">
        <f t="shared" si="319"/>
        <v>0</v>
      </c>
    </row>
    <row r="767" spans="2:37" s="53" customFormat="1" ht="17.25" customHeight="1" x14ac:dyDescent="0.25">
      <c r="B767" s="91" t="str">
        <f t="shared" si="300"/>
        <v/>
      </c>
      <c r="C767" s="81">
        <f>IF(Sheet3!A738="","",Sheet3!A738)</f>
        <v>42779</v>
      </c>
      <c r="D767" s="82">
        <f>IF(C767="","",Sheet3!E738)</f>
        <v>41.48</v>
      </c>
      <c r="E767" s="56">
        <f>_xlfn.XLOOKUP(WEEKNUM(C767)&amp;YEAR(C767),Sheet4!C:C,Sheet4!B:B,0)</f>
        <v>0</v>
      </c>
      <c r="F767" s="46">
        <f>IF(int=Weekly,-$D$5,IF(int=Bi_Weekly,-$D$5,IF(int=Monthly,-$D$5,IF(int=Quarterly,0,IF(int=Yearly,0,IF(int=None,0,0))))))</f>
        <v>-100</v>
      </c>
      <c r="G767" s="46"/>
      <c r="H767" s="46">
        <f t="shared" si="309"/>
        <v>-18450</v>
      </c>
      <c r="I767" s="47"/>
      <c r="J767" s="38">
        <f t="shared" si="296"/>
        <v>2.410800385728062</v>
      </c>
      <c r="K767" s="48"/>
      <c r="L767" s="48">
        <f t="shared" si="301"/>
        <v>613.92813234321068</v>
      </c>
      <c r="M767" s="48"/>
      <c r="N767" s="38">
        <f t="shared" si="302"/>
        <v>0</v>
      </c>
      <c r="O767" s="36">
        <f t="shared" si="303"/>
        <v>0</v>
      </c>
      <c r="P767" s="84">
        <f t="shared" si="304"/>
        <v>-26493.62596223575</v>
      </c>
      <c r="Q767" s="38">
        <f t="shared" si="305"/>
        <v>0</v>
      </c>
      <c r="R767" s="48">
        <f t="shared" si="306"/>
        <v>248.35637777442244</v>
      </c>
      <c r="S767" s="38">
        <f t="shared" si="297"/>
        <v>862.28451011763309</v>
      </c>
      <c r="T767" s="50">
        <f t="shared" si="310"/>
        <v>18450</v>
      </c>
      <c r="U767" s="40">
        <f t="shared" si="311"/>
        <v>25465.738929596377</v>
      </c>
      <c r="V767" s="41">
        <f t="shared" si="312"/>
        <v>0.38025685255264907</v>
      </c>
      <c r="W767" s="39">
        <f t="shared" si="313"/>
        <v>7015.7389295963767</v>
      </c>
      <c r="X767" s="50">
        <f t="shared" si="307"/>
        <v>8044.0947122520192</v>
      </c>
      <c r="Y767" s="41">
        <f t="shared" si="314"/>
        <v>0.81625114589964198</v>
      </c>
      <c r="Z767" s="52"/>
      <c r="AA767" s="50">
        <f t="shared" si="320"/>
        <v>26494.094712252027</v>
      </c>
      <c r="AB767" s="39">
        <f t="shared" si="321"/>
        <v>35767.561479679418</v>
      </c>
      <c r="AC767" s="39">
        <f t="shared" si="315"/>
        <v>9273.4667674273915</v>
      </c>
      <c r="AD767" s="41">
        <f t="shared" si="316"/>
        <v>0.35002014102180046</v>
      </c>
      <c r="AF767" s="46">
        <f t="shared" si="298"/>
        <v>-100</v>
      </c>
      <c r="AG767" s="46">
        <f t="shared" si="317"/>
        <v>-100</v>
      </c>
      <c r="AH767" s="54">
        <f t="shared" si="299"/>
        <v>5152</v>
      </c>
      <c r="AI767" s="55">
        <f t="shared" si="308"/>
        <v>0.18040089086859687</v>
      </c>
      <c r="AJ767" s="55">
        <f t="shared" si="318"/>
        <v>-18.040089086859687</v>
      </c>
      <c r="AK767" s="55">
        <f t="shared" si="319"/>
        <v>-18.040089086859687</v>
      </c>
    </row>
    <row r="768" spans="2:37" s="53" customFormat="1" ht="17.25" customHeight="1" x14ac:dyDescent="0.25">
      <c r="B768" s="91" t="str">
        <f t="shared" si="300"/>
        <v/>
      </c>
      <c r="C768" s="81">
        <f>IF(Sheet3!A739="","",Sheet3!A739)</f>
        <v>42786</v>
      </c>
      <c r="D768" s="82">
        <f>IF(C768="","",Sheet3!E739)</f>
        <v>42.360000999999997</v>
      </c>
      <c r="E768" s="56">
        <f>_xlfn.XLOOKUP(WEEKNUM(C768)&amp;YEAR(C768),Sheet4!C:C,Sheet4!B:B,0)</f>
        <v>0</v>
      </c>
      <c r="F768" s="46">
        <f>IF(int=Weekly,-$D$5,IF(int=Bi_Weekly,0,IF(int=Monthly,0,IF(int=Quarterly,0,IF(int=Yearly,0,IF(int=None,0,0))))))</f>
        <v>0</v>
      </c>
      <c r="G768" s="46"/>
      <c r="H768" s="46">
        <f t="shared" si="309"/>
        <v>-18450</v>
      </c>
      <c r="I768" s="47"/>
      <c r="J768" s="38">
        <f t="shared" si="296"/>
        <v>0</v>
      </c>
      <c r="K768" s="48"/>
      <c r="L768" s="48">
        <f t="shared" si="301"/>
        <v>613.92813234321068</v>
      </c>
      <c r="M768" s="48"/>
      <c r="N768" s="38">
        <f t="shared" si="302"/>
        <v>0</v>
      </c>
      <c r="O768" s="36">
        <f t="shared" si="303"/>
        <v>0</v>
      </c>
      <c r="P768" s="84">
        <f t="shared" si="304"/>
        <v>-26493.62596223575</v>
      </c>
      <c r="Q768" s="38">
        <f t="shared" si="305"/>
        <v>0</v>
      </c>
      <c r="R768" s="48">
        <f t="shared" si="306"/>
        <v>248.35637777442244</v>
      </c>
      <c r="S768" s="38">
        <f t="shared" si="297"/>
        <v>862.28451011763309</v>
      </c>
      <c r="T768" s="50">
        <f t="shared" si="310"/>
        <v>18450</v>
      </c>
      <c r="U768" s="40">
        <f t="shared" si="311"/>
        <v>26005.996299986535</v>
      </c>
      <c r="V768" s="41">
        <f t="shared" si="312"/>
        <v>0.40953909485021867</v>
      </c>
      <c r="W768" s="39">
        <f t="shared" si="313"/>
        <v>7555.9962999865347</v>
      </c>
      <c r="X768" s="50">
        <f t="shared" si="307"/>
        <v>8044.0947122520192</v>
      </c>
      <c r="Y768" s="41">
        <f t="shared" si="314"/>
        <v>0.84553338819721158</v>
      </c>
      <c r="Z768" s="52"/>
      <c r="AA768" s="50">
        <f t="shared" si="320"/>
        <v>26494.094712252027</v>
      </c>
      <c r="AB768" s="39">
        <f t="shared" si="321"/>
        <v>36526.37271086745</v>
      </c>
      <c r="AC768" s="39">
        <f t="shared" si="315"/>
        <v>10032.277998615424</v>
      </c>
      <c r="AD768" s="41">
        <f t="shared" si="316"/>
        <v>0.37866090944319231</v>
      </c>
      <c r="AF768" s="46">
        <f t="shared" si="298"/>
        <v>0</v>
      </c>
      <c r="AG768" s="46">
        <f t="shared" si="317"/>
        <v>0</v>
      </c>
      <c r="AH768" s="54">
        <f t="shared" si="299"/>
        <v>5159</v>
      </c>
      <c r="AI768" s="55">
        <f t="shared" si="308"/>
        <v>0.17928730512249444</v>
      </c>
      <c r="AJ768" s="55">
        <f t="shared" si="318"/>
        <v>0</v>
      </c>
      <c r="AK768" s="55">
        <f t="shared" si="319"/>
        <v>0</v>
      </c>
    </row>
    <row r="769" spans="2:37" s="53" customFormat="1" ht="17.25" customHeight="1" x14ac:dyDescent="0.25">
      <c r="B769" s="91" t="str">
        <f t="shared" si="300"/>
        <v/>
      </c>
      <c r="C769" s="81">
        <f>IF(Sheet3!A740="","",Sheet3!A740)</f>
        <v>42793</v>
      </c>
      <c r="D769" s="82">
        <f>IF(C769="","",Sheet3!E740)</f>
        <v>42.009998000000003</v>
      </c>
      <c r="E769" s="56">
        <f>_xlfn.XLOOKUP(WEEKNUM(C769)&amp;YEAR(C769),Sheet4!C:C,Sheet4!B:B,0)</f>
        <v>0</v>
      </c>
      <c r="F769" s="46">
        <f>IF(int=Weekly,-$D$5,IF(int=Bi_Weekly,-$D$5,IF(int=Monthly,0,IF(int=Quarterly,0,IF(int=Yearly,0,IF(int=None,0,0))))))</f>
        <v>0</v>
      </c>
      <c r="G769" s="46"/>
      <c r="H769" s="46">
        <f t="shared" si="309"/>
        <v>-18450</v>
      </c>
      <c r="I769" s="47"/>
      <c r="J769" s="38">
        <f t="shared" si="296"/>
        <v>0</v>
      </c>
      <c r="K769" s="48"/>
      <c r="L769" s="48">
        <f t="shared" si="301"/>
        <v>613.92813234321068</v>
      </c>
      <c r="M769" s="48"/>
      <c r="N769" s="38">
        <f t="shared" si="302"/>
        <v>0</v>
      </c>
      <c r="O769" s="36">
        <f t="shared" si="303"/>
        <v>0</v>
      </c>
      <c r="P769" s="84">
        <f t="shared" si="304"/>
        <v>-26493.62596223575</v>
      </c>
      <c r="Q769" s="38">
        <f t="shared" si="305"/>
        <v>0</v>
      </c>
      <c r="R769" s="48">
        <f t="shared" si="306"/>
        <v>248.35637777442244</v>
      </c>
      <c r="S769" s="38">
        <f t="shared" si="297"/>
        <v>862.28451011763309</v>
      </c>
      <c r="T769" s="50">
        <f t="shared" si="310"/>
        <v>18450</v>
      </c>
      <c r="U769" s="40">
        <f t="shared" si="311"/>
        <v>25791.119611882019</v>
      </c>
      <c r="V769" s="41">
        <f t="shared" si="312"/>
        <v>0.39789266189062444</v>
      </c>
      <c r="W769" s="39">
        <f t="shared" si="313"/>
        <v>7341.1196118820189</v>
      </c>
      <c r="X769" s="50">
        <f t="shared" si="307"/>
        <v>8044.0947122520192</v>
      </c>
      <c r="Y769" s="41">
        <f t="shared" si="314"/>
        <v>0.83388695523761736</v>
      </c>
      <c r="Z769" s="52"/>
      <c r="AA769" s="50">
        <f t="shared" si="320"/>
        <v>26494.094712252027</v>
      </c>
      <c r="AB769" s="39">
        <f t="shared" si="321"/>
        <v>36224.57054547275</v>
      </c>
      <c r="AC769" s="39">
        <f t="shared" si="315"/>
        <v>9730.4758332207239</v>
      </c>
      <c r="AD769" s="41">
        <f t="shared" si="316"/>
        <v>0.36726961003581393</v>
      </c>
      <c r="AF769" s="46">
        <f t="shared" si="298"/>
        <v>0</v>
      </c>
      <c r="AG769" s="46">
        <f t="shared" si="317"/>
        <v>0</v>
      </c>
      <c r="AH769" s="54">
        <f t="shared" si="299"/>
        <v>5166</v>
      </c>
      <c r="AI769" s="55">
        <f t="shared" si="308"/>
        <v>0.17817371937639198</v>
      </c>
      <c r="AJ769" s="55">
        <f t="shared" si="318"/>
        <v>0</v>
      </c>
      <c r="AK769" s="55">
        <f t="shared" si="319"/>
        <v>0</v>
      </c>
    </row>
    <row r="770" spans="2:37" s="53" customFormat="1" ht="17.25" customHeight="1" x14ac:dyDescent="0.25">
      <c r="B770" s="91" t="str">
        <f t="shared" si="300"/>
        <v/>
      </c>
      <c r="C770" s="81">
        <f>IF(Sheet3!A741="","",Sheet3!A741)</f>
        <v>42800</v>
      </c>
      <c r="D770" s="82">
        <f>IF(C770="","",Sheet3!E741)</f>
        <v>42.349997999999999</v>
      </c>
      <c r="E770" s="56">
        <f>_xlfn.XLOOKUP(WEEKNUM(C770)&amp;YEAR(C770),Sheet4!C:C,Sheet4!B:B,0)</f>
        <v>0</v>
      </c>
      <c r="F770" s="46">
        <f>IF(int=Weekly,-$D$5,IF(int=Bi_Weekly,0,IF(int=Monthly,0,IF(int=Quarterly,0,IF(int=Yearly,0,IF(int=None,0,0))))))</f>
        <v>0</v>
      </c>
      <c r="G770" s="46"/>
      <c r="H770" s="46">
        <f t="shared" si="309"/>
        <v>-18450</v>
      </c>
      <c r="I770" s="47"/>
      <c r="J770" s="38">
        <f t="shared" si="296"/>
        <v>0</v>
      </c>
      <c r="K770" s="48"/>
      <c r="L770" s="48">
        <f t="shared" si="301"/>
        <v>613.92813234321068</v>
      </c>
      <c r="M770" s="48"/>
      <c r="N770" s="38">
        <f t="shared" si="302"/>
        <v>0</v>
      </c>
      <c r="O770" s="36">
        <f t="shared" si="303"/>
        <v>0</v>
      </c>
      <c r="P770" s="84">
        <f t="shared" si="304"/>
        <v>-26493.62596223575</v>
      </c>
      <c r="Q770" s="38">
        <f t="shared" si="305"/>
        <v>0</v>
      </c>
      <c r="R770" s="48">
        <f t="shared" si="306"/>
        <v>248.35637777442244</v>
      </c>
      <c r="S770" s="38">
        <f t="shared" si="297"/>
        <v>862.28451011763309</v>
      </c>
      <c r="T770" s="50">
        <f t="shared" si="310"/>
        <v>18450</v>
      </c>
      <c r="U770" s="40">
        <f t="shared" si="311"/>
        <v>25999.855176878707</v>
      </c>
      <c r="V770" s="41">
        <f t="shared" si="312"/>
        <v>0.40920624264925243</v>
      </c>
      <c r="W770" s="39">
        <f t="shared" si="313"/>
        <v>7549.8551768787074</v>
      </c>
      <c r="X770" s="50">
        <f t="shared" si="307"/>
        <v>8044.0947122520192</v>
      </c>
      <c r="Y770" s="41">
        <f t="shared" si="314"/>
        <v>0.84520053599624556</v>
      </c>
      <c r="Z770" s="52"/>
      <c r="AA770" s="50">
        <f t="shared" si="320"/>
        <v>26494.094712252027</v>
      </c>
      <c r="AB770" s="39">
        <f t="shared" si="321"/>
        <v>36517.747278912742</v>
      </c>
      <c r="AC770" s="39">
        <f t="shared" si="315"/>
        <v>10023.652566660716</v>
      </c>
      <c r="AD770" s="41">
        <f t="shared" si="316"/>
        <v>0.37833534889664833</v>
      </c>
      <c r="AF770" s="46">
        <f t="shared" si="298"/>
        <v>0</v>
      </c>
      <c r="AG770" s="46">
        <f t="shared" si="317"/>
        <v>0</v>
      </c>
      <c r="AH770" s="54">
        <f t="shared" si="299"/>
        <v>5173</v>
      </c>
      <c r="AI770" s="55">
        <f t="shared" si="308"/>
        <v>0.17706013363028952</v>
      </c>
      <c r="AJ770" s="55">
        <f t="shared" si="318"/>
        <v>0</v>
      </c>
      <c r="AK770" s="55">
        <f t="shared" si="319"/>
        <v>0</v>
      </c>
    </row>
    <row r="771" spans="2:37" s="53" customFormat="1" ht="17.25" customHeight="1" x14ac:dyDescent="0.25">
      <c r="B771" s="91" t="str">
        <f t="shared" si="300"/>
        <v/>
      </c>
      <c r="C771" s="81">
        <f>IF(Sheet3!A742="","",Sheet3!A742)</f>
        <v>42807</v>
      </c>
      <c r="D771" s="82">
        <f>IF(C771="","",Sheet3!E742)</f>
        <v>42.610000999999997</v>
      </c>
      <c r="E771" s="56">
        <f>_xlfn.XLOOKUP(WEEKNUM(C771)&amp;YEAR(C771),Sheet4!C:C,Sheet4!B:B,0)</f>
        <v>0</v>
      </c>
      <c r="F771" s="46">
        <f>IF(int=Weekly,-$D$5,IF(int=Bi_Weekly,-$D$5,IF(int=Monthly,-$D$5,IF(int=Quarterly,0,IF(int=Yearly,0,IF(int=None,0,0))))))</f>
        <v>-100</v>
      </c>
      <c r="G771" s="46"/>
      <c r="H771" s="46">
        <f t="shared" si="309"/>
        <v>-18550</v>
      </c>
      <c r="I771" s="47"/>
      <c r="J771" s="38">
        <f t="shared" si="296"/>
        <v>2.3468668775670767</v>
      </c>
      <c r="K771" s="48"/>
      <c r="L771" s="48">
        <f t="shared" si="301"/>
        <v>616.27499922077777</v>
      </c>
      <c r="M771" s="48"/>
      <c r="N771" s="38">
        <f t="shared" si="302"/>
        <v>0</v>
      </c>
      <c r="O771" s="36">
        <f t="shared" si="303"/>
        <v>0</v>
      </c>
      <c r="P771" s="84">
        <f t="shared" si="304"/>
        <v>-26593.62596223575</v>
      </c>
      <c r="Q771" s="38">
        <f t="shared" si="305"/>
        <v>0</v>
      </c>
      <c r="R771" s="48">
        <f t="shared" si="306"/>
        <v>248.35637777442244</v>
      </c>
      <c r="S771" s="38">
        <f t="shared" si="297"/>
        <v>864.63137699520018</v>
      </c>
      <c r="T771" s="50">
        <f t="shared" si="310"/>
        <v>18550</v>
      </c>
      <c r="U771" s="40">
        <f t="shared" si="311"/>
        <v>26259.478333072337</v>
      </c>
      <c r="V771" s="41">
        <f t="shared" si="312"/>
        <v>0.41560530097424997</v>
      </c>
      <c r="W771" s="39">
        <f t="shared" si="313"/>
        <v>7709.4783330723367</v>
      </c>
      <c r="X771" s="50">
        <f t="shared" si="307"/>
        <v>8044.0947122520192</v>
      </c>
      <c r="Y771" s="41">
        <f t="shared" si="314"/>
        <v>0.84924922077220266</v>
      </c>
      <c r="Z771" s="52"/>
      <c r="AA771" s="50">
        <f t="shared" si="320"/>
        <v>26594.094712252027</v>
      </c>
      <c r="AB771" s="39">
        <f t="shared" si="321"/>
        <v>36841.943838396852</v>
      </c>
      <c r="AC771" s="39">
        <f t="shared" si="315"/>
        <v>10247.849126144825</v>
      </c>
      <c r="AD771" s="41">
        <f t="shared" si="316"/>
        <v>0.38534303336987041</v>
      </c>
      <c r="AF771" s="46">
        <f t="shared" si="298"/>
        <v>-100</v>
      </c>
      <c r="AG771" s="46">
        <f t="shared" si="317"/>
        <v>-100</v>
      </c>
      <c r="AH771" s="54">
        <f t="shared" si="299"/>
        <v>5180</v>
      </c>
      <c r="AI771" s="55">
        <f t="shared" si="308"/>
        <v>0.17594654788418709</v>
      </c>
      <c r="AJ771" s="55">
        <f t="shared" si="318"/>
        <v>-17.594654788418708</v>
      </c>
      <c r="AK771" s="55">
        <f t="shared" si="319"/>
        <v>-17.594654788418708</v>
      </c>
    </row>
    <row r="772" spans="2:37" s="53" customFormat="1" ht="17.25" customHeight="1" x14ac:dyDescent="0.25">
      <c r="B772" s="91" t="str">
        <f t="shared" si="300"/>
        <v/>
      </c>
      <c r="C772" s="81">
        <f>IF(Sheet3!A743="","",Sheet3!A743)</f>
        <v>42814</v>
      </c>
      <c r="D772" s="82">
        <f>IF(C772="","",Sheet3!E743)</f>
        <v>41.68</v>
      </c>
      <c r="E772" s="56">
        <f>_xlfn.XLOOKUP(WEEKNUM(C772)&amp;YEAR(C772),Sheet4!C:C,Sheet4!B:B,0)</f>
        <v>0</v>
      </c>
      <c r="F772" s="46">
        <f>IF(int=Weekly,-$D$5,IF(int=Bi_Weekly,0,IF(int=Monthly,0,IF(int=Quarterly,-$D$5,IF(int=Yearly,0,IF(int=None,0,0))))))</f>
        <v>0</v>
      </c>
      <c r="G772" s="46"/>
      <c r="H772" s="46">
        <f t="shared" si="309"/>
        <v>-18550</v>
      </c>
      <c r="I772" s="47"/>
      <c r="J772" s="38">
        <f t="shared" si="296"/>
        <v>0</v>
      </c>
      <c r="K772" s="48"/>
      <c r="L772" s="48">
        <f t="shared" si="301"/>
        <v>616.27499922077777</v>
      </c>
      <c r="M772" s="48"/>
      <c r="N772" s="38">
        <f t="shared" si="302"/>
        <v>0</v>
      </c>
      <c r="O772" s="36">
        <f t="shared" si="303"/>
        <v>0</v>
      </c>
      <c r="P772" s="84">
        <f t="shared" si="304"/>
        <v>-26593.62596223575</v>
      </c>
      <c r="Q772" s="38">
        <f t="shared" si="305"/>
        <v>0</v>
      </c>
      <c r="R772" s="48">
        <f t="shared" si="306"/>
        <v>248.35637777442244</v>
      </c>
      <c r="S772" s="38">
        <f t="shared" si="297"/>
        <v>864.63137699520018</v>
      </c>
      <c r="T772" s="50">
        <f t="shared" si="310"/>
        <v>18550</v>
      </c>
      <c r="U772" s="40">
        <f t="shared" si="311"/>
        <v>25686.341967522018</v>
      </c>
      <c r="V772" s="41">
        <f t="shared" si="312"/>
        <v>0.38470846186102525</v>
      </c>
      <c r="W772" s="39">
        <f t="shared" si="313"/>
        <v>7136.3419675220175</v>
      </c>
      <c r="X772" s="50">
        <f t="shared" si="307"/>
        <v>8044.0947122520192</v>
      </c>
      <c r="Y772" s="41">
        <f t="shared" si="314"/>
        <v>0.81835238165897772</v>
      </c>
      <c r="Z772" s="52"/>
      <c r="AA772" s="50">
        <f t="shared" si="320"/>
        <v>26594.094712252027</v>
      </c>
      <c r="AB772" s="39">
        <f t="shared" si="321"/>
        <v>36037.835793159946</v>
      </c>
      <c r="AC772" s="39">
        <f t="shared" si="315"/>
        <v>9443.7410809079192</v>
      </c>
      <c r="AD772" s="41">
        <f t="shared" si="316"/>
        <v>0.35510669504223213</v>
      </c>
      <c r="AF772" s="46">
        <f t="shared" si="298"/>
        <v>0</v>
      </c>
      <c r="AG772" s="46">
        <f t="shared" si="317"/>
        <v>0</v>
      </c>
      <c r="AH772" s="54">
        <f t="shared" si="299"/>
        <v>5187</v>
      </c>
      <c r="AI772" s="55">
        <f t="shared" si="308"/>
        <v>0.17483296213808464</v>
      </c>
      <c r="AJ772" s="55">
        <f t="shared" si="318"/>
        <v>0</v>
      </c>
      <c r="AK772" s="55">
        <f t="shared" si="319"/>
        <v>0</v>
      </c>
    </row>
    <row r="773" spans="2:37" s="53" customFormat="1" ht="17.25" customHeight="1" x14ac:dyDescent="0.25">
      <c r="B773" s="91" t="str">
        <f t="shared" si="300"/>
        <v/>
      </c>
      <c r="C773" s="81">
        <f>IF(Sheet3!A744="","",Sheet3!A744)</f>
        <v>42821</v>
      </c>
      <c r="D773" s="82">
        <f>IF(C773="","",Sheet3!E744)</f>
        <v>41.549999</v>
      </c>
      <c r="E773" s="56">
        <f>_xlfn.XLOOKUP(WEEKNUM(C773)&amp;YEAR(C773),Sheet4!C:C,Sheet4!B:B,0)</f>
        <v>0</v>
      </c>
      <c r="F773" s="46">
        <f>IF(int=Weekly,-$D$5,IF(int=Bi_Weekly,-$D$5,IF(int=Monthly,0,IF(int=Quarterly,0,IF(int=Yearly,0,IF(int=None,0,0))))))</f>
        <v>0</v>
      </c>
      <c r="G773" s="46"/>
      <c r="H773" s="46">
        <f t="shared" si="309"/>
        <v>-18550</v>
      </c>
      <c r="I773" s="47"/>
      <c r="J773" s="38">
        <f t="shared" si="296"/>
        <v>0</v>
      </c>
      <c r="K773" s="48"/>
      <c r="L773" s="48">
        <f t="shared" si="301"/>
        <v>616.27499922077777</v>
      </c>
      <c r="M773" s="48"/>
      <c r="N773" s="38">
        <f t="shared" si="302"/>
        <v>0</v>
      </c>
      <c r="O773" s="36">
        <f t="shared" si="303"/>
        <v>0</v>
      </c>
      <c r="P773" s="84">
        <f t="shared" si="304"/>
        <v>-26593.62596223575</v>
      </c>
      <c r="Q773" s="38">
        <f t="shared" si="305"/>
        <v>0</v>
      </c>
      <c r="R773" s="48">
        <f t="shared" si="306"/>
        <v>248.35637777442244</v>
      </c>
      <c r="S773" s="38">
        <f t="shared" si="297"/>
        <v>864.63137699520018</v>
      </c>
      <c r="T773" s="50">
        <f t="shared" si="310"/>
        <v>18550</v>
      </c>
      <c r="U773" s="40">
        <f t="shared" si="311"/>
        <v>25606.225601348317</v>
      </c>
      <c r="V773" s="41">
        <f t="shared" si="312"/>
        <v>0.38038952028831896</v>
      </c>
      <c r="W773" s="39">
        <f t="shared" si="313"/>
        <v>7056.2256013483166</v>
      </c>
      <c r="X773" s="50">
        <f t="shared" si="307"/>
        <v>8044.0947122520192</v>
      </c>
      <c r="Y773" s="41">
        <f t="shared" si="314"/>
        <v>0.81403344008627143</v>
      </c>
      <c r="Z773" s="52"/>
      <c r="AA773" s="50">
        <f t="shared" si="320"/>
        <v>26594.094712252027</v>
      </c>
      <c r="AB773" s="39">
        <f t="shared" si="321"/>
        <v>35925.432849519188</v>
      </c>
      <c r="AC773" s="39">
        <f t="shared" si="315"/>
        <v>9331.3381372671611</v>
      </c>
      <c r="AD773" s="41">
        <f t="shared" si="316"/>
        <v>0.35088008214726596</v>
      </c>
      <c r="AF773" s="46">
        <f t="shared" si="298"/>
        <v>0</v>
      </c>
      <c r="AG773" s="46">
        <f t="shared" si="317"/>
        <v>0</v>
      </c>
      <c r="AH773" s="54">
        <f t="shared" si="299"/>
        <v>5194</v>
      </c>
      <c r="AI773" s="55">
        <f t="shared" si="308"/>
        <v>0.17371937639198218</v>
      </c>
      <c r="AJ773" s="55">
        <f t="shared" si="318"/>
        <v>0</v>
      </c>
      <c r="AK773" s="55">
        <f t="shared" si="319"/>
        <v>0</v>
      </c>
    </row>
    <row r="774" spans="2:37" s="53" customFormat="1" ht="17.25" customHeight="1" x14ac:dyDescent="0.25">
      <c r="B774" s="91" t="str">
        <f t="shared" si="300"/>
        <v/>
      </c>
      <c r="C774" s="81">
        <f>IF(Sheet3!A745="","",Sheet3!A745)</f>
        <v>42828</v>
      </c>
      <c r="D774" s="82">
        <f>IF(C774="","",Sheet3!E745)</f>
        <v>40.590000000000003</v>
      </c>
      <c r="E774" s="56">
        <f>_xlfn.XLOOKUP(WEEKNUM(C774)&amp;YEAR(C774),Sheet4!C:C,Sheet4!B:B,0)</f>
        <v>0.49</v>
      </c>
      <c r="F774" s="46">
        <f>IF(int=Weekly,-$D$5,IF(int=Bi_Weekly,0,IF(int=Monthly,0,IF(int=Quarterly,0,IF(int=Yearly,0,IF(int=None,0,0))))))</f>
        <v>0</v>
      </c>
      <c r="G774" s="46"/>
      <c r="H774" s="46">
        <f t="shared" si="309"/>
        <v>-18550</v>
      </c>
      <c r="I774" s="47"/>
      <c r="J774" s="38">
        <f t="shared" si="296"/>
        <v>0</v>
      </c>
      <c r="K774" s="48"/>
      <c r="L774" s="48">
        <f t="shared" si="301"/>
        <v>616.27499922077777</v>
      </c>
      <c r="M774" s="48"/>
      <c r="N774" s="38">
        <f t="shared" si="302"/>
        <v>301.97474961818108</v>
      </c>
      <c r="O774" s="36">
        <f t="shared" si="303"/>
        <v>-301.97474961818108</v>
      </c>
      <c r="P774" s="84">
        <f t="shared" si="304"/>
        <v>-26895.600711853931</v>
      </c>
      <c r="Q774" s="38">
        <f t="shared" si="305"/>
        <v>7.439634136934739</v>
      </c>
      <c r="R774" s="48">
        <f t="shared" si="306"/>
        <v>255.79601191135717</v>
      </c>
      <c r="S774" s="38">
        <f t="shared" si="297"/>
        <v>872.07101113213491</v>
      </c>
      <c r="T774" s="50">
        <f t="shared" si="310"/>
        <v>18550</v>
      </c>
      <c r="U774" s="40">
        <f t="shared" si="311"/>
        <v>25014.602218371372</v>
      </c>
      <c r="V774" s="41">
        <f t="shared" si="312"/>
        <v>0.34849607646206859</v>
      </c>
      <c r="W774" s="39">
        <f t="shared" si="313"/>
        <v>6464.6022183713721</v>
      </c>
      <c r="X774" s="50">
        <f t="shared" si="307"/>
        <v>8346.0694618702</v>
      </c>
      <c r="Y774" s="41">
        <f t="shared" si="314"/>
        <v>0.79841895850358902</v>
      </c>
      <c r="Z774" s="52"/>
      <c r="AA774" s="50">
        <f t="shared" si="320"/>
        <v>26896.069461870207</v>
      </c>
      <c r="AB774" s="39">
        <f t="shared" si="321"/>
        <v>35397.362341853361</v>
      </c>
      <c r="AC774" s="39">
        <f t="shared" si="315"/>
        <v>8501.2928799831534</v>
      </c>
      <c r="AD774" s="41">
        <f t="shared" si="316"/>
        <v>0.31607937702701117</v>
      </c>
      <c r="AF774" s="46">
        <f t="shared" si="298"/>
        <v>301.97474961818108</v>
      </c>
      <c r="AG774" s="46">
        <f t="shared" si="317"/>
        <v>0</v>
      </c>
      <c r="AH774" s="54">
        <f t="shared" si="299"/>
        <v>5201</v>
      </c>
      <c r="AI774" s="55">
        <f t="shared" si="308"/>
        <v>0.17260579064587972</v>
      </c>
      <c r="AJ774" s="55">
        <f t="shared" si="318"/>
        <v>52.122590412937711</v>
      </c>
      <c r="AK774" s="55">
        <f t="shared" si="319"/>
        <v>0</v>
      </c>
    </row>
    <row r="775" spans="2:37" s="53" customFormat="1" ht="17.25" customHeight="1" x14ac:dyDescent="0.25">
      <c r="B775" s="91" t="str">
        <f t="shared" si="300"/>
        <v/>
      </c>
      <c r="C775" s="81">
        <f>IF(Sheet3!A746="","",Sheet3!A746)</f>
        <v>42835</v>
      </c>
      <c r="D775" s="82">
        <f>IF(C775="","",Sheet3!E746)</f>
        <v>40.279998999999997</v>
      </c>
      <c r="E775" s="56">
        <f>_xlfn.XLOOKUP(WEEKNUM(C775)&amp;YEAR(C775),Sheet4!C:C,Sheet4!B:B,0)</f>
        <v>0</v>
      </c>
      <c r="F775" s="46">
        <f>IF(int=Weekly,-$D$5,IF(int=Bi_Weekly,-$D$5,IF(int=Monthly,-$D$5,IF(int=Quarterly,0,IF(int=Yearly,0,IF(int=None,0,0))))))</f>
        <v>-100</v>
      </c>
      <c r="G775" s="46"/>
      <c r="H775" s="46">
        <f t="shared" si="309"/>
        <v>-18650</v>
      </c>
      <c r="I775" s="47"/>
      <c r="J775" s="38">
        <f t="shared" si="296"/>
        <v>2.4826217100948789</v>
      </c>
      <c r="K775" s="48"/>
      <c r="L775" s="48">
        <f t="shared" si="301"/>
        <v>618.75762093087269</v>
      </c>
      <c r="M775" s="48"/>
      <c r="N775" s="38">
        <f t="shared" si="302"/>
        <v>0</v>
      </c>
      <c r="O775" s="36">
        <f t="shared" si="303"/>
        <v>0</v>
      </c>
      <c r="P775" s="84">
        <f t="shared" si="304"/>
        <v>-26995.600711853931</v>
      </c>
      <c r="Q775" s="38">
        <f t="shared" si="305"/>
        <v>0</v>
      </c>
      <c r="R775" s="48">
        <f t="shared" si="306"/>
        <v>255.79601191135717</v>
      </c>
      <c r="S775" s="38">
        <f t="shared" si="297"/>
        <v>874.55363284222983</v>
      </c>
      <c r="T775" s="50">
        <f t="shared" si="310"/>
        <v>18650</v>
      </c>
      <c r="U775" s="40">
        <f t="shared" si="311"/>
        <v>24923.556352337928</v>
      </c>
      <c r="V775" s="41">
        <f t="shared" si="312"/>
        <v>0.3363837186240175</v>
      </c>
      <c r="W775" s="39">
        <f t="shared" si="313"/>
        <v>6273.5563523379278</v>
      </c>
      <c r="X775" s="50">
        <f t="shared" si="307"/>
        <v>8346.0694618702</v>
      </c>
      <c r="Y775" s="41">
        <f t="shared" si="314"/>
        <v>0.78389414553394787</v>
      </c>
      <c r="Z775" s="52"/>
      <c r="AA775" s="50">
        <f t="shared" si="320"/>
        <v>26996.069461870207</v>
      </c>
      <c r="AB775" s="39">
        <f t="shared" si="321"/>
        <v>35227.019456331385</v>
      </c>
      <c r="AC775" s="39">
        <f t="shared" si="315"/>
        <v>8230.949994461178</v>
      </c>
      <c r="AD775" s="41">
        <f t="shared" si="316"/>
        <v>0.3048943849432133</v>
      </c>
      <c r="AF775" s="46">
        <f t="shared" si="298"/>
        <v>-100</v>
      </c>
      <c r="AG775" s="46">
        <f t="shared" si="317"/>
        <v>-100</v>
      </c>
      <c r="AH775" s="54">
        <f t="shared" si="299"/>
        <v>5208</v>
      </c>
      <c r="AI775" s="55">
        <f t="shared" si="308"/>
        <v>0.17149220489977729</v>
      </c>
      <c r="AJ775" s="55">
        <f t="shared" si="318"/>
        <v>-17.149220489977729</v>
      </c>
      <c r="AK775" s="55">
        <f t="shared" si="319"/>
        <v>-17.149220489977729</v>
      </c>
    </row>
    <row r="776" spans="2:37" s="53" customFormat="1" ht="17.25" customHeight="1" x14ac:dyDescent="0.25">
      <c r="B776" s="91" t="str">
        <f t="shared" si="300"/>
        <v/>
      </c>
      <c r="C776" s="81">
        <f>IF(Sheet3!A747="","",Sheet3!A747)</f>
        <v>42842</v>
      </c>
      <c r="D776" s="82">
        <f>IF(C776="","",Sheet3!E747)</f>
        <v>39.93</v>
      </c>
      <c r="E776" s="56">
        <f>_xlfn.XLOOKUP(WEEKNUM(C776)&amp;YEAR(C776),Sheet4!C:C,Sheet4!B:B,0)</f>
        <v>0</v>
      </c>
      <c r="F776" s="46">
        <f>IF(int=Weekly,-$D$5,IF(int=Bi_Weekly,0,IF(int=Monthly,0,IF(int=Quarterly,0,IF(int=Yearly,0,IF(int=None,0,0))))))</f>
        <v>0</v>
      </c>
      <c r="G776" s="46"/>
      <c r="H776" s="46">
        <f t="shared" si="309"/>
        <v>-18650</v>
      </c>
      <c r="I776" s="47"/>
      <c r="J776" s="38">
        <f t="shared" si="296"/>
        <v>0</v>
      </c>
      <c r="K776" s="48"/>
      <c r="L776" s="48">
        <f t="shared" si="301"/>
        <v>618.75762093087269</v>
      </c>
      <c r="M776" s="48"/>
      <c r="N776" s="38">
        <f t="shared" si="302"/>
        <v>0</v>
      </c>
      <c r="O776" s="36">
        <f t="shared" si="303"/>
        <v>0</v>
      </c>
      <c r="P776" s="84">
        <f t="shared" si="304"/>
        <v>-26995.600711853931</v>
      </c>
      <c r="Q776" s="38">
        <f t="shared" si="305"/>
        <v>0</v>
      </c>
      <c r="R776" s="48">
        <f t="shared" si="306"/>
        <v>255.79601191135717</v>
      </c>
      <c r="S776" s="38">
        <f t="shared" si="297"/>
        <v>874.55363284222983</v>
      </c>
      <c r="T776" s="50">
        <f t="shared" si="310"/>
        <v>18650</v>
      </c>
      <c r="U776" s="40">
        <f t="shared" si="311"/>
        <v>24706.991803769746</v>
      </c>
      <c r="V776" s="41">
        <f t="shared" si="312"/>
        <v>0.3247716784863135</v>
      </c>
      <c r="W776" s="39">
        <f t="shared" si="313"/>
        <v>6056.9918037697462</v>
      </c>
      <c r="X776" s="50">
        <f t="shared" si="307"/>
        <v>8346.0694618702</v>
      </c>
      <c r="Y776" s="41">
        <f t="shared" si="314"/>
        <v>0.77228210539624387</v>
      </c>
      <c r="Z776" s="52"/>
      <c r="AA776" s="50">
        <f t="shared" si="320"/>
        <v>26996.069461870207</v>
      </c>
      <c r="AB776" s="39">
        <f t="shared" si="321"/>
        <v>34920.926559390238</v>
      </c>
      <c r="AC776" s="39">
        <f t="shared" si="315"/>
        <v>7924.8570975200309</v>
      </c>
      <c r="AD776" s="41">
        <f t="shared" si="316"/>
        <v>0.29355596038576137</v>
      </c>
      <c r="AF776" s="46">
        <f t="shared" si="298"/>
        <v>0</v>
      </c>
      <c r="AG776" s="46">
        <f t="shared" si="317"/>
        <v>0</v>
      </c>
      <c r="AH776" s="54">
        <f t="shared" si="299"/>
        <v>5215</v>
      </c>
      <c r="AI776" s="55">
        <f t="shared" si="308"/>
        <v>0.17037861915367483</v>
      </c>
      <c r="AJ776" s="55">
        <f t="shared" si="318"/>
        <v>0</v>
      </c>
      <c r="AK776" s="55">
        <f t="shared" si="319"/>
        <v>0</v>
      </c>
    </row>
    <row r="777" spans="2:37" s="53" customFormat="1" ht="17.25" customHeight="1" x14ac:dyDescent="0.25">
      <c r="B777" s="91" t="str">
        <f t="shared" si="300"/>
        <v/>
      </c>
      <c r="C777" s="81">
        <f>IF(Sheet3!A748="","",Sheet3!A748)</f>
        <v>42849</v>
      </c>
      <c r="D777" s="82">
        <f>IF(C777="","",Sheet3!E748)</f>
        <v>39.630001</v>
      </c>
      <c r="E777" s="56">
        <f>_xlfn.XLOOKUP(WEEKNUM(C777)&amp;YEAR(C777),Sheet4!C:C,Sheet4!B:B,0)</f>
        <v>0</v>
      </c>
      <c r="F777" s="46">
        <f>IF(int=Weekly,-$D$5,IF(int=Bi_Weekly,-$D$5,IF(int=Monthly,0,IF(int=Quarterly,0,IF(int=Yearly,0,IF(int=None,0,0))))))</f>
        <v>0</v>
      </c>
      <c r="G777" s="46"/>
      <c r="H777" s="46">
        <f t="shared" si="309"/>
        <v>-18650</v>
      </c>
      <c r="I777" s="47"/>
      <c r="J777" s="38">
        <f t="shared" si="296"/>
        <v>0</v>
      </c>
      <c r="K777" s="48"/>
      <c r="L777" s="48">
        <f t="shared" si="301"/>
        <v>618.75762093087269</v>
      </c>
      <c r="M777" s="48"/>
      <c r="N777" s="38">
        <f t="shared" si="302"/>
        <v>0</v>
      </c>
      <c r="O777" s="36">
        <f t="shared" si="303"/>
        <v>0</v>
      </c>
      <c r="P777" s="84">
        <f t="shared" si="304"/>
        <v>-26995.600711853931</v>
      </c>
      <c r="Q777" s="38">
        <f t="shared" si="305"/>
        <v>0</v>
      </c>
      <c r="R777" s="48">
        <f t="shared" si="306"/>
        <v>255.79601191135717</v>
      </c>
      <c r="S777" s="38">
        <f t="shared" si="297"/>
        <v>874.55363284222983</v>
      </c>
      <c r="T777" s="50">
        <f t="shared" si="310"/>
        <v>18650</v>
      </c>
      <c r="U777" s="40">
        <f t="shared" si="311"/>
        <v>24521.365136248107</v>
      </c>
      <c r="V777" s="41">
        <f t="shared" si="312"/>
        <v>0.3148185059650459</v>
      </c>
      <c r="W777" s="39">
        <f t="shared" si="313"/>
        <v>5871.3651362481069</v>
      </c>
      <c r="X777" s="50">
        <f t="shared" si="307"/>
        <v>8346.0694618702</v>
      </c>
      <c r="Y777" s="41">
        <f t="shared" si="314"/>
        <v>0.76232893287497627</v>
      </c>
      <c r="Z777" s="52"/>
      <c r="AA777" s="50">
        <f t="shared" si="320"/>
        <v>26996.069461870207</v>
      </c>
      <c r="AB777" s="39">
        <f t="shared" si="321"/>
        <v>34658.561344091206</v>
      </c>
      <c r="AC777" s="39">
        <f t="shared" si="315"/>
        <v>7662.4918822209984</v>
      </c>
      <c r="AD777" s="41">
        <f t="shared" si="316"/>
        <v>0.28383731539303003</v>
      </c>
      <c r="AF777" s="46">
        <f t="shared" si="298"/>
        <v>0</v>
      </c>
      <c r="AG777" s="46">
        <f t="shared" si="317"/>
        <v>0</v>
      </c>
      <c r="AH777" s="54">
        <f t="shared" si="299"/>
        <v>5222</v>
      </c>
      <c r="AI777" s="55">
        <f t="shared" si="308"/>
        <v>0.16926503340757237</v>
      </c>
      <c r="AJ777" s="55">
        <f t="shared" si="318"/>
        <v>0</v>
      </c>
      <c r="AK777" s="55">
        <f t="shared" si="319"/>
        <v>0</v>
      </c>
    </row>
    <row r="778" spans="2:37" s="53" customFormat="1" ht="17.25" customHeight="1" x14ac:dyDescent="0.25">
      <c r="B778" s="91" t="str">
        <f t="shared" si="300"/>
        <v/>
      </c>
      <c r="C778" s="81">
        <f>IF(Sheet3!A749="","",Sheet3!A749)</f>
        <v>42856</v>
      </c>
      <c r="D778" s="82">
        <f>IF(C778="","",Sheet3!E749)</f>
        <v>38.560001</v>
      </c>
      <c r="E778" s="56">
        <f>_xlfn.XLOOKUP(WEEKNUM(C778)&amp;YEAR(C778),Sheet4!C:C,Sheet4!B:B,0)</f>
        <v>0</v>
      </c>
      <c r="F778" s="46">
        <f>IF(int=Weekly,-$D$5,IF(int=Bi_Weekly,0,IF(int=Monthly,0,IF(int=Quarterly,0,IF(int=Yearly,0,IF(int=None,0,0))))))</f>
        <v>0</v>
      </c>
      <c r="G778" s="46"/>
      <c r="H778" s="46">
        <f t="shared" si="309"/>
        <v>-18650</v>
      </c>
      <c r="I778" s="47"/>
      <c r="J778" s="38">
        <f t="shared" si="296"/>
        <v>0</v>
      </c>
      <c r="K778" s="48"/>
      <c r="L778" s="48">
        <f t="shared" si="301"/>
        <v>618.75762093087269</v>
      </c>
      <c r="M778" s="48"/>
      <c r="N778" s="38">
        <f t="shared" si="302"/>
        <v>0</v>
      </c>
      <c r="O778" s="36">
        <f t="shared" si="303"/>
        <v>0</v>
      </c>
      <c r="P778" s="84">
        <f t="shared" si="304"/>
        <v>-26995.600711853931</v>
      </c>
      <c r="Q778" s="38">
        <f t="shared" si="305"/>
        <v>0</v>
      </c>
      <c r="R778" s="48">
        <f t="shared" si="306"/>
        <v>255.79601191135717</v>
      </c>
      <c r="S778" s="38">
        <f t="shared" si="297"/>
        <v>874.55363284222983</v>
      </c>
      <c r="T778" s="50">
        <f t="shared" si="310"/>
        <v>18650</v>
      </c>
      <c r="U778" s="40">
        <f t="shared" si="311"/>
        <v>23859.29448185207</v>
      </c>
      <c r="V778" s="41">
        <f t="shared" si="312"/>
        <v>0.27931873897330139</v>
      </c>
      <c r="W778" s="39">
        <f t="shared" si="313"/>
        <v>5209.29448185207</v>
      </c>
      <c r="X778" s="50">
        <f t="shared" si="307"/>
        <v>8346.0694618702</v>
      </c>
      <c r="Y778" s="41">
        <f t="shared" si="314"/>
        <v>0.72682916588323154</v>
      </c>
      <c r="Z778" s="52"/>
      <c r="AA778" s="50">
        <f t="shared" si="320"/>
        <v>26996.069461870207</v>
      </c>
      <c r="AB778" s="39">
        <f t="shared" si="321"/>
        <v>33722.788956950011</v>
      </c>
      <c r="AC778" s="39">
        <f t="shared" si="315"/>
        <v>6726.7194950798039</v>
      </c>
      <c r="AD778" s="41">
        <f t="shared" si="316"/>
        <v>0.24917403270801164</v>
      </c>
      <c r="AF778" s="46">
        <f t="shared" si="298"/>
        <v>0</v>
      </c>
      <c r="AG778" s="46">
        <f t="shared" si="317"/>
        <v>0</v>
      </c>
      <c r="AH778" s="54">
        <f t="shared" si="299"/>
        <v>5229</v>
      </c>
      <c r="AI778" s="55">
        <f t="shared" si="308"/>
        <v>0.16815144766146994</v>
      </c>
      <c r="AJ778" s="55">
        <f t="shared" si="318"/>
        <v>0</v>
      </c>
      <c r="AK778" s="55">
        <f t="shared" si="319"/>
        <v>0</v>
      </c>
    </row>
    <row r="779" spans="2:37" s="53" customFormat="1" ht="17.25" customHeight="1" x14ac:dyDescent="0.25">
      <c r="B779" s="91" t="str">
        <f t="shared" si="300"/>
        <v/>
      </c>
      <c r="C779" s="81">
        <f>IF(Sheet3!A750="","",Sheet3!A750)</f>
        <v>42863</v>
      </c>
      <c r="D779" s="82">
        <f>IF(C779="","",Sheet3!E750)</f>
        <v>38.490001999999997</v>
      </c>
      <c r="E779" s="56">
        <f>_xlfn.XLOOKUP(WEEKNUM(C779)&amp;YEAR(C779),Sheet4!C:C,Sheet4!B:B,0)</f>
        <v>0</v>
      </c>
      <c r="F779" s="46">
        <f>IF(int=Weekly,-$D$5,IF(int=Bi_Weekly,-$D$5,IF(int=Monthly,-$D$5,IF(int=Quarterly,0,IF(int=Yearly,0,IF(int=None,0,0))))))</f>
        <v>-100</v>
      </c>
      <c r="G779" s="46"/>
      <c r="H779" s="46">
        <f t="shared" si="309"/>
        <v>-18750</v>
      </c>
      <c r="I779" s="47"/>
      <c r="J779" s="38">
        <f t="shared" si="296"/>
        <v>2.5980772877070781</v>
      </c>
      <c r="K779" s="48"/>
      <c r="L779" s="48">
        <f t="shared" si="301"/>
        <v>621.35569821857973</v>
      </c>
      <c r="M779" s="48"/>
      <c r="N779" s="38">
        <f t="shared" si="302"/>
        <v>0</v>
      </c>
      <c r="O779" s="36">
        <f t="shared" si="303"/>
        <v>0</v>
      </c>
      <c r="P779" s="84">
        <f t="shared" si="304"/>
        <v>-27095.600711853931</v>
      </c>
      <c r="Q779" s="38">
        <f t="shared" si="305"/>
        <v>0</v>
      </c>
      <c r="R779" s="48">
        <f t="shared" si="306"/>
        <v>255.79601191135717</v>
      </c>
      <c r="S779" s="38">
        <f t="shared" si="297"/>
        <v>877.15171012993687</v>
      </c>
      <c r="T779" s="50">
        <f t="shared" si="310"/>
        <v>18750</v>
      </c>
      <c r="U779" s="40">
        <f t="shared" si="311"/>
        <v>23915.982067144527</v>
      </c>
      <c r="V779" s="41">
        <f t="shared" si="312"/>
        <v>0.27551904358104151</v>
      </c>
      <c r="W779" s="39">
        <f t="shared" si="313"/>
        <v>5165.9820671445268</v>
      </c>
      <c r="X779" s="50">
        <f t="shared" si="307"/>
        <v>8346.0694618702</v>
      </c>
      <c r="Y779" s="41">
        <f t="shared" si="314"/>
        <v>0.72064274821411867</v>
      </c>
      <c r="Z779" s="52"/>
      <c r="AA779" s="50">
        <f t="shared" si="320"/>
        <v>27096.069461870207</v>
      </c>
      <c r="AB779" s="39">
        <f t="shared" si="321"/>
        <v>33761.571077204688</v>
      </c>
      <c r="AC779" s="39">
        <f t="shared" si="315"/>
        <v>6665.5016153344804</v>
      </c>
      <c r="AD779" s="41">
        <f t="shared" si="316"/>
        <v>0.24599514792041055</v>
      </c>
      <c r="AF779" s="46">
        <f t="shared" si="298"/>
        <v>-100</v>
      </c>
      <c r="AG779" s="46">
        <f t="shared" si="317"/>
        <v>-100</v>
      </c>
      <c r="AH779" s="54">
        <f t="shared" si="299"/>
        <v>5236</v>
      </c>
      <c r="AI779" s="55">
        <f t="shared" si="308"/>
        <v>0.16703786191536749</v>
      </c>
      <c r="AJ779" s="55">
        <f t="shared" si="318"/>
        <v>-16.70378619153675</v>
      </c>
      <c r="AK779" s="55">
        <f t="shared" si="319"/>
        <v>-16.70378619153675</v>
      </c>
    </row>
    <row r="780" spans="2:37" s="53" customFormat="1" ht="17.25" customHeight="1" x14ac:dyDescent="0.25">
      <c r="B780" s="91" t="str">
        <f t="shared" si="300"/>
        <v/>
      </c>
      <c r="C780" s="81">
        <f>IF(Sheet3!A751="","",Sheet3!A751)</f>
        <v>42870</v>
      </c>
      <c r="D780" s="82">
        <f>IF(C780="","",Sheet3!E751)</f>
        <v>38.240001999999997</v>
      </c>
      <c r="E780" s="56">
        <f>_xlfn.XLOOKUP(WEEKNUM(C780)&amp;YEAR(C780),Sheet4!C:C,Sheet4!B:B,0)</f>
        <v>0</v>
      </c>
      <c r="F780" s="46">
        <f>IF(int=Weekly,-$D$5,IF(int=Bi_Weekly,0,IF(int=Monthly,0,IF(int=Quarterly,0,IF(int=Yearly,0,IF(int=None,0,0))))))</f>
        <v>0</v>
      </c>
      <c r="G780" s="46"/>
      <c r="H780" s="46">
        <f t="shared" si="309"/>
        <v>-18750</v>
      </c>
      <c r="I780" s="47"/>
      <c r="J780" s="38">
        <f t="shared" si="296"/>
        <v>0</v>
      </c>
      <c r="K780" s="48"/>
      <c r="L780" s="48">
        <f t="shared" si="301"/>
        <v>621.35569821857973</v>
      </c>
      <c r="M780" s="48"/>
      <c r="N780" s="38">
        <f t="shared" si="302"/>
        <v>0</v>
      </c>
      <c r="O780" s="36">
        <f t="shared" si="303"/>
        <v>0</v>
      </c>
      <c r="P780" s="84">
        <f t="shared" si="304"/>
        <v>-27095.600711853931</v>
      </c>
      <c r="Q780" s="38">
        <f t="shared" si="305"/>
        <v>0</v>
      </c>
      <c r="R780" s="48">
        <f t="shared" si="306"/>
        <v>255.79601191135717</v>
      </c>
      <c r="S780" s="38">
        <f t="shared" si="297"/>
        <v>877.15171012993687</v>
      </c>
      <c r="T780" s="50">
        <f t="shared" si="310"/>
        <v>18750</v>
      </c>
      <c r="U780" s="40">
        <f t="shared" si="311"/>
        <v>23760.643142589885</v>
      </c>
      <c r="V780" s="41">
        <f t="shared" si="312"/>
        <v>0.26723430093812728</v>
      </c>
      <c r="W780" s="39">
        <f t="shared" si="313"/>
        <v>5010.6431425898845</v>
      </c>
      <c r="X780" s="50">
        <f t="shared" si="307"/>
        <v>8346.0694618702</v>
      </c>
      <c r="Y780" s="41">
        <f t="shared" si="314"/>
        <v>0.71235800557120443</v>
      </c>
      <c r="Z780" s="52"/>
      <c r="AA780" s="50">
        <f t="shared" si="320"/>
        <v>27096.069461870207</v>
      </c>
      <c r="AB780" s="39">
        <f t="shared" si="321"/>
        <v>33542.283149672206</v>
      </c>
      <c r="AC780" s="39">
        <f t="shared" si="315"/>
        <v>6446.2136878019992</v>
      </c>
      <c r="AD780" s="41">
        <f t="shared" si="316"/>
        <v>0.23790216868439762</v>
      </c>
      <c r="AF780" s="46">
        <f t="shared" si="298"/>
        <v>0</v>
      </c>
      <c r="AG780" s="46">
        <f t="shared" si="317"/>
        <v>0</v>
      </c>
      <c r="AH780" s="54">
        <f t="shared" si="299"/>
        <v>5243</v>
      </c>
      <c r="AI780" s="55">
        <f t="shared" si="308"/>
        <v>0.16592427616926503</v>
      </c>
      <c r="AJ780" s="55">
        <f t="shared" si="318"/>
        <v>0</v>
      </c>
      <c r="AK780" s="55">
        <f t="shared" si="319"/>
        <v>0</v>
      </c>
    </row>
    <row r="781" spans="2:37" s="53" customFormat="1" ht="17.25" customHeight="1" x14ac:dyDescent="0.25">
      <c r="B781" s="91" t="str">
        <f t="shared" si="300"/>
        <v/>
      </c>
      <c r="C781" s="81">
        <f>IF(Sheet3!A752="","",Sheet3!A752)</f>
        <v>42877</v>
      </c>
      <c r="D781" s="82">
        <f>IF(C781="","",Sheet3!E752)</f>
        <v>38.119999</v>
      </c>
      <c r="E781" s="56">
        <f>_xlfn.XLOOKUP(WEEKNUM(C781)&amp;YEAR(C781),Sheet4!C:C,Sheet4!B:B,0)</f>
        <v>0</v>
      </c>
      <c r="F781" s="46">
        <f>IF(int=Weekly,-$D$5,IF(int=Bi_Weekly,-$D$5,IF(int=Monthly,0,IF(int=Quarterly,0,IF(int=Yearly,0,IF(int=None,0,0))))))</f>
        <v>0</v>
      </c>
      <c r="G781" s="46"/>
      <c r="H781" s="46">
        <f t="shared" si="309"/>
        <v>-18750</v>
      </c>
      <c r="I781" s="47"/>
      <c r="J781" s="38">
        <f t="shared" si="296"/>
        <v>0</v>
      </c>
      <c r="K781" s="48"/>
      <c r="L781" s="48">
        <f t="shared" si="301"/>
        <v>621.35569821857973</v>
      </c>
      <c r="M781" s="48"/>
      <c r="N781" s="38">
        <f t="shared" si="302"/>
        <v>0</v>
      </c>
      <c r="O781" s="36">
        <f t="shared" si="303"/>
        <v>0</v>
      </c>
      <c r="P781" s="84">
        <f t="shared" si="304"/>
        <v>-27095.600711853931</v>
      </c>
      <c r="Q781" s="38">
        <f t="shared" si="305"/>
        <v>0</v>
      </c>
      <c r="R781" s="48">
        <f t="shared" si="306"/>
        <v>255.79601191135717</v>
      </c>
      <c r="S781" s="38">
        <f t="shared" si="297"/>
        <v>877.15171012993687</v>
      </c>
      <c r="T781" s="50">
        <f t="shared" si="310"/>
        <v>18750</v>
      </c>
      <c r="U781" s="40">
        <f t="shared" si="311"/>
        <v>23686.078594736562</v>
      </c>
      <c r="V781" s="41">
        <f t="shared" si="312"/>
        <v>0.26325752505261657</v>
      </c>
      <c r="W781" s="39">
        <f t="shared" si="313"/>
        <v>4936.0785947365621</v>
      </c>
      <c r="X781" s="50">
        <f t="shared" si="307"/>
        <v>8346.0694618702</v>
      </c>
      <c r="Y781" s="41">
        <f t="shared" si="314"/>
        <v>0.70838122968569395</v>
      </c>
      <c r="Z781" s="52"/>
      <c r="AA781" s="50">
        <f t="shared" si="320"/>
        <v>27096.069461870207</v>
      </c>
      <c r="AB781" s="39">
        <f t="shared" si="321"/>
        <v>33437.022313001486</v>
      </c>
      <c r="AC781" s="39">
        <f t="shared" si="315"/>
        <v>6340.9528511312783</v>
      </c>
      <c r="AD781" s="41">
        <f t="shared" si="316"/>
        <v>0.23401744153536042</v>
      </c>
      <c r="AF781" s="46">
        <f t="shared" si="298"/>
        <v>0</v>
      </c>
      <c r="AG781" s="46">
        <f t="shared" si="317"/>
        <v>0</v>
      </c>
      <c r="AH781" s="54">
        <f t="shared" si="299"/>
        <v>5250</v>
      </c>
      <c r="AI781" s="55">
        <f t="shared" si="308"/>
        <v>0.16481069042316257</v>
      </c>
      <c r="AJ781" s="55">
        <f t="shared" si="318"/>
        <v>0</v>
      </c>
      <c r="AK781" s="55">
        <f t="shared" si="319"/>
        <v>0</v>
      </c>
    </row>
    <row r="782" spans="2:37" s="53" customFormat="1" ht="17.25" customHeight="1" x14ac:dyDescent="0.25">
      <c r="B782" s="91" t="str">
        <f t="shared" si="300"/>
        <v/>
      </c>
      <c r="C782" s="81">
        <f>IF(Sheet3!A753="","",Sheet3!A753)</f>
        <v>42884</v>
      </c>
      <c r="D782" s="82">
        <f>IF(C782="","",Sheet3!E753)</f>
        <v>38.869999</v>
      </c>
      <c r="E782" s="56">
        <f>_xlfn.XLOOKUP(WEEKNUM(C782)&amp;YEAR(C782),Sheet4!C:C,Sheet4!B:B,0)</f>
        <v>0</v>
      </c>
      <c r="F782" s="46">
        <f>IF(int=Weekly,-$D$5,IF(int=Bi_Weekly,0,IF(int=Monthly,0,IF(int=Quarterly,0,IF(int=Yearly,0,IF(int=None,0,0))))))</f>
        <v>0</v>
      </c>
      <c r="G782" s="46"/>
      <c r="H782" s="46">
        <f t="shared" si="309"/>
        <v>-18750</v>
      </c>
      <c r="I782" s="47"/>
      <c r="J782" s="38">
        <f t="shared" si="296"/>
        <v>0</v>
      </c>
      <c r="K782" s="48"/>
      <c r="L782" s="48">
        <f t="shared" si="301"/>
        <v>621.35569821857973</v>
      </c>
      <c r="M782" s="48"/>
      <c r="N782" s="38">
        <f t="shared" si="302"/>
        <v>0</v>
      </c>
      <c r="O782" s="36">
        <f t="shared" si="303"/>
        <v>0</v>
      </c>
      <c r="P782" s="84">
        <f t="shared" si="304"/>
        <v>-27095.600711853931</v>
      </c>
      <c r="Q782" s="38">
        <f t="shared" si="305"/>
        <v>0</v>
      </c>
      <c r="R782" s="48">
        <f t="shared" si="306"/>
        <v>255.79601191135717</v>
      </c>
      <c r="S782" s="38">
        <f t="shared" si="297"/>
        <v>877.15171012993687</v>
      </c>
      <c r="T782" s="50">
        <f t="shared" si="310"/>
        <v>18750</v>
      </c>
      <c r="U782" s="40">
        <f t="shared" si="311"/>
        <v>24152.095368400496</v>
      </c>
      <c r="V782" s="41">
        <f t="shared" si="312"/>
        <v>0.28811175298135971</v>
      </c>
      <c r="W782" s="39">
        <f t="shared" si="313"/>
        <v>5402.0953684004962</v>
      </c>
      <c r="X782" s="50">
        <f t="shared" si="307"/>
        <v>8346.0694618702</v>
      </c>
      <c r="Y782" s="41">
        <f t="shared" si="314"/>
        <v>0.73323545761443709</v>
      </c>
      <c r="Z782" s="52"/>
      <c r="AA782" s="50">
        <f t="shared" si="320"/>
        <v>27096.069461870207</v>
      </c>
      <c r="AB782" s="39">
        <f t="shared" si="321"/>
        <v>34094.886095598937</v>
      </c>
      <c r="AC782" s="39">
        <f t="shared" si="315"/>
        <v>6998.8166337287294</v>
      </c>
      <c r="AD782" s="41">
        <f t="shared" si="316"/>
        <v>0.25829637924339965</v>
      </c>
      <c r="AF782" s="46">
        <f t="shared" si="298"/>
        <v>0</v>
      </c>
      <c r="AG782" s="46">
        <f t="shared" si="317"/>
        <v>0</v>
      </c>
      <c r="AH782" s="54">
        <f t="shared" si="299"/>
        <v>5257</v>
      </c>
      <c r="AI782" s="55">
        <f t="shared" si="308"/>
        <v>0.16369710467706014</v>
      </c>
      <c r="AJ782" s="55">
        <f t="shared" si="318"/>
        <v>0</v>
      </c>
      <c r="AK782" s="55">
        <f t="shared" si="319"/>
        <v>0</v>
      </c>
    </row>
    <row r="783" spans="2:37" s="53" customFormat="1" ht="17.25" customHeight="1" x14ac:dyDescent="0.25">
      <c r="B783" s="91" t="str">
        <f t="shared" si="300"/>
        <v/>
      </c>
      <c r="C783" s="81">
        <f>IF(Sheet3!A754="","",Sheet3!A754)</f>
        <v>42891</v>
      </c>
      <c r="D783" s="82">
        <f>IF(C783="","",Sheet3!E754)</f>
        <v>38.790000999999997</v>
      </c>
      <c r="E783" s="56">
        <f>_xlfn.XLOOKUP(WEEKNUM(C783)&amp;YEAR(C783),Sheet4!C:C,Sheet4!B:B,0)</f>
        <v>0</v>
      </c>
      <c r="F783" s="46">
        <f>IF(int=Weekly,-$D$5,IF(int=Bi_Weekly,-$D$5,IF(int=Monthly,-$D$5,IF(int=Quarterly,0,IF(int=Yearly,0,IF(int=None,0,0))))))</f>
        <v>-100</v>
      </c>
      <c r="G783" s="46"/>
      <c r="H783" s="46">
        <f t="shared" si="309"/>
        <v>-18850</v>
      </c>
      <c r="I783" s="47"/>
      <c r="J783" s="38">
        <f t="shared" si="296"/>
        <v>2.5779839500390835</v>
      </c>
      <c r="K783" s="48"/>
      <c r="L783" s="48">
        <f t="shared" si="301"/>
        <v>623.93368216861882</v>
      </c>
      <c r="M783" s="48"/>
      <c r="N783" s="38">
        <f t="shared" si="302"/>
        <v>0</v>
      </c>
      <c r="O783" s="36">
        <f t="shared" si="303"/>
        <v>0</v>
      </c>
      <c r="P783" s="84">
        <f t="shared" si="304"/>
        <v>-27195.600711853931</v>
      </c>
      <c r="Q783" s="38">
        <f t="shared" si="305"/>
        <v>0</v>
      </c>
      <c r="R783" s="48">
        <f t="shared" si="306"/>
        <v>255.79601191135717</v>
      </c>
      <c r="S783" s="38">
        <f t="shared" si="297"/>
        <v>879.72969407997596</v>
      </c>
      <c r="T783" s="50">
        <f t="shared" si="310"/>
        <v>18850</v>
      </c>
      <c r="U783" s="40">
        <f t="shared" si="311"/>
        <v>24202.388155254404</v>
      </c>
      <c r="V783" s="41">
        <f t="shared" si="312"/>
        <v>0.28394632123365549</v>
      </c>
      <c r="W783" s="39">
        <f t="shared" si="313"/>
        <v>5352.3881552544044</v>
      </c>
      <c r="X783" s="50">
        <f t="shared" si="307"/>
        <v>8346.0694618702</v>
      </c>
      <c r="Y783" s="41">
        <f t="shared" si="314"/>
        <v>0.72670862690316196</v>
      </c>
      <c r="Z783" s="52"/>
      <c r="AA783" s="50">
        <f t="shared" si="320"/>
        <v>27196.069461870207</v>
      </c>
      <c r="AB783" s="39">
        <f t="shared" si="321"/>
        <v>34124.715713091959</v>
      </c>
      <c r="AC783" s="39">
        <f t="shared" si="315"/>
        <v>6928.6462512217513</v>
      </c>
      <c r="AD783" s="41">
        <f t="shared" si="316"/>
        <v>0.25476645663579967</v>
      </c>
      <c r="AF783" s="46">
        <f t="shared" si="298"/>
        <v>-100</v>
      </c>
      <c r="AG783" s="46">
        <f t="shared" si="317"/>
        <v>-100</v>
      </c>
      <c r="AH783" s="54">
        <f t="shared" si="299"/>
        <v>5264</v>
      </c>
      <c r="AI783" s="55">
        <f t="shared" si="308"/>
        <v>0.16258351893095768</v>
      </c>
      <c r="AJ783" s="55">
        <f t="shared" si="318"/>
        <v>-16.258351893095767</v>
      </c>
      <c r="AK783" s="55">
        <f t="shared" si="319"/>
        <v>-16.258351893095767</v>
      </c>
    </row>
    <row r="784" spans="2:37" s="53" customFormat="1" ht="17.25" customHeight="1" x14ac:dyDescent="0.25">
      <c r="B784" s="91" t="str">
        <f t="shared" si="300"/>
        <v/>
      </c>
      <c r="C784" s="81">
        <f>IF(Sheet3!A755="","",Sheet3!A755)</f>
        <v>42898</v>
      </c>
      <c r="D784" s="82">
        <f>IF(C784="","",Sheet3!E755)</f>
        <v>38.959999000000003</v>
      </c>
      <c r="E784" s="56">
        <f>_xlfn.XLOOKUP(WEEKNUM(C784)&amp;YEAR(C784),Sheet4!C:C,Sheet4!B:B,0)</f>
        <v>0</v>
      </c>
      <c r="F784" s="46">
        <f>IF(int=Weekly,-$D$5,IF(int=Bi_Weekly,0,IF(int=Monthly,0,IF(int=Quarterly,0,IF(int=Yearly,0,IF(int=None,0,0))))))</f>
        <v>0</v>
      </c>
      <c r="G784" s="46"/>
      <c r="H784" s="46">
        <f t="shared" si="309"/>
        <v>-18850</v>
      </c>
      <c r="I784" s="47"/>
      <c r="J784" s="38">
        <f t="shared" si="296"/>
        <v>0</v>
      </c>
      <c r="K784" s="48"/>
      <c r="L784" s="48">
        <f t="shared" si="301"/>
        <v>623.93368216861882</v>
      </c>
      <c r="M784" s="48"/>
      <c r="N784" s="38">
        <f t="shared" si="302"/>
        <v>0</v>
      </c>
      <c r="O784" s="36">
        <f t="shared" si="303"/>
        <v>0</v>
      </c>
      <c r="P784" s="84">
        <f t="shared" si="304"/>
        <v>-27195.600711853931</v>
      </c>
      <c r="Q784" s="38">
        <f t="shared" si="305"/>
        <v>0</v>
      </c>
      <c r="R784" s="48">
        <f t="shared" si="306"/>
        <v>255.79601191135717</v>
      </c>
      <c r="S784" s="38">
        <f t="shared" si="297"/>
        <v>879.72969407997596</v>
      </c>
      <c r="T784" s="50">
        <f t="shared" si="310"/>
        <v>18850</v>
      </c>
      <c r="U784" s="40">
        <f t="shared" si="311"/>
        <v>24308.455633355708</v>
      </c>
      <c r="V784" s="41">
        <f t="shared" si="312"/>
        <v>0.28957324314884403</v>
      </c>
      <c r="W784" s="39">
        <f t="shared" si="313"/>
        <v>5458.4556333557084</v>
      </c>
      <c r="X784" s="50">
        <f t="shared" si="307"/>
        <v>8346.0694618702</v>
      </c>
      <c r="Y784" s="41">
        <f t="shared" si="314"/>
        <v>0.7323355488183505</v>
      </c>
      <c r="Z784" s="52"/>
      <c r="AA784" s="50">
        <f t="shared" si="320"/>
        <v>27196.069461870207</v>
      </c>
      <c r="AB784" s="39">
        <f t="shared" si="321"/>
        <v>34274.268001626173</v>
      </c>
      <c r="AC784" s="39">
        <f t="shared" si="315"/>
        <v>7078.1985397559656</v>
      </c>
      <c r="AD784" s="41">
        <f t="shared" si="316"/>
        <v>0.26026549717707681</v>
      </c>
      <c r="AF784" s="46">
        <f t="shared" si="298"/>
        <v>0</v>
      </c>
      <c r="AG784" s="46">
        <f t="shared" si="317"/>
        <v>0</v>
      </c>
      <c r="AH784" s="54">
        <f t="shared" si="299"/>
        <v>5271</v>
      </c>
      <c r="AI784" s="55">
        <f t="shared" si="308"/>
        <v>0.16146993318485522</v>
      </c>
      <c r="AJ784" s="55">
        <f t="shared" si="318"/>
        <v>0</v>
      </c>
      <c r="AK784" s="55">
        <f t="shared" si="319"/>
        <v>0</v>
      </c>
    </row>
    <row r="785" spans="2:37" s="53" customFormat="1" ht="17.25" customHeight="1" x14ac:dyDescent="0.25">
      <c r="B785" s="91" t="str">
        <f t="shared" si="300"/>
        <v/>
      </c>
      <c r="C785" s="81">
        <f>IF(Sheet3!A756="","",Sheet3!A756)</f>
        <v>42905</v>
      </c>
      <c r="D785" s="82">
        <f>IF(C785="","",Sheet3!E756)</f>
        <v>37.950001</v>
      </c>
      <c r="E785" s="56">
        <f>_xlfn.XLOOKUP(WEEKNUM(C785)&amp;YEAR(C785),Sheet4!C:C,Sheet4!B:B,0)</f>
        <v>0</v>
      </c>
      <c r="F785" s="46">
        <f>IF(int=Weekly,-$D$5,IF(int=Bi_Weekly,-$D$5,IF(int=Monthly,0,IF(int=Quarterly,-$D$5,IF(int=Yearly,0,IF(int=None,0,0))))))</f>
        <v>0</v>
      </c>
      <c r="G785" s="46"/>
      <c r="H785" s="46">
        <f t="shared" si="309"/>
        <v>-18850</v>
      </c>
      <c r="I785" s="47"/>
      <c r="J785" s="38">
        <f t="shared" si="296"/>
        <v>0</v>
      </c>
      <c r="K785" s="48"/>
      <c r="L785" s="48">
        <f t="shared" si="301"/>
        <v>623.93368216861882</v>
      </c>
      <c r="M785" s="48"/>
      <c r="N785" s="38">
        <f t="shared" si="302"/>
        <v>0</v>
      </c>
      <c r="O785" s="36">
        <f t="shared" si="303"/>
        <v>0</v>
      </c>
      <c r="P785" s="84">
        <f t="shared" si="304"/>
        <v>-27195.600711853931</v>
      </c>
      <c r="Q785" s="38">
        <f t="shared" si="305"/>
        <v>0</v>
      </c>
      <c r="R785" s="48">
        <f t="shared" si="306"/>
        <v>255.79601191135717</v>
      </c>
      <c r="S785" s="38">
        <f t="shared" si="297"/>
        <v>879.72969407997596</v>
      </c>
      <c r="T785" s="50">
        <f t="shared" si="310"/>
        <v>18850</v>
      </c>
      <c r="U785" s="40">
        <f t="shared" si="311"/>
        <v>23678.283862232765</v>
      </c>
      <c r="V785" s="41">
        <f t="shared" si="312"/>
        <v>0.25614237995929789</v>
      </c>
      <c r="W785" s="39">
        <f t="shared" si="313"/>
        <v>4828.2838622327654</v>
      </c>
      <c r="X785" s="50">
        <f t="shared" si="307"/>
        <v>8346.0694618702</v>
      </c>
      <c r="Y785" s="41">
        <f t="shared" si="314"/>
        <v>0.69890468562880459</v>
      </c>
      <c r="Z785" s="52"/>
      <c r="AA785" s="50">
        <f t="shared" si="320"/>
        <v>27196.069461870207</v>
      </c>
      <c r="AB785" s="39">
        <f t="shared" si="321"/>
        <v>33385.742770064782</v>
      </c>
      <c r="AC785" s="39">
        <f t="shared" si="315"/>
        <v>6189.6733081945749</v>
      </c>
      <c r="AD785" s="41">
        <f t="shared" si="316"/>
        <v>0.2275944072312619</v>
      </c>
      <c r="AF785" s="46">
        <f t="shared" si="298"/>
        <v>0</v>
      </c>
      <c r="AG785" s="46">
        <f t="shared" si="317"/>
        <v>0</v>
      </c>
      <c r="AH785" s="54">
        <f t="shared" si="299"/>
        <v>5278</v>
      </c>
      <c r="AI785" s="55">
        <f t="shared" si="308"/>
        <v>0.16035634743875279</v>
      </c>
      <c r="AJ785" s="55">
        <f t="shared" si="318"/>
        <v>0</v>
      </c>
      <c r="AK785" s="55">
        <f t="shared" si="319"/>
        <v>0</v>
      </c>
    </row>
    <row r="786" spans="2:37" s="53" customFormat="1" ht="17.25" customHeight="1" x14ac:dyDescent="0.25">
      <c r="B786" s="91" t="str">
        <f t="shared" si="300"/>
        <v/>
      </c>
      <c r="C786" s="81">
        <f>IF(Sheet3!A757="","",Sheet3!A757)</f>
        <v>42912</v>
      </c>
      <c r="D786" s="82">
        <f>IF(C786="","",Sheet3!E757)</f>
        <v>37.729999999999997</v>
      </c>
      <c r="E786" s="56">
        <f>_xlfn.XLOOKUP(WEEKNUM(C786)&amp;YEAR(C786),Sheet4!C:C,Sheet4!B:B,0)</f>
        <v>0</v>
      </c>
      <c r="F786" s="46">
        <f>IF(int=Weekly,-$D$5,IF(int=Bi_Weekly,0,IF(int=Monthly,0,IF(int=Quarterly,0,IF(int=Yearly,0,IF(int=None,0,0))))))</f>
        <v>0</v>
      </c>
      <c r="G786" s="46"/>
      <c r="H786" s="46">
        <f t="shared" si="309"/>
        <v>-18850</v>
      </c>
      <c r="I786" s="47"/>
      <c r="J786" s="38">
        <f t="shared" si="296"/>
        <v>0</v>
      </c>
      <c r="K786" s="48"/>
      <c r="L786" s="48">
        <f t="shared" si="301"/>
        <v>623.93368216861882</v>
      </c>
      <c r="M786" s="48"/>
      <c r="N786" s="38">
        <f t="shared" si="302"/>
        <v>0</v>
      </c>
      <c r="O786" s="36">
        <f t="shared" si="303"/>
        <v>0</v>
      </c>
      <c r="P786" s="84">
        <f t="shared" si="304"/>
        <v>-27195.600711853931</v>
      </c>
      <c r="Q786" s="38">
        <f t="shared" si="305"/>
        <v>0</v>
      </c>
      <c r="R786" s="48">
        <f t="shared" si="306"/>
        <v>255.79601191135717</v>
      </c>
      <c r="S786" s="38">
        <f t="shared" si="297"/>
        <v>879.72969407997596</v>
      </c>
      <c r="T786" s="50">
        <f t="shared" si="310"/>
        <v>18850</v>
      </c>
      <c r="U786" s="40">
        <f t="shared" si="311"/>
        <v>23541.017828221986</v>
      </c>
      <c r="V786" s="41">
        <f t="shared" si="312"/>
        <v>0.24886036223989305</v>
      </c>
      <c r="W786" s="39">
        <f t="shared" si="313"/>
        <v>4691.0178282219858</v>
      </c>
      <c r="X786" s="50">
        <f t="shared" si="307"/>
        <v>8346.0694618702</v>
      </c>
      <c r="Y786" s="41">
        <f t="shared" si="314"/>
        <v>0.69162266790939975</v>
      </c>
      <c r="Z786" s="52"/>
      <c r="AA786" s="50">
        <f t="shared" si="320"/>
        <v>27196.069461870207</v>
      </c>
      <c r="AB786" s="39">
        <f t="shared" si="321"/>
        <v>33192.201357637488</v>
      </c>
      <c r="AC786" s="39">
        <f t="shared" si="315"/>
        <v>5996.1318957672811</v>
      </c>
      <c r="AD786" s="41">
        <f t="shared" si="316"/>
        <v>0.2204778857538241</v>
      </c>
      <c r="AF786" s="46">
        <f t="shared" si="298"/>
        <v>0</v>
      </c>
      <c r="AG786" s="46">
        <f t="shared" si="317"/>
        <v>0</v>
      </c>
      <c r="AH786" s="54">
        <f t="shared" si="299"/>
        <v>5285</v>
      </c>
      <c r="AI786" s="55">
        <f t="shared" si="308"/>
        <v>0.15924276169265034</v>
      </c>
      <c r="AJ786" s="55">
        <f t="shared" si="318"/>
        <v>0</v>
      </c>
      <c r="AK786" s="55">
        <f t="shared" si="319"/>
        <v>0</v>
      </c>
    </row>
    <row r="787" spans="2:37" s="53" customFormat="1" ht="17.25" customHeight="1" x14ac:dyDescent="0.25">
      <c r="B787" s="91" t="str">
        <f t="shared" si="300"/>
        <v/>
      </c>
      <c r="C787" s="81">
        <f>IF(Sheet3!A758="","",Sheet3!A758)</f>
        <v>42919</v>
      </c>
      <c r="D787" s="82">
        <f>IF(C787="","",Sheet3!E758)</f>
        <v>36.979999999999997</v>
      </c>
      <c r="E787" s="56">
        <f>_xlfn.XLOOKUP(WEEKNUM(C787)&amp;YEAR(C787),Sheet4!C:C,Sheet4!B:B,0)</f>
        <v>0.49</v>
      </c>
      <c r="F787" s="46">
        <f>IF(int=Weekly,-$D$5,IF(int=Bi_Weekly,-$D$5,IF(int=Monthly,-$D$5,IF(int=Quarterly,0,IF(int=Yearly,0,IF(int=None,0,0))))))</f>
        <v>-100</v>
      </c>
      <c r="G787" s="46"/>
      <c r="H787" s="46">
        <f t="shared" si="309"/>
        <v>-18950</v>
      </c>
      <c r="I787" s="47"/>
      <c r="J787" s="38">
        <f t="shared" si="296"/>
        <v>2.7041644131963225</v>
      </c>
      <c r="K787" s="48"/>
      <c r="L787" s="48">
        <f t="shared" si="301"/>
        <v>626.6378465818151</v>
      </c>
      <c r="M787" s="48"/>
      <c r="N787" s="38">
        <f t="shared" si="302"/>
        <v>307.0525448250894</v>
      </c>
      <c r="O787" s="36">
        <f t="shared" si="303"/>
        <v>-307.0525448250894</v>
      </c>
      <c r="P787" s="84">
        <f t="shared" si="304"/>
        <v>-27602.653256679019</v>
      </c>
      <c r="Q787" s="38">
        <f t="shared" si="305"/>
        <v>8.3032056469737547</v>
      </c>
      <c r="R787" s="48">
        <f t="shared" si="306"/>
        <v>264.09921755833091</v>
      </c>
      <c r="S787" s="38">
        <f t="shared" si="297"/>
        <v>890.737064140146</v>
      </c>
      <c r="T787" s="50">
        <f t="shared" si="310"/>
        <v>18950</v>
      </c>
      <c r="U787" s="40">
        <f t="shared" si="311"/>
        <v>23173.06756659552</v>
      </c>
      <c r="V787" s="41">
        <f t="shared" si="312"/>
        <v>0.22285316974118841</v>
      </c>
      <c r="W787" s="39">
        <f t="shared" si="313"/>
        <v>4223.0675665955205</v>
      </c>
      <c r="X787" s="50">
        <f t="shared" si="307"/>
        <v>8653.1220066952901</v>
      </c>
      <c r="Y787" s="41">
        <f t="shared" si="314"/>
        <v>0.67948229938210081</v>
      </c>
      <c r="Z787" s="52"/>
      <c r="AA787" s="50">
        <f t="shared" si="320"/>
        <v>27603.122006695296</v>
      </c>
      <c r="AB787" s="39">
        <f t="shared" si="321"/>
        <v>32939.456631902598</v>
      </c>
      <c r="AC787" s="39">
        <f t="shared" si="315"/>
        <v>5336.3346252073025</v>
      </c>
      <c r="AD787" s="41">
        <f t="shared" si="316"/>
        <v>0.1933235894082177</v>
      </c>
      <c r="AF787" s="46">
        <f t="shared" si="298"/>
        <v>207.0525448250894</v>
      </c>
      <c r="AG787" s="46">
        <f t="shared" si="317"/>
        <v>-100</v>
      </c>
      <c r="AH787" s="54">
        <f t="shared" si="299"/>
        <v>5292</v>
      </c>
      <c r="AI787" s="55">
        <f t="shared" si="308"/>
        <v>0.15812917594654788</v>
      </c>
      <c r="AJ787" s="55">
        <f t="shared" si="318"/>
        <v>32.741048290827052</v>
      </c>
      <c r="AK787" s="55">
        <f t="shared" si="319"/>
        <v>-15.812917594654788</v>
      </c>
    </row>
    <row r="788" spans="2:37" s="53" customFormat="1" ht="17.25" customHeight="1" x14ac:dyDescent="0.25">
      <c r="B788" s="91" t="str">
        <f t="shared" si="300"/>
        <v/>
      </c>
      <c r="C788" s="81">
        <f>IF(Sheet3!A759="","",Sheet3!A759)</f>
        <v>42926</v>
      </c>
      <c r="D788" s="82">
        <f>IF(C788="","",Sheet3!E759)</f>
        <v>36.299999</v>
      </c>
      <c r="E788" s="56">
        <f>_xlfn.XLOOKUP(WEEKNUM(C788)&amp;YEAR(C788),Sheet4!C:C,Sheet4!B:B,0)</f>
        <v>0</v>
      </c>
      <c r="F788" s="46">
        <f>IF(int=Weekly,-$D$5,IF(int=Bi_Weekly,0,IF(int=Monthly,0,IF(int=Quarterly,0,IF(int=Yearly,0,IF(int=None,0,0))))))</f>
        <v>0</v>
      </c>
      <c r="G788" s="46"/>
      <c r="H788" s="46">
        <f t="shared" si="309"/>
        <v>-18950</v>
      </c>
      <c r="I788" s="47"/>
      <c r="J788" s="38">
        <f t="shared" si="296"/>
        <v>0</v>
      </c>
      <c r="K788" s="48"/>
      <c r="L788" s="48">
        <f t="shared" si="301"/>
        <v>626.6378465818151</v>
      </c>
      <c r="M788" s="48"/>
      <c r="N788" s="38">
        <f t="shared" si="302"/>
        <v>0</v>
      </c>
      <c r="O788" s="36">
        <f t="shared" si="303"/>
        <v>0</v>
      </c>
      <c r="P788" s="84">
        <f t="shared" si="304"/>
        <v>-27602.653256679019</v>
      </c>
      <c r="Q788" s="38">
        <f t="shared" si="305"/>
        <v>0</v>
      </c>
      <c r="R788" s="48">
        <f t="shared" si="306"/>
        <v>264.09921755833091</v>
      </c>
      <c r="S788" s="38">
        <f t="shared" si="297"/>
        <v>890.737064140146</v>
      </c>
      <c r="T788" s="50">
        <f t="shared" si="310"/>
        <v>18950</v>
      </c>
      <c r="U788" s="40">
        <f t="shared" si="311"/>
        <v>22746.953204282043</v>
      </c>
      <c r="V788" s="41">
        <f t="shared" si="312"/>
        <v>0.20036692370881504</v>
      </c>
      <c r="W788" s="39">
        <f t="shared" si="313"/>
        <v>3796.9532042820429</v>
      </c>
      <c r="X788" s="50">
        <f t="shared" si="307"/>
        <v>8653.1220066952901</v>
      </c>
      <c r="Y788" s="41">
        <f t="shared" si="314"/>
        <v>0.65699605334972722</v>
      </c>
      <c r="Z788" s="52"/>
      <c r="AA788" s="50">
        <f t="shared" si="320"/>
        <v>27603.122006695296</v>
      </c>
      <c r="AB788" s="39">
        <f t="shared" si="321"/>
        <v>32333.754537550238</v>
      </c>
      <c r="AC788" s="39">
        <f t="shared" si="315"/>
        <v>4730.6325308549422</v>
      </c>
      <c r="AD788" s="41">
        <f t="shared" si="316"/>
        <v>0.17138034348822928</v>
      </c>
      <c r="AF788" s="46">
        <f t="shared" si="298"/>
        <v>0</v>
      </c>
      <c r="AG788" s="46">
        <f t="shared" si="317"/>
        <v>0</v>
      </c>
      <c r="AH788" s="54">
        <f t="shared" si="299"/>
        <v>5299</v>
      </c>
      <c r="AI788" s="55">
        <f t="shared" si="308"/>
        <v>0.15701559020044542</v>
      </c>
      <c r="AJ788" s="55">
        <f t="shared" si="318"/>
        <v>0</v>
      </c>
      <c r="AK788" s="55">
        <f t="shared" si="319"/>
        <v>0</v>
      </c>
    </row>
    <row r="789" spans="2:37" s="53" customFormat="1" ht="17.25" customHeight="1" x14ac:dyDescent="0.25">
      <c r="B789" s="91" t="str">
        <f t="shared" si="300"/>
        <v/>
      </c>
      <c r="C789" s="81">
        <f>IF(Sheet3!A760="","",Sheet3!A760)</f>
        <v>42933</v>
      </c>
      <c r="D789" s="82">
        <f>IF(C789="","",Sheet3!E760)</f>
        <v>36.509998000000003</v>
      </c>
      <c r="E789" s="56">
        <f>_xlfn.XLOOKUP(WEEKNUM(C789)&amp;YEAR(C789),Sheet4!C:C,Sheet4!B:B,0)</f>
        <v>0</v>
      </c>
      <c r="F789" s="46">
        <f>IF(int=Weekly,-$D$5,IF(int=Bi_Weekly,-$D$5,IF(int=Monthly,0,IF(int=Quarterly,0,IF(int=Yearly,0,IF(int=None,0,0))))))</f>
        <v>0</v>
      </c>
      <c r="G789" s="46"/>
      <c r="H789" s="46">
        <f t="shared" si="309"/>
        <v>-18950</v>
      </c>
      <c r="I789" s="47"/>
      <c r="J789" s="38">
        <f t="shared" si="296"/>
        <v>0</v>
      </c>
      <c r="K789" s="48"/>
      <c r="L789" s="48">
        <f t="shared" si="301"/>
        <v>626.6378465818151</v>
      </c>
      <c r="M789" s="48"/>
      <c r="N789" s="38">
        <f t="shared" si="302"/>
        <v>0</v>
      </c>
      <c r="O789" s="36">
        <f t="shared" si="303"/>
        <v>0</v>
      </c>
      <c r="P789" s="84">
        <f t="shared" si="304"/>
        <v>-27602.653256679019</v>
      </c>
      <c r="Q789" s="38">
        <f t="shared" si="305"/>
        <v>0</v>
      </c>
      <c r="R789" s="48">
        <f t="shared" si="306"/>
        <v>264.09921755833091</v>
      </c>
      <c r="S789" s="38">
        <f t="shared" si="297"/>
        <v>890.737064140146</v>
      </c>
      <c r="T789" s="50">
        <f t="shared" si="310"/>
        <v>18950</v>
      </c>
      <c r="U789" s="40">
        <f t="shared" si="311"/>
        <v>22878.546525426376</v>
      </c>
      <c r="V789" s="41">
        <f t="shared" si="312"/>
        <v>0.20731116229162927</v>
      </c>
      <c r="W789" s="39">
        <f t="shared" si="313"/>
        <v>3928.5465254263763</v>
      </c>
      <c r="X789" s="50">
        <f t="shared" si="307"/>
        <v>8653.1220066952901</v>
      </c>
      <c r="Y789" s="41">
        <f t="shared" si="314"/>
        <v>0.66394029193254167</v>
      </c>
      <c r="Z789" s="52"/>
      <c r="AA789" s="50">
        <f t="shared" si="320"/>
        <v>27603.122006695296</v>
      </c>
      <c r="AB789" s="39">
        <f t="shared" si="321"/>
        <v>32520.808430282603</v>
      </c>
      <c r="AC789" s="39">
        <f t="shared" si="315"/>
        <v>4917.6864235873072</v>
      </c>
      <c r="AD789" s="41">
        <f t="shared" si="316"/>
        <v>0.17815689190499873</v>
      </c>
      <c r="AF789" s="46">
        <f t="shared" si="298"/>
        <v>0</v>
      </c>
      <c r="AG789" s="46">
        <f t="shared" si="317"/>
        <v>0</v>
      </c>
      <c r="AH789" s="54">
        <f t="shared" si="299"/>
        <v>5306</v>
      </c>
      <c r="AI789" s="55">
        <f t="shared" si="308"/>
        <v>0.15590200445434299</v>
      </c>
      <c r="AJ789" s="55">
        <f t="shared" si="318"/>
        <v>0</v>
      </c>
      <c r="AK789" s="55">
        <f t="shared" si="319"/>
        <v>0</v>
      </c>
    </row>
    <row r="790" spans="2:37" s="53" customFormat="1" ht="17.25" customHeight="1" x14ac:dyDescent="0.25">
      <c r="B790" s="91" t="str">
        <f t="shared" si="300"/>
        <v/>
      </c>
      <c r="C790" s="81">
        <f>IF(Sheet3!A761="","",Sheet3!A761)</f>
        <v>42940</v>
      </c>
      <c r="D790" s="82">
        <f>IF(C790="","",Sheet3!E761)</f>
        <v>39</v>
      </c>
      <c r="E790" s="56">
        <f>_xlfn.XLOOKUP(WEEKNUM(C790)&amp;YEAR(C790),Sheet4!C:C,Sheet4!B:B,0)</f>
        <v>0</v>
      </c>
      <c r="F790" s="46">
        <f>IF(int=Weekly,-$D$5,IF(int=Bi_Weekly,0,IF(int=Monthly,0,IF(int=Quarterly,0,IF(int=Yearly,0,IF(int=None,0,0))))))</f>
        <v>0</v>
      </c>
      <c r="G790" s="46"/>
      <c r="H790" s="46">
        <f t="shared" si="309"/>
        <v>-18950</v>
      </c>
      <c r="I790" s="47"/>
      <c r="J790" s="38">
        <f t="shared" si="296"/>
        <v>0</v>
      </c>
      <c r="K790" s="48"/>
      <c r="L790" s="48">
        <f t="shared" si="301"/>
        <v>626.6378465818151</v>
      </c>
      <c r="M790" s="48"/>
      <c r="N790" s="38">
        <f t="shared" si="302"/>
        <v>0</v>
      </c>
      <c r="O790" s="36">
        <f t="shared" si="303"/>
        <v>0</v>
      </c>
      <c r="P790" s="84">
        <f t="shared" si="304"/>
        <v>-27602.653256679019</v>
      </c>
      <c r="Q790" s="38">
        <f t="shared" si="305"/>
        <v>0</v>
      </c>
      <c r="R790" s="48">
        <f t="shared" si="306"/>
        <v>264.09921755833091</v>
      </c>
      <c r="S790" s="38">
        <f t="shared" si="297"/>
        <v>890.737064140146</v>
      </c>
      <c r="T790" s="50">
        <f t="shared" si="310"/>
        <v>18950</v>
      </c>
      <c r="U790" s="40">
        <f t="shared" si="311"/>
        <v>24438.876016690789</v>
      </c>
      <c r="V790" s="41">
        <f t="shared" si="312"/>
        <v>0.28965044942959306</v>
      </c>
      <c r="W790" s="39">
        <f t="shared" si="313"/>
        <v>5488.8760166907887</v>
      </c>
      <c r="X790" s="50">
        <f t="shared" si="307"/>
        <v>8653.1220066952901</v>
      </c>
      <c r="Y790" s="41">
        <f t="shared" si="314"/>
        <v>0.74627957907050546</v>
      </c>
      <c r="Z790" s="52"/>
      <c r="AA790" s="50">
        <f t="shared" si="320"/>
        <v>27603.122006695296</v>
      </c>
      <c r="AB790" s="39">
        <f t="shared" si="321"/>
        <v>34738.745501465695</v>
      </c>
      <c r="AC790" s="39">
        <f t="shared" si="315"/>
        <v>7135.6234947703997</v>
      </c>
      <c r="AD790" s="41">
        <f t="shared" si="316"/>
        <v>0.25850784172310703</v>
      </c>
      <c r="AF790" s="46">
        <f t="shared" si="298"/>
        <v>0</v>
      </c>
      <c r="AG790" s="46">
        <f t="shared" si="317"/>
        <v>0</v>
      </c>
      <c r="AH790" s="54">
        <f t="shared" si="299"/>
        <v>5313</v>
      </c>
      <c r="AI790" s="55">
        <f t="shared" si="308"/>
        <v>0.15478841870824053</v>
      </c>
      <c r="AJ790" s="55">
        <f t="shared" si="318"/>
        <v>0</v>
      </c>
      <c r="AK790" s="55">
        <f t="shared" si="319"/>
        <v>0</v>
      </c>
    </row>
    <row r="791" spans="2:37" s="53" customFormat="1" ht="17.25" customHeight="1" x14ac:dyDescent="0.25">
      <c r="B791" s="91" t="str">
        <f t="shared" si="300"/>
        <v/>
      </c>
      <c r="C791" s="81">
        <f>IF(Sheet3!A762="","",Sheet3!A762)</f>
        <v>42947</v>
      </c>
      <c r="D791" s="82">
        <f>IF(C791="","",Sheet3!E762)</f>
        <v>38.43</v>
      </c>
      <c r="E791" s="56">
        <f>_xlfn.XLOOKUP(WEEKNUM(C791)&amp;YEAR(C791),Sheet4!C:C,Sheet4!B:B,0)</f>
        <v>0</v>
      </c>
      <c r="F791" s="46">
        <f>IF(int=Weekly,-$D$5,IF(int=Bi_Weekly,-$D$5,IF(int=Monthly,-$D$5,IF(int=Quarterly,0,IF(int=Yearly,0,IF(int=None,0,0))))))</f>
        <v>-100</v>
      </c>
      <c r="G791" s="46"/>
      <c r="H791" s="46">
        <f t="shared" si="309"/>
        <v>-19050</v>
      </c>
      <c r="I791" s="47"/>
      <c r="J791" s="38">
        <f t="shared" si="296"/>
        <v>2.6021337496747332</v>
      </c>
      <c r="K791" s="48"/>
      <c r="L791" s="48">
        <f t="shared" si="301"/>
        <v>629.23998033148985</v>
      </c>
      <c r="M791" s="48"/>
      <c r="N791" s="38">
        <f t="shared" si="302"/>
        <v>0</v>
      </c>
      <c r="O791" s="36">
        <f t="shared" si="303"/>
        <v>0</v>
      </c>
      <c r="P791" s="84">
        <f t="shared" si="304"/>
        <v>-27702.653256679019</v>
      </c>
      <c r="Q791" s="38">
        <f t="shared" si="305"/>
        <v>0</v>
      </c>
      <c r="R791" s="48">
        <f t="shared" si="306"/>
        <v>264.09921755833091</v>
      </c>
      <c r="S791" s="38">
        <f t="shared" si="297"/>
        <v>893.33919788982075</v>
      </c>
      <c r="T791" s="50">
        <f t="shared" si="310"/>
        <v>19050</v>
      </c>
      <c r="U791" s="40">
        <f t="shared" si="311"/>
        <v>24181.692444139153</v>
      </c>
      <c r="V791" s="41">
        <f t="shared" si="312"/>
        <v>0.26938018079470627</v>
      </c>
      <c r="W791" s="39">
        <f t="shared" si="313"/>
        <v>5131.6924441391529</v>
      </c>
      <c r="X791" s="50">
        <f t="shared" si="307"/>
        <v>8653.1220066952901</v>
      </c>
      <c r="Y791" s="41">
        <f t="shared" si="314"/>
        <v>0.7236123071304168</v>
      </c>
      <c r="Z791" s="52"/>
      <c r="AA791" s="50">
        <f t="shared" si="320"/>
        <v>27703.122006695296</v>
      </c>
      <c r="AB791" s="39">
        <f t="shared" si="321"/>
        <v>34331.02537490581</v>
      </c>
      <c r="AC791" s="39">
        <f t="shared" si="315"/>
        <v>6627.9033682105146</v>
      </c>
      <c r="AD791" s="41">
        <f t="shared" si="316"/>
        <v>0.23924752475943611</v>
      </c>
      <c r="AF791" s="46">
        <f t="shared" si="298"/>
        <v>-100</v>
      </c>
      <c r="AG791" s="46">
        <f t="shared" si="317"/>
        <v>-100</v>
      </c>
      <c r="AH791" s="54">
        <f t="shared" si="299"/>
        <v>5320</v>
      </c>
      <c r="AI791" s="55">
        <f t="shared" si="308"/>
        <v>0.15367483296213807</v>
      </c>
      <c r="AJ791" s="55">
        <f t="shared" si="318"/>
        <v>-15.367483296213807</v>
      </c>
      <c r="AK791" s="55">
        <f t="shared" si="319"/>
        <v>-15.367483296213807</v>
      </c>
    </row>
    <row r="792" spans="2:37" s="53" customFormat="1" ht="17.25" customHeight="1" x14ac:dyDescent="0.25">
      <c r="B792" s="91" t="str">
        <f t="shared" si="300"/>
        <v/>
      </c>
      <c r="C792" s="81">
        <f>IF(Sheet3!A763="","",Sheet3!A763)</f>
        <v>42954</v>
      </c>
      <c r="D792" s="82">
        <f>IF(C792="","",Sheet3!E763)</f>
        <v>38.099997999999999</v>
      </c>
      <c r="E792" s="56">
        <f>_xlfn.XLOOKUP(WEEKNUM(C792)&amp;YEAR(C792),Sheet4!C:C,Sheet4!B:B,0)</f>
        <v>0</v>
      </c>
      <c r="F792" s="46">
        <f>IF(int=Weekly,-$D$5,IF(int=Bi_Weekly,0,IF(int=Monthly,0,IF(int=Quarterly,0,IF(int=Yearly,0,IF(int=None,0,0))))))</f>
        <v>0</v>
      </c>
      <c r="G792" s="46"/>
      <c r="H792" s="46">
        <f t="shared" si="309"/>
        <v>-19050</v>
      </c>
      <c r="I792" s="47"/>
      <c r="J792" s="38">
        <f t="shared" si="296"/>
        <v>0</v>
      </c>
      <c r="K792" s="48"/>
      <c r="L792" s="48">
        <f t="shared" si="301"/>
        <v>629.23998033148985</v>
      </c>
      <c r="M792" s="48"/>
      <c r="N792" s="38">
        <f t="shared" si="302"/>
        <v>0</v>
      </c>
      <c r="O792" s="36">
        <f t="shared" si="303"/>
        <v>0</v>
      </c>
      <c r="P792" s="84">
        <f t="shared" si="304"/>
        <v>-27702.653256679019</v>
      </c>
      <c r="Q792" s="38">
        <f t="shared" si="305"/>
        <v>0</v>
      </c>
      <c r="R792" s="48">
        <f t="shared" si="306"/>
        <v>264.09921755833091</v>
      </c>
      <c r="S792" s="38">
        <f t="shared" si="297"/>
        <v>893.33919788982075</v>
      </c>
      <c r="T792" s="50">
        <f t="shared" si="310"/>
        <v>19050</v>
      </c>
      <c r="U792" s="40">
        <f t="shared" si="311"/>
        <v>23974.041992149803</v>
      </c>
      <c r="V792" s="41">
        <f t="shared" si="312"/>
        <v>0.25847989460103959</v>
      </c>
      <c r="W792" s="39">
        <f t="shared" si="313"/>
        <v>4924.0419921498033</v>
      </c>
      <c r="X792" s="50">
        <f t="shared" si="307"/>
        <v>8653.1220066952901</v>
      </c>
      <c r="Y792" s="41">
        <f t="shared" si="314"/>
        <v>0.71271202093675012</v>
      </c>
      <c r="Z792" s="52"/>
      <c r="AA792" s="50">
        <f t="shared" si="320"/>
        <v>27703.122006695296</v>
      </c>
      <c r="AB792" s="39">
        <f t="shared" si="321"/>
        <v>34036.221652923778</v>
      </c>
      <c r="AC792" s="39">
        <f t="shared" si="315"/>
        <v>6333.099646228482</v>
      </c>
      <c r="AD792" s="41">
        <f t="shared" si="316"/>
        <v>0.22860599049803465</v>
      </c>
      <c r="AF792" s="46">
        <f t="shared" si="298"/>
        <v>0</v>
      </c>
      <c r="AG792" s="46">
        <f t="shared" si="317"/>
        <v>0</v>
      </c>
      <c r="AH792" s="54">
        <f t="shared" si="299"/>
        <v>5327</v>
      </c>
      <c r="AI792" s="55">
        <f t="shared" si="308"/>
        <v>0.15256124721603564</v>
      </c>
      <c r="AJ792" s="55">
        <f t="shared" si="318"/>
        <v>0</v>
      </c>
      <c r="AK792" s="55">
        <f t="shared" si="319"/>
        <v>0</v>
      </c>
    </row>
    <row r="793" spans="2:37" s="53" customFormat="1" ht="17.25" customHeight="1" x14ac:dyDescent="0.25">
      <c r="B793" s="91" t="str">
        <f t="shared" si="300"/>
        <v/>
      </c>
      <c r="C793" s="81">
        <f>IF(Sheet3!A764="","",Sheet3!A764)</f>
        <v>42961</v>
      </c>
      <c r="D793" s="82">
        <f>IF(C793="","",Sheet3!E764)</f>
        <v>37.369999</v>
      </c>
      <c r="E793" s="56">
        <f>_xlfn.XLOOKUP(WEEKNUM(C793)&amp;YEAR(C793),Sheet4!C:C,Sheet4!B:B,0)</f>
        <v>0</v>
      </c>
      <c r="F793" s="46">
        <f>IF(int=Weekly,-$D$5,IF(int=Bi_Weekly,-$D$5,IF(int=Monthly,0,IF(int=Quarterly,0,IF(int=Yearly,0,IF(int=None,0,0))))))</f>
        <v>0</v>
      </c>
      <c r="G793" s="46"/>
      <c r="H793" s="46">
        <f t="shared" si="309"/>
        <v>-19050</v>
      </c>
      <c r="I793" s="47"/>
      <c r="J793" s="38">
        <f t="shared" si="296"/>
        <v>0</v>
      </c>
      <c r="K793" s="48"/>
      <c r="L793" s="48">
        <f t="shared" si="301"/>
        <v>629.23998033148985</v>
      </c>
      <c r="M793" s="48"/>
      <c r="N793" s="38">
        <f t="shared" si="302"/>
        <v>0</v>
      </c>
      <c r="O793" s="36">
        <f t="shared" si="303"/>
        <v>0</v>
      </c>
      <c r="P793" s="84">
        <f t="shared" si="304"/>
        <v>-27702.653256679019</v>
      </c>
      <c r="Q793" s="38">
        <f t="shared" si="305"/>
        <v>0</v>
      </c>
      <c r="R793" s="48">
        <f t="shared" si="306"/>
        <v>264.09921755833091</v>
      </c>
      <c r="S793" s="38">
        <f t="shared" si="297"/>
        <v>893.33919788982075</v>
      </c>
      <c r="T793" s="50">
        <f t="shared" si="310"/>
        <v>19050</v>
      </c>
      <c r="U793" s="40">
        <f t="shared" si="311"/>
        <v>23514.697435747796</v>
      </c>
      <c r="V793" s="41">
        <f t="shared" si="312"/>
        <v>0.23436731946182654</v>
      </c>
      <c r="W793" s="39">
        <f t="shared" si="313"/>
        <v>4464.6974357477957</v>
      </c>
      <c r="X793" s="50">
        <f t="shared" si="307"/>
        <v>8653.1220066952901</v>
      </c>
      <c r="Y793" s="41">
        <f t="shared" si="314"/>
        <v>0.68859944579753729</v>
      </c>
      <c r="Z793" s="52"/>
      <c r="AA793" s="50">
        <f t="shared" si="320"/>
        <v>27703.122006695296</v>
      </c>
      <c r="AB793" s="39">
        <f t="shared" si="321"/>
        <v>33384.084931803402</v>
      </c>
      <c r="AC793" s="39">
        <f t="shared" si="315"/>
        <v>5680.962925108106</v>
      </c>
      <c r="AD793" s="41">
        <f t="shared" si="316"/>
        <v>0.20506580174375766</v>
      </c>
      <c r="AF793" s="46">
        <f t="shared" si="298"/>
        <v>0</v>
      </c>
      <c r="AG793" s="46">
        <f t="shared" si="317"/>
        <v>0</v>
      </c>
      <c r="AH793" s="54">
        <f t="shared" si="299"/>
        <v>5334</v>
      </c>
      <c r="AI793" s="55">
        <f t="shared" si="308"/>
        <v>0.15144766146993319</v>
      </c>
      <c r="AJ793" s="55">
        <f t="shared" si="318"/>
        <v>0</v>
      </c>
      <c r="AK793" s="55">
        <f t="shared" si="319"/>
        <v>0</v>
      </c>
    </row>
    <row r="794" spans="2:37" s="53" customFormat="1" ht="17.25" customHeight="1" x14ac:dyDescent="0.25">
      <c r="B794" s="91" t="str">
        <f t="shared" si="300"/>
        <v/>
      </c>
      <c r="C794" s="81">
        <f>IF(Sheet3!A765="","",Sheet3!A765)</f>
        <v>42968</v>
      </c>
      <c r="D794" s="82">
        <f>IF(C794="","",Sheet3!E765)</f>
        <v>37.990001999999997</v>
      </c>
      <c r="E794" s="56">
        <f>_xlfn.XLOOKUP(WEEKNUM(C794)&amp;YEAR(C794),Sheet4!C:C,Sheet4!B:B,0)</f>
        <v>0</v>
      </c>
      <c r="F794" s="46">
        <f>IF(int=Weekly,-$D$5,IF(int=Bi_Weekly,0,IF(int=Monthly,0,IF(int=Quarterly,0,IF(int=Yearly,0,IF(int=None,0,0))))))</f>
        <v>0</v>
      </c>
      <c r="G794" s="46"/>
      <c r="H794" s="46">
        <f t="shared" si="309"/>
        <v>-19050</v>
      </c>
      <c r="I794" s="47"/>
      <c r="J794" s="38">
        <f t="shared" si="296"/>
        <v>0</v>
      </c>
      <c r="K794" s="48"/>
      <c r="L794" s="48">
        <f t="shared" si="301"/>
        <v>629.23998033148985</v>
      </c>
      <c r="M794" s="48"/>
      <c r="N794" s="38">
        <f t="shared" si="302"/>
        <v>0</v>
      </c>
      <c r="O794" s="36">
        <f t="shared" si="303"/>
        <v>0</v>
      </c>
      <c r="P794" s="84">
        <f t="shared" si="304"/>
        <v>-27702.653256679019</v>
      </c>
      <c r="Q794" s="38">
        <f t="shared" si="305"/>
        <v>0</v>
      </c>
      <c r="R794" s="48">
        <f t="shared" si="306"/>
        <v>264.09921755833091</v>
      </c>
      <c r="S794" s="38">
        <f t="shared" si="297"/>
        <v>893.33919788982075</v>
      </c>
      <c r="T794" s="50">
        <f t="shared" si="310"/>
        <v>19050</v>
      </c>
      <c r="U794" s="40">
        <f t="shared" si="311"/>
        <v>23904.828111273258</v>
      </c>
      <c r="V794" s="41">
        <f t="shared" si="312"/>
        <v>0.25484662001434422</v>
      </c>
      <c r="W794" s="39">
        <f t="shared" si="313"/>
        <v>4854.8281112732584</v>
      </c>
      <c r="X794" s="50">
        <f t="shared" si="307"/>
        <v>8653.1220066952901</v>
      </c>
      <c r="Y794" s="41">
        <f t="shared" si="314"/>
        <v>0.70907874635005497</v>
      </c>
      <c r="Z794" s="52"/>
      <c r="AA794" s="50">
        <f t="shared" si="320"/>
        <v>27703.122006695296</v>
      </c>
      <c r="AB794" s="39">
        <f t="shared" si="321"/>
        <v>33937.957914512685</v>
      </c>
      <c r="AC794" s="39">
        <f t="shared" si="315"/>
        <v>6234.8359078173889</v>
      </c>
      <c r="AD794" s="41">
        <f t="shared" si="316"/>
        <v>0.22505896289633176</v>
      </c>
      <c r="AF794" s="46">
        <f t="shared" si="298"/>
        <v>0</v>
      </c>
      <c r="AG794" s="46">
        <f t="shared" si="317"/>
        <v>0</v>
      </c>
      <c r="AH794" s="54">
        <f t="shared" si="299"/>
        <v>5341</v>
      </c>
      <c r="AI794" s="55">
        <f t="shared" si="308"/>
        <v>0.15033407572383073</v>
      </c>
      <c r="AJ794" s="55">
        <f t="shared" si="318"/>
        <v>0</v>
      </c>
      <c r="AK794" s="55">
        <f t="shared" si="319"/>
        <v>0</v>
      </c>
    </row>
    <row r="795" spans="2:37" s="53" customFormat="1" ht="17.25" customHeight="1" x14ac:dyDescent="0.25">
      <c r="B795" s="91" t="str">
        <f t="shared" si="300"/>
        <v/>
      </c>
      <c r="C795" s="81">
        <f>IF(Sheet3!A766="","",Sheet3!A766)</f>
        <v>42975</v>
      </c>
      <c r="D795" s="82">
        <f>IF(C795="","",Sheet3!E766)</f>
        <v>37.479999999999997</v>
      </c>
      <c r="E795" s="56">
        <f>_xlfn.XLOOKUP(WEEKNUM(C795)&amp;YEAR(C795),Sheet4!C:C,Sheet4!B:B,0)</f>
        <v>0</v>
      </c>
      <c r="F795" s="46">
        <f>IF(int=Weekly,-$D$5,IF(int=Bi_Weekly,-$D$5,IF(int=Monthly,-$D$5,IF(int=Quarterly,0,IF(int=Yearly,0,IF(int=None,0,0))))))</f>
        <v>-100</v>
      </c>
      <c r="G795" s="46"/>
      <c r="H795" s="46">
        <f t="shared" si="309"/>
        <v>-19150</v>
      </c>
      <c r="I795" s="47"/>
      <c r="J795" s="38">
        <f t="shared" si="296"/>
        <v>2.6680896478121667</v>
      </c>
      <c r="K795" s="48"/>
      <c r="L795" s="48">
        <f t="shared" si="301"/>
        <v>631.90806997930201</v>
      </c>
      <c r="M795" s="48"/>
      <c r="N795" s="38">
        <f t="shared" si="302"/>
        <v>0</v>
      </c>
      <c r="O795" s="36">
        <f t="shared" si="303"/>
        <v>0</v>
      </c>
      <c r="P795" s="84">
        <f t="shared" si="304"/>
        <v>-27802.653256679019</v>
      </c>
      <c r="Q795" s="38">
        <f t="shared" si="305"/>
        <v>0</v>
      </c>
      <c r="R795" s="48">
        <f t="shared" si="306"/>
        <v>264.09921755833091</v>
      </c>
      <c r="S795" s="38">
        <f t="shared" si="297"/>
        <v>896.00728753763292</v>
      </c>
      <c r="T795" s="50">
        <f t="shared" si="310"/>
        <v>19150</v>
      </c>
      <c r="U795" s="40">
        <f t="shared" si="311"/>
        <v>23683.914462824236</v>
      </c>
      <c r="V795" s="41">
        <f t="shared" si="312"/>
        <v>0.23675793539552137</v>
      </c>
      <c r="W795" s="39">
        <f t="shared" si="313"/>
        <v>4533.9144628242357</v>
      </c>
      <c r="X795" s="50">
        <f t="shared" si="307"/>
        <v>8653.1220066952901</v>
      </c>
      <c r="Y795" s="41">
        <f t="shared" si="314"/>
        <v>0.68861809240310823</v>
      </c>
      <c r="Z795" s="52"/>
      <c r="AA795" s="50">
        <f t="shared" si="320"/>
        <v>27803.122006695296</v>
      </c>
      <c r="AB795" s="39">
        <f t="shared" si="321"/>
        <v>33582.353136910475</v>
      </c>
      <c r="AC795" s="39">
        <f t="shared" si="315"/>
        <v>5779.2311302151793</v>
      </c>
      <c r="AD795" s="41">
        <f t="shared" si="316"/>
        <v>0.20786266840189671</v>
      </c>
      <c r="AF795" s="46">
        <f t="shared" si="298"/>
        <v>-100</v>
      </c>
      <c r="AG795" s="46">
        <f t="shared" si="317"/>
        <v>-100</v>
      </c>
      <c r="AH795" s="54">
        <f t="shared" si="299"/>
        <v>5348</v>
      </c>
      <c r="AI795" s="55">
        <f t="shared" si="308"/>
        <v>0.1492204899777283</v>
      </c>
      <c r="AJ795" s="55">
        <f t="shared" si="318"/>
        <v>-14.92204899777283</v>
      </c>
      <c r="AK795" s="55">
        <f t="shared" si="319"/>
        <v>-14.92204899777283</v>
      </c>
    </row>
    <row r="796" spans="2:37" s="53" customFormat="1" ht="17.25" customHeight="1" x14ac:dyDescent="0.25">
      <c r="B796" s="91" t="str">
        <f t="shared" si="300"/>
        <v/>
      </c>
      <c r="C796" s="81">
        <f>IF(Sheet3!A767="","",Sheet3!A767)</f>
        <v>42982</v>
      </c>
      <c r="D796" s="82">
        <f>IF(C796="","",Sheet3!E767)</f>
        <v>35.590000000000003</v>
      </c>
      <c r="E796" s="56">
        <f>_xlfn.XLOOKUP(WEEKNUM(C796)&amp;YEAR(C796),Sheet4!C:C,Sheet4!B:B,0)</f>
        <v>0</v>
      </c>
      <c r="F796" s="46">
        <f>IF(int=Weekly,-$D$5,IF(int=Bi_Weekly,0,IF(int=Monthly,0,IF(int=Quarterly,0,IF(int=Yearly,0,IF(int=None,0,0))))))</f>
        <v>0</v>
      </c>
      <c r="G796" s="46"/>
      <c r="H796" s="46">
        <f t="shared" si="309"/>
        <v>-19150</v>
      </c>
      <c r="I796" s="47"/>
      <c r="J796" s="38">
        <f t="shared" si="296"/>
        <v>0</v>
      </c>
      <c r="K796" s="48"/>
      <c r="L796" s="48">
        <f t="shared" si="301"/>
        <v>631.90806997930201</v>
      </c>
      <c r="M796" s="48"/>
      <c r="N796" s="38">
        <f t="shared" si="302"/>
        <v>0</v>
      </c>
      <c r="O796" s="36">
        <f t="shared" si="303"/>
        <v>0</v>
      </c>
      <c r="P796" s="84">
        <f t="shared" si="304"/>
        <v>-27802.653256679019</v>
      </c>
      <c r="Q796" s="38">
        <f t="shared" si="305"/>
        <v>0</v>
      </c>
      <c r="R796" s="48">
        <f t="shared" si="306"/>
        <v>264.09921755833091</v>
      </c>
      <c r="S796" s="38">
        <f t="shared" si="297"/>
        <v>896.00728753763292</v>
      </c>
      <c r="T796" s="50">
        <f t="shared" si="310"/>
        <v>19150</v>
      </c>
      <c r="U796" s="40">
        <f t="shared" si="311"/>
        <v>22489.608210563361</v>
      </c>
      <c r="V796" s="41">
        <f t="shared" si="312"/>
        <v>0.17439207365866127</v>
      </c>
      <c r="W796" s="39">
        <f t="shared" si="313"/>
        <v>3339.6082105633614</v>
      </c>
      <c r="X796" s="50">
        <f t="shared" si="307"/>
        <v>8653.1220066952901</v>
      </c>
      <c r="Y796" s="41">
        <f t="shared" si="314"/>
        <v>0.62625223066624813</v>
      </c>
      <c r="Z796" s="52"/>
      <c r="AA796" s="50">
        <f t="shared" si="320"/>
        <v>27803.122006695296</v>
      </c>
      <c r="AB796" s="39">
        <f t="shared" si="321"/>
        <v>31888.899363464359</v>
      </c>
      <c r="AC796" s="39">
        <f t="shared" si="315"/>
        <v>4085.7773567690638</v>
      </c>
      <c r="AD796" s="41">
        <f t="shared" si="316"/>
        <v>0.14695390524075558</v>
      </c>
      <c r="AF796" s="46">
        <f t="shared" si="298"/>
        <v>0</v>
      </c>
      <c r="AG796" s="46">
        <f t="shared" si="317"/>
        <v>0</v>
      </c>
      <c r="AH796" s="54">
        <f t="shared" si="299"/>
        <v>5355</v>
      </c>
      <c r="AI796" s="55">
        <f t="shared" si="308"/>
        <v>0.14810690423162584</v>
      </c>
      <c r="AJ796" s="55">
        <f t="shared" si="318"/>
        <v>0</v>
      </c>
      <c r="AK796" s="55">
        <f t="shared" si="319"/>
        <v>0</v>
      </c>
    </row>
    <row r="797" spans="2:37" s="53" customFormat="1" ht="17.25" customHeight="1" x14ac:dyDescent="0.25">
      <c r="B797" s="91" t="str">
        <f t="shared" si="300"/>
        <v/>
      </c>
      <c r="C797" s="81">
        <f>IF(Sheet3!A768="","",Sheet3!A768)</f>
        <v>42989</v>
      </c>
      <c r="D797" s="82">
        <f>IF(C797="","",Sheet3!E768)</f>
        <v>37.099997999999999</v>
      </c>
      <c r="E797" s="56">
        <f>_xlfn.XLOOKUP(WEEKNUM(C797)&amp;YEAR(C797),Sheet4!C:C,Sheet4!B:B,0)</f>
        <v>0</v>
      </c>
      <c r="F797" s="46">
        <f>IF(int=Weekly,-$D$5,IF(int=Bi_Weekly,-$D$5,IF(int=Monthly,0,IF(int=Quarterly,0,IF(int=Yearly,0,IF(int=None,0,0))))))</f>
        <v>0</v>
      </c>
      <c r="G797" s="46"/>
      <c r="H797" s="46">
        <f t="shared" si="309"/>
        <v>-19150</v>
      </c>
      <c r="I797" s="47"/>
      <c r="J797" s="38">
        <f t="shared" si="296"/>
        <v>0</v>
      </c>
      <c r="K797" s="48"/>
      <c r="L797" s="48">
        <f t="shared" si="301"/>
        <v>631.90806997930201</v>
      </c>
      <c r="M797" s="48"/>
      <c r="N797" s="38">
        <f t="shared" si="302"/>
        <v>0</v>
      </c>
      <c r="O797" s="36">
        <f t="shared" si="303"/>
        <v>0</v>
      </c>
      <c r="P797" s="84">
        <f t="shared" si="304"/>
        <v>-27802.653256679019</v>
      </c>
      <c r="Q797" s="38">
        <f t="shared" si="305"/>
        <v>0</v>
      </c>
      <c r="R797" s="48">
        <f t="shared" si="306"/>
        <v>264.09921755833091</v>
      </c>
      <c r="S797" s="38">
        <f t="shared" si="297"/>
        <v>896.00728753763292</v>
      </c>
      <c r="T797" s="50">
        <f t="shared" si="310"/>
        <v>19150</v>
      </c>
      <c r="U797" s="40">
        <f t="shared" si="311"/>
        <v>23443.788132415964</v>
      </c>
      <c r="V797" s="41">
        <f t="shared" si="312"/>
        <v>0.22421870143164302</v>
      </c>
      <c r="W797" s="39">
        <f t="shared" si="313"/>
        <v>4293.7881324159644</v>
      </c>
      <c r="X797" s="50">
        <f t="shared" si="307"/>
        <v>8653.1220066952901</v>
      </c>
      <c r="Y797" s="41">
        <f t="shared" si="314"/>
        <v>0.6760788584392301</v>
      </c>
      <c r="Z797" s="52"/>
      <c r="AA797" s="50">
        <f t="shared" si="320"/>
        <v>27803.122006695296</v>
      </c>
      <c r="AB797" s="39">
        <f t="shared" si="321"/>
        <v>33241.868575631604</v>
      </c>
      <c r="AC797" s="39">
        <f t="shared" si="315"/>
        <v>5438.7465689363089</v>
      </c>
      <c r="AD797" s="41">
        <f t="shared" si="316"/>
        <v>0.19561639759832006</v>
      </c>
      <c r="AF797" s="46">
        <f t="shared" si="298"/>
        <v>0</v>
      </c>
      <c r="AG797" s="46">
        <f t="shared" si="317"/>
        <v>0</v>
      </c>
      <c r="AH797" s="54">
        <f t="shared" si="299"/>
        <v>5362</v>
      </c>
      <c r="AI797" s="55">
        <f t="shared" si="308"/>
        <v>0.14699331848552338</v>
      </c>
      <c r="AJ797" s="55">
        <f t="shared" si="318"/>
        <v>0</v>
      </c>
      <c r="AK797" s="55">
        <f t="shared" si="319"/>
        <v>0</v>
      </c>
    </row>
    <row r="798" spans="2:37" s="53" customFormat="1" ht="17.25" customHeight="1" x14ac:dyDescent="0.25">
      <c r="B798" s="91" t="str">
        <f t="shared" si="300"/>
        <v/>
      </c>
      <c r="C798" s="81">
        <f>IF(Sheet3!A769="","",Sheet3!A769)</f>
        <v>42996</v>
      </c>
      <c r="D798" s="82">
        <f>IF(C798="","",Sheet3!E769)</f>
        <v>38.590000000000003</v>
      </c>
      <c r="E798" s="56">
        <f>_xlfn.XLOOKUP(WEEKNUM(C798)&amp;YEAR(C798),Sheet4!C:C,Sheet4!B:B,0)</f>
        <v>0</v>
      </c>
      <c r="F798" s="46">
        <f>IF(int=Weekly,-$D$5,IF(int=Bi_Weekly,0,IF(int=Monthly,0,IF(int=Quarterly,-$D$5,IF(int=Yearly,0,IF(int=None,0,0))))))</f>
        <v>0</v>
      </c>
      <c r="G798" s="46"/>
      <c r="H798" s="46">
        <f t="shared" si="309"/>
        <v>-19150</v>
      </c>
      <c r="I798" s="47"/>
      <c r="J798" s="38">
        <f t="shared" si="296"/>
        <v>0</v>
      </c>
      <c r="K798" s="48"/>
      <c r="L798" s="48">
        <f t="shared" si="301"/>
        <v>631.90806997930201</v>
      </c>
      <c r="M798" s="48"/>
      <c r="N798" s="38">
        <f t="shared" si="302"/>
        <v>0</v>
      </c>
      <c r="O798" s="36">
        <f t="shared" si="303"/>
        <v>0</v>
      </c>
      <c r="P798" s="84">
        <f t="shared" si="304"/>
        <v>-27802.653256679019</v>
      </c>
      <c r="Q798" s="38">
        <f t="shared" si="305"/>
        <v>0</v>
      </c>
      <c r="R798" s="48">
        <f t="shared" si="306"/>
        <v>264.09921755833091</v>
      </c>
      <c r="S798" s="38">
        <f t="shared" si="297"/>
        <v>896.00728753763292</v>
      </c>
      <c r="T798" s="50">
        <f t="shared" si="310"/>
        <v>19150</v>
      </c>
      <c r="U798" s="40">
        <f t="shared" si="311"/>
        <v>24385.332420501269</v>
      </c>
      <c r="V798" s="41">
        <f t="shared" si="312"/>
        <v>0.27338550498701131</v>
      </c>
      <c r="W798" s="39">
        <f t="shared" si="313"/>
        <v>5235.3324205012686</v>
      </c>
      <c r="X798" s="50">
        <f t="shared" si="307"/>
        <v>8653.1220066952901</v>
      </c>
      <c r="Y798" s="41">
        <f t="shared" si="314"/>
        <v>0.72524566199459817</v>
      </c>
      <c r="Z798" s="52"/>
      <c r="AA798" s="50">
        <f t="shared" si="320"/>
        <v>27803.122006695296</v>
      </c>
      <c r="AB798" s="39">
        <f t="shared" si="321"/>
        <v>34576.921226077262</v>
      </c>
      <c r="AC798" s="39">
        <f t="shared" si="315"/>
        <v>6773.7992193819664</v>
      </c>
      <c r="AD798" s="41">
        <f t="shared" si="316"/>
        <v>0.24363448168701196</v>
      </c>
      <c r="AF798" s="46">
        <f t="shared" si="298"/>
        <v>0</v>
      </c>
      <c r="AG798" s="46">
        <f t="shared" si="317"/>
        <v>0</v>
      </c>
      <c r="AH798" s="54">
        <f t="shared" si="299"/>
        <v>5369</v>
      </c>
      <c r="AI798" s="55">
        <f t="shared" si="308"/>
        <v>0.14587973273942093</v>
      </c>
      <c r="AJ798" s="55">
        <f t="shared" si="318"/>
        <v>0</v>
      </c>
      <c r="AK798" s="55">
        <f t="shared" si="319"/>
        <v>0</v>
      </c>
    </row>
    <row r="799" spans="2:37" s="53" customFormat="1" ht="17.25" customHeight="1" x14ac:dyDescent="0.25">
      <c r="B799" s="91" t="str">
        <f t="shared" si="300"/>
        <v/>
      </c>
      <c r="C799" s="81">
        <f>IF(Sheet3!A770="","",Sheet3!A770)</f>
        <v>43003</v>
      </c>
      <c r="D799" s="82">
        <f>IF(C799="","",Sheet3!E770)</f>
        <v>39.169998</v>
      </c>
      <c r="E799" s="56">
        <f>_xlfn.XLOOKUP(WEEKNUM(C799)&amp;YEAR(C799),Sheet4!C:C,Sheet4!B:B,0)</f>
        <v>0</v>
      </c>
      <c r="F799" s="46">
        <f>IF(int=Weekly,-$D$5,IF(int=Bi_Weekly,-$D$5,IF(int=Monthly,-$D$5,IF(int=Quarterly,0,IF(int=Yearly,0,IF(int=None,0,0))))))</f>
        <v>-100</v>
      </c>
      <c r="G799" s="46"/>
      <c r="H799" s="46">
        <f t="shared" si="309"/>
        <v>-19250</v>
      </c>
      <c r="I799" s="47"/>
      <c r="J799" s="38">
        <f t="shared" ref="J799:J862" si="322">IF(D$24=0,"",ABS($F799*D$24)/D799)</f>
        <v>2.5529743453139826</v>
      </c>
      <c r="K799" s="48"/>
      <c r="L799" s="48">
        <f t="shared" si="301"/>
        <v>634.46104432461595</v>
      </c>
      <c r="M799" s="48"/>
      <c r="N799" s="38">
        <f t="shared" si="302"/>
        <v>0</v>
      </c>
      <c r="O799" s="36">
        <f t="shared" si="303"/>
        <v>0</v>
      </c>
      <c r="P799" s="84">
        <f t="shared" si="304"/>
        <v>-27902.653256679019</v>
      </c>
      <c r="Q799" s="38">
        <f t="shared" si="305"/>
        <v>0</v>
      </c>
      <c r="R799" s="48">
        <f t="shared" si="306"/>
        <v>264.09921755833091</v>
      </c>
      <c r="S799" s="38">
        <f t="shared" ref="S799:S862" si="323">IF(D799=0,"",L799+R799)</f>
        <v>898.56026188294686</v>
      </c>
      <c r="T799" s="50">
        <f t="shared" si="310"/>
        <v>19250</v>
      </c>
      <c r="U799" s="40">
        <f t="shared" si="311"/>
        <v>24851.837837273117</v>
      </c>
      <c r="V799" s="41">
        <f t="shared" si="312"/>
        <v>0.29100456297522692</v>
      </c>
      <c r="W799" s="39">
        <f t="shared" si="313"/>
        <v>5601.8378372731167</v>
      </c>
      <c r="X799" s="50">
        <f t="shared" si="307"/>
        <v>8653.1220066952901</v>
      </c>
      <c r="Y799" s="41">
        <f t="shared" si="314"/>
        <v>0.74051739449186527</v>
      </c>
      <c r="Z799" s="52"/>
      <c r="AA799" s="50">
        <f t="shared" si="320"/>
        <v>27903.122006695296</v>
      </c>
      <c r="AB799" s="39">
        <f t="shared" si="321"/>
        <v>35196.603660834502</v>
      </c>
      <c r="AC799" s="39">
        <f t="shared" si="315"/>
        <v>7293.4816541392065</v>
      </c>
      <c r="AD799" s="41">
        <f t="shared" si="316"/>
        <v>0.26138586400436314</v>
      </c>
      <c r="AF799" s="46">
        <f t="shared" ref="AF799:AF862" si="324">F799+ABS(O799)</f>
        <v>-100</v>
      </c>
      <c r="AG799" s="46">
        <f t="shared" si="317"/>
        <v>-100</v>
      </c>
      <c r="AH799" s="54">
        <f t="shared" ref="AH799:AH862" si="325">DATEDIF($C$31,C799,"d")</f>
        <v>5376</v>
      </c>
      <c r="AI799" s="55">
        <f t="shared" si="308"/>
        <v>0.1447661469933185</v>
      </c>
      <c r="AJ799" s="55">
        <f t="shared" si="318"/>
        <v>-14.476614699331849</v>
      </c>
      <c r="AK799" s="55">
        <f t="shared" si="319"/>
        <v>-14.476614699331849</v>
      </c>
    </row>
    <row r="800" spans="2:37" s="53" customFormat="1" ht="17.25" customHeight="1" x14ac:dyDescent="0.25">
      <c r="B800" s="91" t="str">
        <f t="shared" ref="B800:B863" si="326">IF(C799="","",IF(C$30&lt;C800,"",B799+1))</f>
        <v/>
      </c>
      <c r="C800" s="81">
        <f>IF(Sheet3!A771="","",Sheet3!A771)</f>
        <v>43010</v>
      </c>
      <c r="D800" s="82">
        <f>IF(C800="","",Sheet3!E771)</f>
        <v>38.590000000000003</v>
      </c>
      <c r="E800" s="56">
        <f>_xlfn.XLOOKUP(WEEKNUM(C800)&amp;YEAR(C800),Sheet4!C:C,Sheet4!B:B,0)</f>
        <v>0.49</v>
      </c>
      <c r="F800" s="46">
        <f>IF(int=Weekly,-$D$5,IF(int=Bi_Weekly,0,IF(int=Monthly,0,IF(int=Quarterly,0,IF(int=Yearly,0,IF(int=None,0,0))))))</f>
        <v>0</v>
      </c>
      <c r="G800" s="46"/>
      <c r="H800" s="46">
        <f t="shared" si="309"/>
        <v>-19250</v>
      </c>
      <c r="I800" s="47"/>
      <c r="J800" s="38">
        <f t="shared" si="322"/>
        <v>0</v>
      </c>
      <c r="K800" s="48"/>
      <c r="L800" s="48">
        <f t="shared" ref="L800:L863" si="327">IF(D800=0,"",L799+J800)</f>
        <v>634.46104432461595</v>
      </c>
      <c r="M800" s="48"/>
      <c r="N800" s="38">
        <f t="shared" ref="N800:N863" si="328">IF(D800=0,"",L800*E800)</f>
        <v>310.88591171906182</v>
      </c>
      <c r="O800" s="36">
        <f t="shared" ref="O800:O863" si="329">-(IF(D800=0,"",N800))</f>
        <v>-310.88591171906182</v>
      </c>
      <c r="P800" s="84">
        <f t="shared" ref="P800:P863" si="330">P799+F800+O800</f>
        <v>-28213.539168398082</v>
      </c>
      <c r="Q800" s="38">
        <f t="shared" ref="Q800:Q863" si="331">IF(D800=0,"",ABS($O800)/D800)</f>
        <v>8.0561262430438401</v>
      </c>
      <c r="R800" s="48">
        <f t="shared" ref="R800:R863" si="332">IF(D800=0,"",Q800+R799)</f>
        <v>272.15534380137473</v>
      </c>
      <c r="S800" s="38">
        <f t="shared" si="323"/>
        <v>906.61638812599062</v>
      </c>
      <c r="T800" s="50">
        <f t="shared" si="310"/>
        <v>19250</v>
      </c>
      <c r="U800" s="40">
        <f t="shared" si="311"/>
        <v>24483.851700486932</v>
      </c>
      <c r="V800" s="41">
        <f t="shared" si="312"/>
        <v>0.27188840002529524</v>
      </c>
      <c r="W800" s="39">
        <f t="shared" si="313"/>
        <v>5233.8517004869318</v>
      </c>
      <c r="X800" s="50">
        <f t="shared" ref="X800:X863" si="333">ABS(O800)+X799</f>
        <v>8964.0079184143524</v>
      </c>
      <c r="Y800" s="41">
        <f t="shared" si="314"/>
        <v>0.7375511490338329</v>
      </c>
      <c r="Z800" s="52"/>
      <c r="AA800" s="50">
        <f t="shared" si="320"/>
        <v>28214.007918414358</v>
      </c>
      <c r="AB800" s="39">
        <f t="shared" si="321"/>
        <v>34986.32641778198</v>
      </c>
      <c r="AC800" s="39">
        <f t="shared" si="315"/>
        <v>6772.3184993676223</v>
      </c>
      <c r="AD800" s="41">
        <f t="shared" si="316"/>
        <v>0.24003390510667399</v>
      </c>
      <c r="AF800" s="46">
        <f t="shared" si="324"/>
        <v>310.88591171906182</v>
      </c>
      <c r="AG800" s="46">
        <f t="shared" si="317"/>
        <v>0</v>
      </c>
      <c r="AH800" s="54">
        <f t="shared" si="325"/>
        <v>5383</v>
      </c>
      <c r="AI800" s="55">
        <f t="shared" ref="AI800:AI863" si="334">(AH$30-AH800)/AH$30</f>
        <v>0.14365256124721604</v>
      </c>
      <c r="AJ800" s="55">
        <f t="shared" si="318"/>
        <v>44.659557474119126</v>
      </c>
      <c r="AK800" s="55">
        <f t="shared" si="319"/>
        <v>0</v>
      </c>
    </row>
    <row r="801" spans="2:37" s="53" customFormat="1" ht="17.25" customHeight="1" x14ac:dyDescent="0.25">
      <c r="B801" s="91" t="str">
        <f t="shared" si="326"/>
        <v/>
      </c>
      <c r="C801" s="81">
        <f>IF(Sheet3!A772="","",Sheet3!A772)</f>
        <v>43017</v>
      </c>
      <c r="D801" s="82">
        <f>IF(C801="","",Sheet3!E772)</f>
        <v>35.700001</v>
      </c>
      <c r="E801" s="56">
        <f>_xlfn.XLOOKUP(WEEKNUM(C801)&amp;YEAR(C801),Sheet4!C:C,Sheet4!B:B,0)</f>
        <v>0</v>
      </c>
      <c r="F801" s="46">
        <f>IF(int=Weekly,-$D$5,IF(int=Bi_Weekly,-$D$5,IF(int=Monthly,0,IF(int=Quarterly,0,IF(int=Yearly,0,IF(int=None,0,0))))))</f>
        <v>0</v>
      </c>
      <c r="G801" s="46"/>
      <c r="H801" s="46">
        <f t="shared" ref="H801:H864" si="335">H800+F801</f>
        <v>-19250</v>
      </c>
      <c r="I801" s="47"/>
      <c r="J801" s="38">
        <f t="shared" si="322"/>
        <v>0</v>
      </c>
      <c r="K801" s="48"/>
      <c r="L801" s="48">
        <f t="shared" si="327"/>
        <v>634.46104432461595</v>
      </c>
      <c r="M801" s="48"/>
      <c r="N801" s="38">
        <f t="shared" si="328"/>
        <v>0</v>
      </c>
      <c r="O801" s="36">
        <f t="shared" si="329"/>
        <v>0</v>
      </c>
      <c r="P801" s="84">
        <f t="shared" si="330"/>
        <v>-28213.539168398082</v>
      </c>
      <c r="Q801" s="38">
        <f t="shared" si="331"/>
        <v>0</v>
      </c>
      <c r="R801" s="48">
        <f t="shared" si="332"/>
        <v>272.15534380137473</v>
      </c>
      <c r="S801" s="38">
        <f t="shared" si="323"/>
        <v>906.61638812599062</v>
      </c>
      <c r="T801" s="50">
        <f t="shared" ref="T801:T864" si="336">IF(D801=0,"",D801*J801)+T800</f>
        <v>19250</v>
      </c>
      <c r="U801" s="40">
        <f t="shared" ref="U801:U864" si="337">IF(D801=0,"",L801*D801)</f>
        <v>22650.259916849835</v>
      </c>
      <c r="V801" s="41">
        <f t="shared" ref="V801:V864" si="338">(U801/T801)-1</f>
        <v>0.17663687879739398</v>
      </c>
      <c r="W801" s="39">
        <f t="shared" ref="W801:W864" si="339">U801-T801</f>
        <v>3400.2599168498346</v>
      </c>
      <c r="X801" s="50">
        <f t="shared" si="333"/>
        <v>8964.0079184143524</v>
      </c>
      <c r="Y801" s="41">
        <f t="shared" ref="Y801:Y864" si="340">((U801+X801)/T801)-1</f>
        <v>0.64229962780593186</v>
      </c>
      <c r="Z801" s="52"/>
      <c r="AA801" s="50">
        <f t="shared" si="320"/>
        <v>28214.007918414358</v>
      </c>
      <c r="AB801" s="39">
        <f t="shared" si="321"/>
        <v>32366.205962714255</v>
      </c>
      <c r="AC801" s="39">
        <f t="shared" ref="AC801:AC864" si="341">AB801-AA801</f>
        <v>4152.1980442998974</v>
      </c>
      <c r="AD801" s="41">
        <f t="shared" ref="AD801:AD864" si="342">(AB801/AA801)-1</f>
        <v>0.14716796196792359</v>
      </c>
      <c r="AF801" s="46">
        <f t="shared" si="324"/>
        <v>0</v>
      </c>
      <c r="AG801" s="46">
        <f t="shared" ref="AG801:AG864" si="343">F801</f>
        <v>0</v>
      </c>
      <c r="AH801" s="54">
        <f t="shared" si="325"/>
        <v>5390</v>
      </c>
      <c r="AI801" s="55">
        <f t="shared" si="334"/>
        <v>0.14253897550111358</v>
      </c>
      <c r="AJ801" s="55">
        <f t="shared" ref="AJ801:AJ864" si="344">AI801*AF801</f>
        <v>0</v>
      </c>
      <c r="AK801" s="55">
        <f t="shared" ref="AK801:AK864" si="345">$AI801*AG801</f>
        <v>0</v>
      </c>
    </row>
    <row r="802" spans="2:37" s="53" customFormat="1" ht="17.25" customHeight="1" x14ac:dyDescent="0.25">
      <c r="B802" s="91" t="str">
        <f t="shared" si="326"/>
        <v/>
      </c>
      <c r="C802" s="81">
        <f>IF(Sheet3!A773="","",Sheet3!A773)</f>
        <v>43024</v>
      </c>
      <c r="D802" s="82">
        <f>IF(C802="","",Sheet3!E773)</f>
        <v>35.540000999999997</v>
      </c>
      <c r="E802" s="56">
        <f>_xlfn.XLOOKUP(WEEKNUM(C802)&amp;YEAR(C802),Sheet4!C:C,Sheet4!B:B,0)</f>
        <v>0</v>
      </c>
      <c r="F802" s="46">
        <f>IF(int=Weekly,-$D$5,IF(int=Bi_Weekly,0,IF(int=Monthly,0,IF(int=Quarterly,0,IF(int=Yearly,0,IF(int=None,0,0))))))</f>
        <v>0</v>
      </c>
      <c r="G802" s="46"/>
      <c r="H802" s="46">
        <f t="shared" si="335"/>
        <v>-19250</v>
      </c>
      <c r="I802" s="47"/>
      <c r="J802" s="38">
        <f t="shared" si="322"/>
        <v>0</v>
      </c>
      <c r="K802" s="48"/>
      <c r="L802" s="48">
        <f t="shared" si="327"/>
        <v>634.46104432461595</v>
      </c>
      <c r="M802" s="48"/>
      <c r="N802" s="38">
        <f t="shared" si="328"/>
        <v>0</v>
      </c>
      <c r="O802" s="36">
        <f t="shared" si="329"/>
        <v>0</v>
      </c>
      <c r="P802" s="84">
        <f t="shared" si="330"/>
        <v>-28213.539168398082</v>
      </c>
      <c r="Q802" s="38">
        <f t="shared" si="331"/>
        <v>0</v>
      </c>
      <c r="R802" s="48">
        <f t="shared" si="332"/>
        <v>272.15534380137473</v>
      </c>
      <c r="S802" s="38">
        <f t="shared" si="323"/>
        <v>906.61638812599062</v>
      </c>
      <c r="T802" s="50">
        <f t="shared" si="336"/>
        <v>19250</v>
      </c>
      <c r="U802" s="40">
        <f t="shared" si="337"/>
        <v>22548.746149757892</v>
      </c>
      <c r="V802" s="41">
        <f t="shared" si="338"/>
        <v>0.17136343635105922</v>
      </c>
      <c r="W802" s="39">
        <f t="shared" si="339"/>
        <v>3298.7461497578915</v>
      </c>
      <c r="X802" s="50">
        <f t="shared" si="333"/>
        <v>8964.0079184143524</v>
      </c>
      <c r="Y802" s="41">
        <f t="shared" si="340"/>
        <v>0.6370261853595971</v>
      </c>
      <c r="Z802" s="52"/>
      <c r="AA802" s="50">
        <f t="shared" si="320"/>
        <v>28214.007918414358</v>
      </c>
      <c r="AB802" s="39">
        <f t="shared" si="321"/>
        <v>32221.147340614094</v>
      </c>
      <c r="AC802" s="39">
        <f t="shared" si="341"/>
        <v>4007.1394221997361</v>
      </c>
      <c r="AD802" s="41">
        <f t="shared" si="342"/>
        <v>0.14202659309471621</v>
      </c>
      <c r="AF802" s="46">
        <f t="shared" si="324"/>
        <v>0</v>
      </c>
      <c r="AG802" s="46">
        <f t="shared" si="343"/>
        <v>0</v>
      </c>
      <c r="AH802" s="54">
        <f t="shared" si="325"/>
        <v>5397</v>
      </c>
      <c r="AI802" s="55">
        <f t="shared" si="334"/>
        <v>0.14142538975501115</v>
      </c>
      <c r="AJ802" s="55">
        <f t="shared" si="344"/>
        <v>0</v>
      </c>
      <c r="AK802" s="55">
        <f t="shared" si="345"/>
        <v>0</v>
      </c>
    </row>
    <row r="803" spans="2:37" s="53" customFormat="1" ht="17.25" customHeight="1" x14ac:dyDescent="0.25">
      <c r="B803" s="91" t="str">
        <f t="shared" si="326"/>
        <v/>
      </c>
      <c r="C803" s="81">
        <f>IF(Sheet3!A774="","",Sheet3!A774)</f>
        <v>43031</v>
      </c>
      <c r="D803" s="82">
        <f>IF(C803="","",Sheet3!E774)</f>
        <v>33.970001000000003</v>
      </c>
      <c r="E803" s="56">
        <f>_xlfn.XLOOKUP(WEEKNUM(C803)&amp;YEAR(C803),Sheet4!C:C,Sheet4!B:B,0)</f>
        <v>0</v>
      </c>
      <c r="F803" s="46">
        <f>IF(int=Weekly,-$D$5,IF(int=Bi_Weekly,-$D$5,IF(int=Monthly,-$D$5,IF(int=Quarterly,0,IF(int=Yearly,0,IF(int=None,0,0))))))</f>
        <v>-100</v>
      </c>
      <c r="G803" s="46"/>
      <c r="H803" s="46">
        <f t="shared" si="335"/>
        <v>-19350</v>
      </c>
      <c r="I803" s="47"/>
      <c r="J803" s="38">
        <f t="shared" si="322"/>
        <v>2.9437738315050384</v>
      </c>
      <c r="K803" s="48"/>
      <c r="L803" s="48">
        <f t="shared" si="327"/>
        <v>637.404818156121</v>
      </c>
      <c r="M803" s="48"/>
      <c r="N803" s="38">
        <f t="shared" si="328"/>
        <v>0</v>
      </c>
      <c r="O803" s="36">
        <f t="shared" si="329"/>
        <v>0</v>
      </c>
      <c r="P803" s="84">
        <f t="shared" si="330"/>
        <v>-28313.539168398082</v>
      </c>
      <c r="Q803" s="38">
        <f t="shared" si="331"/>
        <v>0</v>
      </c>
      <c r="R803" s="48">
        <f t="shared" si="332"/>
        <v>272.15534380137473</v>
      </c>
      <c r="S803" s="38">
        <f t="shared" si="323"/>
        <v>909.56016195749567</v>
      </c>
      <c r="T803" s="50">
        <f t="shared" si="336"/>
        <v>19350</v>
      </c>
      <c r="U803" s="40">
        <f t="shared" si="337"/>
        <v>21652.642310168252</v>
      </c>
      <c r="V803" s="41">
        <f t="shared" si="338"/>
        <v>0.1189996025926745</v>
      </c>
      <c r="W803" s="39">
        <f t="shared" si="339"/>
        <v>2302.6423101682522</v>
      </c>
      <c r="X803" s="50">
        <f t="shared" si="333"/>
        <v>8964.0079184143524</v>
      </c>
      <c r="Y803" s="41">
        <f t="shared" si="340"/>
        <v>0.58225582576654289</v>
      </c>
      <c r="Z803" s="52"/>
      <c r="AA803" s="50">
        <f t="shared" si="320"/>
        <v>28314.007918414358</v>
      </c>
      <c r="AB803" s="39">
        <f t="shared" si="321"/>
        <v>30897.759611256297</v>
      </c>
      <c r="AC803" s="39">
        <f t="shared" si="341"/>
        <v>2583.7516928419391</v>
      </c>
      <c r="AD803" s="41">
        <f t="shared" si="342"/>
        <v>9.1253477793991955E-2</v>
      </c>
      <c r="AF803" s="46">
        <f t="shared" si="324"/>
        <v>-100</v>
      </c>
      <c r="AG803" s="46">
        <f t="shared" si="343"/>
        <v>-100</v>
      </c>
      <c r="AH803" s="54">
        <f t="shared" si="325"/>
        <v>5404</v>
      </c>
      <c r="AI803" s="55">
        <f t="shared" si="334"/>
        <v>0.14031180400890869</v>
      </c>
      <c r="AJ803" s="55">
        <f t="shared" si="344"/>
        <v>-14.03118040089087</v>
      </c>
      <c r="AK803" s="55">
        <f t="shared" si="345"/>
        <v>-14.03118040089087</v>
      </c>
    </row>
    <row r="804" spans="2:37" s="53" customFormat="1" ht="17.25" customHeight="1" x14ac:dyDescent="0.25">
      <c r="B804" s="91" t="str">
        <f t="shared" si="326"/>
        <v/>
      </c>
      <c r="C804" s="81">
        <f>IF(Sheet3!A775="","",Sheet3!A775)</f>
        <v>43038</v>
      </c>
      <c r="D804" s="82">
        <f>IF(C804="","",Sheet3!E775)</f>
        <v>33.299999</v>
      </c>
      <c r="E804" s="56">
        <f>_xlfn.XLOOKUP(WEEKNUM(C804)&amp;YEAR(C804),Sheet4!C:C,Sheet4!B:B,0)</f>
        <v>0</v>
      </c>
      <c r="F804" s="46">
        <f>IF(int=Weekly,-$D$5,IF(int=Bi_Weekly,0,IF(int=Monthly,0,IF(int=Quarterly,0,IF(int=Yearly,0,IF(int=None,0,0))))))</f>
        <v>0</v>
      </c>
      <c r="G804" s="46"/>
      <c r="H804" s="46">
        <f t="shared" si="335"/>
        <v>-19350</v>
      </c>
      <c r="I804" s="47"/>
      <c r="J804" s="38">
        <f t="shared" si="322"/>
        <v>0</v>
      </c>
      <c r="K804" s="48"/>
      <c r="L804" s="48">
        <f t="shared" si="327"/>
        <v>637.404818156121</v>
      </c>
      <c r="M804" s="48"/>
      <c r="N804" s="38">
        <f t="shared" si="328"/>
        <v>0</v>
      </c>
      <c r="O804" s="36">
        <f t="shared" si="329"/>
        <v>0</v>
      </c>
      <c r="P804" s="84">
        <f t="shared" si="330"/>
        <v>-28313.539168398082</v>
      </c>
      <c r="Q804" s="38">
        <f t="shared" si="331"/>
        <v>0</v>
      </c>
      <c r="R804" s="48">
        <f t="shared" si="332"/>
        <v>272.15534380137473</v>
      </c>
      <c r="S804" s="38">
        <f t="shared" si="323"/>
        <v>909.56016195749567</v>
      </c>
      <c r="T804" s="50">
        <f t="shared" si="336"/>
        <v>19350</v>
      </c>
      <c r="U804" s="40">
        <f t="shared" si="337"/>
        <v>21225.579807194012</v>
      </c>
      <c r="V804" s="41">
        <f t="shared" si="338"/>
        <v>9.6929189002274541E-2</v>
      </c>
      <c r="W804" s="39">
        <f t="shared" si="339"/>
        <v>1875.5798071940117</v>
      </c>
      <c r="X804" s="50">
        <f t="shared" si="333"/>
        <v>8964.0079184143524</v>
      </c>
      <c r="Y804" s="41">
        <f t="shared" si="340"/>
        <v>0.56018541217614271</v>
      </c>
      <c r="Z804" s="52"/>
      <c r="AA804" s="50">
        <f t="shared" si="320"/>
        <v>28314.007918414358</v>
      </c>
      <c r="AB804" s="39">
        <f t="shared" si="321"/>
        <v>30288.352483624447</v>
      </c>
      <c r="AC804" s="39">
        <f t="shared" si="341"/>
        <v>1974.3445652100891</v>
      </c>
      <c r="AD804" s="41">
        <f t="shared" si="342"/>
        <v>6.9730310555082164E-2</v>
      </c>
      <c r="AF804" s="46">
        <f t="shared" si="324"/>
        <v>0</v>
      </c>
      <c r="AG804" s="46">
        <f t="shared" si="343"/>
        <v>0</v>
      </c>
      <c r="AH804" s="54">
        <f t="shared" si="325"/>
        <v>5411</v>
      </c>
      <c r="AI804" s="55">
        <f t="shared" si="334"/>
        <v>0.13919821826280623</v>
      </c>
      <c r="AJ804" s="55">
        <f t="shared" si="344"/>
        <v>0</v>
      </c>
      <c r="AK804" s="55">
        <f t="shared" si="345"/>
        <v>0</v>
      </c>
    </row>
    <row r="805" spans="2:37" s="53" customFormat="1" ht="17.25" customHeight="1" x14ac:dyDescent="0.25">
      <c r="B805" s="91" t="str">
        <f t="shared" si="326"/>
        <v/>
      </c>
      <c r="C805" s="81">
        <f>IF(Sheet3!A776="","",Sheet3!A776)</f>
        <v>43045</v>
      </c>
      <c r="D805" s="82">
        <f>IF(C805="","",Sheet3!E776)</f>
        <v>34.220001000000003</v>
      </c>
      <c r="E805" s="56">
        <f>_xlfn.XLOOKUP(WEEKNUM(C805)&amp;YEAR(C805),Sheet4!C:C,Sheet4!B:B,0)</f>
        <v>0</v>
      </c>
      <c r="F805" s="46">
        <f>IF(int=Weekly,-$D$5,IF(int=Bi_Weekly,-$D$5,IF(int=Monthly,0,IF(int=Quarterly,0,IF(int=Yearly,0,IF(int=None,0,0))))))</f>
        <v>0</v>
      </c>
      <c r="G805" s="46"/>
      <c r="H805" s="46">
        <f t="shared" si="335"/>
        <v>-19350</v>
      </c>
      <c r="I805" s="47"/>
      <c r="J805" s="38">
        <f t="shared" si="322"/>
        <v>0</v>
      </c>
      <c r="K805" s="48"/>
      <c r="L805" s="48">
        <f t="shared" si="327"/>
        <v>637.404818156121</v>
      </c>
      <c r="M805" s="48"/>
      <c r="N805" s="38">
        <f t="shared" si="328"/>
        <v>0</v>
      </c>
      <c r="O805" s="36">
        <f t="shared" si="329"/>
        <v>0</v>
      </c>
      <c r="P805" s="84">
        <f t="shared" si="330"/>
        <v>-28313.539168398082</v>
      </c>
      <c r="Q805" s="38">
        <f t="shared" si="331"/>
        <v>0</v>
      </c>
      <c r="R805" s="48">
        <f t="shared" si="332"/>
        <v>272.15534380137473</v>
      </c>
      <c r="S805" s="38">
        <f t="shared" si="323"/>
        <v>909.56016195749567</v>
      </c>
      <c r="T805" s="50">
        <f t="shared" si="336"/>
        <v>19350</v>
      </c>
      <c r="U805" s="40">
        <f t="shared" si="337"/>
        <v>21811.993514707279</v>
      </c>
      <c r="V805" s="41">
        <f t="shared" si="338"/>
        <v>0.12723480696161649</v>
      </c>
      <c r="W805" s="39">
        <f t="shared" si="339"/>
        <v>2461.9935147072792</v>
      </c>
      <c r="X805" s="50">
        <f t="shared" si="333"/>
        <v>8964.0079184143524</v>
      </c>
      <c r="Y805" s="41">
        <f t="shared" si="340"/>
        <v>0.59049103013548465</v>
      </c>
      <c r="Z805" s="52"/>
      <c r="AA805" s="50">
        <f t="shared" si="320"/>
        <v>28314.007918414358</v>
      </c>
      <c r="AB805" s="39">
        <f t="shared" si="321"/>
        <v>31125.149651745669</v>
      </c>
      <c r="AC805" s="39">
        <f t="shared" si="341"/>
        <v>2811.1417333313111</v>
      </c>
      <c r="AD805" s="41">
        <f t="shared" si="342"/>
        <v>9.9284486372664071E-2</v>
      </c>
      <c r="AF805" s="46">
        <f t="shared" si="324"/>
        <v>0</v>
      </c>
      <c r="AG805" s="46">
        <f t="shared" si="343"/>
        <v>0</v>
      </c>
      <c r="AH805" s="54">
        <f t="shared" si="325"/>
        <v>5418</v>
      </c>
      <c r="AI805" s="55">
        <f t="shared" si="334"/>
        <v>0.13808463251670378</v>
      </c>
      <c r="AJ805" s="55">
        <f t="shared" si="344"/>
        <v>0</v>
      </c>
      <c r="AK805" s="55">
        <f t="shared" si="345"/>
        <v>0</v>
      </c>
    </row>
    <row r="806" spans="2:37" s="53" customFormat="1" ht="17.25" customHeight="1" x14ac:dyDescent="0.25">
      <c r="B806" s="91" t="str">
        <f t="shared" si="326"/>
        <v/>
      </c>
      <c r="C806" s="81">
        <f>IF(Sheet3!A777="","",Sheet3!A777)</f>
        <v>43052</v>
      </c>
      <c r="D806" s="82">
        <f>IF(C806="","",Sheet3!E777)</f>
        <v>34.509998000000003</v>
      </c>
      <c r="E806" s="56">
        <f>_xlfn.XLOOKUP(WEEKNUM(C806)&amp;YEAR(C806),Sheet4!C:C,Sheet4!B:B,0)</f>
        <v>0</v>
      </c>
      <c r="F806" s="46">
        <f>IF(int=Weekly,-$D$5,IF(int=Bi_Weekly,0,IF(int=Monthly,0,IF(int=Quarterly,0,IF(int=Yearly,0,IF(int=None,0,0))))))</f>
        <v>0</v>
      </c>
      <c r="G806" s="46"/>
      <c r="H806" s="46">
        <f t="shared" si="335"/>
        <v>-19350</v>
      </c>
      <c r="I806" s="47"/>
      <c r="J806" s="38">
        <f t="shared" si="322"/>
        <v>0</v>
      </c>
      <c r="K806" s="48"/>
      <c r="L806" s="48">
        <f t="shared" si="327"/>
        <v>637.404818156121</v>
      </c>
      <c r="M806" s="48"/>
      <c r="N806" s="38">
        <f t="shared" si="328"/>
        <v>0</v>
      </c>
      <c r="O806" s="36">
        <f t="shared" si="329"/>
        <v>0</v>
      </c>
      <c r="P806" s="84">
        <f t="shared" si="330"/>
        <v>-28313.539168398082</v>
      </c>
      <c r="Q806" s="38">
        <f t="shared" si="331"/>
        <v>0</v>
      </c>
      <c r="R806" s="48">
        <f t="shared" si="332"/>
        <v>272.15534380137473</v>
      </c>
      <c r="S806" s="38">
        <f t="shared" si="323"/>
        <v>909.56016195749567</v>
      </c>
      <c r="T806" s="50">
        <f t="shared" si="336"/>
        <v>19350</v>
      </c>
      <c r="U806" s="40">
        <f t="shared" si="337"/>
        <v>21996.8389997581</v>
      </c>
      <c r="V806" s="41">
        <f t="shared" si="338"/>
        <v>0.13678754520713698</v>
      </c>
      <c r="W806" s="39">
        <f t="shared" si="339"/>
        <v>2646.8389997580998</v>
      </c>
      <c r="X806" s="50">
        <f t="shared" si="333"/>
        <v>8964.0079184143524</v>
      </c>
      <c r="Y806" s="41">
        <f t="shared" si="340"/>
        <v>0.60004376838100515</v>
      </c>
      <c r="Z806" s="52"/>
      <c r="AA806" s="50">
        <f t="shared" si="320"/>
        <v>28314.007918414358</v>
      </c>
      <c r="AB806" s="39">
        <f t="shared" si="321"/>
        <v>31388.919370032854</v>
      </c>
      <c r="AC806" s="39">
        <f t="shared" si="341"/>
        <v>3074.9114516184964</v>
      </c>
      <c r="AD806" s="41">
        <f t="shared" si="342"/>
        <v>0.1086003599518206</v>
      </c>
      <c r="AF806" s="46">
        <f t="shared" si="324"/>
        <v>0</v>
      </c>
      <c r="AG806" s="46">
        <f t="shared" si="343"/>
        <v>0</v>
      </c>
      <c r="AH806" s="54">
        <f t="shared" si="325"/>
        <v>5425</v>
      </c>
      <c r="AI806" s="55">
        <f t="shared" si="334"/>
        <v>0.13697104677060135</v>
      </c>
      <c r="AJ806" s="55">
        <f t="shared" si="344"/>
        <v>0</v>
      </c>
      <c r="AK806" s="55">
        <f t="shared" si="345"/>
        <v>0</v>
      </c>
    </row>
    <row r="807" spans="2:37" s="53" customFormat="1" ht="17.25" customHeight="1" x14ac:dyDescent="0.25">
      <c r="B807" s="91" t="str">
        <f t="shared" si="326"/>
        <v/>
      </c>
      <c r="C807" s="81">
        <f>IF(Sheet3!A778="","",Sheet3!A778)</f>
        <v>43059</v>
      </c>
      <c r="D807" s="82">
        <f>IF(C807="","",Sheet3!E778)</f>
        <v>34.810001</v>
      </c>
      <c r="E807" s="56">
        <f>_xlfn.XLOOKUP(WEEKNUM(C807)&amp;YEAR(C807),Sheet4!C:C,Sheet4!B:B,0)</f>
        <v>0</v>
      </c>
      <c r="F807" s="46">
        <f>IF(int=Weekly,-$D$5,IF(int=Bi_Weekly,-$D$5,IF(int=Monthly,-$D$5,IF(int=Quarterly,0,IF(int=Yearly,0,IF(int=None,0,0))))))</f>
        <v>-100</v>
      </c>
      <c r="G807" s="46"/>
      <c r="H807" s="46">
        <f t="shared" si="335"/>
        <v>-19450</v>
      </c>
      <c r="I807" s="47"/>
      <c r="J807" s="38">
        <f t="shared" si="322"/>
        <v>2.8727376365200334</v>
      </c>
      <c r="K807" s="48"/>
      <c r="L807" s="48">
        <f t="shared" si="327"/>
        <v>640.27755579264101</v>
      </c>
      <c r="M807" s="48"/>
      <c r="N807" s="38">
        <f t="shared" si="328"/>
        <v>0</v>
      </c>
      <c r="O807" s="36">
        <f t="shared" si="329"/>
        <v>0</v>
      </c>
      <c r="P807" s="84">
        <f t="shared" si="330"/>
        <v>-28413.539168398082</v>
      </c>
      <c r="Q807" s="38">
        <f t="shared" si="331"/>
        <v>0</v>
      </c>
      <c r="R807" s="48">
        <f t="shared" si="332"/>
        <v>272.15534380137473</v>
      </c>
      <c r="S807" s="38">
        <f t="shared" si="323"/>
        <v>912.43289959401568</v>
      </c>
      <c r="T807" s="50">
        <f t="shared" si="336"/>
        <v>19450</v>
      </c>
      <c r="U807" s="40">
        <f t="shared" si="337"/>
        <v>22288.062357419389</v>
      </c>
      <c r="V807" s="41">
        <f t="shared" si="338"/>
        <v>0.14591580243801494</v>
      </c>
      <c r="W807" s="39">
        <f t="shared" si="339"/>
        <v>2838.0623574193887</v>
      </c>
      <c r="X807" s="50">
        <f t="shared" si="333"/>
        <v>8964.0079184143524</v>
      </c>
      <c r="Y807" s="41">
        <f t="shared" si="340"/>
        <v>0.6067902455441514</v>
      </c>
      <c r="Z807" s="52"/>
      <c r="AA807" s="50">
        <f t="shared" si="320"/>
        <v>28414.007918414358</v>
      </c>
      <c r="AB807" s="39">
        <f t="shared" si="321"/>
        <v>31761.790147300584</v>
      </c>
      <c r="AC807" s="39">
        <f t="shared" si="341"/>
        <v>3347.7822288862262</v>
      </c>
      <c r="AD807" s="41">
        <f t="shared" si="342"/>
        <v>0.11782154205414352</v>
      </c>
      <c r="AF807" s="46">
        <f t="shared" si="324"/>
        <v>-100</v>
      </c>
      <c r="AG807" s="46">
        <f t="shared" si="343"/>
        <v>-100</v>
      </c>
      <c r="AH807" s="54">
        <f t="shared" si="325"/>
        <v>5432</v>
      </c>
      <c r="AI807" s="55">
        <f t="shared" si="334"/>
        <v>0.13585746102449889</v>
      </c>
      <c r="AJ807" s="55">
        <f t="shared" si="344"/>
        <v>-13.585746102449889</v>
      </c>
      <c r="AK807" s="55">
        <f t="shared" si="345"/>
        <v>-13.585746102449889</v>
      </c>
    </row>
    <row r="808" spans="2:37" s="53" customFormat="1" ht="17.25" customHeight="1" x14ac:dyDescent="0.25">
      <c r="B808" s="91" t="str">
        <f t="shared" si="326"/>
        <v/>
      </c>
      <c r="C808" s="81">
        <f>IF(Sheet3!A779="","",Sheet3!A779)</f>
        <v>43066</v>
      </c>
      <c r="D808" s="82">
        <f>IF(C808="","",Sheet3!E779)</f>
        <v>36.5</v>
      </c>
      <c r="E808" s="56">
        <f>_xlfn.XLOOKUP(WEEKNUM(C808)&amp;YEAR(C808),Sheet4!C:C,Sheet4!B:B,0)</f>
        <v>0</v>
      </c>
      <c r="F808" s="46">
        <f>IF(int=Weekly,-$D$5,IF(int=Bi_Weekly,0,IF(int=Monthly,0,IF(int=Quarterly,0,IF(int=Yearly,0,IF(int=None,0,0))))))</f>
        <v>0</v>
      </c>
      <c r="G808" s="46"/>
      <c r="H808" s="46">
        <f t="shared" si="335"/>
        <v>-19450</v>
      </c>
      <c r="I808" s="47"/>
      <c r="J808" s="38">
        <f t="shared" si="322"/>
        <v>0</v>
      </c>
      <c r="K808" s="48"/>
      <c r="L808" s="48">
        <f t="shared" si="327"/>
        <v>640.27755579264101</v>
      </c>
      <c r="M808" s="48"/>
      <c r="N808" s="38">
        <f t="shared" si="328"/>
        <v>0</v>
      </c>
      <c r="O808" s="36">
        <f t="shared" si="329"/>
        <v>0</v>
      </c>
      <c r="P808" s="84">
        <f t="shared" si="330"/>
        <v>-28413.539168398082</v>
      </c>
      <c r="Q808" s="38">
        <f t="shared" si="331"/>
        <v>0</v>
      </c>
      <c r="R808" s="48">
        <f t="shared" si="332"/>
        <v>272.15534380137473</v>
      </c>
      <c r="S808" s="38">
        <f t="shared" si="323"/>
        <v>912.43289959401568</v>
      </c>
      <c r="T808" s="50">
        <f t="shared" si="336"/>
        <v>19450</v>
      </c>
      <c r="U808" s="40">
        <f t="shared" si="337"/>
        <v>23370.130786431397</v>
      </c>
      <c r="V808" s="41">
        <f t="shared" si="338"/>
        <v>0.20154914069056029</v>
      </c>
      <c r="W808" s="39">
        <f t="shared" si="339"/>
        <v>3920.1307864313967</v>
      </c>
      <c r="X808" s="50">
        <f t="shared" si="333"/>
        <v>8964.0079184143524</v>
      </c>
      <c r="Y808" s="41">
        <f t="shared" si="340"/>
        <v>0.66242358379669652</v>
      </c>
      <c r="Z808" s="52"/>
      <c r="AA808" s="50">
        <f t="shared" si="320"/>
        <v>28414.007918414358</v>
      </c>
      <c r="AB808" s="39">
        <f t="shared" si="321"/>
        <v>33303.800835181573</v>
      </c>
      <c r="AC808" s="39">
        <f t="shared" si="341"/>
        <v>4889.7929167672155</v>
      </c>
      <c r="AD808" s="41">
        <f t="shared" si="342"/>
        <v>0.17209092539170689</v>
      </c>
      <c r="AF808" s="46">
        <f t="shared" si="324"/>
        <v>0</v>
      </c>
      <c r="AG808" s="46">
        <f t="shared" si="343"/>
        <v>0</v>
      </c>
      <c r="AH808" s="54">
        <f t="shared" si="325"/>
        <v>5439</v>
      </c>
      <c r="AI808" s="55">
        <f t="shared" si="334"/>
        <v>0.13474387527839643</v>
      </c>
      <c r="AJ808" s="55">
        <f t="shared" si="344"/>
        <v>0</v>
      </c>
      <c r="AK808" s="55">
        <f t="shared" si="345"/>
        <v>0</v>
      </c>
    </row>
    <row r="809" spans="2:37" s="53" customFormat="1" ht="17.25" customHeight="1" x14ac:dyDescent="0.25">
      <c r="B809" s="91" t="str">
        <f t="shared" si="326"/>
        <v/>
      </c>
      <c r="C809" s="81">
        <f>IF(Sheet3!A780="","",Sheet3!A780)</f>
        <v>43073</v>
      </c>
      <c r="D809" s="82">
        <f>IF(C809="","",Sheet3!E780)</f>
        <v>36.729999999999997</v>
      </c>
      <c r="E809" s="56">
        <f>_xlfn.XLOOKUP(WEEKNUM(C809)&amp;YEAR(C809),Sheet4!C:C,Sheet4!B:B,0)</f>
        <v>0</v>
      </c>
      <c r="F809" s="46">
        <f>IF(int=Weekly,-$D$5,IF(int=Bi_Weekly,-$D$5,IF(int=Monthly,0,IF(int=Quarterly,0,IF(int=Yearly,0,IF(int=None,0,0))))))</f>
        <v>0</v>
      </c>
      <c r="G809" s="46"/>
      <c r="H809" s="46">
        <f t="shared" si="335"/>
        <v>-19450</v>
      </c>
      <c r="I809" s="47"/>
      <c r="J809" s="38">
        <f t="shared" si="322"/>
        <v>0</v>
      </c>
      <c r="K809" s="48"/>
      <c r="L809" s="48">
        <f t="shared" si="327"/>
        <v>640.27755579264101</v>
      </c>
      <c r="M809" s="48"/>
      <c r="N809" s="38">
        <f t="shared" si="328"/>
        <v>0</v>
      </c>
      <c r="O809" s="36">
        <f t="shared" si="329"/>
        <v>0</v>
      </c>
      <c r="P809" s="84">
        <f t="shared" si="330"/>
        <v>-28413.539168398082</v>
      </c>
      <c r="Q809" s="38">
        <f t="shared" si="331"/>
        <v>0</v>
      </c>
      <c r="R809" s="48">
        <f t="shared" si="332"/>
        <v>272.15534380137473</v>
      </c>
      <c r="S809" s="38">
        <f t="shared" si="323"/>
        <v>912.43289959401568</v>
      </c>
      <c r="T809" s="50">
        <f t="shared" si="336"/>
        <v>19450</v>
      </c>
      <c r="U809" s="40">
        <f t="shared" si="337"/>
        <v>23517.394624263703</v>
      </c>
      <c r="V809" s="41">
        <f t="shared" si="338"/>
        <v>0.20912054623463772</v>
      </c>
      <c r="W809" s="39">
        <f t="shared" si="339"/>
        <v>4067.394624263703</v>
      </c>
      <c r="X809" s="50">
        <f t="shared" si="333"/>
        <v>8964.0079184143524</v>
      </c>
      <c r="Y809" s="41">
        <f t="shared" si="340"/>
        <v>0.66999498934077417</v>
      </c>
      <c r="Z809" s="52"/>
      <c r="AA809" s="50">
        <f t="shared" si="320"/>
        <v>28414.007918414358</v>
      </c>
      <c r="AB809" s="39">
        <f t="shared" si="321"/>
        <v>33513.660402088193</v>
      </c>
      <c r="AC809" s="39">
        <f t="shared" si="341"/>
        <v>5099.6524836738354</v>
      </c>
      <c r="AD809" s="41">
        <f t="shared" si="342"/>
        <v>0.17947670382568193</v>
      </c>
      <c r="AF809" s="46">
        <f t="shared" si="324"/>
        <v>0</v>
      </c>
      <c r="AG809" s="46">
        <f t="shared" si="343"/>
        <v>0</v>
      </c>
      <c r="AH809" s="54">
        <f t="shared" si="325"/>
        <v>5446</v>
      </c>
      <c r="AI809" s="55">
        <f t="shared" si="334"/>
        <v>0.133630289532294</v>
      </c>
      <c r="AJ809" s="55">
        <f t="shared" si="344"/>
        <v>0</v>
      </c>
      <c r="AK809" s="55">
        <f t="shared" si="345"/>
        <v>0</v>
      </c>
    </row>
    <row r="810" spans="2:37" s="53" customFormat="1" ht="17.25" customHeight="1" x14ac:dyDescent="0.25">
      <c r="B810" s="91" t="str">
        <f t="shared" si="326"/>
        <v/>
      </c>
      <c r="C810" s="81">
        <f>IF(Sheet3!A781="","",Sheet3!A781)</f>
        <v>43080</v>
      </c>
      <c r="D810" s="82">
        <f>IF(C810="","",Sheet3!E781)</f>
        <v>38.240001999999997</v>
      </c>
      <c r="E810" s="56">
        <f>_xlfn.XLOOKUP(WEEKNUM(C810)&amp;YEAR(C810),Sheet4!C:C,Sheet4!B:B,0)</f>
        <v>0</v>
      </c>
      <c r="F810" s="46">
        <f>IF(int=Weekly,-$D$5,IF(int=Bi_Weekly,0,IF(int=Monthly,0,IF(int=Quarterly,0,IF(int=Yearly,0,IF(int=None,0,0))))))</f>
        <v>0</v>
      </c>
      <c r="G810" s="46"/>
      <c r="H810" s="46">
        <f t="shared" si="335"/>
        <v>-19450</v>
      </c>
      <c r="I810" s="47"/>
      <c r="J810" s="38">
        <f t="shared" si="322"/>
        <v>0</v>
      </c>
      <c r="K810" s="48"/>
      <c r="L810" s="48">
        <f t="shared" si="327"/>
        <v>640.27755579264101</v>
      </c>
      <c r="M810" s="48"/>
      <c r="N810" s="38">
        <f t="shared" si="328"/>
        <v>0</v>
      </c>
      <c r="O810" s="36">
        <f t="shared" si="329"/>
        <v>0</v>
      </c>
      <c r="P810" s="84">
        <f t="shared" si="330"/>
        <v>-28413.539168398082</v>
      </c>
      <c r="Q810" s="38">
        <f t="shared" si="331"/>
        <v>0</v>
      </c>
      <c r="R810" s="48">
        <f t="shared" si="332"/>
        <v>272.15534380137473</v>
      </c>
      <c r="S810" s="38">
        <f t="shared" si="323"/>
        <v>912.43289959401568</v>
      </c>
      <c r="T810" s="50">
        <f t="shared" si="336"/>
        <v>19450</v>
      </c>
      <c r="U810" s="40">
        <f t="shared" si="337"/>
        <v>24484.215014065703</v>
      </c>
      <c r="V810" s="41">
        <f t="shared" si="338"/>
        <v>0.25882853542754258</v>
      </c>
      <c r="W810" s="39">
        <f t="shared" si="339"/>
        <v>5034.2150140657031</v>
      </c>
      <c r="X810" s="50">
        <f t="shared" si="333"/>
        <v>8964.0079184143524</v>
      </c>
      <c r="Y810" s="41">
        <f t="shared" si="340"/>
        <v>0.71970297853367904</v>
      </c>
      <c r="Z810" s="52"/>
      <c r="AA810" s="50">
        <f t="shared" si="320"/>
        <v>28414.007918414358</v>
      </c>
      <c r="AB810" s="39">
        <f t="shared" si="321"/>
        <v>34891.435905340957</v>
      </c>
      <c r="AC810" s="39">
        <f t="shared" si="341"/>
        <v>6477.4279869265993</v>
      </c>
      <c r="AD810" s="41">
        <f t="shared" si="342"/>
        <v>0.22796600907289655</v>
      </c>
      <c r="AF810" s="46">
        <f t="shared" si="324"/>
        <v>0</v>
      </c>
      <c r="AG810" s="46">
        <f t="shared" si="343"/>
        <v>0</v>
      </c>
      <c r="AH810" s="54">
        <f t="shared" si="325"/>
        <v>5453</v>
      </c>
      <c r="AI810" s="55">
        <f t="shared" si="334"/>
        <v>0.13251670378619154</v>
      </c>
      <c r="AJ810" s="55">
        <f t="shared" si="344"/>
        <v>0</v>
      </c>
      <c r="AK810" s="55">
        <f t="shared" si="345"/>
        <v>0</v>
      </c>
    </row>
    <row r="811" spans="2:37" s="53" customFormat="1" ht="17.25" customHeight="1" x14ac:dyDescent="0.25">
      <c r="B811" s="91" t="str">
        <f t="shared" si="326"/>
        <v/>
      </c>
      <c r="C811" s="81">
        <f>IF(Sheet3!A782="","",Sheet3!A782)</f>
        <v>43087</v>
      </c>
      <c r="D811" s="82">
        <f>IF(C811="","",Sheet3!E782)</f>
        <v>38.939999</v>
      </c>
      <c r="E811" s="56">
        <f>_xlfn.XLOOKUP(WEEKNUM(C811)&amp;YEAR(C811),Sheet4!C:C,Sheet4!B:B,0)</f>
        <v>0</v>
      </c>
      <c r="F811" s="46">
        <f>IF(int=Weekly,-$D$5,IF(int=Bi_Weekly,-$D$5,IF(int=Monthly,-$D$5,IF(int=Quarterly,-$D$5,IF(int=Yearly,-$D$5,IF(int=None,0,0))))))</f>
        <v>-100</v>
      </c>
      <c r="G811" s="46"/>
      <c r="H811" s="46">
        <f t="shared" si="335"/>
        <v>-19550</v>
      </c>
      <c r="I811" s="47"/>
      <c r="J811" s="38">
        <f t="shared" si="322"/>
        <v>2.5680534814600278</v>
      </c>
      <c r="K811" s="48"/>
      <c r="L811" s="48">
        <f t="shared" si="327"/>
        <v>642.84560927410109</v>
      </c>
      <c r="M811" s="48"/>
      <c r="N811" s="38">
        <f t="shared" si="328"/>
        <v>0</v>
      </c>
      <c r="O811" s="36">
        <f t="shared" si="329"/>
        <v>0</v>
      </c>
      <c r="P811" s="84">
        <f t="shared" si="330"/>
        <v>-28513.539168398082</v>
      </c>
      <c r="Q811" s="38">
        <f t="shared" si="331"/>
        <v>0</v>
      </c>
      <c r="R811" s="48">
        <f t="shared" si="332"/>
        <v>272.15534380137473</v>
      </c>
      <c r="S811" s="38">
        <f t="shared" si="323"/>
        <v>915.00095307547576</v>
      </c>
      <c r="T811" s="50">
        <f t="shared" si="336"/>
        <v>19550</v>
      </c>
      <c r="U811" s="40">
        <f t="shared" si="337"/>
        <v>25032.407382287889</v>
      </c>
      <c r="V811" s="41">
        <f t="shared" si="338"/>
        <v>0.2804300451298154</v>
      </c>
      <c r="W811" s="39">
        <f t="shared" si="339"/>
        <v>5482.407382287889</v>
      </c>
      <c r="X811" s="50">
        <f t="shared" si="333"/>
        <v>8964.0079184143524</v>
      </c>
      <c r="Y811" s="41">
        <f t="shared" si="340"/>
        <v>0.73894707420471817</v>
      </c>
      <c r="Z811" s="52"/>
      <c r="AA811" s="50">
        <f t="shared" si="320"/>
        <v>28514.007918414358</v>
      </c>
      <c r="AB811" s="39">
        <f t="shared" si="321"/>
        <v>35630.136197758075</v>
      </c>
      <c r="AC811" s="39">
        <f t="shared" si="341"/>
        <v>7116.1282793437167</v>
      </c>
      <c r="AD811" s="41">
        <f t="shared" si="342"/>
        <v>0.24956604836839213</v>
      </c>
      <c r="AF811" s="46">
        <f t="shared" si="324"/>
        <v>-100</v>
      </c>
      <c r="AG811" s="46">
        <f t="shared" si="343"/>
        <v>-100</v>
      </c>
      <c r="AH811" s="54">
        <f t="shared" si="325"/>
        <v>5460</v>
      </c>
      <c r="AI811" s="55">
        <f t="shared" si="334"/>
        <v>0.13140311804008908</v>
      </c>
      <c r="AJ811" s="55">
        <f t="shared" si="344"/>
        <v>-13.140311804008908</v>
      </c>
      <c r="AK811" s="55">
        <f t="shared" si="345"/>
        <v>-13.140311804008908</v>
      </c>
    </row>
    <row r="812" spans="2:37" s="53" customFormat="1" ht="17.25" customHeight="1" x14ac:dyDescent="0.25">
      <c r="B812" s="91" t="str">
        <f t="shared" si="326"/>
        <v/>
      </c>
      <c r="C812" s="81">
        <f>IF(Sheet3!A783="","",Sheet3!A783)</f>
        <v>43094</v>
      </c>
      <c r="D812" s="82">
        <f>IF(C812="","",Sheet3!E783)</f>
        <v>38.880001</v>
      </c>
      <c r="E812" s="56">
        <f>_xlfn.XLOOKUP(WEEKNUM(C812)&amp;YEAR(C812),Sheet4!C:C,Sheet4!B:B,0)</f>
        <v>0</v>
      </c>
      <c r="F812" s="46">
        <f>IF(int=Weekly,-$D$5,IF(int=Bi_Weekly,0,IF(int=Monthly,0,IF(int=Quarterly,0,IF(int=Yearly,0,IF(int=None,0,0))))))</f>
        <v>0</v>
      </c>
      <c r="G812" s="46"/>
      <c r="H812" s="46">
        <f t="shared" si="335"/>
        <v>-19550</v>
      </c>
      <c r="I812" s="47"/>
      <c r="J812" s="38">
        <f t="shared" si="322"/>
        <v>0</v>
      </c>
      <c r="K812" s="48"/>
      <c r="L812" s="48">
        <f t="shared" si="327"/>
        <v>642.84560927410109</v>
      </c>
      <c r="M812" s="48"/>
      <c r="N812" s="38">
        <f t="shared" si="328"/>
        <v>0</v>
      </c>
      <c r="O812" s="36">
        <f t="shared" si="329"/>
        <v>0</v>
      </c>
      <c r="P812" s="84">
        <f t="shared" si="330"/>
        <v>-28513.539168398082</v>
      </c>
      <c r="Q812" s="38">
        <f t="shared" si="331"/>
        <v>0</v>
      </c>
      <c r="R812" s="48">
        <f t="shared" si="332"/>
        <v>272.15534380137473</v>
      </c>
      <c r="S812" s="38">
        <f t="shared" si="323"/>
        <v>915.00095307547576</v>
      </c>
      <c r="T812" s="50">
        <f t="shared" si="336"/>
        <v>19550</v>
      </c>
      <c r="U812" s="40">
        <f t="shared" si="337"/>
        <v>24993.837931422659</v>
      </c>
      <c r="V812" s="41">
        <f t="shared" si="338"/>
        <v>0.27845718319297497</v>
      </c>
      <c r="W812" s="39">
        <f t="shared" si="339"/>
        <v>5443.8379314226586</v>
      </c>
      <c r="X812" s="50">
        <f t="shared" si="333"/>
        <v>8964.0079184143524</v>
      </c>
      <c r="Y812" s="41">
        <f t="shared" si="340"/>
        <v>0.73697421226787774</v>
      </c>
      <c r="Z812" s="52"/>
      <c r="AA812" s="50">
        <f t="shared" si="320"/>
        <v>28514.007918414358</v>
      </c>
      <c r="AB812" s="39">
        <f t="shared" si="321"/>
        <v>35575.23797057545</v>
      </c>
      <c r="AC812" s="39">
        <f t="shared" si="341"/>
        <v>7061.2300521610923</v>
      </c>
      <c r="AD812" s="41">
        <f t="shared" si="342"/>
        <v>0.24764074108294487</v>
      </c>
      <c r="AF812" s="46">
        <f t="shared" si="324"/>
        <v>0</v>
      </c>
      <c r="AG812" s="46">
        <f t="shared" si="343"/>
        <v>0</v>
      </c>
      <c r="AH812" s="54">
        <f t="shared" si="325"/>
        <v>5467</v>
      </c>
      <c r="AI812" s="55">
        <f t="shared" si="334"/>
        <v>0.13028953229398663</v>
      </c>
      <c r="AJ812" s="55">
        <f t="shared" si="344"/>
        <v>0</v>
      </c>
      <c r="AK812" s="55">
        <f t="shared" si="345"/>
        <v>0</v>
      </c>
    </row>
    <row r="813" spans="2:37" s="53" customFormat="1" ht="17.25" customHeight="1" x14ac:dyDescent="0.25">
      <c r="B813" s="91" t="str">
        <f t="shared" si="326"/>
        <v/>
      </c>
      <c r="C813" s="81">
        <f>IF(Sheet3!A784="","",Sheet3!A784)</f>
        <v>43101</v>
      </c>
      <c r="D813" s="82">
        <f>IF(C813="","",Sheet3!E784)</f>
        <v>38.139999000000003</v>
      </c>
      <c r="E813" s="56">
        <f>_xlfn.XLOOKUP(WEEKNUM(C813)&amp;YEAR(C813),Sheet4!C:C,Sheet4!B:B,0)</f>
        <v>0</v>
      </c>
      <c r="F813" s="46">
        <f>IF(int=Weekly,-$D$5,IF(int=Bi_Weekly,-$D$5,IF(int=Monthly,0,IF(int=Quarterly,0,IF(int=Yearly,0,IF(int=None,0,0))))))</f>
        <v>0</v>
      </c>
      <c r="G813" s="46"/>
      <c r="H813" s="46">
        <f t="shared" si="335"/>
        <v>-19550</v>
      </c>
      <c r="I813" s="47"/>
      <c r="J813" s="38">
        <f t="shared" si="322"/>
        <v>0</v>
      </c>
      <c r="K813" s="48"/>
      <c r="L813" s="48">
        <f t="shared" si="327"/>
        <v>642.84560927410109</v>
      </c>
      <c r="M813" s="48"/>
      <c r="N813" s="38">
        <f t="shared" si="328"/>
        <v>0</v>
      </c>
      <c r="O813" s="36">
        <f t="shared" si="329"/>
        <v>0</v>
      </c>
      <c r="P813" s="84">
        <f t="shared" si="330"/>
        <v>-28513.539168398082</v>
      </c>
      <c r="Q813" s="38">
        <f t="shared" si="331"/>
        <v>0</v>
      </c>
      <c r="R813" s="48">
        <f t="shared" si="332"/>
        <v>272.15534380137473</v>
      </c>
      <c r="S813" s="38">
        <f t="shared" si="323"/>
        <v>915.00095307547576</v>
      </c>
      <c r="T813" s="50">
        <f t="shared" si="336"/>
        <v>19550</v>
      </c>
      <c r="U813" s="40">
        <f t="shared" si="337"/>
        <v>24518.130894868609</v>
      </c>
      <c r="V813" s="41">
        <f t="shared" si="338"/>
        <v>0.25412434244852222</v>
      </c>
      <c r="W813" s="39">
        <f t="shared" si="339"/>
        <v>4968.1308948686092</v>
      </c>
      <c r="X813" s="50">
        <f t="shared" si="333"/>
        <v>8964.0079184143524</v>
      </c>
      <c r="Y813" s="41">
        <f t="shared" si="340"/>
        <v>0.71264137152342499</v>
      </c>
      <c r="Z813" s="52"/>
      <c r="AA813" s="50">
        <f t="shared" si="320"/>
        <v>28514.007918414358</v>
      </c>
      <c r="AB813" s="39">
        <f t="shared" si="321"/>
        <v>34898.1354352977</v>
      </c>
      <c r="AC813" s="39">
        <f t="shared" si="341"/>
        <v>6384.1275168833417</v>
      </c>
      <c r="AD813" s="41">
        <f t="shared" si="342"/>
        <v>0.22389442884177879</v>
      </c>
      <c r="AF813" s="46">
        <f t="shared" si="324"/>
        <v>0</v>
      </c>
      <c r="AG813" s="46">
        <f t="shared" si="343"/>
        <v>0</v>
      </c>
      <c r="AH813" s="54">
        <f t="shared" si="325"/>
        <v>5474</v>
      </c>
      <c r="AI813" s="55">
        <f t="shared" si="334"/>
        <v>0.1291759465478842</v>
      </c>
      <c r="AJ813" s="55">
        <f t="shared" si="344"/>
        <v>0</v>
      </c>
      <c r="AK813" s="55">
        <f t="shared" si="345"/>
        <v>0</v>
      </c>
    </row>
    <row r="814" spans="2:37" s="53" customFormat="1" ht="17.25" customHeight="1" x14ac:dyDescent="0.25">
      <c r="B814" s="91" t="str">
        <f t="shared" si="326"/>
        <v/>
      </c>
      <c r="C814" s="81">
        <f>IF(Sheet3!A785="","",Sheet3!A785)</f>
        <v>43108</v>
      </c>
      <c r="D814" s="82">
        <f>IF(C814="","",Sheet3!E785)</f>
        <v>36.900002000000001</v>
      </c>
      <c r="E814" s="56">
        <f>_xlfn.XLOOKUP(WEEKNUM(C814)&amp;YEAR(C814),Sheet4!C:C,Sheet4!B:B,0)</f>
        <v>0.5</v>
      </c>
      <c r="F814" s="46">
        <f>IF(int=Weekly,-$D$5,IF(int=Bi_Weekly,0,IF(int=Monthly,0,IF(int=Quarterly,0,IF(int=Yearly,0,IF(int=None,0,0))))))</f>
        <v>0</v>
      </c>
      <c r="G814" s="46"/>
      <c r="H814" s="46">
        <f t="shared" si="335"/>
        <v>-19550</v>
      </c>
      <c r="I814" s="47"/>
      <c r="J814" s="38">
        <f t="shared" si="322"/>
        <v>0</v>
      </c>
      <c r="K814" s="48"/>
      <c r="L814" s="48">
        <f t="shared" si="327"/>
        <v>642.84560927410109</v>
      </c>
      <c r="M814" s="48"/>
      <c r="N814" s="38">
        <f t="shared" si="328"/>
        <v>321.42280463705055</v>
      </c>
      <c r="O814" s="36">
        <f t="shared" si="329"/>
        <v>-321.42280463705055</v>
      </c>
      <c r="P814" s="84">
        <f t="shared" si="330"/>
        <v>-28834.961973035133</v>
      </c>
      <c r="Q814" s="38">
        <f t="shared" si="331"/>
        <v>8.7106446399935304</v>
      </c>
      <c r="R814" s="48">
        <f t="shared" si="332"/>
        <v>280.86598844136824</v>
      </c>
      <c r="S814" s="38">
        <f t="shared" si="323"/>
        <v>923.71159771546934</v>
      </c>
      <c r="T814" s="50">
        <f t="shared" si="336"/>
        <v>19550</v>
      </c>
      <c r="U814" s="40">
        <f t="shared" si="337"/>
        <v>23721.004267905548</v>
      </c>
      <c r="V814" s="41">
        <f t="shared" si="338"/>
        <v>0.21335060193890265</v>
      </c>
      <c r="W814" s="39">
        <f t="shared" si="339"/>
        <v>4171.0042679055477</v>
      </c>
      <c r="X814" s="50">
        <f t="shared" si="333"/>
        <v>9285.4307230514023</v>
      </c>
      <c r="Y814" s="41">
        <f t="shared" si="340"/>
        <v>0.6883086951896138</v>
      </c>
      <c r="Z814" s="52"/>
      <c r="AA814" s="50">
        <f t="shared" si="320"/>
        <v>28835.43072305141</v>
      </c>
      <c r="AB814" s="39">
        <f t="shared" si="321"/>
        <v>34084.959803124017</v>
      </c>
      <c r="AC814" s="39">
        <f t="shared" si="341"/>
        <v>5249.529080072607</v>
      </c>
      <c r="AD814" s="41">
        <f t="shared" si="342"/>
        <v>0.18205134962232639</v>
      </c>
      <c r="AF814" s="46">
        <f t="shared" si="324"/>
        <v>321.42280463705055</v>
      </c>
      <c r="AG814" s="46">
        <f t="shared" si="343"/>
        <v>0</v>
      </c>
      <c r="AH814" s="54">
        <f t="shared" si="325"/>
        <v>5481</v>
      </c>
      <c r="AI814" s="55">
        <f t="shared" si="334"/>
        <v>0.12806236080178174</v>
      </c>
      <c r="AJ814" s="55">
        <f t="shared" si="344"/>
        <v>41.162163177350571</v>
      </c>
      <c r="AK814" s="55">
        <f t="shared" si="345"/>
        <v>0</v>
      </c>
    </row>
    <row r="815" spans="2:37" s="53" customFormat="1" ht="17.25" customHeight="1" x14ac:dyDescent="0.25">
      <c r="B815" s="91" t="str">
        <f t="shared" si="326"/>
        <v/>
      </c>
      <c r="C815" s="81">
        <f>IF(Sheet3!A786="","",Sheet3!A786)</f>
        <v>43115</v>
      </c>
      <c r="D815" s="82">
        <f>IF(C815="","",Sheet3!E786)</f>
        <v>37.209999000000003</v>
      </c>
      <c r="E815" s="56">
        <f>_xlfn.XLOOKUP(WEEKNUM(C815)&amp;YEAR(C815),Sheet4!C:C,Sheet4!B:B,0)</f>
        <v>0</v>
      </c>
      <c r="F815" s="46">
        <f>IF(int=Weekly,-$D$5,IF(int=Bi_Weekly,-$D$5,IF(int=Monthly,-$D$5,IF(int=Quarterly,0,IF(int=Yearly,0,IF(int=None,0,0))))))</f>
        <v>-100</v>
      </c>
      <c r="G815" s="46"/>
      <c r="H815" s="46">
        <f t="shared" si="335"/>
        <v>-19650</v>
      </c>
      <c r="I815" s="47"/>
      <c r="J815" s="38">
        <f t="shared" si="322"/>
        <v>2.6874496825436625</v>
      </c>
      <c r="K815" s="48"/>
      <c r="L815" s="48">
        <f t="shared" si="327"/>
        <v>645.53305895664471</v>
      </c>
      <c r="M815" s="48"/>
      <c r="N815" s="38">
        <f t="shared" si="328"/>
        <v>0</v>
      </c>
      <c r="O815" s="36">
        <f t="shared" si="329"/>
        <v>0</v>
      </c>
      <c r="P815" s="84">
        <f t="shared" si="330"/>
        <v>-28934.961973035133</v>
      </c>
      <c r="Q815" s="38">
        <f t="shared" si="331"/>
        <v>0</v>
      </c>
      <c r="R815" s="48">
        <f t="shared" si="332"/>
        <v>280.86598844136824</v>
      </c>
      <c r="S815" s="38">
        <f t="shared" si="323"/>
        <v>926.39904739801295</v>
      </c>
      <c r="T815" s="50">
        <f t="shared" si="336"/>
        <v>19650</v>
      </c>
      <c r="U815" s="40">
        <f t="shared" si="337"/>
        <v>24020.284478243691</v>
      </c>
      <c r="V815" s="41">
        <f t="shared" si="338"/>
        <v>0.22240633477067129</v>
      </c>
      <c r="W815" s="39">
        <f t="shared" si="339"/>
        <v>4370.2844782436914</v>
      </c>
      <c r="X815" s="50">
        <f t="shared" si="333"/>
        <v>9285.4307230514023</v>
      </c>
      <c r="Y815" s="41">
        <f t="shared" si="340"/>
        <v>0.69494733848830004</v>
      </c>
      <c r="Z815" s="52"/>
      <c r="AA815" s="50">
        <f t="shared" si="320"/>
        <v>28935.43072305141</v>
      </c>
      <c r="AB815" s="39">
        <f t="shared" si="321"/>
        <v>34471.307627281014</v>
      </c>
      <c r="AC815" s="39">
        <f t="shared" si="341"/>
        <v>5535.8769042296044</v>
      </c>
      <c r="AD815" s="41">
        <f t="shared" si="342"/>
        <v>0.19131828232366521</v>
      </c>
      <c r="AF815" s="46">
        <f t="shared" si="324"/>
        <v>-100</v>
      </c>
      <c r="AG815" s="46">
        <f t="shared" si="343"/>
        <v>-100</v>
      </c>
      <c r="AH815" s="54">
        <f t="shared" si="325"/>
        <v>5488</v>
      </c>
      <c r="AI815" s="55">
        <f t="shared" si="334"/>
        <v>0.12694877505567928</v>
      </c>
      <c r="AJ815" s="55">
        <f t="shared" si="344"/>
        <v>-12.694877505567929</v>
      </c>
      <c r="AK815" s="55">
        <f t="shared" si="345"/>
        <v>-12.694877505567929</v>
      </c>
    </row>
    <row r="816" spans="2:37" s="53" customFormat="1" ht="17.25" customHeight="1" x14ac:dyDescent="0.25">
      <c r="B816" s="91" t="str">
        <f t="shared" si="326"/>
        <v/>
      </c>
      <c r="C816" s="81">
        <f>IF(Sheet3!A787="","",Sheet3!A787)</f>
        <v>43122</v>
      </c>
      <c r="D816" s="82">
        <f>IF(C816="","",Sheet3!E787)</f>
        <v>37.82</v>
      </c>
      <c r="E816" s="56">
        <f>_xlfn.XLOOKUP(WEEKNUM(C816)&amp;YEAR(C816),Sheet4!C:C,Sheet4!B:B,0)</f>
        <v>0</v>
      </c>
      <c r="F816" s="46">
        <f>IF(int=Weekly,-$D$5,IF(int=Bi_Weekly,0,IF(int=Monthly,0,IF(int=Quarterly,0,IF(int=Yearly,0,IF(int=None,0,0))))))</f>
        <v>0</v>
      </c>
      <c r="G816" s="46"/>
      <c r="H816" s="46">
        <f t="shared" si="335"/>
        <v>-19650</v>
      </c>
      <c r="I816" s="47"/>
      <c r="J816" s="38">
        <f t="shared" si="322"/>
        <v>0</v>
      </c>
      <c r="K816" s="48"/>
      <c r="L816" s="48">
        <f t="shared" si="327"/>
        <v>645.53305895664471</v>
      </c>
      <c r="M816" s="48"/>
      <c r="N816" s="38">
        <f t="shared" si="328"/>
        <v>0</v>
      </c>
      <c r="O816" s="36">
        <f t="shared" si="329"/>
        <v>0</v>
      </c>
      <c r="P816" s="84">
        <f t="shared" si="330"/>
        <v>-28934.961973035133</v>
      </c>
      <c r="Q816" s="38">
        <f t="shared" si="331"/>
        <v>0</v>
      </c>
      <c r="R816" s="48">
        <f t="shared" si="332"/>
        <v>280.86598844136824</v>
      </c>
      <c r="S816" s="38">
        <f t="shared" si="323"/>
        <v>926.39904739801295</v>
      </c>
      <c r="T816" s="50">
        <f t="shared" si="336"/>
        <v>19650</v>
      </c>
      <c r="U816" s="40">
        <f t="shared" si="337"/>
        <v>24414.060289740304</v>
      </c>
      <c r="V816" s="41">
        <f t="shared" si="338"/>
        <v>0.24244581627177131</v>
      </c>
      <c r="W816" s="39">
        <f t="shared" si="339"/>
        <v>4764.0602897403041</v>
      </c>
      <c r="X816" s="50">
        <f t="shared" si="333"/>
        <v>9285.4307230514023</v>
      </c>
      <c r="Y816" s="41">
        <f t="shared" si="340"/>
        <v>0.71498681998940006</v>
      </c>
      <c r="Z816" s="52"/>
      <c r="AA816" s="50">
        <f t="shared" si="320"/>
        <v>28935.43072305141</v>
      </c>
      <c r="AB816" s="39">
        <f t="shared" si="321"/>
        <v>35036.411972592847</v>
      </c>
      <c r="AC816" s="39">
        <f t="shared" si="341"/>
        <v>6100.9812495414371</v>
      </c>
      <c r="AD816" s="41">
        <f t="shared" si="342"/>
        <v>0.21084812277154352</v>
      </c>
      <c r="AF816" s="46">
        <f t="shared" si="324"/>
        <v>0</v>
      </c>
      <c r="AG816" s="46">
        <f t="shared" si="343"/>
        <v>0</v>
      </c>
      <c r="AH816" s="54">
        <f t="shared" si="325"/>
        <v>5495</v>
      </c>
      <c r="AI816" s="55">
        <f t="shared" si="334"/>
        <v>0.12583518930957685</v>
      </c>
      <c r="AJ816" s="55">
        <f t="shared" si="344"/>
        <v>0</v>
      </c>
      <c r="AK816" s="55">
        <f t="shared" si="345"/>
        <v>0</v>
      </c>
    </row>
    <row r="817" spans="2:37" s="53" customFormat="1" ht="17.25" customHeight="1" x14ac:dyDescent="0.25">
      <c r="B817" s="91" t="str">
        <f t="shared" si="326"/>
        <v/>
      </c>
      <c r="C817" s="81">
        <f>IF(Sheet3!A788="","",Sheet3!A788)</f>
        <v>43129</v>
      </c>
      <c r="D817" s="82">
        <f>IF(C817="","",Sheet3!E788)</f>
        <v>38.07</v>
      </c>
      <c r="E817" s="56">
        <f>_xlfn.XLOOKUP(WEEKNUM(C817)&amp;YEAR(C817),Sheet4!C:C,Sheet4!B:B,0)</f>
        <v>0</v>
      </c>
      <c r="F817" s="46">
        <f>IF(int=Weekly,-$D$5,IF(int=Bi_Weekly,-$D$5,IF(int=Monthly,0,IF(int=Quarterly,0,IF(int=Yearly,0,IF(int=None,0,0))))))</f>
        <v>0</v>
      </c>
      <c r="G817" s="46"/>
      <c r="H817" s="46">
        <f t="shared" si="335"/>
        <v>-19650</v>
      </c>
      <c r="I817" s="47"/>
      <c r="J817" s="38">
        <f t="shared" si="322"/>
        <v>0</v>
      </c>
      <c r="K817" s="48"/>
      <c r="L817" s="48">
        <f t="shared" si="327"/>
        <v>645.53305895664471</v>
      </c>
      <c r="M817" s="48"/>
      <c r="N817" s="38">
        <f t="shared" si="328"/>
        <v>0</v>
      </c>
      <c r="O817" s="36">
        <f t="shared" si="329"/>
        <v>0</v>
      </c>
      <c r="P817" s="84">
        <f t="shared" si="330"/>
        <v>-28934.961973035133</v>
      </c>
      <c r="Q817" s="38">
        <f t="shared" si="331"/>
        <v>0</v>
      </c>
      <c r="R817" s="48">
        <f t="shared" si="332"/>
        <v>280.86598844136824</v>
      </c>
      <c r="S817" s="38">
        <f t="shared" si="323"/>
        <v>926.39904739801295</v>
      </c>
      <c r="T817" s="50">
        <f t="shared" si="336"/>
        <v>19650</v>
      </c>
      <c r="U817" s="40">
        <f t="shared" si="337"/>
        <v>24575.443554479465</v>
      </c>
      <c r="V817" s="41">
        <f t="shared" si="338"/>
        <v>0.25065870506256815</v>
      </c>
      <c r="W817" s="39">
        <f t="shared" si="339"/>
        <v>4925.4435544794651</v>
      </c>
      <c r="X817" s="50">
        <f t="shared" si="333"/>
        <v>9285.4307230514023</v>
      </c>
      <c r="Y817" s="41">
        <f t="shared" si="340"/>
        <v>0.72319970878019668</v>
      </c>
      <c r="Z817" s="52"/>
      <c r="AA817" s="50">
        <f t="shared" ref="AA817:AA880" si="346">(D817*Q817)+(D817*J817)+AA816</f>
        <v>28935.43072305141</v>
      </c>
      <c r="AB817" s="39">
        <f t="shared" ref="AB817:AB880" si="347">(L817*D817)+(D817*R817)</f>
        <v>35268.011734442356</v>
      </c>
      <c r="AC817" s="39">
        <f t="shared" si="341"/>
        <v>6332.5810113909465</v>
      </c>
      <c r="AD817" s="41">
        <f t="shared" si="342"/>
        <v>0.21885214262064179</v>
      </c>
      <c r="AF817" s="46">
        <f t="shared" si="324"/>
        <v>0</v>
      </c>
      <c r="AG817" s="46">
        <f t="shared" si="343"/>
        <v>0</v>
      </c>
      <c r="AH817" s="54">
        <f t="shared" si="325"/>
        <v>5502</v>
      </c>
      <c r="AI817" s="55">
        <f t="shared" si="334"/>
        <v>0.12472160356347439</v>
      </c>
      <c r="AJ817" s="55">
        <f t="shared" si="344"/>
        <v>0</v>
      </c>
      <c r="AK817" s="55">
        <f t="shared" si="345"/>
        <v>0</v>
      </c>
    </row>
    <row r="818" spans="2:37" s="53" customFormat="1" ht="17.25" customHeight="1" x14ac:dyDescent="0.25">
      <c r="B818" s="91" t="str">
        <f t="shared" si="326"/>
        <v/>
      </c>
      <c r="C818" s="81">
        <f>IF(Sheet3!A789="","",Sheet3!A789)</f>
        <v>43136</v>
      </c>
      <c r="D818" s="82">
        <f>IF(C818="","",Sheet3!E789)</f>
        <v>36.049999</v>
      </c>
      <c r="E818" s="56">
        <f>_xlfn.XLOOKUP(WEEKNUM(C818)&amp;YEAR(C818),Sheet4!C:C,Sheet4!B:B,0)</f>
        <v>0</v>
      </c>
      <c r="F818" s="46">
        <f>IF(int=Weekly,-$D$5,IF(int=Bi_Weekly,0,IF(int=Monthly,0,IF(int=Quarterly,0,IF(int=Yearly,0,IF(int=None,0,0))))))</f>
        <v>0</v>
      </c>
      <c r="G818" s="46"/>
      <c r="H818" s="46">
        <f t="shared" si="335"/>
        <v>-19650</v>
      </c>
      <c r="I818" s="47"/>
      <c r="J818" s="38">
        <f t="shared" si="322"/>
        <v>0</v>
      </c>
      <c r="K818" s="48"/>
      <c r="L818" s="48">
        <f t="shared" si="327"/>
        <v>645.53305895664471</v>
      </c>
      <c r="M818" s="48"/>
      <c r="N818" s="38">
        <f t="shared" si="328"/>
        <v>0</v>
      </c>
      <c r="O818" s="36">
        <f t="shared" si="329"/>
        <v>0</v>
      </c>
      <c r="P818" s="84">
        <f t="shared" si="330"/>
        <v>-28934.961973035133</v>
      </c>
      <c r="Q818" s="38">
        <f t="shared" si="331"/>
        <v>0</v>
      </c>
      <c r="R818" s="48">
        <f t="shared" si="332"/>
        <v>280.86598844136824</v>
      </c>
      <c r="S818" s="38">
        <f t="shared" si="323"/>
        <v>926.39904739801295</v>
      </c>
      <c r="T818" s="50">
        <f t="shared" si="336"/>
        <v>19650</v>
      </c>
      <c r="U818" s="40">
        <f t="shared" si="337"/>
        <v>23271.466129853983</v>
      </c>
      <c r="V818" s="41">
        <f t="shared" si="338"/>
        <v>0.18429853078137315</v>
      </c>
      <c r="W818" s="39">
        <f t="shared" si="339"/>
        <v>3621.4661298539831</v>
      </c>
      <c r="X818" s="50">
        <f t="shared" si="333"/>
        <v>9285.4307230514023</v>
      </c>
      <c r="Y818" s="41">
        <f t="shared" si="340"/>
        <v>0.6568395344990019</v>
      </c>
      <c r="Z818" s="52"/>
      <c r="AA818" s="50">
        <f t="shared" si="346"/>
        <v>28935.43072305141</v>
      </c>
      <c r="AB818" s="39">
        <f t="shared" si="347"/>
        <v>33396.68473229932</v>
      </c>
      <c r="AC818" s="39">
        <f t="shared" si="341"/>
        <v>4461.2540092479103</v>
      </c>
      <c r="AD818" s="41">
        <f t="shared" si="342"/>
        <v>0.15417963022385051</v>
      </c>
      <c r="AF818" s="46">
        <f t="shared" si="324"/>
        <v>0</v>
      </c>
      <c r="AG818" s="46">
        <f t="shared" si="343"/>
        <v>0</v>
      </c>
      <c r="AH818" s="54">
        <f t="shared" si="325"/>
        <v>5509</v>
      </c>
      <c r="AI818" s="55">
        <f t="shared" si="334"/>
        <v>0.12360801781737193</v>
      </c>
      <c r="AJ818" s="55">
        <f t="shared" si="344"/>
        <v>0</v>
      </c>
      <c r="AK818" s="55">
        <f t="shared" si="345"/>
        <v>0</v>
      </c>
    </row>
    <row r="819" spans="2:37" s="53" customFormat="1" ht="17.25" customHeight="1" x14ac:dyDescent="0.25">
      <c r="B819" s="91" t="str">
        <f t="shared" si="326"/>
        <v/>
      </c>
      <c r="C819" s="81">
        <f>IF(Sheet3!A790="","",Sheet3!A790)</f>
        <v>43143</v>
      </c>
      <c r="D819" s="82">
        <f>IF(C819="","",Sheet3!E790)</f>
        <v>37.139999000000003</v>
      </c>
      <c r="E819" s="56">
        <f>_xlfn.XLOOKUP(WEEKNUM(C819)&amp;YEAR(C819),Sheet4!C:C,Sheet4!B:B,0)</f>
        <v>0</v>
      </c>
      <c r="F819" s="46">
        <f>IF(int=Weekly,-$D$5,IF(int=Bi_Weekly,-$D$5,IF(int=Monthly,-$D$5,IF(int=Quarterly,0,IF(int=Yearly,0,IF(int=None,0,0))))))</f>
        <v>-100</v>
      </c>
      <c r="G819" s="46"/>
      <c r="H819" s="46">
        <f t="shared" si="335"/>
        <v>-19750</v>
      </c>
      <c r="I819" s="47"/>
      <c r="J819" s="38">
        <f t="shared" si="322"/>
        <v>2.6925148813278104</v>
      </c>
      <c r="K819" s="48"/>
      <c r="L819" s="48">
        <f t="shared" si="327"/>
        <v>648.22557383797255</v>
      </c>
      <c r="M819" s="48"/>
      <c r="N819" s="38">
        <f t="shared" si="328"/>
        <v>0</v>
      </c>
      <c r="O819" s="36">
        <f t="shared" si="329"/>
        <v>0</v>
      </c>
      <c r="P819" s="84">
        <f t="shared" si="330"/>
        <v>-29034.961973035133</v>
      </c>
      <c r="Q819" s="38">
        <f t="shared" si="331"/>
        <v>0</v>
      </c>
      <c r="R819" s="48">
        <f t="shared" si="332"/>
        <v>280.86598844136824</v>
      </c>
      <c r="S819" s="38">
        <f t="shared" si="323"/>
        <v>929.09156227934079</v>
      </c>
      <c r="T819" s="50">
        <f t="shared" si="336"/>
        <v>19750</v>
      </c>
      <c r="U819" s="40">
        <f t="shared" si="337"/>
        <v>24075.097164116727</v>
      </c>
      <c r="V819" s="41">
        <f t="shared" si="338"/>
        <v>0.21899226147426476</v>
      </c>
      <c r="W819" s="39">
        <f t="shared" si="339"/>
        <v>4325.0971641167271</v>
      </c>
      <c r="X819" s="50">
        <f t="shared" si="333"/>
        <v>9285.4307230514023</v>
      </c>
      <c r="Y819" s="41">
        <f t="shared" si="340"/>
        <v>0.68914065251484202</v>
      </c>
      <c r="Z819" s="52"/>
      <c r="AA819" s="50">
        <f t="shared" si="346"/>
        <v>29035.43072305141</v>
      </c>
      <c r="AB819" s="39">
        <f t="shared" si="347"/>
        <v>34506.459693963159</v>
      </c>
      <c r="AC819" s="39">
        <f t="shared" si="341"/>
        <v>5471.0289709117496</v>
      </c>
      <c r="AD819" s="41">
        <f t="shared" si="342"/>
        <v>0.18842596216657004</v>
      </c>
      <c r="AF819" s="46">
        <f t="shared" si="324"/>
        <v>-100</v>
      </c>
      <c r="AG819" s="46">
        <f t="shared" si="343"/>
        <v>-100</v>
      </c>
      <c r="AH819" s="54">
        <f t="shared" si="325"/>
        <v>5516</v>
      </c>
      <c r="AI819" s="55">
        <f t="shared" si="334"/>
        <v>0.12249443207126949</v>
      </c>
      <c r="AJ819" s="55">
        <f t="shared" si="344"/>
        <v>-12.24944320712695</v>
      </c>
      <c r="AK819" s="55">
        <f t="shared" si="345"/>
        <v>-12.24944320712695</v>
      </c>
    </row>
    <row r="820" spans="2:37" s="53" customFormat="1" ht="17.25" customHeight="1" x14ac:dyDescent="0.25">
      <c r="B820" s="91" t="str">
        <f t="shared" si="326"/>
        <v/>
      </c>
      <c r="C820" s="81">
        <f>IF(Sheet3!A791="","",Sheet3!A791)</f>
        <v>43150</v>
      </c>
      <c r="D820" s="82">
        <f>IF(C820="","",Sheet3!E791)</f>
        <v>36.720001000000003</v>
      </c>
      <c r="E820" s="56">
        <f>_xlfn.XLOOKUP(WEEKNUM(C820)&amp;YEAR(C820),Sheet4!C:C,Sheet4!B:B,0)</f>
        <v>0</v>
      </c>
      <c r="F820" s="46">
        <f>IF(int=Weekly,-$D$5,IF(int=Bi_Weekly,0,IF(int=Monthly,0,IF(int=Quarterly,0,IF(int=Yearly,0,IF(int=None,0,0))))))</f>
        <v>0</v>
      </c>
      <c r="G820" s="46"/>
      <c r="H820" s="46">
        <f t="shared" si="335"/>
        <v>-19750</v>
      </c>
      <c r="I820" s="47"/>
      <c r="J820" s="38">
        <f t="shared" si="322"/>
        <v>0</v>
      </c>
      <c r="K820" s="48"/>
      <c r="L820" s="48">
        <f t="shared" si="327"/>
        <v>648.22557383797255</v>
      </c>
      <c r="M820" s="48"/>
      <c r="N820" s="38">
        <f t="shared" si="328"/>
        <v>0</v>
      </c>
      <c r="O820" s="36">
        <f t="shared" si="329"/>
        <v>0</v>
      </c>
      <c r="P820" s="84">
        <f t="shared" si="330"/>
        <v>-29034.961973035133</v>
      </c>
      <c r="Q820" s="38">
        <f t="shared" si="331"/>
        <v>0</v>
      </c>
      <c r="R820" s="48">
        <f t="shared" si="332"/>
        <v>280.86598844136824</v>
      </c>
      <c r="S820" s="38">
        <f t="shared" si="323"/>
        <v>929.09156227934079</v>
      </c>
      <c r="T820" s="50">
        <f t="shared" si="336"/>
        <v>19750</v>
      </c>
      <c r="U820" s="40">
        <f t="shared" si="337"/>
        <v>23802.843719555927</v>
      </c>
      <c r="V820" s="41">
        <f t="shared" si="338"/>
        <v>0.20520727693954055</v>
      </c>
      <c r="W820" s="39">
        <f t="shared" si="339"/>
        <v>4052.8437195559272</v>
      </c>
      <c r="X820" s="50">
        <f t="shared" si="333"/>
        <v>9285.4307230514023</v>
      </c>
      <c r="Y820" s="41">
        <f t="shared" si="340"/>
        <v>0.67535566798011804</v>
      </c>
      <c r="Z820" s="52"/>
      <c r="AA820" s="50">
        <f t="shared" si="346"/>
        <v>29035.43072305141</v>
      </c>
      <c r="AB820" s="39">
        <f t="shared" si="347"/>
        <v>34116.243095988961</v>
      </c>
      <c r="AC820" s="39">
        <f t="shared" si="341"/>
        <v>5080.8123729375511</v>
      </c>
      <c r="AD820" s="41">
        <f t="shared" si="342"/>
        <v>0.17498663689200455</v>
      </c>
      <c r="AF820" s="46">
        <f t="shared" si="324"/>
        <v>0</v>
      </c>
      <c r="AG820" s="46">
        <f t="shared" si="343"/>
        <v>0</v>
      </c>
      <c r="AH820" s="54">
        <f t="shared" si="325"/>
        <v>5523</v>
      </c>
      <c r="AI820" s="55">
        <f t="shared" si="334"/>
        <v>0.12138084632516703</v>
      </c>
      <c r="AJ820" s="55">
        <f t="shared" si="344"/>
        <v>0</v>
      </c>
      <c r="AK820" s="55">
        <f t="shared" si="345"/>
        <v>0</v>
      </c>
    </row>
    <row r="821" spans="2:37" s="53" customFormat="1" ht="17.25" customHeight="1" x14ac:dyDescent="0.25">
      <c r="B821" s="91" t="str">
        <f t="shared" si="326"/>
        <v/>
      </c>
      <c r="C821" s="81">
        <f>IF(Sheet3!A792="","",Sheet3!A792)</f>
        <v>43157</v>
      </c>
      <c r="D821" s="82">
        <f>IF(C821="","",Sheet3!E792)</f>
        <v>36.349997999999999</v>
      </c>
      <c r="E821" s="56">
        <f>_xlfn.XLOOKUP(WEEKNUM(C821)&amp;YEAR(C821),Sheet4!C:C,Sheet4!B:B,0)</f>
        <v>0</v>
      </c>
      <c r="F821" s="46">
        <f>IF(int=Weekly,-$D$5,IF(int=Bi_Weekly,-$D$5,IF(int=Monthly,0,IF(int=Quarterly,0,IF(int=Yearly,0,IF(int=None,0,0))))))</f>
        <v>0</v>
      </c>
      <c r="G821" s="46"/>
      <c r="H821" s="46">
        <f t="shared" si="335"/>
        <v>-19750</v>
      </c>
      <c r="I821" s="47"/>
      <c r="J821" s="38">
        <f t="shared" si="322"/>
        <v>0</v>
      </c>
      <c r="K821" s="48"/>
      <c r="L821" s="48">
        <f t="shared" si="327"/>
        <v>648.22557383797255</v>
      </c>
      <c r="M821" s="48"/>
      <c r="N821" s="38">
        <f t="shared" si="328"/>
        <v>0</v>
      </c>
      <c r="O821" s="36">
        <f t="shared" si="329"/>
        <v>0</v>
      </c>
      <c r="P821" s="84">
        <f t="shared" si="330"/>
        <v>-29034.961973035133</v>
      </c>
      <c r="Q821" s="38">
        <f t="shared" si="331"/>
        <v>0</v>
      </c>
      <c r="R821" s="48">
        <f t="shared" si="332"/>
        <v>280.86598844136824</v>
      </c>
      <c r="S821" s="38">
        <f t="shared" si="323"/>
        <v>929.09156227934079</v>
      </c>
      <c r="T821" s="50">
        <f t="shared" si="336"/>
        <v>19750</v>
      </c>
      <c r="U821" s="40">
        <f t="shared" si="337"/>
        <v>23562.998312559153</v>
      </c>
      <c r="V821" s="41">
        <f t="shared" si="338"/>
        <v>0.19306320569919766</v>
      </c>
      <c r="W821" s="39">
        <f t="shared" si="339"/>
        <v>3812.9983125591534</v>
      </c>
      <c r="X821" s="50">
        <f t="shared" si="333"/>
        <v>9285.4307230514023</v>
      </c>
      <c r="Y821" s="41">
        <f t="shared" si="340"/>
        <v>0.66321159673977492</v>
      </c>
      <c r="Z821" s="52"/>
      <c r="AA821" s="50">
        <f t="shared" si="346"/>
        <v>29035.43072305141</v>
      </c>
      <c r="AB821" s="39">
        <f t="shared" si="347"/>
        <v>33772.476430670911</v>
      </c>
      <c r="AC821" s="39">
        <f t="shared" si="341"/>
        <v>4737.0457076195016</v>
      </c>
      <c r="AD821" s="41">
        <f t="shared" si="342"/>
        <v>0.16314707891895441</v>
      </c>
      <c r="AF821" s="46">
        <f t="shared" si="324"/>
        <v>0</v>
      </c>
      <c r="AG821" s="46">
        <f t="shared" si="343"/>
        <v>0</v>
      </c>
      <c r="AH821" s="54">
        <f t="shared" si="325"/>
        <v>5530</v>
      </c>
      <c r="AI821" s="55">
        <f t="shared" si="334"/>
        <v>0.12026726057906459</v>
      </c>
      <c r="AJ821" s="55">
        <f t="shared" si="344"/>
        <v>0</v>
      </c>
      <c r="AK821" s="55">
        <f t="shared" si="345"/>
        <v>0</v>
      </c>
    </row>
    <row r="822" spans="2:37" s="53" customFormat="1" ht="17.25" customHeight="1" x14ac:dyDescent="0.25">
      <c r="B822" s="91" t="str">
        <f t="shared" si="326"/>
        <v/>
      </c>
      <c r="C822" s="81">
        <f>IF(Sheet3!A793="","",Sheet3!A793)</f>
        <v>43164</v>
      </c>
      <c r="D822" s="82">
        <f>IF(C822="","",Sheet3!E793)</f>
        <v>37.049999</v>
      </c>
      <c r="E822" s="56">
        <f>_xlfn.XLOOKUP(WEEKNUM(C822)&amp;YEAR(C822),Sheet4!C:C,Sheet4!B:B,0)</f>
        <v>0</v>
      </c>
      <c r="F822" s="46">
        <f>IF(int=Weekly,-$D$5,IF(int=Bi_Weekly,0,IF(int=Monthly,0,IF(int=Quarterly,0,IF(int=Yearly,0,IF(int=None,0,0))))))</f>
        <v>0</v>
      </c>
      <c r="G822" s="46"/>
      <c r="H822" s="46">
        <f t="shared" si="335"/>
        <v>-19750</v>
      </c>
      <c r="I822" s="47"/>
      <c r="J822" s="38">
        <f t="shared" si="322"/>
        <v>0</v>
      </c>
      <c r="K822" s="48"/>
      <c r="L822" s="48">
        <f t="shared" si="327"/>
        <v>648.22557383797255</v>
      </c>
      <c r="M822" s="48"/>
      <c r="N822" s="38">
        <f t="shared" si="328"/>
        <v>0</v>
      </c>
      <c r="O822" s="36">
        <f t="shared" si="329"/>
        <v>0</v>
      </c>
      <c r="P822" s="84">
        <f t="shared" si="330"/>
        <v>-29034.961973035133</v>
      </c>
      <c r="Q822" s="38">
        <f t="shared" si="331"/>
        <v>0</v>
      </c>
      <c r="R822" s="48">
        <f t="shared" si="332"/>
        <v>280.86598844136824</v>
      </c>
      <c r="S822" s="38">
        <f t="shared" si="323"/>
        <v>929.09156227934079</v>
      </c>
      <c r="T822" s="50">
        <f t="shared" si="336"/>
        <v>19750</v>
      </c>
      <c r="U822" s="40">
        <f t="shared" si="337"/>
        <v>24016.756862471309</v>
      </c>
      <c r="V822" s="41">
        <f t="shared" si="338"/>
        <v>0.21603832215044605</v>
      </c>
      <c r="W822" s="39">
        <f t="shared" si="339"/>
        <v>4266.7568624713094</v>
      </c>
      <c r="X822" s="50">
        <f t="shared" si="333"/>
        <v>9285.4307230514023</v>
      </c>
      <c r="Y822" s="41">
        <f t="shared" si="340"/>
        <v>0.68618671319102331</v>
      </c>
      <c r="Z822" s="52"/>
      <c r="AA822" s="50">
        <f t="shared" si="346"/>
        <v>29035.43072305141</v>
      </c>
      <c r="AB822" s="39">
        <f t="shared" si="347"/>
        <v>34422.841453358014</v>
      </c>
      <c r="AC822" s="39">
        <f t="shared" si="341"/>
        <v>5387.4107303066048</v>
      </c>
      <c r="AD822" s="41">
        <f t="shared" si="342"/>
        <v>0.18554609303692904</v>
      </c>
      <c r="AF822" s="46">
        <f t="shared" si="324"/>
        <v>0</v>
      </c>
      <c r="AG822" s="46">
        <f t="shared" si="343"/>
        <v>0</v>
      </c>
      <c r="AH822" s="54">
        <f t="shared" si="325"/>
        <v>5537</v>
      </c>
      <c r="AI822" s="55">
        <f t="shared" si="334"/>
        <v>0.11915367483296214</v>
      </c>
      <c r="AJ822" s="55">
        <f t="shared" si="344"/>
        <v>0</v>
      </c>
      <c r="AK822" s="55">
        <f t="shared" si="345"/>
        <v>0</v>
      </c>
    </row>
    <row r="823" spans="2:37" s="53" customFormat="1" ht="17.25" customHeight="1" x14ac:dyDescent="0.25">
      <c r="B823" s="91" t="str">
        <f t="shared" si="326"/>
        <v/>
      </c>
      <c r="C823" s="81">
        <f>IF(Sheet3!A794="","",Sheet3!A794)</f>
        <v>43171</v>
      </c>
      <c r="D823" s="82">
        <f>IF(C823="","",Sheet3!E794)</f>
        <v>37</v>
      </c>
      <c r="E823" s="56">
        <f>_xlfn.XLOOKUP(WEEKNUM(C823)&amp;YEAR(C823),Sheet4!C:C,Sheet4!B:B,0)</f>
        <v>0</v>
      </c>
      <c r="F823" s="46">
        <f>IF(int=Weekly,-$D$5,IF(int=Bi_Weekly,-$D$5,IF(int=Monthly,-$D$5,IF(int=Quarterly,0,IF(int=Yearly,0,IF(int=None,0,0))))))</f>
        <v>-100</v>
      </c>
      <c r="G823" s="46"/>
      <c r="H823" s="46">
        <f t="shared" si="335"/>
        <v>-19850</v>
      </c>
      <c r="I823" s="47"/>
      <c r="J823" s="38">
        <f t="shared" si="322"/>
        <v>2.7027027027027026</v>
      </c>
      <c r="K823" s="48"/>
      <c r="L823" s="48">
        <f t="shared" si="327"/>
        <v>650.92827654067526</v>
      </c>
      <c r="M823" s="48"/>
      <c r="N823" s="38">
        <f t="shared" si="328"/>
        <v>0</v>
      </c>
      <c r="O823" s="36">
        <f t="shared" si="329"/>
        <v>0</v>
      </c>
      <c r="P823" s="84">
        <f t="shared" si="330"/>
        <v>-29134.961973035133</v>
      </c>
      <c r="Q823" s="38">
        <f t="shared" si="331"/>
        <v>0</v>
      </c>
      <c r="R823" s="48">
        <f t="shared" si="332"/>
        <v>280.86598844136824</v>
      </c>
      <c r="S823" s="38">
        <f t="shared" si="323"/>
        <v>931.7942649820435</v>
      </c>
      <c r="T823" s="50">
        <f t="shared" si="336"/>
        <v>19850</v>
      </c>
      <c r="U823" s="40">
        <f t="shared" si="337"/>
        <v>24084.346232004984</v>
      </c>
      <c r="V823" s="41">
        <f t="shared" si="338"/>
        <v>0.21331719052921838</v>
      </c>
      <c r="W823" s="39">
        <f t="shared" si="339"/>
        <v>4234.3462320049839</v>
      </c>
      <c r="X823" s="50">
        <f t="shared" si="333"/>
        <v>9285.4307230514023</v>
      </c>
      <c r="Y823" s="41">
        <f t="shared" si="340"/>
        <v>0.68109707582148027</v>
      </c>
      <c r="Z823" s="52"/>
      <c r="AA823" s="50">
        <f t="shared" si="346"/>
        <v>29135.43072305141</v>
      </c>
      <c r="AB823" s="39">
        <f t="shared" si="347"/>
        <v>34476.387804335609</v>
      </c>
      <c r="AC823" s="39">
        <f t="shared" si="341"/>
        <v>5340.9570812841994</v>
      </c>
      <c r="AD823" s="41">
        <f t="shared" si="342"/>
        <v>0.18331484892236505</v>
      </c>
      <c r="AF823" s="46">
        <f t="shared" si="324"/>
        <v>-100</v>
      </c>
      <c r="AG823" s="46">
        <f t="shared" si="343"/>
        <v>-100</v>
      </c>
      <c r="AH823" s="54">
        <f t="shared" si="325"/>
        <v>5544</v>
      </c>
      <c r="AI823" s="55">
        <f t="shared" si="334"/>
        <v>0.11804008908685969</v>
      </c>
      <c r="AJ823" s="55">
        <f t="shared" si="344"/>
        <v>-11.804008908685969</v>
      </c>
      <c r="AK823" s="55">
        <f t="shared" si="345"/>
        <v>-11.804008908685969</v>
      </c>
    </row>
    <row r="824" spans="2:37" s="53" customFormat="1" ht="17.25" customHeight="1" x14ac:dyDescent="0.25">
      <c r="B824" s="91" t="str">
        <f t="shared" si="326"/>
        <v/>
      </c>
      <c r="C824" s="81">
        <f>IF(Sheet3!A795="","",Sheet3!A795)</f>
        <v>43178</v>
      </c>
      <c r="D824" s="82">
        <f>IF(C824="","",Sheet3!E795)</f>
        <v>34.700001</v>
      </c>
      <c r="E824" s="56">
        <f>_xlfn.XLOOKUP(WEEKNUM(C824)&amp;YEAR(C824),Sheet4!C:C,Sheet4!B:B,0)</f>
        <v>0</v>
      </c>
      <c r="F824" s="46">
        <f>IF(int=Weekly,-$D$5,IF(int=Bi_Weekly,0,IF(int=Monthly,0,IF(int=Quarterly,-$D$5,IF(int=Yearly,0,IF(int=None,0,0))))))</f>
        <v>0</v>
      </c>
      <c r="G824" s="46"/>
      <c r="H824" s="46">
        <f t="shared" si="335"/>
        <v>-19850</v>
      </c>
      <c r="I824" s="47"/>
      <c r="J824" s="38">
        <f t="shared" si="322"/>
        <v>0</v>
      </c>
      <c r="K824" s="48"/>
      <c r="L824" s="48">
        <f t="shared" si="327"/>
        <v>650.92827654067526</v>
      </c>
      <c r="M824" s="48"/>
      <c r="N824" s="38">
        <f t="shared" si="328"/>
        <v>0</v>
      </c>
      <c r="O824" s="36">
        <f t="shared" si="329"/>
        <v>0</v>
      </c>
      <c r="P824" s="84">
        <f t="shared" si="330"/>
        <v>-29134.961973035133</v>
      </c>
      <c r="Q824" s="38">
        <f t="shared" si="331"/>
        <v>0</v>
      </c>
      <c r="R824" s="48">
        <f t="shared" si="332"/>
        <v>280.86598844136824</v>
      </c>
      <c r="S824" s="38">
        <f t="shared" si="323"/>
        <v>931.7942649820435</v>
      </c>
      <c r="T824" s="50">
        <f t="shared" si="336"/>
        <v>19850</v>
      </c>
      <c r="U824" s="40">
        <f t="shared" si="337"/>
        <v>22587.21184688971</v>
      </c>
      <c r="V824" s="41">
        <f t="shared" si="338"/>
        <v>0.13789480336975868</v>
      </c>
      <c r="W824" s="39">
        <f t="shared" si="339"/>
        <v>2737.2118468897097</v>
      </c>
      <c r="X824" s="50">
        <f t="shared" si="333"/>
        <v>9285.4307230514023</v>
      </c>
      <c r="Y824" s="41">
        <f t="shared" si="340"/>
        <v>0.60567468866202079</v>
      </c>
      <c r="Z824" s="52"/>
      <c r="AA824" s="50">
        <f t="shared" si="346"/>
        <v>29135.43072305141</v>
      </c>
      <c r="AB824" s="39">
        <f t="shared" si="347"/>
        <v>32333.261926671177</v>
      </c>
      <c r="AC824" s="39">
        <f t="shared" si="341"/>
        <v>3197.8312036197676</v>
      </c>
      <c r="AD824" s="41">
        <f t="shared" si="342"/>
        <v>0.10975747137624103</v>
      </c>
      <c r="AF824" s="46">
        <f t="shared" si="324"/>
        <v>0</v>
      </c>
      <c r="AG824" s="46">
        <f t="shared" si="343"/>
        <v>0</v>
      </c>
      <c r="AH824" s="54">
        <f t="shared" si="325"/>
        <v>5551</v>
      </c>
      <c r="AI824" s="55">
        <f t="shared" si="334"/>
        <v>0.11692650334075724</v>
      </c>
      <c r="AJ824" s="55">
        <f t="shared" si="344"/>
        <v>0</v>
      </c>
      <c r="AK824" s="55">
        <f t="shared" si="345"/>
        <v>0</v>
      </c>
    </row>
    <row r="825" spans="2:37" s="53" customFormat="1" ht="17.25" customHeight="1" x14ac:dyDescent="0.25">
      <c r="B825" s="91" t="str">
        <f t="shared" si="326"/>
        <v/>
      </c>
      <c r="C825" s="81">
        <f>IF(Sheet3!A796="","",Sheet3!A796)</f>
        <v>43185</v>
      </c>
      <c r="D825" s="82">
        <f>IF(C825="","",Sheet3!E796)</f>
        <v>35.650002000000001</v>
      </c>
      <c r="E825" s="56">
        <f>_xlfn.XLOOKUP(WEEKNUM(C825)&amp;YEAR(C825),Sheet4!C:C,Sheet4!B:B,0)</f>
        <v>0</v>
      </c>
      <c r="F825" s="46">
        <f>IF(int=Weekly,-$D$5,IF(int=Bi_Weekly,-$D$5,IF(int=Monthly,0,IF(int=Quarterly,0,IF(int=Yearly,0,IF(int=None,0,0))))))</f>
        <v>0</v>
      </c>
      <c r="G825" s="46"/>
      <c r="H825" s="46">
        <f t="shared" si="335"/>
        <v>-19850</v>
      </c>
      <c r="I825" s="47"/>
      <c r="J825" s="38">
        <f t="shared" si="322"/>
        <v>0</v>
      </c>
      <c r="K825" s="48"/>
      <c r="L825" s="48">
        <f t="shared" si="327"/>
        <v>650.92827654067526</v>
      </c>
      <c r="M825" s="48"/>
      <c r="N825" s="38">
        <f t="shared" si="328"/>
        <v>0</v>
      </c>
      <c r="O825" s="36">
        <f t="shared" si="329"/>
        <v>0</v>
      </c>
      <c r="P825" s="84">
        <f t="shared" si="330"/>
        <v>-29134.961973035133</v>
      </c>
      <c r="Q825" s="38">
        <f t="shared" si="331"/>
        <v>0</v>
      </c>
      <c r="R825" s="48">
        <f t="shared" si="332"/>
        <v>280.86598844136824</v>
      </c>
      <c r="S825" s="38">
        <f t="shared" si="323"/>
        <v>931.7942649820435</v>
      </c>
      <c r="T825" s="50">
        <f t="shared" si="336"/>
        <v>19850</v>
      </c>
      <c r="U825" s="40">
        <f t="shared" si="337"/>
        <v>23205.594360531628</v>
      </c>
      <c r="V825" s="41">
        <f t="shared" si="338"/>
        <v>0.16904757483786548</v>
      </c>
      <c r="W825" s="39">
        <f t="shared" si="339"/>
        <v>3355.5943605316279</v>
      </c>
      <c r="X825" s="50">
        <f t="shared" si="333"/>
        <v>9285.4307230514023</v>
      </c>
      <c r="Y825" s="41">
        <f t="shared" si="340"/>
        <v>0.63682746013012737</v>
      </c>
      <c r="Z825" s="52"/>
      <c r="AA825" s="50">
        <f t="shared" si="346"/>
        <v>29135.43072305141</v>
      </c>
      <c r="AB825" s="39">
        <f t="shared" si="347"/>
        <v>33218.467410198384</v>
      </c>
      <c r="AC825" s="39">
        <f t="shared" si="341"/>
        <v>4083.0366871469741</v>
      </c>
      <c r="AD825" s="41">
        <f t="shared" si="342"/>
        <v>0.14013991164086526</v>
      </c>
      <c r="AF825" s="46">
        <f t="shared" si="324"/>
        <v>0</v>
      </c>
      <c r="AG825" s="46">
        <f t="shared" si="343"/>
        <v>0</v>
      </c>
      <c r="AH825" s="54">
        <f t="shared" si="325"/>
        <v>5558</v>
      </c>
      <c r="AI825" s="55">
        <f t="shared" si="334"/>
        <v>0.11581291759465479</v>
      </c>
      <c r="AJ825" s="55">
        <f t="shared" si="344"/>
        <v>0</v>
      </c>
      <c r="AK825" s="55">
        <f t="shared" si="345"/>
        <v>0</v>
      </c>
    </row>
    <row r="826" spans="2:37" s="53" customFormat="1" ht="17.25" customHeight="1" x14ac:dyDescent="0.25">
      <c r="B826" s="91" t="str">
        <f t="shared" si="326"/>
        <v/>
      </c>
      <c r="C826" s="81">
        <f>IF(Sheet3!A797="","",Sheet3!A797)</f>
        <v>43192</v>
      </c>
      <c r="D826" s="82">
        <f>IF(C826="","",Sheet3!E797)</f>
        <v>35.630001</v>
      </c>
      <c r="E826" s="56">
        <f>_xlfn.XLOOKUP(WEEKNUM(C826)&amp;YEAR(C826),Sheet4!C:C,Sheet4!B:B,0)</f>
        <v>0</v>
      </c>
      <c r="F826" s="46">
        <f>IF(int=Weekly,-$D$5,IF(int=Bi_Weekly,0,IF(int=Monthly,0,IF(int=Quarterly,0,IF(int=Yearly,0,IF(int=None,0,0))))))</f>
        <v>0</v>
      </c>
      <c r="G826" s="46"/>
      <c r="H826" s="46">
        <f t="shared" si="335"/>
        <v>-19850</v>
      </c>
      <c r="I826" s="47"/>
      <c r="J826" s="38">
        <f t="shared" si="322"/>
        <v>0</v>
      </c>
      <c r="K826" s="48"/>
      <c r="L826" s="48">
        <f t="shared" si="327"/>
        <v>650.92827654067526</v>
      </c>
      <c r="M826" s="48"/>
      <c r="N826" s="38">
        <f t="shared" si="328"/>
        <v>0</v>
      </c>
      <c r="O826" s="36">
        <f t="shared" si="329"/>
        <v>0</v>
      </c>
      <c r="P826" s="84">
        <f t="shared" si="330"/>
        <v>-29134.961973035133</v>
      </c>
      <c r="Q826" s="38">
        <f t="shared" si="331"/>
        <v>0</v>
      </c>
      <c r="R826" s="48">
        <f t="shared" si="332"/>
        <v>280.86598844136824</v>
      </c>
      <c r="S826" s="38">
        <f t="shared" si="323"/>
        <v>931.7942649820435</v>
      </c>
      <c r="T826" s="50">
        <f t="shared" si="336"/>
        <v>19850</v>
      </c>
      <c r="U826" s="40">
        <f t="shared" si="337"/>
        <v>23192.575144072536</v>
      </c>
      <c r="V826" s="41">
        <f t="shared" si="338"/>
        <v>0.16839169491549311</v>
      </c>
      <c r="W826" s="39">
        <f t="shared" si="339"/>
        <v>3342.5751440725362</v>
      </c>
      <c r="X826" s="50">
        <f t="shared" si="333"/>
        <v>9285.4307230514023</v>
      </c>
      <c r="Y826" s="41">
        <f t="shared" si="340"/>
        <v>0.63617158020775499</v>
      </c>
      <c r="Z826" s="52"/>
      <c r="AA826" s="50">
        <f t="shared" si="346"/>
        <v>29135.43072305141</v>
      </c>
      <c r="AB826" s="39">
        <f t="shared" si="347"/>
        <v>33199.830593104474</v>
      </c>
      <c r="AC826" s="39">
        <f t="shared" si="341"/>
        <v>4064.3998700530647</v>
      </c>
      <c r="AD826" s="41">
        <f t="shared" si="342"/>
        <v>0.1395002500113165</v>
      </c>
      <c r="AF826" s="46">
        <f t="shared" si="324"/>
        <v>0</v>
      </c>
      <c r="AG826" s="46">
        <f t="shared" si="343"/>
        <v>0</v>
      </c>
      <c r="AH826" s="54">
        <f t="shared" si="325"/>
        <v>5565</v>
      </c>
      <c r="AI826" s="55">
        <f t="shared" si="334"/>
        <v>0.11469933184855234</v>
      </c>
      <c r="AJ826" s="55">
        <f t="shared" si="344"/>
        <v>0</v>
      </c>
      <c r="AK826" s="55">
        <f t="shared" si="345"/>
        <v>0</v>
      </c>
    </row>
    <row r="827" spans="2:37" s="53" customFormat="1" ht="17.25" customHeight="1" x14ac:dyDescent="0.25">
      <c r="B827" s="91" t="str">
        <f t="shared" si="326"/>
        <v/>
      </c>
      <c r="C827" s="81">
        <f>IF(Sheet3!A798="","",Sheet3!A798)</f>
        <v>43199</v>
      </c>
      <c r="D827" s="82">
        <f>IF(C827="","",Sheet3!E798)</f>
        <v>35.139999000000003</v>
      </c>
      <c r="E827" s="56">
        <f>_xlfn.XLOOKUP(WEEKNUM(C827)&amp;YEAR(C827),Sheet4!C:C,Sheet4!B:B,0)</f>
        <v>0.5</v>
      </c>
      <c r="F827" s="46">
        <f>IF(int=Weekly,-$D$5,IF(int=Bi_Weekly,-$D$5,IF(int=Monthly,-$D$5,IF(int=Quarterly,0,IF(int=Yearly,0,IF(int=None,0,0))))))</f>
        <v>-100</v>
      </c>
      <c r="G827" s="46"/>
      <c r="H827" s="46">
        <f t="shared" si="335"/>
        <v>-19950</v>
      </c>
      <c r="I827" s="47"/>
      <c r="J827" s="38">
        <f t="shared" si="322"/>
        <v>2.8457598988548631</v>
      </c>
      <c r="K827" s="48"/>
      <c r="L827" s="48">
        <f t="shared" si="327"/>
        <v>653.77403643953016</v>
      </c>
      <c r="M827" s="48"/>
      <c r="N827" s="38">
        <f t="shared" si="328"/>
        <v>326.88701821976508</v>
      </c>
      <c r="O827" s="36">
        <f t="shared" si="329"/>
        <v>-326.88701821976508</v>
      </c>
      <c r="P827" s="84">
        <f t="shared" si="330"/>
        <v>-29561.848991254898</v>
      </c>
      <c r="Q827" s="38">
        <f t="shared" si="331"/>
        <v>9.3024196790604652</v>
      </c>
      <c r="R827" s="48">
        <f t="shared" si="332"/>
        <v>290.16840812042869</v>
      </c>
      <c r="S827" s="38">
        <f t="shared" si="323"/>
        <v>943.94244455995886</v>
      </c>
      <c r="T827" s="50">
        <f t="shared" si="336"/>
        <v>19950</v>
      </c>
      <c r="U827" s="40">
        <f t="shared" si="337"/>
        <v>22973.618986711055</v>
      </c>
      <c r="V827" s="41">
        <f t="shared" si="338"/>
        <v>0.15155984895794772</v>
      </c>
      <c r="W827" s="39">
        <f t="shared" si="339"/>
        <v>3023.6189867110552</v>
      </c>
      <c r="X827" s="50">
        <f t="shared" si="333"/>
        <v>9612.3177412711666</v>
      </c>
      <c r="Y827" s="41">
        <f t="shared" si="340"/>
        <v>0.63338028711690342</v>
      </c>
      <c r="Z827" s="52"/>
      <c r="AA827" s="50">
        <f t="shared" si="346"/>
        <v>29562.317741271174</v>
      </c>
      <c r="AB827" s="39">
        <f t="shared" si="347"/>
        <v>33170.136557894511</v>
      </c>
      <c r="AC827" s="39">
        <f t="shared" si="341"/>
        <v>3607.8188166233376</v>
      </c>
      <c r="AD827" s="41">
        <f t="shared" si="342"/>
        <v>0.12204113521134907</v>
      </c>
      <c r="AF827" s="46">
        <f t="shared" si="324"/>
        <v>226.88701821976508</v>
      </c>
      <c r="AG827" s="46">
        <f t="shared" si="343"/>
        <v>-100</v>
      </c>
      <c r="AH827" s="54">
        <f t="shared" si="325"/>
        <v>5572</v>
      </c>
      <c r="AI827" s="55">
        <f t="shared" si="334"/>
        <v>0.11358574610244988</v>
      </c>
      <c r="AJ827" s="55">
        <f t="shared" si="344"/>
        <v>25.771131245452157</v>
      </c>
      <c r="AK827" s="55">
        <f t="shared" si="345"/>
        <v>-11.358574610244988</v>
      </c>
    </row>
    <row r="828" spans="2:37" s="53" customFormat="1" ht="17.25" customHeight="1" x14ac:dyDescent="0.25">
      <c r="B828" s="91" t="str">
        <f t="shared" si="326"/>
        <v/>
      </c>
      <c r="C828" s="81">
        <f>IF(Sheet3!A799="","",Sheet3!A799)</f>
        <v>43206</v>
      </c>
      <c r="D828" s="82">
        <f>IF(C828="","",Sheet3!E799)</f>
        <v>34.669998</v>
      </c>
      <c r="E828" s="56">
        <f>_xlfn.XLOOKUP(WEEKNUM(C828)&amp;YEAR(C828),Sheet4!C:C,Sheet4!B:B,0)</f>
        <v>0</v>
      </c>
      <c r="F828" s="46">
        <f>IF(int=Weekly,-$D$5,IF(int=Bi_Weekly,0,IF(int=Monthly,0,IF(int=Quarterly,0,IF(int=Yearly,0,IF(int=None,0,0))))))</f>
        <v>0</v>
      </c>
      <c r="G828" s="46"/>
      <c r="H828" s="46">
        <f t="shared" si="335"/>
        <v>-19950</v>
      </c>
      <c r="I828" s="47"/>
      <c r="J828" s="38">
        <f t="shared" si="322"/>
        <v>0</v>
      </c>
      <c r="K828" s="48"/>
      <c r="L828" s="48">
        <f t="shared" si="327"/>
        <v>653.77403643953016</v>
      </c>
      <c r="M828" s="48"/>
      <c r="N828" s="38">
        <f t="shared" si="328"/>
        <v>0</v>
      </c>
      <c r="O828" s="36">
        <f t="shared" si="329"/>
        <v>0</v>
      </c>
      <c r="P828" s="84">
        <f t="shared" si="330"/>
        <v>-29561.848991254898</v>
      </c>
      <c r="Q828" s="38">
        <f t="shared" si="331"/>
        <v>0</v>
      </c>
      <c r="R828" s="48">
        <f t="shared" si="332"/>
        <v>290.16840812042869</v>
      </c>
      <c r="S828" s="38">
        <f t="shared" si="323"/>
        <v>943.94244455995886</v>
      </c>
      <c r="T828" s="50">
        <f t="shared" si="336"/>
        <v>19950</v>
      </c>
      <c r="U828" s="40">
        <f t="shared" si="337"/>
        <v>22666.344535810436</v>
      </c>
      <c r="V828" s="41">
        <f t="shared" si="338"/>
        <v>0.13615762084262828</v>
      </c>
      <c r="W828" s="39">
        <f t="shared" si="339"/>
        <v>2716.3445358104364</v>
      </c>
      <c r="X828" s="50">
        <f t="shared" si="333"/>
        <v>9612.3177412711666</v>
      </c>
      <c r="Y828" s="41">
        <f t="shared" si="340"/>
        <v>0.6179780590015842</v>
      </c>
      <c r="Z828" s="52"/>
      <c r="AA828" s="50">
        <f t="shared" si="346"/>
        <v>29562.317741271174</v>
      </c>
      <c r="AB828" s="39">
        <f t="shared" si="347"/>
        <v>32726.482665008883</v>
      </c>
      <c r="AC828" s="39">
        <f t="shared" si="341"/>
        <v>3164.1649237377096</v>
      </c>
      <c r="AD828" s="41">
        <f t="shared" si="342"/>
        <v>0.10703372284373702</v>
      </c>
      <c r="AF828" s="46">
        <f t="shared" si="324"/>
        <v>0</v>
      </c>
      <c r="AG828" s="46">
        <f t="shared" si="343"/>
        <v>0</v>
      </c>
      <c r="AH828" s="54">
        <f t="shared" si="325"/>
        <v>5579</v>
      </c>
      <c r="AI828" s="55">
        <f t="shared" si="334"/>
        <v>0.11247216035634744</v>
      </c>
      <c r="AJ828" s="55">
        <f t="shared" si="344"/>
        <v>0</v>
      </c>
      <c r="AK828" s="55">
        <f t="shared" si="345"/>
        <v>0</v>
      </c>
    </row>
    <row r="829" spans="2:37" s="53" customFormat="1" ht="17.25" customHeight="1" x14ac:dyDescent="0.25">
      <c r="B829" s="91" t="str">
        <f t="shared" si="326"/>
        <v/>
      </c>
      <c r="C829" s="81">
        <f>IF(Sheet3!A800="","",Sheet3!A800)</f>
        <v>43213</v>
      </c>
      <c r="D829" s="82">
        <f>IF(C829="","",Sheet3!E800)</f>
        <v>33.040000999999997</v>
      </c>
      <c r="E829" s="56">
        <f>_xlfn.XLOOKUP(WEEKNUM(C829)&amp;YEAR(C829),Sheet4!C:C,Sheet4!B:B,0)</f>
        <v>0</v>
      </c>
      <c r="F829" s="46">
        <f>IF(int=Weekly,-$D$5,IF(int=Bi_Weekly,-$D$5,IF(int=Monthly,0,IF(int=Quarterly,0,IF(int=Yearly,0,IF(int=None,0,0))))))</f>
        <v>0</v>
      </c>
      <c r="G829" s="46"/>
      <c r="H829" s="46">
        <f t="shared" si="335"/>
        <v>-19950</v>
      </c>
      <c r="I829" s="47"/>
      <c r="J829" s="38">
        <f t="shared" si="322"/>
        <v>0</v>
      </c>
      <c r="K829" s="48"/>
      <c r="L829" s="48">
        <f t="shared" si="327"/>
        <v>653.77403643953016</v>
      </c>
      <c r="M829" s="48"/>
      <c r="N829" s="38">
        <f t="shared" si="328"/>
        <v>0</v>
      </c>
      <c r="O829" s="36">
        <f t="shared" si="329"/>
        <v>0</v>
      </c>
      <c r="P829" s="84">
        <f t="shared" si="330"/>
        <v>-29561.848991254898</v>
      </c>
      <c r="Q829" s="38">
        <f t="shared" si="331"/>
        <v>0</v>
      </c>
      <c r="R829" s="48">
        <f t="shared" si="332"/>
        <v>290.16840812042869</v>
      </c>
      <c r="S829" s="38">
        <f t="shared" si="323"/>
        <v>943.94244455995886</v>
      </c>
      <c r="T829" s="50">
        <f t="shared" si="336"/>
        <v>19950</v>
      </c>
      <c r="U829" s="40">
        <f t="shared" si="337"/>
        <v>21600.694817736112</v>
      </c>
      <c r="V829" s="41">
        <f t="shared" si="338"/>
        <v>8.2741594873990465E-2</v>
      </c>
      <c r="W829" s="39">
        <f t="shared" si="339"/>
        <v>1650.6948177361119</v>
      </c>
      <c r="X829" s="50">
        <f t="shared" si="333"/>
        <v>9612.3177412711666</v>
      </c>
      <c r="Y829" s="41">
        <f t="shared" si="340"/>
        <v>0.56456203303294639</v>
      </c>
      <c r="Z829" s="52"/>
      <c r="AA829" s="50">
        <f t="shared" si="346"/>
        <v>29562.317741271174</v>
      </c>
      <c r="AB829" s="39">
        <f t="shared" si="347"/>
        <v>31187.859312203484</v>
      </c>
      <c r="AC829" s="39">
        <f t="shared" si="341"/>
        <v>1625.5415709323097</v>
      </c>
      <c r="AD829" s="41">
        <f t="shared" si="342"/>
        <v>5.4986946056091224E-2</v>
      </c>
      <c r="AF829" s="46">
        <f t="shared" si="324"/>
        <v>0</v>
      </c>
      <c r="AG829" s="46">
        <f t="shared" si="343"/>
        <v>0</v>
      </c>
      <c r="AH829" s="54">
        <f t="shared" si="325"/>
        <v>5586</v>
      </c>
      <c r="AI829" s="55">
        <f t="shared" si="334"/>
        <v>0.111358574610245</v>
      </c>
      <c r="AJ829" s="55">
        <f t="shared" si="344"/>
        <v>0</v>
      </c>
      <c r="AK829" s="55">
        <f t="shared" si="345"/>
        <v>0</v>
      </c>
    </row>
    <row r="830" spans="2:37" s="53" customFormat="1" ht="17.25" customHeight="1" x14ac:dyDescent="0.25">
      <c r="B830" s="91" t="str">
        <f t="shared" si="326"/>
        <v/>
      </c>
      <c r="C830" s="81">
        <f>IF(Sheet3!A801="","",Sheet3!A801)</f>
        <v>43220</v>
      </c>
      <c r="D830" s="82">
        <f>IF(C830="","",Sheet3!E801)</f>
        <v>32.139999000000003</v>
      </c>
      <c r="E830" s="56">
        <f>_xlfn.XLOOKUP(WEEKNUM(C830)&amp;YEAR(C830),Sheet4!C:C,Sheet4!B:B,0)</f>
        <v>0</v>
      </c>
      <c r="F830" s="46">
        <f>IF(int=Weekly,-$D$5,IF(int=Bi_Weekly,0,IF(int=Monthly,0,IF(int=Quarterly,0,IF(int=Yearly,0,IF(int=None,0,0))))))</f>
        <v>0</v>
      </c>
      <c r="G830" s="46"/>
      <c r="H830" s="46">
        <f t="shared" si="335"/>
        <v>-19950</v>
      </c>
      <c r="I830" s="47"/>
      <c r="J830" s="38">
        <f t="shared" si="322"/>
        <v>0</v>
      </c>
      <c r="K830" s="48"/>
      <c r="L830" s="48">
        <f t="shared" si="327"/>
        <v>653.77403643953016</v>
      </c>
      <c r="M830" s="48"/>
      <c r="N830" s="38">
        <f t="shared" si="328"/>
        <v>0</v>
      </c>
      <c r="O830" s="36">
        <f t="shared" si="329"/>
        <v>0</v>
      </c>
      <c r="P830" s="84">
        <f t="shared" si="330"/>
        <v>-29561.848991254898</v>
      </c>
      <c r="Q830" s="38">
        <f t="shared" si="331"/>
        <v>0</v>
      </c>
      <c r="R830" s="48">
        <f t="shared" si="332"/>
        <v>290.16840812042869</v>
      </c>
      <c r="S830" s="38">
        <f t="shared" si="323"/>
        <v>943.94244455995886</v>
      </c>
      <c r="T830" s="50">
        <f t="shared" si="336"/>
        <v>19950</v>
      </c>
      <c r="U830" s="40">
        <f t="shared" si="337"/>
        <v>21012.296877392466</v>
      </c>
      <c r="V830" s="41">
        <f t="shared" si="338"/>
        <v>5.3247963779071039E-2</v>
      </c>
      <c r="W830" s="39">
        <f t="shared" si="339"/>
        <v>1062.2968773924658</v>
      </c>
      <c r="X830" s="50">
        <f t="shared" si="333"/>
        <v>9612.3177412711666</v>
      </c>
      <c r="Y830" s="41">
        <f t="shared" si="340"/>
        <v>0.53506840193802674</v>
      </c>
      <c r="Z830" s="52"/>
      <c r="AA830" s="50">
        <f t="shared" si="346"/>
        <v>29562.317741271174</v>
      </c>
      <c r="AB830" s="39">
        <f t="shared" si="347"/>
        <v>30338.309224214638</v>
      </c>
      <c r="AC830" s="39">
        <f t="shared" si="341"/>
        <v>775.99148294346378</v>
      </c>
      <c r="AD830" s="41">
        <f t="shared" si="342"/>
        <v>2.6249345187847828E-2</v>
      </c>
      <c r="AF830" s="46">
        <f t="shared" si="324"/>
        <v>0</v>
      </c>
      <c r="AG830" s="46">
        <f t="shared" si="343"/>
        <v>0</v>
      </c>
      <c r="AH830" s="54">
        <f t="shared" si="325"/>
        <v>5593</v>
      </c>
      <c r="AI830" s="55">
        <f t="shared" si="334"/>
        <v>0.11024498886414254</v>
      </c>
      <c r="AJ830" s="55">
        <f t="shared" si="344"/>
        <v>0</v>
      </c>
      <c r="AK830" s="55">
        <f t="shared" si="345"/>
        <v>0</v>
      </c>
    </row>
    <row r="831" spans="2:37" s="53" customFormat="1" ht="17.25" customHeight="1" x14ac:dyDescent="0.25">
      <c r="B831" s="91" t="str">
        <f t="shared" si="326"/>
        <v/>
      </c>
      <c r="C831" s="81">
        <f>IF(Sheet3!A802="","",Sheet3!A802)</f>
        <v>43227</v>
      </c>
      <c r="D831" s="82">
        <f>IF(C831="","",Sheet3!E802)</f>
        <v>32.290000999999997</v>
      </c>
      <c r="E831" s="56">
        <f>_xlfn.XLOOKUP(WEEKNUM(C831)&amp;YEAR(C831),Sheet4!C:C,Sheet4!B:B,0)</f>
        <v>0</v>
      </c>
      <c r="F831" s="46">
        <f>IF(int=Weekly,-$D$5,IF(int=Bi_Weekly,-$D$5,IF(int=Monthly,-$D$5,IF(int=Quarterly,0,IF(int=Yearly,0,IF(int=None,0,0))))))</f>
        <v>-100</v>
      </c>
      <c r="G831" s="46"/>
      <c r="H831" s="46">
        <f t="shared" si="335"/>
        <v>-20050</v>
      </c>
      <c r="I831" s="47"/>
      <c r="J831" s="38">
        <f t="shared" si="322"/>
        <v>3.096933939395047</v>
      </c>
      <c r="K831" s="48"/>
      <c r="L831" s="48">
        <f t="shared" si="327"/>
        <v>656.87097037892522</v>
      </c>
      <c r="M831" s="48"/>
      <c r="N831" s="38">
        <f t="shared" si="328"/>
        <v>0</v>
      </c>
      <c r="O831" s="36">
        <f t="shared" si="329"/>
        <v>0</v>
      </c>
      <c r="P831" s="84">
        <f t="shared" si="330"/>
        <v>-29661.848991254898</v>
      </c>
      <c r="Q831" s="38">
        <f t="shared" si="331"/>
        <v>0</v>
      </c>
      <c r="R831" s="48">
        <f t="shared" si="332"/>
        <v>290.16840812042869</v>
      </c>
      <c r="S831" s="38">
        <f t="shared" si="323"/>
        <v>947.03937849935392</v>
      </c>
      <c r="T831" s="50">
        <f t="shared" si="336"/>
        <v>20050</v>
      </c>
      <c r="U831" s="40">
        <f t="shared" si="337"/>
        <v>21210.364290406462</v>
      </c>
      <c r="V831" s="41">
        <f t="shared" si="338"/>
        <v>5.7873530693589137E-2</v>
      </c>
      <c r="W831" s="39">
        <f t="shared" si="339"/>
        <v>1160.3642904064618</v>
      </c>
      <c r="X831" s="50">
        <f t="shared" si="333"/>
        <v>9612.3177412711666</v>
      </c>
      <c r="Y831" s="41">
        <f t="shared" si="340"/>
        <v>0.53729087439788681</v>
      </c>
      <c r="Z831" s="52"/>
      <c r="AA831" s="50">
        <f t="shared" si="346"/>
        <v>29662.317741271174</v>
      </c>
      <c r="AB831" s="39">
        <f t="shared" si="347"/>
        <v>30579.902478783511</v>
      </c>
      <c r="AC831" s="39">
        <f t="shared" si="341"/>
        <v>917.5847375123376</v>
      </c>
      <c r="AD831" s="41">
        <f t="shared" si="342"/>
        <v>3.0934357372742971E-2</v>
      </c>
      <c r="AF831" s="46">
        <f t="shared" si="324"/>
        <v>-100</v>
      </c>
      <c r="AG831" s="46">
        <f t="shared" si="343"/>
        <v>-100</v>
      </c>
      <c r="AH831" s="54">
        <f t="shared" si="325"/>
        <v>5600</v>
      </c>
      <c r="AI831" s="55">
        <f t="shared" si="334"/>
        <v>0.10913140311804009</v>
      </c>
      <c r="AJ831" s="55">
        <f t="shared" si="344"/>
        <v>-10.913140311804009</v>
      </c>
      <c r="AK831" s="55">
        <f t="shared" si="345"/>
        <v>-10.913140311804009</v>
      </c>
    </row>
    <row r="832" spans="2:37" s="53" customFormat="1" ht="17.25" customHeight="1" x14ac:dyDescent="0.25">
      <c r="B832" s="91" t="str">
        <f t="shared" si="326"/>
        <v/>
      </c>
      <c r="C832" s="81">
        <f>IF(Sheet3!A803="","",Sheet3!A803)</f>
        <v>43234</v>
      </c>
      <c r="D832" s="82">
        <f>IF(C832="","",Sheet3!E803)</f>
        <v>32.049999</v>
      </c>
      <c r="E832" s="56">
        <f>_xlfn.XLOOKUP(WEEKNUM(C832)&amp;YEAR(C832),Sheet4!C:C,Sheet4!B:B,0)</f>
        <v>0</v>
      </c>
      <c r="F832" s="46">
        <f>IF(int=Weekly,-$D$5,IF(int=Bi_Weekly,0,IF(int=Monthly,0,IF(int=Quarterly,0,IF(int=Yearly,0,IF(int=None,0,0))))))</f>
        <v>0</v>
      </c>
      <c r="G832" s="46"/>
      <c r="H832" s="46">
        <f t="shared" si="335"/>
        <v>-20050</v>
      </c>
      <c r="I832" s="47"/>
      <c r="J832" s="38">
        <f t="shared" si="322"/>
        <v>0</v>
      </c>
      <c r="K832" s="48"/>
      <c r="L832" s="48">
        <f t="shared" si="327"/>
        <v>656.87097037892522</v>
      </c>
      <c r="M832" s="48"/>
      <c r="N832" s="38">
        <f t="shared" si="328"/>
        <v>0</v>
      </c>
      <c r="O832" s="36">
        <f t="shared" si="329"/>
        <v>0</v>
      </c>
      <c r="P832" s="84">
        <f t="shared" si="330"/>
        <v>-29661.848991254898</v>
      </c>
      <c r="Q832" s="38">
        <f t="shared" si="331"/>
        <v>0</v>
      </c>
      <c r="R832" s="48">
        <f t="shared" si="332"/>
        <v>290.16840812042869</v>
      </c>
      <c r="S832" s="38">
        <f t="shared" si="323"/>
        <v>947.03937849935392</v>
      </c>
      <c r="T832" s="50">
        <f t="shared" si="336"/>
        <v>20050</v>
      </c>
      <c r="U832" s="40">
        <f t="shared" si="337"/>
        <v>21052.713943773582</v>
      </c>
      <c r="V832" s="41">
        <f t="shared" si="338"/>
        <v>5.0010670512398159E-2</v>
      </c>
      <c r="W832" s="39">
        <f t="shared" si="339"/>
        <v>1002.7139437735823</v>
      </c>
      <c r="X832" s="50">
        <f t="shared" si="333"/>
        <v>9612.3177412711666</v>
      </c>
      <c r="Y832" s="41">
        <f t="shared" si="340"/>
        <v>0.52942801421669561</v>
      </c>
      <c r="Z832" s="52"/>
      <c r="AA832" s="50">
        <f t="shared" si="346"/>
        <v>29662.317741271174</v>
      </c>
      <c r="AB832" s="39">
        <f t="shared" si="347"/>
        <v>30352.611133864913</v>
      </c>
      <c r="AC832" s="39">
        <f t="shared" si="341"/>
        <v>690.29339259373955</v>
      </c>
      <c r="AD832" s="41">
        <f t="shared" si="342"/>
        <v>2.3271728076504461E-2</v>
      </c>
      <c r="AF832" s="46">
        <f t="shared" si="324"/>
        <v>0</v>
      </c>
      <c r="AG832" s="46">
        <f t="shared" si="343"/>
        <v>0</v>
      </c>
      <c r="AH832" s="54">
        <f t="shared" si="325"/>
        <v>5607</v>
      </c>
      <c r="AI832" s="55">
        <f t="shared" si="334"/>
        <v>0.10801781737193764</v>
      </c>
      <c r="AJ832" s="55">
        <f t="shared" si="344"/>
        <v>0</v>
      </c>
      <c r="AK832" s="55">
        <f t="shared" si="345"/>
        <v>0</v>
      </c>
    </row>
    <row r="833" spans="2:37" s="53" customFormat="1" ht="17.25" customHeight="1" x14ac:dyDescent="0.25">
      <c r="B833" s="91" t="str">
        <f t="shared" si="326"/>
        <v/>
      </c>
      <c r="C833" s="81">
        <f>IF(Sheet3!A804="","",Sheet3!A804)</f>
        <v>43241</v>
      </c>
      <c r="D833" s="82">
        <f>IF(C833="","",Sheet3!E804)</f>
        <v>32.509998000000003</v>
      </c>
      <c r="E833" s="56">
        <f>_xlfn.XLOOKUP(WEEKNUM(C833)&amp;YEAR(C833),Sheet4!C:C,Sheet4!B:B,0)</f>
        <v>0</v>
      </c>
      <c r="F833" s="46">
        <f>IF(int=Weekly,-$D$5,IF(int=Bi_Weekly,-$D$5,IF(int=Monthly,0,IF(int=Quarterly,0,IF(int=Yearly,0,IF(int=None,0,0))))))</f>
        <v>0</v>
      </c>
      <c r="G833" s="46"/>
      <c r="H833" s="46">
        <f t="shared" si="335"/>
        <v>-20050</v>
      </c>
      <c r="I833" s="47"/>
      <c r="J833" s="38">
        <f t="shared" si="322"/>
        <v>0</v>
      </c>
      <c r="K833" s="48"/>
      <c r="L833" s="48">
        <f t="shared" si="327"/>
        <v>656.87097037892522</v>
      </c>
      <c r="M833" s="48"/>
      <c r="N833" s="38">
        <f t="shared" si="328"/>
        <v>0</v>
      </c>
      <c r="O833" s="36">
        <f t="shared" si="329"/>
        <v>0</v>
      </c>
      <c r="P833" s="84">
        <f t="shared" si="330"/>
        <v>-29661.848991254898</v>
      </c>
      <c r="Q833" s="38">
        <f t="shared" si="331"/>
        <v>0</v>
      </c>
      <c r="R833" s="48">
        <f t="shared" si="332"/>
        <v>290.16840812042869</v>
      </c>
      <c r="S833" s="38">
        <f t="shared" si="323"/>
        <v>947.03937849935392</v>
      </c>
      <c r="T833" s="50">
        <f t="shared" si="336"/>
        <v>20050</v>
      </c>
      <c r="U833" s="40">
        <f t="shared" si="337"/>
        <v>21354.873933276922</v>
      </c>
      <c r="V833" s="41">
        <f t="shared" si="338"/>
        <v>6.5080994178400076E-2</v>
      </c>
      <c r="W833" s="39">
        <f t="shared" si="339"/>
        <v>1304.8739332769219</v>
      </c>
      <c r="X833" s="50">
        <f t="shared" si="333"/>
        <v>9612.3177412711666</v>
      </c>
      <c r="Y833" s="41">
        <f t="shared" si="340"/>
        <v>0.54449833788269775</v>
      </c>
      <c r="Z833" s="52"/>
      <c r="AA833" s="50">
        <f t="shared" si="346"/>
        <v>29662.317741271174</v>
      </c>
      <c r="AB833" s="39">
        <f t="shared" si="347"/>
        <v>30788.248300935244</v>
      </c>
      <c r="AC833" s="39">
        <f t="shared" si="341"/>
        <v>1125.9305596640697</v>
      </c>
      <c r="AD833" s="41">
        <f t="shared" si="342"/>
        <v>3.7958279912074566E-2</v>
      </c>
      <c r="AF833" s="46">
        <f t="shared" si="324"/>
        <v>0</v>
      </c>
      <c r="AG833" s="46">
        <f t="shared" si="343"/>
        <v>0</v>
      </c>
      <c r="AH833" s="54">
        <f t="shared" si="325"/>
        <v>5614</v>
      </c>
      <c r="AI833" s="55">
        <f t="shared" si="334"/>
        <v>0.10690423162583519</v>
      </c>
      <c r="AJ833" s="55">
        <f t="shared" si="344"/>
        <v>0</v>
      </c>
      <c r="AK833" s="55">
        <f t="shared" si="345"/>
        <v>0</v>
      </c>
    </row>
    <row r="834" spans="2:37" s="53" customFormat="1" ht="17.25" customHeight="1" x14ac:dyDescent="0.25">
      <c r="B834" s="91" t="str">
        <f t="shared" si="326"/>
        <v/>
      </c>
      <c r="C834" s="81">
        <f>IF(Sheet3!A805="","",Sheet3!A805)</f>
        <v>43248</v>
      </c>
      <c r="D834" s="82">
        <f>IF(C834="","",Sheet3!E805)</f>
        <v>32.470001000000003</v>
      </c>
      <c r="E834" s="56">
        <f>_xlfn.XLOOKUP(WEEKNUM(C834)&amp;YEAR(C834),Sheet4!C:C,Sheet4!B:B,0)</f>
        <v>0</v>
      </c>
      <c r="F834" s="46">
        <f>IF(int=Weekly,-$D$5,IF(int=Bi_Weekly,0,IF(int=Monthly,0,IF(int=Quarterly,0,IF(int=Yearly,0,IF(int=None,0,0))))))</f>
        <v>0</v>
      </c>
      <c r="G834" s="46"/>
      <c r="H834" s="46">
        <f t="shared" si="335"/>
        <v>-20050</v>
      </c>
      <c r="I834" s="47"/>
      <c r="J834" s="38">
        <f t="shared" si="322"/>
        <v>0</v>
      </c>
      <c r="K834" s="48"/>
      <c r="L834" s="48">
        <f t="shared" si="327"/>
        <v>656.87097037892522</v>
      </c>
      <c r="M834" s="48"/>
      <c r="N834" s="38">
        <f t="shared" si="328"/>
        <v>0</v>
      </c>
      <c r="O834" s="36">
        <f t="shared" si="329"/>
        <v>0</v>
      </c>
      <c r="P834" s="84">
        <f t="shared" si="330"/>
        <v>-29661.848991254898</v>
      </c>
      <c r="Q834" s="38">
        <f t="shared" si="331"/>
        <v>0</v>
      </c>
      <c r="R834" s="48">
        <f t="shared" si="332"/>
        <v>290.16840812042869</v>
      </c>
      <c r="S834" s="38">
        <f t="shared" si="323"/>
        <v>947.03937849935392</v>
      </c>
      <c r="T834" s="50">
        <f t="shared" si="336"/>
        <v>20050</v>
      </c>
      <c r="U834" s="40">
        <f t="shared" si="337"/>
        <v>21328.601065074676</v>
      </c>
      <c r="V834" s="41">
        <f t="shared" si="338"/>
        <v>6.3770626687016163E-2</v>
      </c>
      <c r="W834" s="39">
        <f t="shared" si="339"/>
        <v>1278.6010650746757</v>
      </c>
      <c r="X834" s="50">
        <f t="shared" si="333"/>
        <v>9612.3177412711666</v>
      </c>
      <c r="Y834" s="41">
        <f t="shared" si="340"/>
        <v>0.54318797039131383</v>
      </c>
      <c r="Z834" s="52"/>
      <c r="AA834" s="50">
        <f t="shared" si="346"/>
        <v>29662.317741271174</v>
      </c>
      <c r="AB834" s="39">
        <f t="shared" si="347"/>
        <v>30750.369566913403</v>
      </c>
      <c r="AC834" s="39">
        <f t="shared" si="341"/>
        <v>1088.0518256422292</v>
      </c>
      <c r="AD834" s="41">
        <f t="shared" si="342"/>
        <v>3.6681281453888159E-2</v>
      </c>
      <c r="AF834" s="46">
        <f t="shared" si="324"/>
        <v>0</v>
      </c>
      <c r="AG834" s="46">
        <f t="shared" si="343"/>
        <v>0</v>
      </c>
      <c r="AH834" s="54">
        <f t="shared" si="325"/>
        <v>5621</v>
      </c>
      <c r="AI834" s="55">
        <f t="shared" si="334"/>
        <v>0.10579064587973273</v>
      </c>
      <c r="AJ834" s="55">
        <f t="shared" si="344"/>
        <v>0</v>
      </c>
      <c r="AK834" s="55">
        <f t="shared" si="345"/>
        <v>0</v>
      </c>
    </row>
    <row r="835" spans="2:37" s="53" customFormat="1" ht="17.25" customHeight="1" x14ac:dyDescent="0.25">
      <c r="B835" s="91" t="str">
        <f t="shared" si="326"/>
        <v/>
      </c>
      <c r="C835" s="81">
        <f>IF(Sheet3!A806="","",Sheet3!A806)</f>
        <v>43255</v>
      </c>
      <c r="D835" s="82">
        <f>IF(C835="","",Sheet3!E806)</f>
        <v>33.830002</v>
      </c>
      <c r="E835" s="56">
        <f>_xlfn.XLOOKUP(WEEKNUM(C835)&amp;YEAR(C835),Sheet4!C:C,Sheet4!B:B,0)</f>
        <v>0</v>
      </c>
      <c r="F835" s="46">
        <f>IF(int=Weekly,-$D$5,IF(int=Bi_Weekly,-$D$5,IF(int=Monthly,-$D$5,IF(int=Quarterly,0,IF(int=Yearly,0,IF(int=None,0,0))))))</f>
        <v>-100</v>
      </c>
      <c r="G835" s="46"/>
      <c r="H835" s="46">
        <f t="shared" si="335"/>
        <v>-20150</v>
      </c>
      <c r="I835" s="47"/>
      <c r="J835" s="38">
        <f t="shared" si="322"/>
        <v>2.9559560770939357</v>
      </c>
      <c r="K835" s="48"/>
      <c r="L835" s="48">
        <f t="shared" si="327"/>
        <v>659.82692645601912</v>
      </c>
      <c r="M835" s="48"/>
      <c r="N835" s="38">
        <f t="shared" si="328"/>
        <v>0</v>
      </c>
      <c r="O835" s="36">
        <f t="shared" si="329"/>
        <v>0</v>
      </c>
      <c r="P835" s="84">
        <f t="shared" si="330"/>
        <v>-29761.848991254898</v>
      </c>
      <c r="Q835" s="38">
        <f t="shared" si="331"/>
        <v>0</v>
      </c>
      <c r="R835" s="48">
        <f t="shared" si="332"/>
        <v>290.16840812042869</v>
      </c>
      <c r="S835" s="38">
        <f t="shared" si="323"/>
        <v>949.99533457644782</v>
      </c>
      <c r="T835" s="50">
        <f t="shared" si="336"/>
        <v>20150</v>
      </c>
      <c r="U835" s="40">
        <f t="shared" si="337"/>
        <v>22321.946241660979</v>
      </c>
      <c r="V835" s="41">
        <f t="shared" si="338"/>
        <v>0.10778889536779057</v>
      </c>
      <c r="W835" s="39">
        <f t="shared" si="339"/>
        <v>2171.9462416609786</v>
      </c>
      <c r="X835" s="50">
        <f t="shared" si="333"/>
        <v>9612.3177412711666</v>
      </c>
      <c r="Y835" s="41">
        <f t="shared" si="340"/>
        <v>0.58482699667157045</v>
      </c>
      <c r="Z835" s="52"/>
      <c r="AA835" s="50">
        <f t="shared" si="346"/>
        <v>29762.317741271174</v>
      </c>
      <c r="AB835" s="39">
        <f t="shared" si="347"/>
        <v>32138.3440687119</v>
      </c>
      <c r="AC835" s="39">
        <f t="shared" si="341"/>
        <v>2376.0263274407262</v>
      </c>
      <c r="AD835" s="41">
        <f t="shared" si="342"/>
        <v>7.983337682555236E-2</v>
      </c>
      <c r="AF835" s="46">
        <f t="shared" si="324"/>
        <v>-100</v>
      </c>
      <c r="AG835" s="46">
        <f t="shared" si="343"/>
        <v>-100</v>
      </c>
      <c r="AH835" s="54">
        <f t="shared" si="325"/>
        <v>5628</v>
      </c>
      <c r="AI835" s="55">
        <f t="shared" si="334"/>
        <v>0.10467706013363029</v>
      </c>
      <c r="AJ835" s="55">
        <f t="shared" si="344"/>
        <v>-10.46770601336303</v>
      </c>
      <c r="AK835" s="55">
        <f t="shared" si="345"/>
        <v>-10.46770601336303</v>
      </c>
    </row>
    <row r="836" spans="2:37" s="53" customFormat="1" ht="17.25" customHeight="1" x14ac:dyDescent="0.25">
      <c r="B836" s="91" t="str">
        <f t="shared" si="326"/>
        <v/>
      </c>
      <c r="C836" s="81">
        <f>IF(Sheet3!A807="","",Sheet3!A807)</f>
        <v>43262</v>
      </c>
      <c r="D836" s="82">
        <f>IF(C836="","",Sheet3!E807)</f>
        <v>33.150002000000001</v>
      </c>
      <c r="E836" s="56">
        <f>_xlfn.XLOOKUP(WEEKNUM(C836)&amp;YEAR(C836),Sheet4!C:C,Sheet4!B:B,0)</f>
        <v>0</v>
      </c>
      <c r="F836" s="46">
        <f>IF(int=Weekly,-$D$5,IF(int=Bi_Weekly,0,IF(int=Monthly,0,IF(int=Quarterly,0,IF(int=Yearly,0,IF(int=None,0,0))))))</f>
        <v>0</v>
      </c>
      <c r="G836" s="46"/>
      <c r="H836" s="46">
        <f t="shared" si="335"/>
        <v>-20150</v>
      </c>
      <c r="I836" s="47"/>
      <c r="J836" s="38">
        <f t="shared" si="322"/>
        <v>0</v>
      </c>
      <c r="K836" s="48"/>
      <c r="L836" s="48">
        <f t="shared" si="327"/>
        <v>659.82692645601912</v>
      </c>
      <c r="M836" s="48"/>
      <c r="N836" s="38">
        <f t="shared" si="328"/>
        <v>0</v>
      </c>
      <c r="O836" s="36">
        <f t="shared" si="329"/>
        <v>0</v>
      </c>
      <c r="P836" s="84">
        <f t="shared" si="330"/>
        <v>-29761.848991254898</v>
      </c>
      <c r="Q836" s="38">
        <f t="shared" si="331"/>
        <v>0</v>
      </c>
      <c r="R836" s="48">
        <f t="shared" si="332"/>
        <v>290.16840812042869</v>
      </c>
      <c r="S836" s="38">
        <f t="shared" si="323"/>
        <v>949.99533457644782</v>
      </c>
      <c r="T836" s="50">
        <f t="shared" si="336"/>
        <v>20150</v>
      </c>
      <c r="U836" s="40">
        <f t="shared" si="337"/>
        <v>21873.263931670888</v>
      </c>
      <c r="V836" s="41">
        <f t="shared" si="338"/>
        <v>8.5521783209473456E-2</v>
      </c>
      <c r="W836" s="39">
        <f t="shared" si="339"/>
        <v>1723.2639316708883</v>
      </c>
      <c r="X836" s="50">
        <f t="shared" si="333"/>
        <v>9612.3177412711666</v>
      </c>
      <c r="Y836" s="41">
        <f t="shared" si="340"/>
        <v>0.56255988451325334</v>
      </c>
      <c r="Z836" s="52"/>
      <c r="AA836" s="50">
        <f t="shared" si="346"/>
        <v>29762.317741271174</v>
      </c>
      <c r="AB836" s="39">
        <f t="shared" si="347"/>
        <v>31492.347241199917</v>
      </c>
      <c r="AC836" s="39">
        <f t="shared" si="341"/>
        <v>1730.0294999287435</v>
      </c>
      <c r="AD836" s="41">
        <f t="shared" si="342"/>
        <v>5.8128184604713251E-2</v>
      </c>
      <c r="AF836" s="46">
        <f t="shared" si="324"/>
        <v>0</v>
      </c>
      <c r="AG836" s="46">
        <f t="shared" si="343"/>
        <v>0</v>
      </c>
      <c r="AH836" s="54">
        <f t="shared" si="325"/>
        <v>5635</v>
      </c>
      <c r="AI836" s="55">
        <f t="shared" si="334"/>
        <v>0.10356347438752785</v>
      </c>
      <c r="AJ836" s="55">
        <f t="shared" si="344"/>
        <v>0</v>
      </c>
      <c r="AK836" s="55">
        <f t="shared" si="345"/>
        <v>0</v>
      </c>
    </row>
    <row r="837" spans="2:37" s="53" customFormat="1" ht="17.25" customHeight="1" x14ac:dyDescent="0.25">
      <c r="B837" s="91" t="str">
        <f t="shared" si="326"/>
        <v/>
      </c>
      <c r="C837" s="81">
        <f>IF(Sheet3!A808="","",Sheet3!A808)</f>
        <v>43269</v>
      </c>
      <c r="D837" s="82">
        <f>IF(C837="","",Sheet3!E808)</f>
        <v>31.690000999999999</v>
      </c>
      <c r="E837" s="56">
        <f>_xlfn.XLOOKUP(WEEKNUM(C837)&amp;YEAR(C837),Sheet4!C:C,Sheet4!B:B,0)</f>
        <v>0</v>
      </c>
      <c r="F837" s="46">
        <f>IF(int=Weekly,-$D$5,IF(int=Bi_Weekly,-$D$5,IF(int=Monthly,0,IF(int=Quarterly,-$D$5,IF(int=Yearly,0,IF(int=None,0,0))))))</f>
        <v>0</v>
      </c>
      <c r="G837" s="46"/>
      <c r="H837" s="46">
        <f t="shared" si="335"/>
        <v>-20150</v>
      </c>
      <c r="I837" s="47"/>
      <c r="J837" s="38">
        <f t="shared" si="322"/>
        <v>0</v>
      </c>
      <c r="K837" s="48"/>
      <c r="L837" s="48">
        <f t="shared" si="327"/>
        <v>659.82692645601912</v>
      </c>
      <c r="M837" s="48"/>
      <c r="N837" s="38">
        <f t="shared" si="328"/>
        <v>0</v>
      </c>
      <c r="O837" s="36">
        <f t="shared" si="329"/>
        <v>0</v>
      </c>
      <c r="P837" s="84">
        <f t="shared" si="330"/>
        <v>-29761.848991254898</v>
      </c>
      <c r="Q837" s="38">
        <f t="shared" si="331"/>
        <v>0</v>
      </c>
      <c r="R837" s="48">
        <f t="shared" si="332"/>
        <v>290.16840812042869</v>
      </c>
      <c r="S837" s="38">
        <f t="shared" si="323"/>
        <v>949.99533457644782</v>
      </c>
      <c r="T837" s="50">
        <f t="shared" si="336"/>
        <v>20150</v>
      </c>
      <c r="U837" s="40">
        <f t="shared" si="337"/>
        <v>20909.915959218171</v>
      </c>
      <c r="V837" s="41">
        <f t="shared" si="338"/>
        <v>3.7712950829685843E-2</v>
      </c>
      <c r="W837" s="39">
        <f t="shared" si="339"/>
        <v>759.91595921817134</v>
      </c>
      <c r="X837" s="50">
        <f t="shared" si="333"/>
        <v>9612.3177412711666</v>
      </c>
      <c r="Y837" s="41">
        <f t="shared" si="340"/>
        <v>0.51475105213346595</v>
      </c>
      <c r="Z837" s="52"/>
      <c r="AA837" s="50">
        <f t="shared" si="346"/>
        <v>29762.317741271174</v>
      </c>
      <c r="AB837" s="39">
        <f t="shared" si="347"/>
        <v>30105.353102722962</v>
      </c>
      <c r="AC837" s="39">
        <f t="shared" si="341"/>
        <v>343.03536145178805</v>
      </c>
      <c r="AD837" s="41">
        <f t="shared" si="342"/>
        <v>1.1525828211157885E-2</v>
      </c>
      <c r="AF837" s="46">
        <f t="shared" si="324"/>
        <v>0</v>
      </c>
      <c r="AG837" s="46">
        <f t="shared" si="343"/>
        <v>0</v>
      </c>
      <c r="AH837" s="54">
        <f t="shared" si="325"/>
        <v>5642</v>
      </c>
      <c r="AI837" s="55">
        <f t="shared" si="334"/>
        <v>0.10244988864142539</v>
      </c>
      <c r="AJ837" s="55">
        <f t="shared" si="344"/>
        <v>0</v>
      </c>
      <c r="AK837" s="55">
        <f t="shared" si="345"/>
        <v>0</v>
      </c>
    </row>
    <row r="838" spans="2:37" s="53" customFormat="1" ht="17.25" customHeight="1" x14ac:dyDescent="0.25">
      <c r="B838" s="91" t="str">
        <f t="shared" si="326"/>
        <v/>
      </c>
      <c r="C838" s="81">
        <f>IF(Sheet3!A809="","",Sheet3!A809)</f>
        <v>43276</v>
      </c>
      <c r="D838" s="82">
        <f>IF(C838="","",Sheet3!E809)</f>
        <v>32.110000999999997</v>
      </c>
      <c r="E838" s="56">
        <f>_xlfn.XLOOKUP(WEEKNUM(C838)&amp;YEAR(C838),Sheet4!C:C,Sheet4!B:B,0)</f>
        <v>0</v>
      </c>
      <c r="F838" s="46">
        <f>IF(int=Weekly,-$D$5,IF(int=Bi_Weekly,0,IF(int=Monthly,0,IF(int=Quarterly,0,IF(int=Yearly,0,IF(int=None,0,0))))))</f>
        <v>0</v>
      </c>
      <c r="G838" s="46"/>
      <c r="H838" s="46">
        <f t="shared" si="335"/>
        <v>-20150</v>
      </c>
      <c r="I838" s="47"/>
      <c r="J838" s="38">
        <f t="shared" si="322"/>
        <v>0</v>
      </c>
      <c r="K838" s="48"/>
      <c r="L838" s="48">
        <f t="shared" si="327"/>
        <v>659.82692645601912</v>
      </c>
      <c r="M838" s="48"/>
      <c r="N838" s="38">
        <f t="shared" si="328"/>
        <v>0</v>
      </c>
      <c r="O838" s="36">
        <f t="shared" si="329"/>
        <v>0</v>
      </c>
      <c r="P838" s="84">
        <f t="shared" si="330"/>
        <v>-29761.848991254898</v>
      </c>
      <c r="Q838" s="38">
        <f t="shared" si="331"/>
        <v>0</v>
      </c>
      <c r="R838" s="48">
        <f t="shared" si="332"/>
        <v>290.16840812042869</v>
      </c>
      <c r="S838" s="38">
        <f t="shared" si="323"/>
        <v>949.99533457644782</v>
      </c>
      <c r="T838" s="50">
        <f t="shared" si="336"/>
        <v>20150</v>
      </c>
      <c r="U838" s="40">
        <f t="shared" si="337"/>
        <v>21187.043268329697</v>
      </c>
      <c r="V838" s="41">
        <f t="shared" si="338"/>
        <v>5.1466167162764087E-2</v>
      </c>
      <c r="W838" s="39">
        <f t="shared" si="339"/>
        <v>1037.0432683296967</v>
      </c>
      <c r="X838" s="50">
        <f t="shared" si="333"/>
        <v>9612.3177412711666</v>
      </c>
      <c r="Y838" s="41">
        <f t="shared" si="340"/>
        <v>0.52850426846654419</v>
      </c>
      <c r="Z838" s="52"/>
      <c r="AA838" s="50">
        <f t="shared" si="346"/>
        <v>29762.317741271174</v>
      </c>
      <c r="AB838" s="39">
        <f t="shared" si="347"/>
        <v>30504.351143245069</v>
      </c>
      <c r="AC838" s="39">
        <f t="shared" si="341"/>
        <v>742.0334019738948</v>
      </c>
      <c r="AD838" s="41">
        <f t="shared" si="342"/>
        <v>2.4931976347558615E-2</v>
      </c>
      <c r="AF838" s="46">
        <f t="shared" si="324"/>
        <v>0</v>
      </c>
      <c r="AG838" s="46">
        <f t="shared" si="343"/>
        <v>0</v>
      </c>
      <c r="AH838" s="54">
        <f t="shared" si="325"/>
        <v>5649</v>
      </c>
      <c r="AI838" s="55">
        <f t="shared" si="334"/>
        <v>0.10133630289532294</v>
      </c>
      <c r="AJ838" s="55">
        <f t="shared" si="344"/>
        <v>0</v>
      </c>
      <c r="AK838" s="55">
        <f t="shared" si="345"/>
        <v>0</v>
      </c>
    </row>
    <row r="839" spans="2:37" s="53" customFormat="1" ht="17.25" customHeight="1" x14ac:dyDescent="0.25">
      <c r="B839" s="91" t="str">
        <f t="shared" si="326"/>
        <v/>
      </c>
      <c r="C839" s="81">
        <f>IF(Sheet3!A810="","",Sheet3!A810)</f>
        <v>43283</v>
      </c>
      <c r="D839" s="82">
        <f>IF(C839="","",Sheet3!E810)</f>
        <v>32.68</v>
      </c>
      <c r="E839" s="56">
        <f>_xlfn.XLOOKUP(WEEKNUM(C839)&amp;YEAR(C839),Sheet4!C:C,Sheet4!B:B,0)</f>
        <v>0</v>
      </c>
      <c r="F839" s="46">
        <f>IF(int=Weekly,-$D$5,IF(int=Bi_Weekly,-$D$5,IF(int=Monthly,-$D$5,IF(int=Quarterly,0,IF(int=Yearly,0,IF(int=None,0,0))))))</f>
        <v>-100</v>
      </c>
      <c r="G839" s="46"/>
      <c r="H839" s="46">
        <f t="shared" si="335"/>
        <v>-20250</v>
      </c>
      <c r="I839" s="47"/>
      <c r="J839" s="38">
        <f t="shared" si="322"/>
        <v>3.0599755201958385</v>
      </c>
      <c r="K839" s="48"/>
      <c r="L839" s="48">
        <f t="shared" si="327"/>
        <v>662.88690197621497</v>
      </c>
      <c r="M839" s="48"/>
      <c r="N839" s="38">
        <f t="shared" si="328"/>
        <v>0</v>
      </c>
      <c r="O839" s="36">
        <f t="shared" si="329"/>
        <v>0</v>
      </c>
      <c r="P839" s="84">
        <f t="shared" si="330"/>
        <v>-29861.848991254898</v>
      </c>
      <c r="Q839" s="38">
        <f t="shared" si="331"/>
        <v>0</v>
      </c>
      <c r="R839" s="48">
        <f t="shared" si="332"/>
        <v>290.16840812042869</v>
      </c>
      <c r="S839" s="38">
        <f t="shared" si="323"/>
        <v>953.05531009664367</v>
      </c>
      <c r="T839" s="50">
        <f t="shared" si="336"/>
        <v>20250</v>
      </c>
      <c r="U839" s="40">
        <f t="shared" si="337"/>
        <v>21663.143956582706</v>
      </c>
      <c r="V839" s="41">
        <f t="shared" si="338"/>
        <v>6.978488674482497E-2</v>
      </c>
      <c r="W839" s="39">
        <f t="shared" si="339"/>
        <v>1413.1439565827059</v>
      </c>
      <c r="X839" s="50">
        <f t="shared" si="333"/>
        <v>9612.3177412711666</v>
      </c>
      <c r="Y839" s="41">
        <f t="shared" si="340"/>
        <v>0.54446724433846283</v>
      </c>
      <c r="Z839" s="52"/>
      <c r="AA839" s="50">
        <f t="shared" si="346"/>
        <v>29862.317741271174</v>
      </c>
      <c r="AB839" s="39">
        <f t="shared" si="347"/>
        <v>31145.847533958316</v>
      </c>
      <c r="AC839" s="39">
        <f t="shared" si="341"/>
        <v>1283.5297926871426</v>
      </c>
      <c r="AD839" s="41">
        <f t="shared" si="342"/>
        <v>4.2981586486612322E-2</v>
      </c>
      <c r="AF839" s="46">
        <f t="shared" si="324"/>
        <v>-100</v>
      </c>
      <c r="AG839" s="46">
        <f t="shared" si="343"/>
        <v>-100</v>
      </c>
      <c r="AH839" s="54">
        <f t="shared" si="325"/>
        <v>5656</v>
      </c>
      <c r="AI839" s="55">
        <f t="shared" si="334"/>
        <v>0.10022271714922049</v>
      </c>
      <c r="AJ839" s="55">
        <f t="shared" si="344"/>
        <v>-10.022271714922049</v>
      </c>
      <c r="AK839" s="55">
        <f t="shared" si="345"/>
        <v>-10.022271714922049</v>
      </c>
    </row>
    <row r="840" spans="2:37" s="53" customFormat="1" ht="17.25" customHeight="1" x14ac:dyDescent="0.25">
      <c r="B840" s="91" t="str">
        <f t="shared" si="326"/>
        <v/>
      </c>
      <c r="C840" s="81">
        <f>IF(Sheet3!A811="","",Sheet3!A811)</f>
        <v>43290</v>
      </c>
      <c r="D840" s="82">
        <f>IF(C840="","",Sheet3!E811)</f>
        <v>31.67</v>
      </c>
      <c r="E840" s="56">
        <f>_xlfn.XLOOKUP(WEEKNUM(C840)&amp;YEAR(C840),Sheet4!C:C,Sheet4!B:B,0)</f>
        <v>0.5</v>
      </c>
      <c r="F840" s="46">
        <f>IF(int=Weekly,-$D$5,IF(int=Bi_Weekly,0,IF(int=Monthly,0,IF(int=Quarterly,0,IF(int=Yearly,0,IF(int=None,0,0))))))</f>
        <v>0</v>
      </c>
      <c r="G840" s="46"/>
      <c r="H840" s="46">
        <f t="shared" si="335"/>
        <v>-20250</v>
      </c>
      <c r="I840" s="47"/>
      <c r="J840" s="38">
        <f t="shared" si="322"/>
        <v>0</v>
      </c>
      <c r="K840" s="48"/>
      <c r="L840" s="48">
        <f t="shared" si="327"/>
        <v>662.88690197621497</v>
      </c>
      <c r="M840" s="48"/>
      <c r="N840" s="38">
        <f t="shared" si="328"/>
        <v>331.44345098810749</v>
      </c>
      <c r="O840" s="36">
        <f t="shared" si="329"/>
        <v>-331.44345098810749</v>
      </c>
      <c r="P840" s="84">
        <f t="shared" si="330"/>
        <v>-30193.292442243004</v>
      </c>
      <c r="Q840" s="38">
        <f t="shared" si="331"/>
        <v>10.465533659239263</v>
      </c>
      <c r="R840" s="48">
        <f t="shared" si="332"/>
        <v>300.63394177966796</v>
      </c>
      <c r="S840" s="38">
        <f t="shared" si="323"/>
        <v>963.52084375588288</v>
      </c>
      <c r="T840" s="50">
        <f t="shared" si="336"/>
        <v>20250</v>
      </c>
      <c r="U840" s="40">
        <f t="shared" si="337"/>
        <v>20993.628185586731</v>
      </c>
      <c r="V840" s="41">
        <f t="shared" si="338"/>
        <v>3.6722379535147232E-2</v>
      </c>
      <c r="W840" s="39">
        <f t="shared" si="339"/>
        <v>743.62818558673098</v>
      </c>
      <c r="X840" s="50">
        <f t="shared" si="333"/>
        <v>9943.7611922592732</v>
      </c>
      <c r="Y840" s="41">
        <f t="shared" si="340"/>
        <v>0.52777231495535815</v>
      </c>
      <c r="Z840" s="52"/>
      <c r="AA840" s="50">
        <f t="shared" si="346"/>
        <v>30193.761192259281</v>
      </c>
      <c r="AB840" s="39">
        <f t="shared" si="347"/>
        <v>30514.705121748815</v>
      </c>
      <c r="AC840" s="39">
        <f t="shared" si="341"/>
        <v>320.94392948953464</v>
      </c>
      <c r="AD840" s="41">
        <f t="shared" si="342"/>
        <v>1.062947830334604E-2</v>
      </c>
      <c r="AF840" s="46">
        <f t="shared" si="324"/>
        <v>331.44345098810749</v>
      </c>
      <c r="AG840" s="46">
        <f t="shared" si="343"/>
        <v>0</v>
      </c>
      <c r="AH840" s="54">
        <f t="shared" si="325"/>
        <v>5663</v>
      </c>
      <c r="AI840" s="55">
        <f t="shared" si="334"/>
        <v>9.9109131403118042E-2</v>
      </c>
      <c r="AJ840" s="55">
        <f t="shared" si="344"/>
        <v>32.849072536683259</v>
      </c>
      <c r="AK840" s="55">
        <f t="shared" si="345"/>
        <v>0</v>
      </c>
    </row>
    <row r="841" spans="2:37" s="53" customFormat="1" ht="17.25" customHeight="1" x14ac:dyDescent="0.25">
      <c r="B841" s="91" t="str">
        <f t="shared" si="326"/>
        <v/>
      </c>
      <c r="C841" s="81">
        <f>IF(Sheet3!A812="","",Sheet3!A812)</f>
        <v>43297</v>
      </c>
      <c r="D841" s="82">
        <f>IF(C841="","",Sheet3!E812)</f>
        <v>31.1</v>
      </c>
      <c r="E841" s="56">
        <f>_xlfn.XLOOKUP(WEEKNUM(C841)&amp;YEAR(C841),Sheet4!C:C,Sheet4!B:B,0)</f>
        <v>0</v>
      </c>
      <c r="F841" s="46">
        <f>IF(int=Weekly,-$D$5,IF(int=Bi_Weekly,-$D$5,IF(int=Monthly,0,IF(int=Quarterly,0,IF(int=Yearly,0,IF(int=None,0,0))))))</f>
        <v>0</v>
      </c>
      <c r="G841" s="46"/>
      <c r="H841" s="46">
        <f t="shared" si="335"/>
        <v>-20250</v>
      </c>
      <c r="I841" s="47"/>
      <c r="J841" s="38">
        <f t="shared" si="322"/>
        <v>0</v>
      </c>
      <c r="K841" s="48"/>
      <c r="L841" s="48">
        <f t="shared" si="327"/>
        <v>662.88690197621497</v>
      </c>
      <c r="M841" s="48"/>
      <c r="N841" s="38">
        <f t="shared" si="328"/>
        <v>0</v>
      </c>
      <c r="O841" s="36">
        <f t="shared" si="329"/>
        <v>0</v>
      </c>
      <c r="P841" s="84">
        <f t="shared" si="330"/>
        <v>-30193.292442243004</v>
      </c>
      <c r="Q841" s="38">
        <f t="shared" si="331"/>
        <v>0</v>
      </c>
      <c r="R841" s="48">
        <f t="shared" si="332"/>
        <v>300.63394177966796</v>
      </c>
      <c r="S841" s="38">
        <f t="shared" si="323"/>
        <v>963.52084375588288</v>
      </c>
      <c r="T841" s="50">
        <f t="shared" si="336"/>
        <v>20250</v>
      </c>
      <c r="U841" s="40">
        <f t="shared" si="337"/>
        <v>20615.782651460286</v>
      </c>
      <c r="V841" s="41">
        <f t="shared" si="338"/>
        <v>1.8063340812853657E-2</v>
      </c>
      <c r="W841" s="39">
        <f t="shared" si="339"/>
        <v>365.78265146028571</v>
      </c>
      <c r="X841" s="50">
        <f t="shared" si="333"/>
        <v>9943.7611922592732</v>
      </c>
      <c r="Y841" s="41">
        <f t="shared" si="340"/>
        <v>0.50911327623306457</v>
      </c>
      <c r="Z841" s="52"/>
      <c r="AA841" s="50">
        <f t="shared" si="346"/>
        <v>30193.761192259281</v>
      </c>
      <c r="AB841" s="39">
        <f t="shared" si="347"/>
        <v>29965.49824080796</v>
      </c>
      <c r="AC841" s="39">
        <f t="shared" si="341"/>
        <v>-228.26295145132099</v>
      </c>
      <c r="AD841" s="41">
        <f t="shared" si="342"/>
        <v>-7.5599376307526889E-3</v>
      </c>
      <c r="AF841" s="46">
        <f t="shared" si="324"/>
        <v>0</v>
      </c>
      <c r="AG841" s="46">
        <f t="shared" si="343"/>
        <v>0</v>
      </c>
      <c r="AH841" s="54">
        <f t="shared" si="325"/>
        <v>5670</v>
      </c>
      <c r="AI841" s="55">
        <f t="shared" si="334"/>
        <v>9.7995545657015584E-2</v>
      </c>
      <c r="AJ841" s="55">
        <f t="shared" si="344"/>
        <v>0</v>
      </c>
      <c r="AK841" s="55">
        <f t="shared" si="345"/>
        <v>0</v>
      </c>
    </row>
    <row r="842" spans="2:37" s="53" customFormat="1" ht="17.25" customHeight="1" x14ac:dyDescent="0.25">
      <c r="B842" s="91" t="str">
        <f t="shared" si="326"/>
        <v/>
      </c>
      <c r="C842" s="81">
        <f>IF(Sheet3!A813="","",Sheet3!A813)</f>
        <v>43304</v>
      </c>
      <c r="D842" s="82">
        <f>IF(C842="","",Sheet3!E813)</f>
        <v>31.08</v>
      </c>
      <c r="E842" s="56">
        <f>_xlfn.XLOOKUP(WEEKNUM(C842)&amp;YEAR(C842),Sheet4!C:C,Sheet4!B:B,0)</f>
        <v>0</v>
      </c>
      <c r="F842" s="46">
        <f>IF(int=Weekly,-$D$5,IF(int=Bi_Weekly,0,IF(int=Monthly,0,IF(int=Quarterly,0,IF(int=Yearly,0,IF(int=None,0,0))))))</f>
        <v>0</v>
      </c>
      <c r="G842" s="46"/>
      <c r="H842" s="46">
        <f t="shared" si="335"/>
        <v>-20250</v>
      </c>
      <c r="I842" s="47"/>
      <c r="J842" s="38">
        <f t="shared" si="322"/>
        <v>0</v>
      </c>
      <c r="K842" s="48"/>
      <c r="L842" s="48">
        <f t="shared" si="327"/>
        <v>662.88690197621497</v>
      </c>
      <c r="M842" s="48"/>
      <c r="N842" s="38">
        <f t="shared" si="328"/>
        <v>0</v>
      </c>
      <c r="O842" s="36">
        <f t="shared" si="329"/>
        <v>0</v>
      </c>
      <c r="P842" s="84">
        <f t="shared" si="330"/>
        <v>-30193.292442243004</v>
      </c>
      <c r="Q842" s="38">
        <f t="shared" si="331"/>
        <v>0</v>
      </c>
      <c r="R842" s="48">
        <f t="shared" si="332"/>
        <v>300.63394177966796</v>
      </c>
      <c r="S842" s="38">
        <f t="shared" si="323"/>
        <v>963.52084375588288</v>
      </c>
      <c r="T842" s="50">
        <f t="shared" si="336"/>
        <v>20250</v>
      </c>
      <c r="U842" s="40">
        <f t="shared" si="337"/>
        <v>20602.524913420759</v>
      </c>
      <c r="V842" s="41">
        <f t="shared" si="338"/>
        <v>1.7408637699790619E-2</v>
      </c>
      <c r="W842" s="39">
        <f t="shared" si="339"/>
        <v>352.52491342075882</v>
      </c>
      <c r="X842" s="50">
        <f t="shared" si="333"/>
        <v>9943.7611922592732</v>
      </c>
      <c r="Y842" s="41">
        <f t="shared" si="340"/>
        <v>0.50845857312000153</v>
      </c>
      <c r="Z842" s="52"/>
      <c r="AA842" s="50">
        <f t="shared" si="346"/>
        <v>30193.761192259281</v>
      </c>
      <c r="AB842" s="39">
        <f t="shared" si="347"/>
        <v>29946.227823932837</v>
      </c>
      <c r="AC842" s="39">
        <f t="shared" si="341"/>
        <v>-247.53336832644345</v>
      </c>
      <c r="AD842" s="41">
        <f t="shared" si="342"/>
        <v>-8.1981627512475175E-3</v>
      </c>
      <c r="AF842" s="46">
        <f t="shared" si="324"/>
        <v>0</v>
      </c>
      <c r="AG842" s="46">
        <f t="shared" si="343"/>
        <v>0</v>
      </c>
      <c r="AH842" s="54">
        <f t="shared" si="325"/>
        <v>5677</v>
      </c>
      <c r="AI842" s="55">
        <f t="shared" si="334"/>
        <v>9.688195991091314E-2</v>
      </c>
      <c r="AJ842" s="55">
        <f t="shared" si="344"/>
        <v>0</v>
      </c>
      <c r="AK842" s="55">
        <f t="shared" si="345"/>
        <v>0</v>
      </c>
    </row>
    <row r="843" spans="2:37" s="53" customFormat="1" ht="17.25" customHeight="1" x14ac:dyDescent="0.25">
      <c r="B843" s="91" t="str">
        <f t="shared" si="326"/>
        <v/>
      </c>
      <c r="C843" s="81">
        <f>IF(Sheet3!A814="","",Sheet3!A814)</f>
        <v>43311</v>
      </c>
      <c r="D843" s="82">
        <f>IF(C843="","",Sheet3!E814)</f>
        <v>32.270000000000003</v>
      </c>
      <c r="E843" s="56">
        <f>_xlfn.XLOOKUP(WEEKNUM(C843)&amp;YEAR(C843),Sheet4!C:C,Sheet4!B:B,0)</f>
        <v>0</v>
      </c>
      <c r="F843" s="46">
        <f>IF(int=Weekly,-$D$5,IF(int=Bi_Weekly,-$D$5,IF(int=Monthly,-$D$5,IF(int=Quarterly,0,IF(int=Yearly,0,IF(int=None,0,0))))))</f>
        <v>-100</v>
      </c>
      <c r="G843" s="46"/>
      <c r="H843" s="46">
        <f t="shared" si="335"/>
        <v>-20350</v>
      </c>
      <c r="I843" s="47"/>
      <c r="J843" s="38">
        <f t="shared" si="322"/>
        <v>3.0988534242330337</v>
      </c>
      <c r="K843" s="48"/>
      <c r="L843" s="48">
        <f t="shared" si="327"/>
        <v>665.98575540044806</v>
      </c>
      <c r="M843" s="48"/>
      <c r="N843" s="38">
        <f t="shared" si="328"/>
        <v>0</v>
      </c>
      <c r="O843" s="36">
        <f t="shared" si="329"/>
        <v>0</v>
      </c>
      <c r="P843" s="84">
        <f t="shared" si="330"/>
        <v>-30293.292442243004</v>
      </c>
      <c r="Q843" s="38">
        <f t="shared" si="331"/>
        <v>0</v>
      </c>
      <c r="R843" s="48">
        <f t="shared" si="332"/>
        <v>300.63394177966796</v>
      </c>
      <c r="S843" s="38">
        <f t="shared" si="323"/>
        <v>966.61969718011596</v>
      </c>
      <c r="T843" s="50">
        <f t="shared" si="336"/>
        <v>20350</v>
      </c>
      <c r="U843" s="40">
        <f t="shared" si="337"/>
        <v>21491.360326772461</v>
      </c>
      <c r="V843" s="41">
        <f t="shared" si="338"/>
        <v>5.6086502544101302E-2</v>
      </c>
      <c r="W843" s="39">
        <f t="shared" si="339"/>
        <v>1141.3603267724611</v>
      </c>
      <c r="X843" s="50">
        <f t="shared" si="333"/>
        <v>9943.7611922592732</v>
      </c>
      <c r="Y843" s="41">
        <f t="shared" si="340"/>
        <v>0.54472341616863562</v>
      </c>
      <c r="Z843" s="52"/>
      <c r="AA843" s="50">
        <f t="shared" si="346"/>
        <v>30293.761192259281</v>
      </c>
      <c r="AB843" s="39">
        <f t="shared" si="347"/>
        <v>31192.817628002347</v>
      </c>
      <c r="AC843" s="39">
        <f t="shared" si="341"/>
        <v>899.05643574306669</v>
      </c>
      <c r="AD843" s="41">
        <f t="shared" si="342"/>
        <v>2.9677940287348603E-2</v>
      </c>
      <c r="AF843" s="46">
        <f t="shared" si="324"/>
        <v>-100</v>
      </c>
      <c r="AG843" s="46">
        <f t="shared" si="343"/>
        <v>-100</v>
      </c>
      <c r="AH843" s="54">
        <f t="shared" si="325"/>
        <v>5684</v>
      </c>
      <c r="AI843" s="55">
        <f t="shared" si="334"/>
        <v>9.5768374164810696E-2</v>
      </c>
      <c r="AJ843" s="55">
        <f t="shared" si="344"/>
        <v>-9.5768374164810695</v>
      </c>
      <c r="AK843" s="55">
        <f t="shared" si="345"/>
        <v>-9.5768374164810695</v>
      </c>
    </row>
    <row r="844" spans="2:37" s="53" customFormat="1" ht="17.25" customHeight="1" x14ac:dyDescent="0.25">
      <c r="B844" s="91" t="str">
        <f t="shared" si="326"/>
        <v/>
      </c>
      <c r="C844" s="81">
        <f>IF(Sheet3!A815="","",Sheet3!A815)</f>
        <v>43318</v>
      </c>
      <c r="D844" s="82">
        <f>IF(C844="","",Sheet3!E815)</f>
        <v>32.259998000000003</v>
      </c>
      <c r="E844" s="56">
        <f>_xlfn.XLOOKUP(WEEKNUM(C844)&amp;YEAR(C844),Sheet4!C:C,Sheet4!B:B,0)</f>
        <v>0</v>
      </c>
      <c r="F844" s="46">
        <f>IF(int=Weekly,-$D$5,IF(int=Bi_Weekly,0,IF(int=Monthly,0,IF(int=Quarterly,0,IF(int=Yearly,0,IF(int=None,0,0))))))</f>
        <v>0</v>
      </c>
      <c r="G844" s="46"/>
      <c r="H844" s="46">
        <f t="shared" si="335"/>
        <v>-20350</v>
      </c>
      <c r="I844" s="47"/>
      <c r="J844" s="38">
        <f t="shared" si="322"/>
        <v>0</v>
      </c>
      <c r="K844" s="48"/>
      <c r="L844" s="48">
        <f t="shared" si="327"/>
        <v>665.98575540044806</v>
      </c>
      <c r="M844" s="48"/>
      <c r="N844" s="38">
        <f t="shared" si="328"/>
        <v>0</v>
      </c>
      <c r="O844" s="36">
        <f t="shared" si="329"/>
        <v>0</v>
      </c>
      <c r="P844" s="84">
        <f t="shared" si="330"/>
        <v>-30293.292442243004</v>
      </c>
      <c r="Q844" s="38">
        <f t="shared" si="331"/>
        <v>0</v>
      </c>
      <c r="R844" s="48">
        <f t="shared" si="332"/>
        <v>300.63394177966796</v>
      </c>
      <c r="S844" s="38">
        <f t="shared" si="323"/>
        <v>966.61969718011596</v>
      </c>
      <c r="T844" s="50">
        <f t="shared" si="336"/>
        <v>20350</v>
      </c>
      <c r="U844" s="40">
        <f t="shared" si="337"/>
        <v>21484.699137246946</v>
      </c>
      <c r="V844" s="41">
        <f t="shared" si="338"/>
        <v>5.5759171363486182E-2</v>
      </c>
      <c r="W844" s="39">
        <f t="shared" si="339"/>
        <v>1134.6991372469456</v>
      </c>
      <c r="X844" s="50">
        <f t="shared" si="333"/>
        <v>9943.7611922592732</v>
      </c>
      <c r="Y844" s="41">
        <f t="shared" si="340"/>
        <v>0.5443960849880205</v>
      </c>
      <c r="Z844" s="52"/>
      <c r="AA844" s="50">
        <f t="shared" si="346"/>
        <v>30293.761192259281</v>
      </c>
      <c r="AB844" s="39">
        <f t="shared" si="347"/>
        <v>31183.14949779115</v>
      </c>
      <c r="AC844" s="39">
        <f t="shared" si="341"/>
        <v>889.38830553186926</v>
      </c>
      <c r="AD844" s="41">
        <f t="shared" si="342"/>
        <v>2.9358794369816588E-2</v>
      </c>
      <c r="AF844" s="46">
        <f t="shared" si="324"/>
        <v>0</v>
      </c>
      <c r="AG844" s="46">
        <f t="shared" si="343"/>
        <v>0</v>
      </c>
      <c r="AH844" s="54">
        <f t="shared" si="325"/>
        <v>5691</v>
      </c>
      <c r="AI844" s="55">
        <f t="shared" si="334"/>
        <v>9.4654788418708238E-2</v>
      </c>
      <c r="AJ844" s="55">
        <f t="shared" si="344"/>
        <v>0</v>
      </c>
      <c r="AK844" s="55">
        <f t="shared" si="345"/>
        <v>0</v>
      </c>
    </row>
    <row r="845" spans="2:37" s="53" customFormat="1" ht="17.25" customHeight="1" x14ac:dyDescent="0.25">
      <c r="B845" s="91" t="str">
        <f t="shared" si="326"/>
        <v/>
      </c>
      <c r="C845" s="81">
        <f>IF(Sheet3!A816="","",Sheet3!A816)</f>
        <v>43325</v>
      </c>
      <c r="D845" s="82">
        <f>IF(C845="","",Sheet3!E816)</f>
        <v>33.029998999999997</v>
      </c>
      <c r="E845" s="56">
        <f>_xlfn.XLOOKUP(WEEKNUM(C845)&amp;YEAR(C845),Sheet4!C:C,Sheet4!B:B,0)</f>
        <v>0</v>
      </c>
      <c r="F845" s="46">
        <f>IF(int=Weekly,-$D$5,IF(int=Bi_Weekly,-$D$5,IF(int=Monthly,0,IF(int=Quarterly,0,IF(int=Yearly,0,IF(int=None,0,0))))))</f>
        <v>0</v>
      </c>
      <c r="G845" s="46"/>
      <c r="H845" s="46">
        <f t="shared" si="335"/>
        <v>-20350</v>
      </c>
      <c r="I845" s="47"/>
      <c r="J845" s="38">
        <f t="shared" si="322"/>
        <v>0</v>
      </c>
      <c r="K845" s="48"/>
      <c r="L845" s="48">
        <f t="shared" si="327"/>
        <v>665.98575540044806</v>
      </c>
      <c r="M845" s="48"/>
      <c r="N845" s="38">
        <f t="shared" si="328"/>
        <v>0</v>
      </c>
      <c r="O845" s="36">
        <f t="shared" si="329"/>
        <v>0</v>
      </c>
      <c r="P845" s="84">
        <f t="shared" si="330"/>
        <v>-30293.292442243004</v>
      </c>
      <c r="Q845" s="38">
        <f t="shared" si="331"/>
        <v>0</v>
      </c>
      <c r="R845" s="48">
        <f t="shared" si="332"/>
        <v>300.63394177966796</v>
      </c>
      <c r="S845" s="38">
        <f t="shared" si="323"/>
        <v>966.61969718011596</v>
      </c>
      <c r="T845" s="50">
        <f t="shared" si="336"/>
        <v>20350</v>
      </c>
      <c r="U845" s="40">
        <f t="shared" si="337"/>
        <v>21997.508834891043</v>
      </c>
      <c r="V845" s="41">
        <f t="shared" si="338"/>
        <v>8.0958665105210992E-2</v>
      </c>
      <c r="W845" s="39">
        <f t="shared" si="339"/>
        <v>1647.5088348910431</v>
      </c>
      <c r="X845" s="50">
        <f t="shared" si="333"/>
        <v>9943.7611922592732</v>
      </c>
      <c r="Y845" s="41">
        <f t="shared" si="340"/>
        <v>0.56959557872974531</v>
      </c>
      <c r="Z845" s="52"/>
      <c r="AA845" s="50">
        <f t="shared" si="346"/>
        <v>30293.761192259281</v>
      </c>
      <c r="AB845" s="39">
        <f t="shared" si="347"/>
        <v>31927.447631239535</v>
      </c>
      <c r="AC845" s="39">
        <f t="shared" si="341"/>
        <v>1633.686438980254</v>
      </c>
      <c r="AD845" s="41">
        <f t="shared" si="342"/>
        <v>5.3928148063624892E-2</v>
      </c>
      <c r="AF845" s="46">
        <f t="shared" si="324"/>
        <v>0</v>
      </c>
      <c r="AG845" s="46">
        <f t="shared" si="343"/>
        <v>0</v>
      </c>
      <c r="AH845" s="54">
        <f t="shared" si="325"/>
        <v>5698</v>
      </c>
      <c r="AI845" s="55">
        <f t="shared" si="334"/>
        <v>9.3541202672605794E-2</v>
      </c>
      <c r="AJ845" s="55">
        <f t="shared" si="344"/>
        <v>0</v>
      </c>
      <c r="AK845" s="55">
        <f t="shared" si="345"/>
        <v>0</v>
      </c>
    </row>
    <row r="846" spans="2:37" s="53" customFormat="1" ht="17.25" customHeight="1" x14ac:dyDescent="0.25">
      <c r="B846" s="91" t="str">
        <f t="shared" si="326"/>
        <v/>
      </c>
      <c r="C846" s="81">
        <f>IF(Sheet3!A817="","",Sheet3!A817)</f>
        <v>43332</v>
      </c>
      <c r="D846" s="82">
        <f>IF(C846="","",Sheet3!E817)</f>
        <v>32.639999000000003</v>
      </c>
      <c r="E846" s="56">
        <f>_xlfn.XLOOKUP(WEEKNUM(C846)&amp;YEAR(C846),Sheet4!C:C,Sheet4!B:B,0)</f>
        <v>0</v>
      </c>
      <c r="F846" s="46">
        <f>IF(int=Weekly,-$D$5,IF(int=Bi_Weekly,0,IF(int=Monthly,0,IF(int=Quarterly,0,IF(int=Yearly,0,IF(int=None,0,0))))))</f>
        <v>0</v>
      </c>
      <c r="G846" s="46"/>
      <c r="H846" s="46">
        <f t="shared" si="335"/>
        <v>-20350</v>
      </c>
      <c r="I846" s="47"/>
      <c r="J846" s="38">
        <f t="shared" si="322"/>
        <v>0</v>
      </c>
      <c r="K846" s="48"/>
      <c r="L846" s="48">
        <f t="shared" si="327"/>
        <v>665.98575540044806</v>
      </c>
      <c r="M846" s="48"/>
      <c r="N846" s="38">
        <f t="shared" si="328"/>
        <v>0</v>
      </c>
      <c r="O846" s="36">
        <f t="shared" si="329"/>
        <v>0</v>
      </c>
      <c r="P846" s="84">
        <f t="shared" si="330"/>
        <v>-30293.292442243004</v>
      </c>
      <c r="Q846" s="38">
        <f t="shared" si="331"/>
        <v>0</v>
      </c>
      <c r="R846" s="48">
        <f t="shared" si="332"/>
        <v>300.63394177966796</v>
      </c>
      <c r="S846" s="38">
        <f t="shared" si="323"/>
        <v>966.61969718011596</v>
      </c>
      <c r="T846" s="50">
        <f t="shared" si="336"/>
        <v>20350</v>
      </c>
      <c r="U846" s="40">
        <f t="shared" si="337"/>
        <v>21737.774390284871</v>
      </c>
      <c r="V846" s="41">
        <f t="shared" si="338"/>
        <v>6.8195301733900315E-2</v>
      </c>
      <c r="W846" s="39">
        <f t="shared" si="339"/>
        <v>1387.7743902848706</v>
      </c>
      <c r="X846" s="50">
        <f t="shared" si="333"/>
        <v>9943.7611922592732</v>
      </c>
      <c r="Y846" s="41">
        <f t="shared" si="340"/>
        <v>0.55683221535843463</v>
      </c>
      <c r="Z846" s="52"/>
      <c r="AA846" s="50">
        <f t="shared" si="346"/>
        <v>30293.761192259281</v>
      </c>
      <c r="AB846" s="39">
        <f t="shared" si="347"/>
        <v>31550.46594933929</v>
      </c>
      <c r="AC846" s="39">
        <f t="shared" si="341"/>
        <v>1256.7047570800096</v>
      </c>
      <c r="AD846" s="41">
        <f t="shared" si="342"/>
        <v>4.1483946120270065E-2</v>
      </c>
      <c r="AF846" s="46">
        <f t="shared" si="324"/>
        <v>0</v>
      </c>
      <c r="AG846" s="46">
        <f t="shared" si="343"/>
        <v>0</v>
      </c>
      <c r="AH846" s="54">
        <f t="shared" si="325"/>
        <v>5705</v>
      </c>
      <c r="AI846" s="55">
        <f t="shared" si="334"/>
        <v>9.2427616926503336E-2</v>
      </c>
      <c r="AJ846" s="55">
        <f t="shared" si="344"/>
        <v>0</v>
      </c>
      <c r="AK846" s="55">
        <f t="shared" si="345"/>
        <v>0</v>
      </c>
    </row>
    <row r="847" spans="2:37" s="53" customFormat="1" ht="17.25" customHeight="1" x14ac:dyDescent="0.25">
      <c r="B847" s="91" t="str">
        <f t="shared" si="326"/>
        <v/>
      </c>
      <c r="C847" s="81">
        <f>IF(Sheet3!A818="","",Sheet3!A818)</f>
        <v>43339</v>
      </c>
      <c r="D847" s="82">
        <f>IF(C847="","",Sheet3!E818)</f>
        <v>31.940000999999999</v>
      </c>
      <c r="E847" s="56">
        <f>_xlfn.XLOOKUP(WEEKNUM(C847)&amp;YEAR(C847),Sheet4!C:C,Sheet4!B:B,0)</f>
        <v>0</v>
      </c>
      <c r="F847" s="46">
        <f>IF(int=Weekly,-$D$5,IF(int=Bi_Weekly,-$D$5,IF(int=Monthly,-$D$5,IF(int=Quarterly,0,IF(int=Yearly,0,IF(int=None,0,0))))))</f>
        <v>-100</v>
      </c>
      <c r="G847" s="46"/>
      <c r="H847" s="46">
        <f t="shared" si="335"/>
        <v>-20450</v>
      </c>
      <c r="I847" s="47"/>
      <c r="J847" s="38">
        <f t="shared" si="322"/>
        <v>3.1308702839426963</v>
      </c>
      <c r="K847" s="48"/>
      <c r="L847" s="48">
        <f t="shared" si="327"/>
        <v>669.11662568439078</v>
      </c>
      <c r="M847" s="48"/>
      <c r="N847" s="38">
        <f t="shared" si="328"/>
        <v>0</v>
      </c>
      <c r="O847" s="36">
        <f t="shared" si="329"/>
        <v>0</v>
      </c>
      <c r="P847" s="84">
        <f t="shared" si="330"/>
        <v>-30393.292442243004</v>
      </c>
      <c r="Q847" s="38">
        <f t="shared" si="331"/>
        <v>0</v>
      </c>
      <c r="R847" s="48">
        <f t="shared" si="332"/>
        <v>300.63394177966796</v>
      </c>
      <c r="S847" s="38">
        <f t="shared" si="323"/>
        <v>969.7505674640588</v>
      </c>
      <c r="T847" s="50">
        <f t="shared" si="336"/>
        <v>20450</v>
      </c>
      <c r="U847" s="40">
        <f t="shared" si="337"/>
        <v>21371.585693476067</v>
      </c>
      <c r="V847" s="41">
        <f t="shared" si="338"/>
        <v>4.5065315084404256E-2</v>
      </c>
      <c r="W847" s="39">
        <f t="shared" si="339"/>
        <v>921.58569347606681</v>
      </c>
      <c r="X847" s="50">
        <f t="shared" si="333"/>
        <v>9943.7611922592732</v>
      </c>
      <c r="Y847" s="41">
        <f t="shared" si="340"/>
        <v>0.53131280614842735</v>
      </c>
      <c r="Z847" s="52"/>
      <c r="AA847" s="50">
        <f t="shared" si="346"/>
        <v>30393.761192259281</v>
      </c>
      <c r="AB847" s="39">
        <f t="shared" si="347"/>
        <v>30973.834094552603</v>
      </c>
      <c r="AC847" s="39">
        <f t="shared" si="341"/>
        <v>580.07290229332284</v>
      </c>
      <c r="AD847" s="41">
        <f t="shared" si="342"/>
        <v>1.9085262222862331E-2</v>
      </c>
      <c r="AF847" s="46">
        <f t="shared" si="324"/>
        <v>-100</v>
      </c>
      <c r="AG847" s="46">
        <f t="shared" si="343"/>
        <v>-100</v>
      </c>
      <c r="AH847" s="54">
        <f t="shared" si="325"/>
        <v>5712</v>
      </c>
      <c r="AI847" s="55">
        <f t="shared" si="334"/>
        <v>9.1314031180400893E-2</v>
      </c>
      <c r="AJ847" s="55">
        <f t="shared" si="344"/>
        <v>-9.1314031180400885</v>
      </c>
      <c r="AK847" s="55">
        <f t="shared" si="345"/>
        <v>-9.1314031180400885</v>
      </c>
    </row>
    <row r="848" spans="2:37" s="53" customFormat="1" ht="17.25" customHeight="1" x14ac:dyDescent="0.25">
      <c r="B848" s="91" t="str">
        <f t="shared" si="326"/>
        <v/>
      </c>
      <c r="C848" s="81">
        <f>IF(Sheet3!A819="","",Sheet3!A819)</f>
        <v>43346</v>
      </c>
      <c r="D848" s="82">
        <f>IF(C848="","",Sheet3!E819)</f>
        <v>32.119999</v>
      </c>
      <c r="E848" s="56">
        <f>_xlfn.XLOOKUP(WEEKNUM(C848)&amp;YEAR(C848),Sheet4!C:C,Sheet4!B:B,0)</f>
        <v>0</v>
      </c>
      <c r="F848" s="46">
        <f>IF(int=Weekly,-$D$5,IF(int=Bi_Weekly,0,IF(int=Monthly,0,IF(int=Quarterly,0,IF(int=Yearly,0,IF(int=None,0,0))))))</f>
        <v>0</v>
      </c>
      <c r="G848" s="46"/>
      <c r="H848" s="46">
        <f t="shared" si="335"/>
        <v>-20450</v>
      </c>
      <c r="I848" s="47"/>
      <c r="J848" s="38">
        <f t="shared" si="322"/>
        <v>0</v>
      </c>
      <c r="K848" s="48"/>
      <c r="L848" s="48">
        <f t="shared" si="327"/>
        <v>669.11662568439078</v>
      </c>
      <c r="M848" s="48"/>
      <c r="N848" s="38">
        <f t="shared" si="328"/>
        <v>0</v>
      </c>
      <c r="O848" s="36">
        <f t="shared" si="329"/>
        <v>0</v>
      </c>
      <c r="P848" s="84">
        <f t="shared" si="330"/>
        <v>-30393.292442243004</v>
      </c>
      <c r="Q848" s="38">
        <f t="shared" si="331"/>
        <v>0</v>
      </c>
      <c r="R848" s="48">
        <f t="shared" si="332"/>
        <v>300.63394177966796</v>
      </c>
      <c r="S848" s="38">
        <f t="shared" si="323"/>
        <v>969.7505674640588</v>
      </c>
      <c r="T848" s="50">
        <f t="shared" si="336"/>
        <v>20450</v>
      </c>
      <c r="U848" s="40">
        <f t="shared" si="337"/>
        <v>21492.025347866005</v>
      </c>
      <c r="V848" s="41">
        <f t="shared" si="338"/>
        <v>5.095478473672399E-2</v>
      </c>
      <c r="W848" s="39">
        <f t="shared" si="339"/>
        <v>1042.0253478660052</v>
      </c>
      <c r="X848" s="50">
        <f t="shared" si="333"/>
        <v>9943.7611922592732</v>
      </c>
      <c r="Y848" s="41">
        <f t="shared" si="340"/>
        <v>0.53720227580074709</v>
      </c>
      <c r="Z848" s="52"/>
      <c r="AA848" s="50">
        <f t="shared" si="346"/>
        <v>30393.761192259281</v>
      </c>
      <c r="AB848" s="39">
        <f t="shared" si="347"/>
        <v>31148.387257194998</v>
      </c>
      <c r="AC848" s="39">
        <f t="shared" si="341"/>
        <v>754.6260649357173</v>
      </c>
      <c r="AD848" s="41">
        <f t="shared" si="342"/>
        <v>2.4828321186122437E-2</v>
      </c>
      <c r="AF848" s="46">
        <f t="shared" si="324"/>
        <v>0</v>
      </c>
      <c r="AG848" s="46">
        <f t="shared" si="343"/>
        <v>0</v>
      </c>
      <c r="AH848" s="54">
        <f t="shared" si="325"/>
        <v>5719</v>
      </c>
      <c r="AI848" s="55">
        <f t="shared" si="334"/>
        <v>9.0200445434298435E-2</v>
      </c>
      <c r="AJ848" s="55">
        <f t="shared" si="344"/>
        <v>0</v>
      </c>
      <c r="AK848" s="55">
        <f t="shared" si="345"/>
        <v>0</v>
      </c>
    </row>
    <row r="849" spans="2:37" s="53" customFormat="1" ht="17.25" customHeight="1" x14ac:dyDescent="0.25">
      <c r="B849" s="91" t="str">
        <f t="shared" si="326"/>
        <v/>
      </c>
      <c r="C849" s="81">
        <f>IF(Sheet3!A820="","",Sheet3!A820)</f>
        <v>43353</v>
      </c>
      <c r="D849" s="82">
        <f>IF(C849="","",Sheet3!E820)</f>
        <v>33.599997999999999</v>
      </c>
      <c r="E849" s="56">
        <f>_xlfn.XLOOKUP(WEEKNUM(C849)&amp;YEAR(C849),Sheet4!C:C,Sheet4!B:B,0)</f>
        <v>0</v>
      </c>
      <c r="F849" s="46">
        <f>IF(int=Weekly,-$D$5,IF(int=Bi_Weekly,-$D$5,IF(int=Monthly,0,IF(int=Quarterly,0,IF(int=Yearly,0,IF(int=None,0,0))))))</f>
        <v>0</v>
      </c>
      <c r="G849" s="46"/>
      <c r="H849" s="46">
        <f t="shared" si="335"/>
        <v>-20450</v>
      </c>
      <c r="I849" s="47"/>
      <c r="J849" s="38">
        <f t="shared" si="322"/>
        <v>0</v>
      </c>
      <c r="K849" s="48"/>
      <c r="L849" s="48">
        <f t="shared" si="327"/>
        <v>669.11662568439078</v>
      </c>
      <c r="M849" s="48"/>
      <c r="N849" s="38">
        <f t="shared" si="328"/>
        <v>0</v>
      </c>
      <c r="O849" s="36">
        <f t="shared" si="329"/>
        <v>0</v>
      </c>
      <c r="P849" s="84">
        <f t="shared" si="330"/>
        <v>-30393.292442243004</v>
      </c>
      <c r="Q849" s="38">
        <f t="shared" si="331"/>
        <v>0</v>
      </c>
      <c r="R849" s="48">
        <f t="shared" si="332"/>
        <v>300.63394177966796</v>
      </c>
      <c r="S849" s="38">
        <f t="shared" si="323"/>
        <v>969.7505674640588</v>
      </c>
      <c r="T849" s="50">
        <f t="shared" si="336"/>
        <v>20450</v>
      </c>
      <c r="U849" s="40">
        <f t="shared" si="337"/>
        <v>22482.317284762277</v>
      </c>
      <c r="V849" s="41">
        <f t="shared" si="338"/>
        <v>9.9379818325783686E-2</v>
      </c>
      <c r="W849" s="39">
        <f t="shared" si="339"/>
        <v>2032.3172847622773</v>
      </c>
      <c r="X849" s="50">
        <f t="shared" si="333"/>
        <v>9943.7611922592732</v>
      </c>
      <c r="Y849" s="41">
        <f t="shared" si="340"/>
        <v>0.58562730938980678</v>
      </c>
      <c r="Z849" s="52"/>
      <c r="AA849" s="50">
        <f t="shared" si="346"/>
        <v>30393.761192259281</v>
      </c>
      <c r="AB849" s="39">
        <f t="shared" si="347"/>
        <v>32583.61712729124</v>
      </c>
      <c r="AC849" s="39">
        <f t="shared" si="341"/>
        <v>2189.8559350319592</v>
      </c>
      <c r="AD849" s="41">
        <f t="shared" si="342"/>
        <v>7.2049520991487981E-2</v>
      </c>
      <c r="AF849" s="46">
        <f t="shared" si="324"/>
        <v>0</v>
      </c>
      <c r="AG849" s="46">
        <f t="shared" si="343"/>
        <v>0</v>
      </c>
      <c r="AH849" s="54">
        <f t="shared" si="325"/>
        <v>5726</v>
      </c>
      <c r="AI849" s="55">
        <f t="shared" si="334"/>
        <v>8.9086859688195991E-2</v>
      </c>
      <c r="AJ849" s="55">
        <f t="shared" si="344"/>
        <v>0</v>
      </c>
      <c r="AK849" s="55">
        <f t="shared" si="345"/>
        <v>0</v>
      </c>
    </row>
    <row r="850" spans="2:37" s="53" customFormat="1" ht="17.25" customHeight="1" x14ac:dyDescent="0.25">
      <c r="B850" s="91" t="str">
        <f t="shared" si="326"/>
        <v/>
      </c>
      <c r="C850" s="81">
        <f>IF(Sheet3!A821="","",Sheet3!A821)</f>
        <v>43360</v>
      </c>
      <c r="D850" s="82">
        <f>IF(C850="","",Sheet3!E821)</f>
        <v>33.779998999999997</v>
      </c>
      <c r="E850" s="56">
        <f>_xlfn.XLOOKUP(WEEKNUM(C850)&amp;YEAR(C850),Sheet4!C:C,Sheet4!B:B,0)</f>
        <v>0</v>
      </c>
      <c r="F850" s="46">
        <f>IF(int=Weekly,-$D$5,IF(int=Bi_Weekly,0,IF(int=Monthly,0,IF(int=Quarterly,-$D$5,IF(int=Yearly,0,IF(int=None,0,0))))))</f>
        <v>0</v>
      </c>
      <c r="G850" s="46"/>
      <c r="H850" s="46">
        <f t="shared" si="335"/>
        <v>-20450</v>
      </c>
      <c r="I850" s="47"/>
      <c r="J850" s="38">
        <f t="shared" si="322"/>
        <v>0</v>
      </c>
      <c r="K850" s="48"/>
      <c r="L850" s="48">
        <f t="shared" si="327"/>
        <v>669.11662568439078</v>
      </c>
      <c r="M850" s="48"/>
      <c r="N850" s="38">
        <f t="shared" si="328"/>
        <v>0</v>
      </c>
      <c r="O850" s="36">
        <f t="shared" si="329"/>
        <v>0</v>
      </c>
      <c r="P850" s="84">
        <f t="shared" si="330"/>
        <v>-30393.292442243004</v>
      </c>
      <c r="Q850" s="38">
        <f t="shared" si="331"/>
        <v>0</v>
      </c>
      <c r="R850" s="48">
        <f t="shared" si="332"/>
        <v>300.63394177966796</v>
      </c>
      <c r="S850" s="38">
        <f t="shared" si="323"/>
        <v>969.7505674640588</v>
      </c>
      <c r="T850" s="50">
        <f t="shared" si="336"/>
        <v>20450</v>
      </c>
      <c r="U850" s="40">
        <f t="shared" si="337"/>
        <v>22602.758946502094</v>
      </c>
      <c r="V850" s="41">
        <f t="shared" si="338"/>
        <v>0.10526938613702175</v>
      </c>
      <c r="W850" s="39">
        <f t="shared" si="339"/>
        <v>2152.7589465020937</v>
      </c>
      <c r="X850" s="50">
        <f t="shared" si="333"/>
        <v>9943.7611922592732</v>
      </c>
      <c r="Y850" s="41">
        <f t="shared" si="340"/>
        <v>0.59151687720104484</v>
      </c>
      <c r="Z850" s="52"/>
      <c r="AA850" s="50">
        <f t="shared" si="346"/>
        <v>30393.761192259281</v>
      </c>
      <c r="AB850" s="39">
        <f t="shared" si="347"/>
        <v>32758.173199185334</v>
      </c>
      <c r="AC850" s="39">
        <f t="shared" si="341"/>
        <v>2364.4120069260534</v>
      </c>
      <c r="AD850" s="41">
        <f t="shared" si="342"/>
        <v>7.7792675673461043E-2</v>
      </c>
      <c r="AF850" s="46">
        <f t="shared" si="324"/>
        <v>0</v>
      </c>
      <c r="AG850" s="46">
        <f t="shared" si="343"/>
        <v>0</v>
      </c>
      <c r="AH850" s="54">
        <f t="shared" si="325"/>
        <v>5733</v>
      </c>
      <c r="AI850" s="55">
        <f t="shared" si="334"/>
        <v>8.7973273942093547E-2</v>
      </c>
      <c r="AJ850" s="55">
        <f t="shared" si="344"/>
        <v>0</v>
      </c>
      <c r="AK850" s="55">
        <f t="shared" si="345"/>
        <v>0</v>
      </c>
    </row>
    <row r="851" spans="2:37" s="53" customFormat="1" ht="17.25" customHeight="1" x14ac:dyDescent="0.25">
      <c r="B851" s="91" t="str">
        <f t="shared" si="326"/>
        <v/>
      </c>
      <c r="C851" s="81">
        <f>IF(Sheet3!A822="","",Sheet3!A822)</f>
        <v>43367</v>
      </c>
      <c r="D851" s="82">
        <f>IF(C851="","",Sheet3!E822)</f>
        <v>33.580002</v>
      </c>
      <c r="E851" s="56">
        <f>_xlfn.XLOOKUP(WEEKNUM(C851)&amp;YEAR(C851),Sheet4!C:C,Sheet4!B:B,0)</f>
        <v>0</v>
      </c>
      <c r="F851" s="46">
        <f>IF(int=Weekly,-$D$5,IF(int=Bi_Weekly,-$D$5,IF(int=Monthly,-$D$5,IF(int=Quarterly,0,IF(int=Yearly,0,IF(int=None,0,0))))))</f>
        <v>-100</v>
      </c>
      <c r="G851" s="46"/>
      <c r="H851" s="46">
        <f t="shared" si="335"/>
        <v>-20550</v>
      </c>
      <c r="I851" s="47"/>
      <c r="J851" s="38">
        <f t="shared" si="322"/>
        <v>2.9779628958926208</v>
      </c>
      <c r="K851" s="48"/>
      <c r="L851" s="48">
        <f t="shared" si="327"/>
        <v>672.09458858028336</v>
      </c>
      <c r="M851" s="48"/>
      <c r="N851" s="38">
        <f t="shared" si="328"/>
        <v>0</v>
      </c>
      <c r="O851" s="36">
        <f t="shared" si="329"/>
        <v>0</v>
      </c>
      <c r="P851" s="84">
        <f t="shared" si="330"/>
        <v>-30493.292442243004</v>
      </c>
      <c r="Q851" s="38">
        <f t="shared" si="331"/>
        <v>0</v>
      </c>
      <c r="R851" s="48">
        <f t="shared" si="332"/>
        <v>300.63394177966796</v>
      </c>
      <c r="S851" s="38">
        <f t="shared" si="323"/>
        <v>972.72853035995126</v>
      </c>
      <c r="T851" s="50">
        <f t="shared" si="336"/>
        <v>20550</v>
      </c>
      <c r="U851" s="40">
        <f t="shared" si="337"/>
        <v>22568.937628715092</v>
      </c>
      <c r="V851" s="41">
        <f t="shared" si="338"/>
        <v>9.8245140083459415E-2</v>
      </c>
      <c r="W851" s="39">
        <f t="shared" si="339"/>
        <v>2018.9376287150917</v>
      </c>
      <c r="X851" s="50">
        <f t="shared" si="333"/>
        <v>9943.7611922592732</v>
      </c>
      <c r="Y851" s="41">
        <f t="shared" si="340"/>
        <v>0.58212646330775497</v>
      </c>
      <c r="Z851" s="52"/>
      <c r="AA851" s="50">
        <f t="shared" si="346"/>
        <v>30493.761192259281</v>
      </c>
      <c r="AB851" s="39">
        <f t="shared" si="347"/>
        <v>32664.225994944223</v>
      </c>
      <c r="AC851" s="39">
        <f t="shared" si="341"/>
        <v>2170.4648026849427</v>
      </c>
      <c r="AD851" s="41">
        <f t="shared" si="342"/>
        <v>7.1177339817165786E-2</v>
      </c>
      <c r="AF851" s="46">
        <f t="shared" si="324"/>
        <v>-100</v>
      </c>
      <c r="AG851" s="46">
        <f t="shared" si="343"/>
        <v>-100</v>
      </c>
      <c r="AH851" s="54">
        <f t="shared" si="325"/>
        <v>5740</v>
      </c>
      <c r="AI851" s="55">
        <f t="shared" si="334"/>
        <v>8.6859688195991089E-2</v>
      </c>
      <c r="AJ851" s="55">
        <f t="shared" si="344"/>
        <v>-8.6859688195991094</v>
      </c>
      <c r="AK851" s="55">
        <f t="shared" si="345"/>
        <v>-8.6859688195991094</v>
      </c>
    </row>
    <row r="852" spans="2:37" s="53" customFormat="1" ht="17.25" customHeight="1" x14ac:dyDescent="0.25">
      <c r="B852" s="91" t="str">
        <f t="shared" si="326"/>
        <v/>
      </c>
      <c r="C852" s="81">
        <f>IF(Sheet3!A823="","",Sheet3!A823)</f>
        <v>43374</v>
      </c>
      <c r="D852" s="82">
        <f>IF(C852="","",Sheet3!E823)</f>
        <v>33.990001999999997</v>
      </c>
      <c r="E852" s="56">
        <f>_xlfn.XLOOKUP(WEEKNUM(C852)&amp;YEAR(C852),Sheet4!C:C,Sheet4!B:B,0)</f>
        <v>0</v>
      </c>
      <c r="F852" s="46">
        <f>IF(int=Weekly,-$D$5,IF(int=Bi_Weekly,0,IF(int=Monthly,0,IF(int=Quarterly,0,IF(int=Yearly,0,IF(int=None,0,0))))))</f>
        <v>0</v>
      </c>
      <c r="G852" s="46"/>
      <c r="H852" s="46">
        <f t="shared" si="335"/>
        <v>-20550</v>
      </c>
      <c r="I852" s="47"/>
      <c r="J852" s="38">
        <f t="shared" si="322"/>
        <v>0</v>
      </c>
      <c r="K852" s="48"/>
      <c r="L852" s="48">
        <f t="shared" si="327"/>
        <v>672.09458858028336</v>
      </c>
      <c r="M852" s="48"/>
      <c r="N852" s="38">
        <f t="shared" si="328"/>
        <v>0</v>
      </c>
      <c r="O852" s="36">
        <f t="shared" si="329"/>
        <v>0</v>
      </c>
      <c r="P852" s="84">
        <f t="shared" si="330"/>
        <v>-30493.292442243004</v>
      </c>
      <c r="Q852" s="38">
        <f t="shared" si="331"/>
        <v>0</v>
      </c>
      <c r="R852" s="48">
        <f t="shared" si="332"/>
        <v>300.63394177966796</v>
      </c>
      <c r="S852" s="38">
        <f t="shared" si="323"/>
        <v>972.72853035995126</v>
      </c>
      <c r="T852" s="50">
        <f t="shared" si="336"/>
        <v>20550</v>
      </c>
      <c r="U852" s="40">
        <f t="shared" si="337"/>
        <v>22844.496410033007</v>
      </c>
      <c r="V852" s="41">
        <f t="shared" si="338"/>
        <v>0.11165432652228735</v>
      </c>
      <c r="W852" s="39">
        <f t="shared" si="339"/>
        <v>2294.4964100330071</v>
      </c>
      <c r="X852" s="50">
        <f t="shared" si="333"/>
        <v>9943.7611922592732</v>
      </c>
      <c r="Y852" s="41">
        <f t="shared" si="340"/>
        <v>0.59553564974658291</v>
      </c>
      <c r="Z852" s="52"/>
      <c r="AA852" s="50">
        <f t="shared" si="346"/>
        <v>30493.761192259281</v>
      </c>
      <c r="AB852" s="39">
        <f t="shared" si="347"/>
        <v>33063.044692391806</v>
      </c>
      <c r="AC852" s="39">
        <f t="shared" si="341"/>
        <v>2569.2835001325257</v>
      </c>
      <c r="AD852" s="41">
        <f t="shared" si="342"/>
        <v>8.4256037946041529E-2</v>
      </c>
      <c r="AF852" s="46">
        <f t="shared" si="324"/>
        <v>0</v>
      </c>
      <c r="AG852" s="46">
        <f t="shared" si="343"/>
        <v>0</v>
      </c>
      <c r="AH852" s="54">
        <f t="shared" si="325"/>
        <v>5747</v>
      </c>
      <c r="AI852" s="55">
        <f t="shared" si="334"/>
        <v>8.5746102449888645E-2</v>
      </c>
      <c r="AJ852" s="55">
        <f t="shared" si="344"/>
        <v>0</v>
      </c>
      <c r="AK852" s="55">
        <f t="shared" si="345"/>
        <v>0</v>
      </c>
    </row>
    <row r="853" spans="2:37" s="53" customFormat="1" ht="17.25" customHeight="1" x14ac:dyDescent="0.25">
      <c r="B853" s="91" t="str">
        <f t="shared" si="326"/>
        <v/>
      </c>
      <c r="C853" s="81">
        <f>IF(Sheet3!A824="","",Sheet3!A824)</f>
        <v>43381</v>
      </c>
      <c r="D853" s="82">
        <f>IF(C853="","",Sheet3!E824)</f>
        <v>32.25</v>
      </c>
      <c r="E853" s="56">
        <f>_xlfn.XLOOKUP(WEEKNUM(C853)&amp;YEAR(C853),Sheet4!C:C,Sheet4!B:B,0)</f>
        <v>0.5</v>
      </c>
      <c r="F853" s="46">
        <f>IF(int=Weekly,-$D$5,IF(int=Bi_Weekly,-$D$5,IF(int=Monthly,0,IF(int=Quarterly,0,IF(int=Yearly,0,IF(int=None,0,0))))))</f>
        <v>0</v>
      </c>
      <c r="G853" s="46"/>
      <c r="H853" s="46">
        <f t="shared" si="335"/>
        <v>-20550</v>
      </c>
      <c r="I853" s="47"/>
      <c r="J853" s="38">
        <f t="shared" si="322"/>
        <v>0</v>
      </c>
      <c r="K853" s="48"/>
      <c r="L853" s="48">
        <f t="shared" si="327"/>
        <v>672.09458858028336</v>
      </c>
      <c r="M853" s="48"/>
      <c r="N853" s="38">
        <f t="shared" si="328"/>
        <v>336.04729429014168</v>
      </c>
      <c r="O853" s="36">
        <f t="shared" si="329"/>
        <v>-336.04729429014168</v>
      </c>
      <c r="P853" s="84">
        <f t="shared" si="330"/>
        <v>-30829.339736533148</v>
      </c>
      <c r="Q853" s="38">
        <f t="shared" si="331"/>
        <v>10.420071140779587</v>
      </c>
      <c r="R853" s="48">
        <f t="shared" si="332"/>
        <v>311.05401292044758</v>
      </c>
      <c r="S853" s="38">
        <f t="shared" si="323"/>
        <v>983.14860150073093</v>
      </c>
      <c r="T853" s="50">
        <f t="shared" si="336"/>
        <v>20550</v>
      </c>
      <c r="U853" s="40">
        <f t="shared" si="337"/>
        <v>21675.050481714137</v>
      </c>
      <c r="V853" s="41">
        <f t="shared" si="338"/>
        <v>5.4746982078546891E-2</v>
      </c>
      <c r="W853" s="39">
        <f t="shared" si="339"/>
        <v>1125.0504817141373</v>
      </c>
      <c r="X853" s="50">
        <f t="shared" si="333"/>
        <v>10279.808486549415</v>
      </c>
      <c r="Y853" s="41">
        <f t="shared" si="340"/>
        <v>0.55498097169165694</v>
      </c>
      <c r="Z853" s="52"/>
      <c r="AA853" s="50">
        <f t="shared" si="346"/>
        <v>30829.808486549424</v>
      </c>
      <c r="AB853" s="39">
        <f t="shared" si="347"/>
        <v>31706.542398398571</v>
      </c>
      <c r="AC853" s="39">
        <f t="shared" si="341"/>
        <v>876.73391184914726</v>
      </c>
      <c r="AD853" s="41">
        <f t="shared" si="342"/>
        <v>2.8437864355584708E-2</v>
      </c>
      <c r="AF853" s="46">
        <f t="shared" si="324"/>
        <v>336.04729429014168</v>
      </c>
      <c r="AG853" s="46">
        <f t="shared" si="343"/>
        <v>0</v>
      </c>
      <c r="AH853" s="54">
        <f t="shared" si="325"/>
        <v>5754</v>
      </c>
      <c r="AI853" s="55">
        <f t="shared" si="334"/>
        <v>8.4632516703786187E-2</v>
      </c>
      <c r="AJ853" s="55">
        <f t="shared" si="344"/>
        <v>28.440528247272567</v>
      </c>
      <c r="AK853" s="55">
        <f t="shared" si="345"/>
        <v>0</v>
      </c>
    </row>
    <row r="854" spans="2:37" s="53" customFormat="1" ht="17.25" customHeight="1" x14ac:dyDescent="0.25">
      <c r="B854" s="91" t="str">
        <f t="shared" si="326"/>
        <v/>
      </c>
      <c r="C854" s="81">
        <f>IF(Sheet3!A825="","",Sheet3!A825)</f>
        <v>43388</v>
      </c>
      <c r="D854" s="82">
        <f>IF(C854="","",Sheet3!E825)</f>
        <v>32.869999</v>
      </c>
      <c r="E854" s="56">
        <f>_xlfn.XLOOKUP(WEEKNUM(C854)&amp;YEAR(C854),Sheet4!C:C,Sheet4!B:B,0)</f>
        <v>0</v>
      </c>
      <c r="F854" s="46">
        <f>IF(int=Weekly,-$D$5,IF(int=Bi_Weekly,0,IF(int=Monthly,0,IF(int=Quarterly,0,IF(int=Yearly,0,IF(int=None,0,0))))))</f>
        <v>0</v>
      </c>
      <c r="G854" s="46"/>
      <c r="H854" s="46">
        <f t="shared" si="335"/>
        <v>-20550</v>
      </c>
      <c r="I854" s="47"/>
      <c r="J854" s="38">
        <f t="shared" si="322"/>
        <v>0</v>
      </c>
      <c r="K854" s="48"/>
      <c r="L854" s="48">
        <f t="shared" si="327"/>
        <v>672.09458858028336</v>
      </c>
      <c r="M854" s="48"/>
      <c r="N854" s="38">
        <f t="shared" si="328"/>
        <v>0</v>
      </c>
      <c r="O854" s="36">
        <f t="shared" si="329"/>
        <v>0</v>
      </c>
      <c r="P854" s="84">
        <f t="shared" si="330"/>
        <v>-30829.339736533148</v>
      </c>
      <c r="Q854" s="38">
        <f t="shared" si="331"/>
        <v>0</v>
      </c>
      <c r="R854" s="48">
        <f t="shared" si="332"/>
        <v>311.05401292044758</v>
      </c>
      <c r="S854" s="38">
        <f t="shared" si="323"/>
        <v>983.14860150073093</v>
      </c>
      <c r="T854" s="50">
        <f t="shared" si="336"/>
        <v>20550</v>
      </c>
      <c r="U854" s="40">
        <f t="shared" si="337"/>
        <v>22091.748454539324</v>
      </c>
      <c r="V854" s="41">
        <f t="shared" si="338"/>
        <v>7.5024255695344211E-2</v>
      </c>
      <c r="W854" s="39">
        <f t="shared" si="339"/>
        <v>1541.7484545393236</v>
      </c>
      <c r="X854" s="50">
        <f t="shared" si="333"/>
        <v>10279.808486549415</v>
      </c>
      <c r="Y854" s="41">
        <f t="shared" si="340"/>
        <v>0.57525824530845449</v>
      </c>
      <c r="Z854" s="52"/>
      <c r="AA854" s="50">
        <f t="shared" si="346"/>
        <v>30829.808486549424</v>
      </c>
      <c r="AB854" s="39">
        <f t="shared" si="347"/>
        <v>32316.093548180423</v>
      </c>
      <c r="AC854" s="39">
        <f t="shared" si="341"/>
        <v>1486.2850616309988</v>
      </c>
      <c r="AD854" s="41">
        <f t="shared" si="342"/>
        <v>4.820935109861102E-2</v>
      </c>
      <c r="AF854" s="46">
        <f t="shared" si="324"/>
        <v>0</v>
      </c>
      <c r="AG854" s="46">
        <f t="shared" si="343"/>
        <v>0</v>
      </c>
      <c r="AH854" s="54">
        <f t="shared" si="325"/>
        <v>5761</v>
      </c>
      <c r="AI854" s="55">
        <f t="shared" si="334"/>
        <v>8.3518930957683743E-2</v>
      </c>
      <c r="AJ854" s="55">
        <f t="shared" si="344"/>
        <v>0</v>
      </c>
      <c r="AK854" s="55">
        <f t="shared" si="345"/>
        <v>0</v>
      </c>
    </row>
    <row r="855" spans="2:37" s="53" customFormat="1" ht="17.25" customHeight="1" x14ac:dyDescent="0.25">
      <c r="B855" s="91" t="str">
        <f t="shared" si="326"/>
        <v/>
      </c>
      <c r="C855" s="81">
        <f>IF(Sheet3!A826="","",Sheet3!A826)</f>
        <v>43395</v>
      </c>
      <c r="D855" s="82">
        <f>IF(C855="","",Sheet3!E826)</f>
        <v>29.09</v>
      </c>
      <c r="E855" s="56">
        <f>_xlfn.XLOOKUP(WEEKNUM(C855)&amp;YEAR(C855),Sheet4!C:C,Sheet4!B:B,0)</f>
        <v>0</v>
      </c>
      <c r="F855" s="46">
        <f>IF(int=Weekly,-$D$5,IF(int=Bi_Weekly,-$D$5,IF(int=Monthly,-$D$5,IF(int=Quarterly,0,IF(int=Yearly,0,IF(int=None,0,0))))))</f>
        <v>-100</v>
      </c>
      <c r="G855" s="46"/>
      <c r="H855" s="46">
        <f t="shared" si="335"/>
        <v>-20650</v>
      </c>
      <c r="I855" s="47"/>
      <c r="J855" s="38">
        <f t="shared" si="322"/>
        <v>3.4376074252320383</v>
      </c>
      <c r="K855" s="48"/>
      <c r="L855" s="48">
        <f t="shared" si="327"/>
        <v>675.5321960055154</v>
      </c>
      <c r="M855" s="48"/>
      <c r="N855" s="38">
        <f t="shared" si="328"/>
        <v>0</v>
      </c>
      <c r="O855" s="36">
        <f t="shared" si="329"/>
        <v>0</v>
      </c>
      <c r="P855" s="84">
        <f t="shared" si="330"/>
        <v>-30929.339736533148</v>
      </c>
      <c r="Q855" s="38">
        <f t="shared" si="331"/>
        <v>0</v>
      </c>
      <c r="R855" s="48">
        <f t="shared" si="332"/>
        <v>311.05401292044758</v>
      </c>
      <c r="S855" s="38">
        <f t="shared" si="323"/>
        <v>986.58620892596298</v>
      </c>
      <c r="T855" s="50">
        <f t="shared" si="336"/>
        <v>20650</v>
      </c>
      <c r="U855" s="40">
        <f t="shared" si="337"/>
        <v>19651.231581800443</v>
      </c>
      <c r="V855" s="41">
        <f t="shared" si="338"/>
        <v>-4.8366509355910803E-2</v>
      </c>
      <c r="W855" s="39">
        <f t="shared" si="339"/>
        <v>-998.76841819955735</v>
      </c>
      <c r="X855" s="50">
        <f t="shared" si="333"/>
        <v>10279.808486549415</v>
      </c>
      <c r="Y855" s="41">
        <f t="shared" si="340"/>
        <v>0.44944503962953308</v>
      </c>
      <c r="Z855" s="52"/>
      <c r="AA855" s="50">
        <f t="shared" si="346"/>
        <v>30929.808486549424</v>
      </c>
      <c r="AB855" s="39">
        <f t="shared" si="347"/>
        <v>28699.792817656264</v>
      </c>
      <c r="AC855" s="39">
        <f t="shared" si="341"/>
        <v>-2230.0156688931602</v>
      </c>
      <c r="AD855" s="41">
        <f t="shared" si="342"/>
        <v>-7.2099239471946186E-2</v>
      </c>
      <c r="AF855" s="46">
        <f t="shared" si="324"/>
        <v>-100</v>
      </c>
      <c r="AG855" s="46">
        <f t="shared" si="343"/>
        <v>-100</v>
      </c>
      <c r="AH855" s="54">
        <f t="shared" si="325"/>
        <v>5768</v>
      </c>
      <c r="AI855" s="55">
        <f t="shared" si="334"/>
        <v>8.2405345211581285E-2</v>
      </c>
      <c r="AJ855" s="55">
        <f t="shared" si="344"/>
        <v>-8.2405345211581285</v>
      </c>
      <c r="AK855" s="55">
        <f t="shared" si="345"/>
        <v>-8.2405345211581285</v>
      </c>
    </row>
    <row r="856" spans="2:37" s="53" customFormat="1" ht="17.25" customHeight="1" x14ac:dyDescent="0.25">
      <c r="B856" s="91" t="str">
        <f t="shared" si="326"/>
        <v/>
      </c>
      <c r="C856" s="81">
        <f>IF(Sheet3!A827="","",Sheet3!A827)</f>
        <v>43402</v>
      </c>
      <c r="D856" s="82">
        <f>IF(C856="","",Sheet3!E827)</f>
        <v>30.52</v>
      </c>
      <c r="E856" s="56">
        <f>_xlfn.XLOOKUP(WEEKNUM(C856)&amp;YEAR(C856),Sheet4!C:C,Sheet4!B:B,0)</f>
        <v>0</v>
      </c>
      <c r="F856" s="46">
        <f>IF(int=Weekly,-$D$5,IF(int=Bi_Weekly,0,IF(int=Monthly,0,IF(int=Quarterly,0,IF(int=Yearly,0,IF(int=None,0,0))))))</f>
        <v>0</v>
      </c>
      <c r="G856" s="46"/>
      <c r="H856" s="46">
        <f t="shared" si="335"/>
        <v>-20650</v>
      </c>
      <c r="I856" s="47"/>
      <c r="J856" s="38">
        <f t="shared" si="322"/>
        <v>0</v>
      </c>
      <c r="K856" s="48"/>
      <c r="L856" s="48">
        <f t="shared" si="327"/>
        <v>675.5321960055154</v>
      </c>
      <c r="M856" s="48"/>
      <c r="N856" s="38">
        <f t="shared" si="328"/>
        <v>0</v>
      </c>
      <c r="O856" s="36">
        <f t="shared" si="329"/>
        <v>0</v>
      </c>
      <c r="P856" s="84">
        <f t="shared" si="330"/>
        <v>-30929.339736533148</v>
      </c>
      <c r="Q856" s="38">
        <f t="shared" si="331"/>
        <v>0</v>
      </c>
      <c r="R856" s="48">
        <f t="shared" si="332"/>
        <v>311.05401292044758</v>
      </c>
      <c r="S856" s="38">
        <f t="shared" si="323"/>
        <v>986.58620892596298</v>
      </c>
      <c r="T856" s="50">
        <f t="shared" si="336"/>
        <v>20650</v>
      </c>
      <c r="U856" s="40">
        <f t="shared" si="337"/>
        <v>20617.242622088328</v>
      </c>
      <c r="V856" s="41">
        <f t="shared" si="338"/>
        <v>-1.5863137003231387E-3</v>
      </c>
      <c r="W856" s="39">
        <f t="shared" si="339"/>
        <v>-32.757377911671938</v>
      </c>
      <c r="X856" s="50">
        <f t="shared" si="333"/>
        <v>10279.808486549415</v>
      </c>
      <c r="Y856" s="41">
        <f t="shared" si="340"/>
        <v>0.49622523528512086</v>
      </c>
      <c r="Z856" s="52"/>
      <c r="AA856" s="50">
        <f t="shared" si="346"/>
        <v>30929.808486549424</v>
      </c>
      <c r="AB856" s="39">
        <f t="shared" si="347"/>
        <v>30110.611096420387</v>
      </c>
      <c r="AC856" s="39">
        <f t="shared" si="341"/>
        <v>-819.19739012903665</v>
      </c>
      <c r="AD856" s="41">
        <f t="shared" si="342"/>
        <v>-2.648569228888964E-2</v>
      </c>
      <c r="AF856" s="46">
        <f t="shared" si="324"/>
        <v>0</v>
      </c>
      <c r="AG856" s="46">
        <f t="shared" si="343"/>
        <v>0</v>
      </c>
      <c r="AH856" s="54">
        <f t="shared" si="325"/>
        <v>5775</v>
      </c>
      <c r="AI856" s="55">
        <f t="shared" si="334"/>
        <v>8.1291759465478841E-2</v>
      </c>
      <c r="AJ856" s="55">
        <f t="shared" si="344"/>
        <v>0</v>
      </c>
      <c r="AK856" s="55">
        <f t="shared" si="345"/>
        <v>0</v>
      </c>
    </row>
    <row r="857" spans="2:37" s="53" customFormat="1" ht="17.25" customHeight="1" x14ac:dyDescent="0.25">
      <c r="B857" s="91" t="str">
        <f t="shared" si="326"/>
        <v/>
      </c>
      <c r="C857" s="81">
        <f>IF(Sheet3!A828="","",Sheet3!A828)</f>
        <v>43409</v>
      </c>
      <c r="D857" s="82">
        <f>IF(C857="","",Sheet3!E828)</f>
        <v>30.690000999999999</v>
      </c>
      <c r="E857" s="56">
        <f>_xlfn.XLOOKUP(WEEKNUM(C857)&amp;YEAR(C857),Sheet4!C:C,Sheet4!B:B,0)</f>
        <v>0</v>
      </c>
      <c r="F857" s="46">
        <f>IF(int=Weekly,-$D$5,IF(int=Bi_Weekly,-$D$5,IF(int=Monthly,0,IF(int=Quarterly,0,IF(int=Yearly,0,IF(int=None,0,0))))))</f>
        <v>0</v>
      </c>
      <c r="G857" s="46"/>
      <c r="H857" s="46">
        <f t="shared" si="335"/>
        <v>-20650</v>
      </c>
      <c r="I857" s="47"/>
      <c r="J857" s="38">
        <f t="shared" si="322"/>
        <v>0</v>
      </c>
      <c r="K857" s="48"/>
      <c r="L857" s="48">
        <f t="shared" si="327"/>
        <v>675.5321960055154</v>
      </c>
      <c r="M857" s="48"/>
      <c r="N857" s="38">
        <f t="shared" si="328"/>
        <v>0</v>
      </c>
      <c r="O857" s="36">
        <f t="shared" si="329"/>
        <v>0</v>
      </c>
      <c r="P857" s="84">
        <f t="shared" si="330"/>
        <v>-30929.339736533148</v>
      </c>
      <c r="Q857" s="38">
        <f t="shared" si="331"/>
        <v>0</v>
      </c>
      <c r="R857" s="48">
        <f t="shared" si="332"/>
        <v>311.05401292044758</v>
      </c>
      <c r="S857" s="38">
        <f t="shared" si="323"/>
        <v>986.58620892596298</v>
      </c>
      <c r="T857" s="50">
        <f t="shared" si="336"/>
        <v>20650</v>
      </c>
      <c r="U857" s="40">
        <f t="shared" si="337"/>
        <v>20732.083770941463</v>
      </c>
      <c r="V857" s="41">
        <f t="shared" si="338"/>
        <v>3.9750010141144099E-3</v>
      </c>
      <c r="W857" s="39">
        <f t="shared" si="339"/>
        <v>82.083770941462717</v>
      </c>
      <c r="X857" s="50">
        <f t="shared" si="333"/>
        <v>10279.808486549415</v>
      </c>
      <c r="Y857" s="41">
        <f t="shared" si="340"/>
        <v>0.50178654999955841</v>
      </c>
      <c r="Z857" s="52"/>
      <c r="AA857" s="50">
        <f t="shared" si="346"/>
        <v>30929.808486549424</v>
      </c>
      <c r="AB857" s="39">
        <f t="shared" si="347"/>
        <v>30278.331738524012</v>
      </c>
      <c r="AC857" s="39">
        <f t="shared" si="341"/>
        <v>-651.47674802541223</v>
      </c>
      <c r="AD857" s="41">
        <f t="shared" si="342"/>
        <v>-2.1063070866045752E-2</v>
      </c>
      <c r="AF857" s="46">
        <f t="shared" si="324"/>
        <v>0</v>
      </c>
      <c r="AG857" s="46">
        <f t="shared" si="343"/>
        <v>0</v>
      </c>
      <c r="AH857" s="54">
        <f t="shared" si="325"/>
        <v>5782</v>
      </c>
      <c r="AI857" s="55">
        <f t="shared" si="334"/>
        <v>8.0178173719376397E-2</v>
      </c>
      <c r="AJ857" s="55">
        <f t="shared" si="344"/>
        <v>0</v>
      </c>
      <c r="AK857" s="55">
        <f t="shared" si="345"/>
        <v>0</v>
      </c>
    </row>
    <row r="858" spans="2:37" s="53" customFormat="1" ht="17.25" customHeight="1" x14ac:dyDescent="0.25">
      <c r="B858" s="91" t="str">
        <f t="shared" si="326"/>
        <v/>
      </c>
      <c r="C858" s="81">
        <f>IF(Sheet3!A829="","",Sheet3!A829)</f>
        <v>43416</v>
      </c>
      <c r="D858" s="82">
        <f>IF(C858="","",Sheet3!E829)</f>
        <v>30.290001</v>
      </c>
      <c r="E858" s="56">
        <f>_xlfn.XLOOKUP(WEEKNUM(C858)&amp;YEAR(C858),Sheet4!C:C,Sheet4!B:B,0)</f>
        <v>0</v>
      </c>
      <c r="F858" s="46">
        <f>IF(int=Weekly,-$D$5,IF(int=Bi_Weekly,0,IF(int=Monthly,0,IF(int=Quarterly,0,IF(int=Yearly,0,IF(int=None,0,0))))))</f>
        <v>0</v>
      </c>
      <c r="G858" s="46"/>
      <c r="H858" s="46">
        <f t="shared" si="335"/>
        <v>-20650</v>
      </c>
      <c r="I858" s="47"/>
      <c r="J858" s="38">
        <f t="shared" si="322"/>
        <v>0</v>
      </c>
      <c r="K858" s="48"/>
      <c r="L858" s="48">
        <f t="shared" si="327"/>
        <v>675.5321960055154</v>
      </c>
      <c r="M858" s="48"/>
      <c r="N858" s="38">
        <f t="shared" si="328"/>
        <v>0</v>
      </c>
      <c r="O858" s="36">
        <f t="shared" si="329"/>
        <v>0</v>
      </c>
      <c r="P858" s="84">
        <f t="shared" si="330"/>
        <v>-30929.339736533148</v>
      </c>
      <c r="Q858" s="38">
        <f t="shared" si="331"/>
        <v>0</v>
      </c>
      <c r="R858" s="48">
        <f t="shared" si="332"/>
        <v>311.05401292044758</v>
      </c>
      <c r="S858" s="38">
        <f t="shared" si="323"/>
        <v>986.58620892596298</v>
      </c>
      <c r="T858" s="50">
        <f t="shared" si="336"/>
        <v>20650</v>
      </c>
      <c r="U858" s="40">
        <f t="shared" si="337"/>
        <v>20461.870892539257</v>
      </c>
      <c r="V858" s="41">
        <f t="shared" si="338"/>
        <v>-9.1103684000359841E-3</v>
      </c>
      <c r="W858" s="39">
        <f t="shared" si="339"/>
        <v>-188.1291074607434</v>
      </c>
      <c r="X858" s="50">
        <f t="shared" si="333"/>
        <v>10279.808486549415</v>
      </c>
      <c r="Y858" s="41">
        <f t="shared" si="340"/>
        <v>0.48870118058540779</v>
      </c>
      <c r="Z858" s="52"/>
      <c r="AA858" s="50">
        <f t="shared" si="346"/>
        <v>30929.808486549424</v>
      </c>
      <c r="AB858" s="39">
        <f t="shared" si="347"/>
        <v>29883.697254953626</v>
      </c>
      <c r="AC858" s="39">
        <f t="shared" si="341"/>
        <v>-1046.111231595798</v>
      </c>
      <c r="AD858" s="41">
        <f t="shared" si="342"/>
        <v>-3.382210504312444E-2</v>
      </c>
      <c r="AF858" s="46">
        <f t="shared" si="324"/>
        <v>0</v>
      </c>
      <c r="AG858" s="46">
        <f t="shared" si="343"/>
        <v>0</v>
      </c>
      <c r="AH858" s="54">
        <f t="shared" si="325"/>
        <v>5789</v>
      </c>
      <c r="AI858" s="55">
        <f t="shared" si="334"/>
        <v>7.9064587973273939E-2</v>
      </c>
      <c r="AJ858" s="55">
        <f t="shared" si="344"/>
        <v>0</v>
      </c>
      <c r="AK858" s="55">
        <f t="shared" si="345"/>
        <v>0</v>
      </c>
    </row>
    <row r="859" spans="2:37" s="53" customFormat="1" ht="17.25" customHeight="1" x14ac:dyDescent="0.25">
      <c r="B859" s="91" t="str">
        <f t="shared" si="326"/>
        <v/>
      </c>
      <c r="C859" s="81">
        <f>IF(Sheet3!A830="","",Sheet3!A830)</f>
        <v>43423</v>
      </c>
      <c r="D859" s="82">
        <f>IF(C859="","",Sheet3!E830)</f>
        <v>29.360001</v>
      </c>
      <c r="E859" s="56">
        <f>_xlfn.XLOOKUP(WEEKNUM(C859)&amp;YEAR(C859),Sheet4!C:C,Sheet4!B:B,0)</f>
        <v>0</v>
      </c>
      <c r="F859" s="46">
        <f>IF(int=Weekly,-$D$5,IF(int=Bi_Weekly,-$D$5,IF(int=Monthly,-$D$5,IF(int=Quarterly,0,IF(int=Yearly,0,IF(int=None,0,0))))))</f>
        <v>-100</v>
      </c>
      <c r="G859" s="46"/>
      <c r="H859" s="46">
        <f t="shared" si="335"/>
        <v>-20750</v>
      </c>
      <c r="I859" s="47"/>
      <c r="J859" s="38">
        <f t="shared" si="322"/>
        <v>3.4059944344007347</v>
      </c>
      <c r="K859" s="48"/>
      <c r="L859" s="48">
        <f t="shared" si="327"/>
        <v>678.93819043991618</v>
      </c>
      <c r="M859" s="48"/>
      <c r="N859" s="38">
        <f t="shared" si="328"/>
        <v>0</v>
      </c>
      <c r="O859" s="36">
        <f t="shared" si="329"/>
        <v>0</v>
      </c>
      <c r="P859" s="84">
        <f t="shared" si="330"/>
        <v>-31029.339736533148</v>
      </c>
      <c r="Q859" s="38">
        <f t="shared" si="331"/>
        <v>0</v>
      </c>
      <c r="R859" s="48">
        <f t="shared" si="332"/>
        <v>311.05401292044758</v>
      </c>
      <c r="S859" s="38">
        <f t="shared" si="323"/>
        <v>989.99220336036376</v>
      </c>
      <c r="T859" s="50">
        <f t="shared" si="336"/>
        <v>20750</v>
      </c>
      <c r="U859" s="40">
        <f t="shared" si="337"/>
        <v>19933.625950254129</v>
      </c>
      <c r="V859" s="41">
        <f t="shared" si="338"/>
        <v>-3.9343327698596164E-2</v>
      </c>
      <c r="W859" s="39">
        <f t="shared" si="339"/>
        <v>-816.37404974587116</v>
      </c>
      <c r="X859" s="50">
        <f t="shared" si="333"/>
        <v>10279.808486549415</v>
      </c>
      <c r="Y859" s="41">
        <f t="shared" si="340"/>
        <v>0.45606912948450828</v>
      </c>
      <c r="Z859" s="52"/>
      <c r="AA859" s="50">
        <f t="shared" si="346"/>
        <v>31029.808486549424</v>
      </c>
      <c r="AB859" s="39">
        <f t="shared" si="347"/>
        <v>29066.172080652483</v>
      </c>
      <c r="AC859" s="39">
        <f t="shared" si="341"/>
        <v>-1963.6364058969411</v>
      </c>
      <c r="AD859" s="41">
        <f t="shared" si="342"/>
        <v>-6.3282259919461792E-2</v>
      </c>
      <c r="AF859" s="46">
        <f t="shared" si="324"/>
        <v>-100</v>
      </c>
      <c r="AG859" s="46">
        <f t="shared" si="343"/>
        <v>-100</v>
      </c>
      <c r="AH859" s="54">
        <f t="shared" si="325"/>
        <v>5796</v>
      </c>
      <c r="AI859" s="55">
        <f t="shared" si="334"/>
        <v>7.7951002227171495E-2</v>
      </c>
      <c r="AJ859" s="55">
        <f t="shared" si="344"/>
        <v>-7.7951002227171493</v>
      </c>
      <c r="AK859" s="55">
        <f t="shared" si="345"/>
        <v>-7.7951002227171493</v>
      </c>
    </row>
    <row r="860" spans="2:37" s="53" customFormat="1" ht="17.25" customHeight="1" x14ac:dyDescent="0.25">
      <c r="B860" s="91" t="str">
        <f t="shared" si="326"/>
        <v/>
      </c>
      <c r="C860" s="81">
        <f>IF(Sheet3!A831="","",Sheet3!A831)</f>
        <v>43430</v>
      </c>
      <c r="D860" s="82">
        <f>IF(C860="","",Sheet3!E831)</f>
        <v>31.24</v>
      </c>
      <c r="E860" s="56">
        <f>_xlfn.XLOOKUP(WEEKNUM(C860)&amp;YEAR(C860),Sheet4!C:C,Sheet4!B:B,0)</f>
        <v>0</v>
      </c>
      <c r="F860" s="46">
        <f>IF(int=Weekly,-$D$5,IF(int=Bi_Weekly,0,IF(int=Monthly,0,IF(int=Quarterly,0,IF(int=Yearly,0,IF(int=None,0,0))))))</f>
        <v>0</v>
      </c>
      <c r="G860" s="46"/>
      <c r="H860" s="46">
        <f t="shared" si="335"/>
        <v>-20750</v>
      </c>
      <c r="I860" s="47"/>
      <c r="J860" s="38">
        <f t="shared" si="322"/>
        <v>0</v>
      </c>
      <c r="K860" s="48"/>
      <c r="L860" s="48">
        <f t="shared" si="327"/>
        <v>678.93819043991618</v>
      </c>
      <c r="M860" s="48"/>
      <c r="N860" s="38">
        <f t="shared" si="328"/>
        <v>0</v>
      </c>
      <c r="O860" s="36">
        <f t="shared" si="329"/>
        <v>0</v>
      </c>
      <c r="P860" s="84">
        <f t="shared" si="330"/>
        <v>-31029.339736533148</v>
      </c>
      <c r="Q860" s="38">
        <f t="shared" si="331"/>
        <v>0</v>
      </c>
      <c r="R860" s="48">
        <f t="shared" si="332"/>
        <v>311.05401292044758</v>
      </c>
      <c r="S860" s="38">
        <f t="shared" si="323"/>
        <v>989.99220336036376</v>
      </c>
      <c r="T860" s="50">
        <f t="shared" si="336"/>
        <v>20750</v>
      </c>
      <c r="U860" s="40">
        <f t="shared" si="337"/>
        <v>21210.029069342982</v>
      </c>
      <c r="V860" s="41">
        <f t="shared" si="338"/>
        <v>2.2170075630987052E-2</v>
      </c>
      <c r="W860" s="39">
        <f t="shared" si="339"/>
        <v>460.02906934298153</v>
      </c>
      <c r="X860" s="50">
        <f t="shared" si="333"/>
        <v>10279.808486549415</v>
      </c>
      <c r="Y860" s="41">
        <f t="shared" si="340"/>
        <v>0.51758253281409128</v>
      </c>
      <c r="Z860" s="52"/>
      <c r="AA860" s="50">
        <f t="shared" si="346"/>
        <v>31029.808486549424</v>
      </c>
      <c r="AB860" s="39">
        <f t="shared" si="347"/>
        <v>30927.356432977766</v>
      </c>
      <c r="AC860" s="39">
        <f t="shared" si="341"/>
        <v>-102.45205357165833</v>
      </c>
      <c r="AD860" s="41">
        <f t="shared" si="342"/>
        <v>-3.3017301288232881E-3</v>
      </c>
      <c r="AF860" s="46">
        <f t="shared" si="324"/>
        <v>0</v>
      </c>
      <c r="AG860" s="46">
        <f t="shared" si="343"/>
        <v>0</v>
      </c>
      <c r="AH860" s="54">
        <f t="shared" si="325"/>
        <v>5803</v>
      </c>
      <c r="AI860" s="55">
        <f t="shared" si="334"/>
        <v>7.6837416481069037E-2</v>
      </c>
      <c r="AJ860" s="55">
        <f t="shared" si="344"/>
        <v>0</v>
      </c>
      <c r="AK860" s="55">
        <f t="shared" si="345"/>
        <v>0</v>
      </c>
    </row>
    <row r="861" spans="2:37" s="53" customFormat="1" ht="17.25" customHeight="1" x14ac:dyDescent="0.25">
      <c r="B861" s="91" t="str">
        <f t="shared" si="326"/>
        <v/>
      </c>
      <c r="C861" s="81">
        <f>IF(Sheet3!A832="","",Sheet3!A832)</f>
        <v>43437</v>
      </c>
      <c r="D861" s="82">
        <f>IF(C861="","",Sheet3!E832)</f>
        <v>30.139999</v>
      </c>
      <c r="E861" s="56">
        <f>_xlfn.XLOOKUP(WEEKNUM(C861)&amp;YEAR(C861),Sheet4!C:C,Sheet4!B:B,0)</f>
        <v>0</v>
      </c>
      <c r="F861" s="46">
        <f>IF(int=Weekly,-$D$5,IF(int=Bi_Weekly,-$D$5,IF(int=Monthly,0,IF(int=Quarterly,0,IF(int=Yearly,0,IF(int=None,0,0))))))</f>
        <v>0</v>
      </c>
      <c r="G861" s="46"/>
      <c r="H861" s="46">
        <f t="shared" si="335"/>
        <v>-20750</v>
      </c>
      <c r="I861" s="47"/>
      <c r="J861" s="38">
        <f t="shared" si="322"/>
        <v>0</v>
      </c>
      <c r="K861" s="48"/>
      <c r="L861" s="48">
        <f t="shared" si="327"/>
        <v>678.93819043991618</v>
      </c>
      <c r="M861" s="48"/>
      <c r="N861" s="38">
        <f t="shared" si="328"/>
        <v>0</v>
      </c>
      <c r="O861" s="36">
        <f t="shared" si="329"/>
        <v>0</v>
      </c>
      <c r="P861" s="84">
        <f t="shared" si="330"/>
        <v>-31029.339736533148</v>
      </c>
      <c r="Q861" s="38">
        <f t="shared" si="331"/>
        <v>0</v>
      </c>
      <c r="R861" s="48">
        <f t="shared" si="332"/>
        <v>311.05401292044758</v>
      </c>
      <c r="S861" s="38">
        <f t="shared" si="323"/>
        <v>989.99220336036376</v>
      </c>
      <c r="T861" s="50">
        <f t="shared" si="336"/>
        <v>20750</v>
      </c>
      <c r="U861" s="40">
        <f t="shared" si="337"/>
        <v>20463.196380920883</v>
      </c>
      <c r="V861" s="41">
        <f t="shared" si="338"/>
        <v>-1.3821861160439375E-2</v>
      </c>
      <c r="W861" s="39">
        <f t="shared" si="339"/>
        <v>-286.8036190791172</v>
      </c>
      <c r="X861" s="50">
        <f t="shared" si="333"/>
        <v>10279.808486549415</v>
      </c>
      <c r="Y861" s="41">
        <f t="shared" si="340"/>
        <v>0.48159059602266496</v>
      </c>
      <c r="Z861" s="52"/>
      <c r="AA861" s="50">
        <f t="shared" si="346"/>
        <v>31029.808486549424</v>
      </c>
      <c r="AB861" s="39">
        <f t="shared" si="347"/>
        <v>29838.364019289162</v>
      </c>
      <c r="AC861" s="39">
        <f t="shared" si="341"/>
        <v>-1191.4444672602622</v>
      </c>
      <c r="AD861" s="41">
        <f t="shared" si="342"/>
        <v>-3.8396771535883611E-2</v>
      </c>
      <c r="AF861" s="46">
        <f t="shared" si="324"/>
        <v>0</v>
      </c>
      <c r="AG861" s="46">
        <f t="shared" si="343"/>
        <v>0</v>
      </c>
      <c r="AH861" s="54">
        <f t="shared" si="325"/>
        <v>5810</v>
      </c>
      <c r="AI861" s="55">
        <f t="shared" si="334"/>
        <v>7.5723830734966593E-2</v>
      </c>
      <c r="AJ861" s="55">
        <f t="shared" si="344"/>
        <v>0</v>
      </c>
      <c r="AK861" s="55">
        <f t="shared" si="345"/>
        <v>0</v>
      </c>
    </row>
    <row r="862" spans="2:37" s="53" customFormat="1" ht="17.25" customHeight="1" x14ac:dyDescent="0.25">
      <c r="B862" s="91" t="str">
        <f t="shared" si="326"/>
        <v/>
      </c>
      <c r="C862" s="81">
        <f>IF(Sheet3!A833="","",Sheet3!A833)</f>
        <v>43444</v>
      </c>
      <c r="D862" s="82">
        <f>IF(C862="","",Sheet3!E833)</f>
        <v>30.219999000000001</v>
      </c>
      <c r="E862" s="56">
        <f>_xlfn.XLOOKUP(WEEKNUM(C862)&amp;YEAR(C862),Sheet4!C:C,Sheet4!B:B,0)</f>
        <v>0</v>
      </c>
      <c r="F862" s="46">
        <f>IF(int=Weekly,-$D$5,IF(int=Bi_Weekly,0,IF(int=Monthly,0,IF(int=Quarterly,0,IF(int=Yearly,0,IF(int=None,0,0))))))</f>
        <v>0</v>
      </c>
      <c r="G862" s="46"/>
      <c r="H862" s="46">
        <f t="shared" si="335"/>
        <v>-20750</v>
      </c>
      <c r="I862" s="47"/>
      <c r="J862" s="38">
        <f t="shared" si="322"/>
        <v>0</v>
      </c>
      <c r="K862" s="48"/>
      <c r="L862" s="48">
        <f t="shared" si="327"/>
        <v>678.93819043991618</v>
      </c>
      <c r="M862" s="48"/>
      <c r="N862" s="38">
        <f t="shared" si="328"/>
        <v>0</v>
      </c>
      <c r="O862" s="36">
        <f t="shared" si="329"/>
        <v>0</v>
      </c>
      <c r="P862" s="84">
        <f t="shared" si="330"/>
        <v>-31029.339736533148</v>
      </c>
      <c r="Q862" s="38">
        <f t="shared" si="331"/>
        <v>0</v>
      </c>
      <c r="R862" s="48">
        <f t="shared" si="332"/>
        <v>311.05401292044758</v>
      </c>
      <c r="S862" s="38">
        <f t="shared" si="323"/>
        <v>989.99220336036376</v>
      </c>
      <c r="T862" s="50">
        <f t="shared" si="336"/>
        <v>20750</v>
      </c>
      <c r="U862" s="40">
        <f t="shared" si="337"/>
        <v>20517.511436156077</v>
      </c>
      <c r="V862" s="41">
        <f t="shared" si="338"/>
        <v>-1.120426813705655E-2</v>
      </c>
      <c r="W862" s="39">
        <f t="shared" si="339"/>
        <v>-232.48856384392275</v>
      </c>
      <c r="X862" s="50">
        <f t="shared" si="333"/>
        <v>10279.808486549415</v>
      </c>
      <c r="Y862" s="41">
        <f t="shared" si="340"/>
        <v>0.4842081890460479</v>
      </c>
      <c r="Z862" s="52"/>
      <c r="AA862" s="50">
        <f t="shared" si="346"/>
        <v>31029.808486549424</v>
      </c>
      <c r="AB862" s="39">
        <f t="shared" si="347"/>
        <v>29917.563395557991</v>
      </c>
      <c r="AC862" s="39">
        <f t="shared" si="341"/>
        <v>-1112.2450909914332</v>
      </c>
      <c r="AD862" s="41">
        <f t="shared" si="342"/>
        <v>-3.584440720842863E-2</v>
      </c>
      <c r="AF862" s="46">
        <f t="shared" si="324"/>
        <v>0</v>
      </c>
      <c r="AG862" s="46">
        <f t="shared" si="343"/>
        <v>0</v>
      </c>
      <c r="AH862" s="54">
        <f t="shared" si="325"/>
        <v>5817</v>
      </c>
      <c r="AI862" s="55">
        <f t="shared" si="334"/>
        <v>7.4610244988864149E-2</v>
      </c>
      <c r="AJ862" s="55">
        <f t="shared" si="344"/>
        <v>0</v>
      </c>
      <c r="AK862" s="55">
        <f t="shared" si="345"/>
        <v>0</v>
      </c>
    </row>
    <row r="863" spans="2:37" s="53" customFormat="1" ht="17.25" customHeight="1" x14ac:dyDescent="0.25">
      <c r="B863" s="91" t="str">
        <f t="shared" si="326"/>
        <v/>
      </c>
      <c r="C863" s="81">
        <f>IF(Sheet3!A834="","",Sheet3!A834)</f>
        <v>43451</v>
      </c>
      <c r="D863" s="82">
        <f>IF(C863="","",Sheet3!E834)</f>
        <v>28.309999000000001</v>
      </c>
      <c r="E863" s="56">
        <f>_xlfn.XLOOKUP(WEEKNUM(C863)&amp;YEAR(C863),Sheet4!C:C,Sheet4!B:B,0)</f>
        <v>0</v>
      </c>
      <c r="F863" s="46">
        <f>IF(int=Weekly,-$D$5,IF(int=Bi_Weekly,-$D$5,IF(int=Monthly,-$D$5,IF(int=Quarterly,-$D$5,IF(int=Yearly,-$D$5,IF(int=None,0,0))))))</f>
        <v>-100</v>
      </c>
      <c r="G863" s="46"/>
      <c r="H863" s="46">
        <f t="shared" si="335"/>
        <v>-20850</v>
      </c>
      <c r="I863" s="47"/>
      <c r="J863" s="38">
        <f t="shared" ref="J863:J929" si="348">IF(D$24=0,"",ABS($F863*D$24)/D863)</f>
        <v>3.5323208594956146</v>
      </c>
      <c r="K863" s="48"/>
      <c r="L863" s="48">
        <f t="shared" si="327"/>
        <v>682.47051129941178</v>
      </c>
      <c r="M863" s="48"/>
      <c r="N863" s="38">
        <f t="shared" si="328"/>
        <v>0</v>
      </c>
      <c r="O863" s="36">
        <f t="shared" si="329"/>
        <v>0</v>
      </c>
      <c r="P863" s="84">
        <f t="shared" si="330"/>
        <v>-31129.339736533148</v>
      </c>
      <c r="Q863" s="38">
        <f t="shared" si="331"/>
        <v>0</v>
      </c>
      <c r="R863" s="48">
        <f t="shared" si="332"/>
        <v>311.05401292044758</v>
      </c>
      <c r="S863" s="38">
        <f t="shared" ref="S863:S926" si="349">IF(D863=0,"",L863+R863)</f>
        <v>993.52452421985936</v>
      </c>
      <c r="T863" s="50">
        <f t="shared" si="336"/>
        <v>20850</v>
      </c>
      <c r="U863" s="40">
        <f t="shared" si="337"/>
        <v>19320.739492415836</v>
      </c>
      <c r="V863" s="41">
        <f t="shared" si="338"/>
        <v>-7.3345827701878363E-2</v>
      </c>
      <c r="W863" s="39">
        <f t="shared" si="339"/>
        <v>-1529.2605075841639</v>
      </c>
      <c r="X863" s="50">
        <f t="shared" si="333"/>
        <v>10279.808486549415</v>
      </c>
      <c r="Y863" s="41">
        <f t="shared" si="340"/>
        <v>0.41969055054989224</v>
      </c>
      <c r="Z863" s="52"/>
      <c r="AA863" s="50">
        <f t="shared" si="346"/>
        <v>31129.808486549424</v>
      </c>
      <c r="AB863" s="39">
        <f t="shared" si="347"/>
        <v>28126.678287139694</v>
      </c>
      <c r="AC863" s="39">
        <f t="shared" si="341"/>
        <v>-3003.1301994097303</v>
      </c>
      <c r="AD863" s="41">
        <f t="shared" si="342"/>
        <v>-9.6471207033198558E-2</v>
      </c>
      <c r="AF863" s="46">
        <f t="shared" ref="AF863:AF929" si="350">F863+ABS(O863)</f>
        <v>-100</v>
      </c>
      <c r="AG863" s="46">
        <f t="shared" si="343"/>
        <v>-100</v>
      </c>
      <c r="AH863" s="54">
        <f t="shared" ref="AH863:AH929" si="351">DATEDIF($C$31,C863,"d")</f>
        <v>5824</v>
      </c>
      <c r="AI863" s="55">
        <f t="shared" si="334"/>
        <v>7.3496659242761692E-2</v>
      </c>
      <c r="AJ863" s="55">
        <f t="shared" si="344"/>
        <v>-7.3496659242761693</v>
      </c>
      <c r="AK863" s="55">
        <f t="shared" si="345"/>
        <v>-7.3496659242761693</v>
      </c>
    </row>
    <row r="864" spans="2:37" s="53" customFormat="1" ht="17.25" customHeight="1" x14ac:dyDescent="0.25">
      <c r="B864" s="91" t="str">
        <f t="shared" ref="B864:B927" si="352">IF(C863="","",IF(C$30&lt;C864,"",B863+1))</f>
        <v/>
      </c>
      <c r="C864" s="81">
        <f>IF(Sheet3!A835="","",Sheet3!A835)</f>
        <v>43458</v>
      </c>
      <c r="D864" s="82">
        <f>IF(C864="","",Sheet3!E835)</f>
        <v>28.459999</v>
      </c>
      <c r="E864" s="56">
        <f>_xlfn.XLOOKUP(WEEKNUM(C864)&amp;YEAR(C864),Sheet4!C:C,Sheet4!B:B,0)</f>
        <v>0</v>
      </c>
      <c r="F864" s="46">
        <f>IF(int=Weekly,-$D$5,IF(int=Bi_Weekly,0,IF(int=Monthly,0,IF(int=Quarterly,0,IF(int=Yearly,0,IF(int=None,0,0))))))</f>
        <v>0</v>
      </c>
      <c r="G864" s="46"/>
      <c r="H864" s="46">
        <f t="shared" si="335"/>
        <v>-20850</v>
      </c>
      <c r="I864" s="47"/>
      <c r="J864" s="38">
        <f t="shared" si="348"/>
        <v>0</v>
      </c>
      <c r="K864" s="48"/>
      <c r="L864" s="48">
        <f t="shared" ref="L864:L929" si="353">IF(D864=0,"",L863+J864)</f>
        <v>682.47051129941178</v>
      </c>
      <c r="M864" s="48"/>
      <c r="N864" s="38">
        <f t="shared" ref="N864:N927" si="354">IF(D864=0,"",L864*E864)</f>
        <v>0</v>
      </c>
      <c r="O864" s="36">
        <f t="shared" ref="O864:O927" si="355">-(IF(D864=0,"",N864))</f>
        <v>0</v>
      </c>
      <c r="P864" s="84">
        <f t="shared" ref="P864:P927" si="356">P863+F864+O864</f>
        <v>-31129.339736533148</v>
      </c>
      <c r="Q864" s="38">
        <f t="shared" ref="Q864:Q929" si="357">IF(D864=0,"",ABS($O864)/D864)</f>
        <v>0</v>
      </c>
      <c r="R864" s="48">
        <f t="shared" ref="R864:R927" si="358">IF(D864=0,"",Q864+R863)</f>
        <v>311.05401292044758</v>
      </c>
      <c r="S864" s="38">
        <f t="shared" si="349"/>
        <v>993.52452421985936</v>
      </c>
      <c r="T864" s="50">
        <f t="shared" si="336"/>
        <v>20850</v>
      </c>
      <c r="U864" s="40">
        <f t="shared" si="337"/>
        <v>19423.110069110749</v>
      </c>
      <c r="V864" s="41">
        <f t="shared" si="338"/>
        <v>-6.8435967908357376E-2</v>
      </c>
      <c r="W864" s="39">
        <f t="shared" si="339"/>
        <v>-1426.8899308892505</v>
      </c>
      <c r="X864" s="50">
        <f t="shared" ref="X864:X929" si="359">ABS(O864)+X863</f>
        <v>10279.808486549415</v>
      </c>
      <c r="Y864" s="41">
        <f t="shared" si="340"/>
        <v>0.42460041034341334</v>
      </c>
      <c r="Z864" s="52"/>
      <c r="AA864" s="50">
        <f t="shared" si="346"/>
        <v>31129.808486549424</v>
      </c>
      <c r="AB864" s="39">
        <f t="shared" si="347"/>
        <v>28275.706965772675</v>
      </c>
      <c r="AC864" s="39">
        <f t="shared" si="341"/>
        <v>-2854.1015207767487</v>
      </c>
      <c r="AD864" s="41">
        <f t="shared" si="342"/>
        <v>-9.1683876629371164E-2</v>
      </c>
      <c r="AF864" s="46">
        <f t="shared" si="350"/>
        <v>0</v>
      </c>
      <c r="AG864" s="46">
        <f t="shared" si="343"/>
        <v>0</v>
      </c>
      <c r="AH864" s="54">
        <f t="shared" si="351"/>
        <v>5831</v>
      </c>
      <c r="AI864" s="55">
        <f t="shared" ref="AI864:AI927" si="360">(AH$30-AH864)/AH$30</f>
        <v>7.2383073496659248E-2</v>
      </c>
      <c r="AJ864" s="55">
        <f t="shared" si="344"/>
        <v>0</v>
      </c>
      <c r="AK864" s="55">
        <f t="shared" si="345"/>
        <v>0</v>
      </c>
    </row>
    <row r="865" spans="2:37" s="53" customFormat="1" ht="17.25" customHeight="1" x14ac:dyDescent="0.25">
      <c r="B865" s="91" t="str">
        <f t="shared" si="352"/>
        <v/>
      </c>
      <c r="C865" s="81">
        <f>IF(Sheet3!A836="","",Sheet3!A836)</f>
        <v>43465</v>
      </c>
      <c r="D865" s="82">
        <f>IF(C865="","",Sheet3!E836)</f>
        <v>30.34</v>
      </c>
      <c r="E865" s="56">
        <f>_xlfn.XLOOKUP(WEEKNUM(C865)&amp;YEAR(C865),Sheet4!C:C,Sheet4!B:B,0)</f>
        <v>0</v>
      </c>
      <c r="F865" s="46">
        <f>IF(int=Weekly,-$D$5,IF(int=Bi_Weekly,-$D$5,IF(int=Monthly,0,IF(int=Quarterly,0,IF(int=Yearly,0,IF(int=None,0,0))))))</f>
        <v>0</v>
      </c>
      <c r="G865" s="46"/>
      <c r="H865" s="46">
        <f t="shared" ref="H865:H928" si="361">H864+F865</f>
        <v>-20850</v>
      </c>
      <c r="I865" s="47"/>
      <c r="J865" s="38">
        <f t="shared" si="348"/>
        <v>0</v>
      </c>
      <c r="K865" s="48"/>
      <c r="L865" s="48">
        <f t="shared" si="353"/>
        <v>682.47051129941178</v>
      </c>
      <c r="M865" s="48"/>
      <c r="N865" s="38">
        <f t="shared" si="354"/>
        <v>0</v>
      </c>
      <c r="O865" s="36">
        <f t="shared" si="355"/>
        <v>0</v>
      </c>
      <c r="P865" s="84">
        <f t="shared" si="356"/>
        <v>-31129.339736533148</v>
      </c>
      <c r="Q865" s="38">
        <f t="shared" si="357"/>
        <v>0</v>
      </c>
      <c r="R865" s="48">
        <f t="shared" si="358"/>
        <v>311.05401292044758</v>
      </c>
      <c r="S865" s="38">
        <f t="shared" si="349"/>
        <v>993.52452421985936</v>
      </c>
      <c r="T865" s="50">
        <f t="shared" ref="T865:T928" si="362">IF(D865=0,"",D865*J865)+T864</f>
        <v>20850</v>
      </c>
      <c r="U865" s="40">
        <f t="shared" ref="U865:U928" si="363">IF(D865=0,"",L865*D865)</f>
        <v>20706.155312824154</v>
      </c>
      <c r="V865" s="41">
        <f t="shared" ref="V865:V928" si="364">(U865/T865)-1</f>
        <v>-6.8990257638295027E-3</v>
      </c>
      <c r="W865" s="39">
        <f t="shared" ref="W865:W928" si="365">U865-T865</f>
        <v>-143.84468717584605</v>
      </c>
      <c r="X865" s="50">
        <f t="shared" si="359"/>
        <v>10279.808486549415</v>
      </c>
      <c r="Y865" s="41">
        <f t="shared" ref="Y865:Y928" si="366">((U865+X865)/T865)-1</f>
        <v>0.48613735248794088</v>
      </c>
      <c r="Z865" s="52"/>
      <c r="AA865" s="50">
        <f t="shared" si="346"/>
        <v>31129.808486549424</v>
      </c>
      <c r="AB865" s="39">
        <f t="shared" si="347"/>
        <v>30143.534064830535</v>
      </c>
      <c r="AC865" s="39">
        <f t="shared" ref="AC865:AC928" si="367">AB865-AA865</f>
        <v>-986.27442171888833</v>
      </c>
      <c r="AD865" s="41">
        <f t="shared" ref="AD865:AD928" si="368">(AB865/AA865)-1</f>
        <v>-3.1682636985866375E-2</v>
      </c>
      <c r="AF865" s="46">
        <f t="shared" si="350"/>
        <v>0</v>
      </c>
      <c r="AG865" s="46">
        <f t="shared" ref="AG865:AG928" si="369">F865</f>
        <v>0</v>
      </c>
      <c r="AH865" s="54">
        <f t="shared" si="351"/>
        <v>5838</v>
      </c>
      <c r="AI865" s="55">
        <f t="shared" si="360"/>
        <v>7.126948775055679E-2</v>
      </c>
      <c r="AJ865" s="55">
        <f t="shared" ref="AJ865:AJ928" si="370">AI865*AF865</f>
        <v>0</v>
      </c>
      <c r="AK865" s="55">
        <f t="shared" ref="AK865:AK928" si="371">$AI865*AG865</f>
        <v>0</v>
      </c>
    </row>
    <row r="866" spans="2:37" s="53" customFormat="1" ht="17.25" customHeight="1" x14ac:dyDescent="0.25">
      <c r="B866" s="91" t="str">
        <f t="shared" si="352"/>
        <v/>
      </c>
      <c r="C866" s="81">
        <f>IF(Sheet3!A837="","",Sheet3!A837)</f>
        <v>43472</v>
      </c>
      <c r="D866" s="82">
        <f>IF(C866="","",Sheet3!E837)</f>
        <v>30.870000999999998</v>
      </c>
      <c r="E866" s="56">
        <f>_xlfn.XLOOKUP(WEEKNUM(C866)&amp;YEAR(C866),Sheet4!C:C,Sheet4!B:B,0)</f>
        <v>0.51</v>
      </c>
      <c r="F866" s="46">
        <f>IF(int=Weekly,-$D$5,IF(int=Bi_Weekly,0,IF(int=Monthly,0,IF(int=Quarterly,0,IF(int=Yearly,0,IF(int=None,0,0))))))</f>
        <v>0</v>
      </c>
      <c r="G866" s="46"/>
      <c r="H866" s="46">
        <f t="shared" si="361"/>
        <v>-20850</v>
      </c>
      <c r="I866" s="47"/>
      <c r="J866" s="38">
        <f t="shared" si="348"/>
        <v>0</v>
      </c>
      <c r="K866" s="48"/>
      <c r="L866" s="48">
        <f t="shared" si="353"/>
        <v>682.47051129941178</v>
      </c>
      <c r="M866" s="48"/>
      <c r="N866" s="38">
        <f t="shared" si="354"/>
        <v>348.05996076270003</v>
      </c>
      <c r="O866" s="36">
        <f t="shared" si="355"/>
        <v>-348.05996076270003</v>
      </c>
      <c r="P866" s="84">
        <f t="shared" si="356"/>
        <v>-31477.399697295848</v>
      </c>
      <c r="Q866" s="38">
        <f t="shared" si="357"/>
        <v>11.275022659140829</v>
      </c>
      <c r="R866" s="48">
        <f t="shared" si="358"/>
        <v>322.32903557958838</v>
      </c>
      <c r="S866" s="38">
        <f t="shared" si="349"/>
        <v>1004.7995468790002</v>
      </c>
      <c r="T866" s="50">
        <f t="shared" si="362"/>
        <v>20850</v>
      </c>
      <c r="U866" s="40">
        <f t="shared" si="363"/>
        <v>21067.865366283353</v>
      </c>
      <c r="V866" s="41">
        <f t="shared" si="364"/>
        <v>1.0449178239009704E-2</v>
      </c>
      <c r="W866" s="39">
        <f t="shared" si="365"/>
        <v>217.86536628335307</v>
      </c>
      <c r="X866" s="50">
        <f t="shared" si="359"/>
        <v>10627.868447312114</v>
      </c>
      <c r="Y866" s="41">
        <f t="shared" si="366"/>
        <v>0.52017907978875133</v>
      </c>
      <c r="Z866" s="52"/>
      <c r="AA866" s="50">
        <f t="shared" si="346"/>
        <v>31477.868447312125</v>
      </c>
      <c r="AB866" s="39">
        <f t="shared" si="347"/>
        <v>31018.163016954284</v>
      </c>
      <c r="AC866" s="39">
        <f t="shared" si="367"/>
        <v>-459.70543035784067</v>
      </c>
      <c r="AD866" s="41">
        <f t="shared" si="368"/>
        <v>-1.460408385425771E-2</v>
      </c>
      <c r="AF866" s="46">
        <f t="shared" si="350"/>
        <v>348.05996076270003</v>
      </c>
      <c r="AG866" s="46">
        <f t="shared" si="369"/>
        <v>0</v>
      </c>
      <c r="AH866" s="54">
        <f t="shared" si="351"/>
        <v>5845</v>
      </c>
      <c r="AI866" s="55">
        <f t="shared" si="360"/>
        <v>7.0155902004454346E-2</v>
      </c>
      <c r="AJ866" s="55">
        <f t="shared" si="370"/>
        <v>24.418460498942206</v>
      </c>
      <c r="AK866" s="55">
        <f t="shared" si="371"/>
        <v>0</v>
      </c>
    </row>
    <row r="867" spans="2:37" s="53" customFormat="1" ht="17.25" customHeight="1" x14ac:dyDescent="0.25">
      <c r="B867" s="91" t="str">
        <f t="shared" si="352"/>
        <v/>
      </c>
      <c r="C867" s="81">
        <f>IF(Sheet3!A838="","",Sheet3!A838)</f>
        <v>43479</v>
      </c>
      <c r="D867" s="82">
        <f>IF(C867="","",Sheet3!E838)</f>
        <v>30.959999</v>
      </c>
      <c r="E867" s="56">
        <f>_xlfn.XLOOKUP(WEEKNUM(C867)&amp;YEAR(C867),Sheet4!C:C,Sheet4!B:B,0)</f>
        <v>0</v>
      </c>
      <c r="F867" s="46">
        <f>IF(int=Weekly,-$D$5,IF(int=Bi_Weekly,-$D$5,IF(int=Monthly,-$D$5,IF(int=Quarterly,0,IF(int=Yearly,0,IF(int=None,0,0))))))</f>
        <v>-100</v>
      </c>
      <c r="G867" s="46"/>
      <c r="H867" s="46">
        <f t="shared" si="361"/>
        <v>-20950</v>
      </c>
      <c r="I867" s="47"/>
      <c r="J867" s="38">
        <f t="shared" si="348"/>
        <v>3.2299742645340523</v>
      </c>
      <c r="K867" s="48"/>
      <c r="L867" s="48">
        <f t="shared" si="353"/>
        <v>685.70048556394579</v>
      </c>
      <c r="M867" s="48"/>
      <c r="N867" s="38">
        <f t="shared" si="354"/>
        <v>0</v>
      </c>
      <c r="O867" s="36">
        <f t="shared" si="355"/>
        <v>0</v>
      </c>
      <c r="P867" s="84">
        <f t="shared" si="356"/>
        <v>-31577.399697295848</v>
      </c>
      <c r="Q867" s="38">
        <f t="shared" si="357"/>
        <v>0</v>
      </c>
      <c r="R867" s="48">
        <f t="shared" si="358"/>
        <v>322.32903557958838</v>
      </c>
      <c r="S867" s="38">
        <f t="shared" si="349"/>
        <v>1008.0295211435341</v>
      </c>
      <c r="T867" s="50">
        <f t="shared" si="362"/>
        <v>20950</v>
      </c>
      <c r="U867" s="40">
        <f t="shared" si="363"/>
        <v>21229.286347359277</v>
      </c>
      <c r="V867" s="41">
        <f t="shared" si="364"/>
        <v>1.3331090566075288E-2</v>
      </c>
      <c r="W867" s="39">
        <f t="shared" si="365"/>
        <v>279.28634735927699</v>
      </c>
      <c r="X867" s="50">
        <f t="shared" si="359"/>
        <v>10627.868447312114</v>
      </c>
      <c r="Y867" s="41">
        <f t="shared" si="366"/>
        <v>0.52062791382679663</v>
      </c>
      <c r="Z867" s="52"/>
      <c r="AA867" s="50">
        <f t="shared" si="346"/>
        <v>31577.868447312125</v>
      </c>
      <c r="AB867" s="39">
        <f t="shared" si="347"/>
        <v>31208.592966574295</v>
      </c>
      <c r="AC867" s="39">
        <f t="shared" si="367"/>
        <v>-369.27548073782964</v>
      </c>
      <c r="AD867" s="41">
        <f t="shared" si="368"/>
        <v>-1.1694123096179454E-2</v>
      </c>
      <c r="AF867" s="46">
        <f t="shared" si="350"/>
        <v>-100</v>
      </c>
      <c r="AG867" s="46">
        <f t="shared" si="369"/>
        <v>-100</v>
      </c>
      <c r="AH867" s="54">
        <f t="shared" si="351"/>
        <v>5852</v>
      </c>
      <c r="AI867" s="55">
        <f t="shared" si="360"/>
        <v>6.9042316258351888E-2</v>
      </c>
      <c r="AJ867" s="55">
        <f t="shared" si="370"/>
        <v>-6.9042316258351892</v>
      </c>
      <c r="AK867" s="55">
        <f t="shared" si="371"/>
        <v>-6.9042316258351892</v>
      </c>
    </row>
    <row r="868" spans="2:37" s="53" customFormat="1" ht="17.25" customHeight="1" x14ac:dyDescent="0.25">
      <c r="B868" s="91" t="str">
        <f t="shared" si="352"/>
        <v/>
      </c>
      <c r="C868" s="81">
        <f>IF(Sheet3!A839="","",Sheet3!A839)</f>
        <v>43486</v>
      </c>
      <c r="D868" s="82">
        <f>IF(C868="","",Sheet3!E839)</f>
        <v>30.66</v>
      </c>
      <c r="E868" s="56">
        <f>_xlfn.XLOOKUP(WEEKNUM(C868)&amp;YEAR(C868),Sheet4!C:C,Sheet4!B:B,0)</f>
        <v>0</v>
      </c>
      <c r="F868" s="46">
        <f>IF(int=Weekly,-$D$5,IF(int=Bi_Weekly,0,IF(int=Monthly,0,IF(int=Quarterly,0,IF(int=Yearly,0,IF(int=None,0,0))))))</f>
        <v>0</v>
      </c>
      <c r="G868" s="46"/>
      <c r="H868" s="46">
        <f t="shared" si="361"/>
        <v>-20950</v>
      </c>
      <c r="I868" s="47"/>
      <c r="J868" s="38">
        <f t="shared" si="348"/>
        <v>0</v>
      </c>
      <c r="K868" s="48"/>
      <c r="L868" s="48">
        <f t="shared" si="353"/>
        <v>685.70048556394579</v>
      </c>
      <c r="M868" s="48"/>
      <c r="N868" s="38">
        <f t="shared" si="354"/>
        <v>0</v>
      </c>
      <c r="O868" s="36">
        <f t="shared" si="355"/>
        <v>0</v>
      </c>
      <c r="P868" s="84">
        <f t="shared" si="356"/>
        <v>-31577.399697295848</v>
      </c>
      <c r="Q868" s="38">
        <f t="shared" si="357"/>
        <v>0</v>
      </c>
      <c r="R868" s="48">
        <f t="shared" si="358"/>
        <v>322.32903557958838</v>
      </c>
      <c r="S868" s="38">
        <f t="shared" si="349"/>
        <v>1008.0295211435341</v>
      </c>
      <c r="T868" s="50">
        <f t="shared" si="362"/>
        <v>20950</v>
      </c>
      <c r="U868" s="40">
        <f t="shared" si="363"/>
        <v>21023.576887390576</v>
      </c>
      <c r="V868" s="41">
        <f t="shared" si="364"/>
        <v>3.5120232644667571E-3</v>
      </c>
      <c r="W868" s="39">
        <f t="shared" si="365"/>
        <v>73.576887390576303</v>
      </c>
      <c r="X868" s="50">
        <f t="shared" si="359"/>
        <v>10627.868447312114</v>
      </c>
      <c r="Y868" s="41">
        <f t="shared" si="366"/>
        <v>0.5108088465251881</v>
      </c>
      <c r="Z868" s="52"/>
      <c r="AA868" s="50">
        <f t="shared" si="346"/>
        <v>31577.868447312125</v>
      </c>
      <c r="AB868" s="39">
        <f t="shared" si="347"/>
        <v>30906.185118260757</v>
      </c>
      <c r="AC868" s="39">
        <f t="shared" si="367"/>
        <v>-671.68332905136776</v>
      </c>
      <c r="AD868" s="41">
        <f t="shared" si="368"/>
        <v>-2.1270698817815292E-2</v>
      </c>
      <c r="AF868" s="46">
        <f t="shared" si="350"/>
        <v>0</v>
      </c>
      <c r="AG868" s="46">
        <f t="shared" si="369"/>
        <v>0</v>
      </c>
      <c r="AH868" s="54">
        <f t="shared" si="351"/>
        <v>5859</v>
      </c>
      <c r="AI868" s="55">
        <f t="shared" si="360"/>
        <v>6.7928730512249444E-2</v>
      </c>
      <c r="AJ868" s="55">
        <f t="shared" si="370"/>
        <v>0</v>
      </c>
      <c r="AK868" s="55">
        <f t="shared" si="371"/>
        <v>0</v>
      </c>
    </row>
    <row r="869" spans="2:37" s="53" customFormat="1" ht="17.25" customHeight="1" x14ac:dyDescent="0.25">
      <c r="B869" s="91" t="str">
        <f t="shared" si="352"/>
        <v/>
      </c>
      <c r="C869" s="81">
        <f>IF(Sheet3!A840="","",Sheet3!A840)</f>
        <v>43493</v>
      </c>
      <c r="D869" s="82">
        <f>IF(C869="","",Sheet3!E840)</f>
        <v>30</v>
      </c>
      <c r="E869" s="56">
        <f>_xlfn.XLOOKUP(WEEKNUM(C869)&amp;YEAR(C869),Sheet4!C:C,Sheet4!B:B,0)</f>
        <v>0</v>
      </c>
      <c r="F869" s="46">
        <f>IF(int=Weekly,-$D$5,IF(int=Bi_Weekly,-$D$5,IF(int=Monthly,0,IF(int=Quarterly,0,IF(int=Yearly,0,IF(int=None,0,0))))))</f>
        <v>0</v>
      </c>
      <c r="G869" s="46"/>
      <c r="H869" s="46">
        <f t="shared" si="361"/>
        <v>-20950</v>
      </c>
      <c r="I869" s="47"/>
      <c r="J869" s="38">
        <f t="shared" si="348"/>
        <v>0</v>
      </c>
      <c r="K869" s="48"/>
      <c r="L869" s="48">
        <f t="shared" si="353"/>
        <v>685.70048556394579</v>
      </c>
      <c r="M869" s="48"/>
      <c r="N869" s="38">
        <f t="shared" si="354"/>
        <v>0</v>
      </c>
      <c r="O869" s="36">
        <f t="shared" si="355"/>
        <v>0</v>
      </c>
      <c r="P869" s="84">
        <f t="shared" si="356"/>
        <v>-31577.399697295848</v>
      </c>
      <c r="Q869" s="38">
        <f t="shared" si="357"/>
        <v>0</v>
      </c>
      <c r="R869" s="48">
        <f t="shared" si="358"/>
        <v>322.32903557958838</v>
      </c>
      <c r="S869" s="38">
        <f t="shared" si="349"/>
        <v>1008.0295211435341</v>
      </c>
      <c r="T869" s="50">
        <f t="shared" si="362"/>
        <v>20950</v>
      </c>
      <c r="U869" s="40">
        <f t="shared" si="363"/>
        <v>20571.014566918373</v>
      </c>
      <c r="V869" s="41">
        <f t="shared" si="364"/>
        <v>-1.8089996805805586E-2</v>
      </c>
      <c r="W869" s="39">
        <f t="shared" si="365"/>
        <v>-378.98543308162698</v>
      </c>
      <c r="X869" s="50">
        <f t="shared" si="359"/>
        <v>10627.868447312114</v>
      </c>
      <c r="Y869" s="41">
        <f t="shared" si="366"/>
        <v>0.48920682645491587</v>
      </c>
      <c r="Z869" s="52"/>
      <c r="AA869" s="50">
        <f t="shared" si="346"/>
        <v>31577.868447312125</v>
      </c>
      <c r="AB869" s="39">
        <f t="shared" si="347"/>
        <v>30240.885634306025</v>
      </c>
      <c r="AC869" s="39">
        <f t="shared" si="367"/>
        <v>-1336.9828130060996</v>
      </c>
      <c r="AD869" s="41">
        <f t="shared" si="368"/>
        <v>-4.2339235633870098E-2</v>
      </c>
      <c r="AF869" s="46">
        <f t="shared" si="350"/>
        <v>0</v>
      </c>
      <c r="AG869" s="46">
        <f t="shared" si="369"/>
        <v>0</v>
      </c>
      <c r="AH869" s="54">
        <f t="shared" si="351"/>
        <v>5866</v>
      </c>
      <c r="AI869" s="55">
        <f t="shared" si="360"/>
        <v>6.6815144766147E-2</v>
      </c>
      <c r="AJ869" s="55">
        <f t="shared" si="370"/>
        <v>0</v>
      </c>
      <c r="AK869" s="55">
        <f t="shared" si="371"/>
        <v>0</v>
      </c>
    </row>
    <row r="870" spans="2:37" s="53" customFormat="1" ht="17.25" customHeight="1" x14ac:dyDescent="0.25">
      <c r="B870" s="91" t="str">
        <f t="shared" si="352"/>
        <v/>
      </c>
      <c r="C870" s="81">
        <f>IF(Sheet3!A841="","",Sheet3!A841)</f>
        <v>43500</v>
      </c>
      <c r="D870" s="82">
        <f>IF(C870="","",Sheet3!E841)</f>
        <v>29.549999</v>
      </c>
      <c r="E870" s="56">
        <f>_xlfn.XLOOKUP(WEEKNUM(C870)&amp;YEAR(C870),Sheet4!C:C,Sheet4!B:B,0)</f>
        <v>0</v>
      </c>
      <c r="F870" s="46">
        <f>IF(int=Weekly,-$D$5,IF(int=Bi_Weekly,0,IF(int=Monthly,0,IF(int=Quarterly,0,IF(int=Yearly,0,IF(int=None,0,0))))))</f>
        <v>0</v>
      </c>
      <c r="G870" s="46"/>
      <c r="H870" s="46">
        <f t="shared" si="361"/>
        <v>-20950</v>
      </c>
      <c r="I870" s="47"/>
      <c r="J870" s="38">
        <f t="shared" si="348"/>
        <v>0</v>
      </c>
      <c r="K870" s="48"/>
      <c r="L870" s="48">
        <f t="shared" si="353"/>
        <v>685.70048556394579</v>
      </c>
      <c r="M870" s="48"/>
      <c r="N870" s="38">
        <f t="shared" si="354"/>
        <v>0</v>
      </c>
      <c r="O870" s="36">
        <f t="shared" si="355"/>
        <v>0</v>
      </c>
      <c r="P870" s="84">
        <f t="shared" si="356"/>
        <v>-31577.399697295848</v>
      </c>
      <c r="Q870" s="38">
        <f t="shared" si="357"/>
        <v>0</v>
      </c>
      <c r="R870" s="48">
        <f t="shared" si="358"/>
        <v>322.32903557958838</v>
      </c>
      <c r="S870" s="38">
        <f t="shared" si="349"/>
        <v>1008.0295211435341</v>
      </c>
      <c r="T870" s="50">
        <f t="shared" si="362"/>
        <v>20950</v>
      </c>
      <c r="U870" s="40">
        <f t="shared" si="363"/>
        <v>20262.448662714112</v>
      </c>
      <c r="V870" s="41">
        <f t="shared" si="364"/>
        <v>-3.2818679584051935E-2</v>
      </c>
      <c r="W870" s="39">
        <f t="shared" si="365"/>
        <v>-687.55133728588771</v>
      </c>
      <c r="X870" s="50">
        <f t="shared" si="359"/>
        <v>10627.868447312114</v>
      </c>
      <c r="Y870" s="41">
        <f t="shared" si="366"/>
        <v>0.47447814367666941</v>
      </c>
      <c r="Z870" s="52"/>
      <c r="AA870" s="50">
        <f t="shared" si="346"/>
        <v>31577.868447312125</v>
      </c>
      <c r="AB870" s="39">
        <f t="shared" si="347"/>
        <v>29787.271341761912</v>
      </c>
      <c r="AC870" s="39">
        <f t="shared" si="367"/>
        <v>-1790.5971055502123</v>
      </c>
      <c r="AD870" s="41">
        <f t="shared" si="368"/>
        <v>-5.670417902138758E-2</v>
      </c>
      <c r="AF870" s="46">
        <f t="shared" si="350"/>
        <v>0</v>
      </c>
      <c r="AG870" s="46">
        <f t="shared" si="369"/>
        <v>0</v>
      </c>
      <c r="AH870" s="54">
        <f t="shared" si="351"/>
        <v>5873</v>
      </c>
      <c r="AI870" s="55">
        <f t="shared" si="360"/>
        <v>6.5701559020044542E-2</v>
      </c>
      <c r="AJ870" s="55">
        <f t="shared" si="370"/>
        <v>0</v>
      </c>
      <c r="AK870" s="55">
        <f t="shared" si="371"/>
        <v>0</v>
      </c>
    </row>
    <row r="871" spans="2:37" s="53" customFormat="1" ht="17.25" customHeight="1" x14ac:dyDescent="0.25">
      <c r="B871" s="91" t="str">
        <f t="shared" si="352"/>
        <v/>
      </c>
      <c r="C871" s="81">
        <f>IF(Sheet3!A842="","",Sheet3!A842)</f>
        <v>43507</v>
      </c>
      <c r="D871" s="82">
        <f>IF(C871="","",Sheet3!E842)</f>
        <v>30.469999000000001</v>
      </c>
      <c r="E871" s="56">
        <f>_xlfn.XLOOKUP(WEEKNUM(C871)&amp;YEAR(C871),Sheet4!C:C,Sheet4!B:B,0)</f>
        <v>0</v>
      </c>
      <c r="F871" s="46">
        <f>IF(int=Weekly,-$D$5,IF(int=Bi_Weekly,-$D$5,IF(int=Monthly,-$D$5,IF(int=Quarterly,0,IF(int=Yearly,0,IF(int=None,0,0))))))</f>
        <v>-100</v>
      </c>
      <c r="G871" s="46"/>
      <c r="H871" s="46">
        <f t="shared" si="361"/>
        <v>-21050</v>
      </c>
      <c r="I871" s="47"/>
      <c r="J871" s="38">
        <f t="shared" si="348"/>
        <v>3.2819167470271329</v>
      </c>
      <c r="K871" s="48"/>
      <c r="L871" s="48">
        <f t="shared" si="353"/>
        <v>688.98240231097293</v>
      </c>
      <c r="M871" s="48"/>
      <c r="N871" s="38">
        <f t="shared" si="354"/>
        <v>0</v>
      </c>
      <c r="O871" s="36">
        <f t="shared" si="355"/>
        <v>0</v>
      </c>
      <c r="P871" s="84">
        <f t="shared" si="356"/>
        <v>-31677.399697295848</v>
      </c>
      <c r="Q871" s="38">
        <f t="shared" si="357"/>
        <v>0</v>
      </c>
      <c r="R871" s="48">
        <f t="shared" si="358"/>
        <v>322.32903557958838</v>
      </c>
      <c r="S871" s="38">
        <f t="shared" si="349"/>
        <v>1011.3114378905614</v>
      </c>
      <c r="T871" s="50">
        <f t="shared" si="362"/>
        <v>21050</v>
      </c>
      <c r="U871" s="40">
        <f t="shared" si="363"/>
        <v>20993.293109432943</v>
      </c>
      <c r="V871" s="41">
        <f t="shared" si="364"/>
        <v>-2.6939140411903484E-3</v>
      </c>
      <c r="W871" s="39">
        <f t="shared" si="365"/>
        <v>-56.706890567056689</v>
      </c>
      <c r="X871" s="50">
        <f t="shared" si="359"/>
        <v>10627.868447312114</v>
      </c>
      <c r="Y871" s="41">
        <f t="shared" si="366"/>
        <v>0.50219294806389825</v>
      </c>
      <c r="Z871" s="52"/>
      <c r="AA871" s="50">
        <f t="shared" si="346"/>
        <v>31677.868447312125</v>
      </c>
      <c r="AB871" s="39">
        <f t="shared" si="347"/>
        <v>30814.658501213966</v>
      </c>
      <c r="AC871" s="39">
        <f t="shared" si="367"/>
        <v>-863.20994609815898</v>
      </c>
      <c r="AD871" s="41">
        <f t="shared" si="368"/>
        <v>-2.7249622162358711E-2</v>
      </c>
      <c r="AF871" s="46">
        <f t="shared" si="350"/>
        <v>-100</v>
      </c>
      <c r="AG871" s="46">
        <f t="shared" si="369"/>
        <v>-100</v>
      </c>
      <c r="AH871" s="54">
        <f t="shared" si="351"/>
        <v>5880</v>
      </c>
      <c r="AI871" s="55">
        <f t="shared" si="360"/>
        <v>6.4587973273942098E-2</v>
      </c>
      <c r="AJ871" s="55">
        <f t="shared" si="370"/>
        <v>-6.4587973273942101</v>
      </c>
      <c r="AK871" s="55">
        <f t="shared" si="371"/>
        <v>-6.4587973273942101</v>
      </c>
    </row>
    <row r="872" spans="2:37" s="53" customFormat="1" ht="17.25" customHeight="1" x14ac:dyDescent="0.25">
      <c r="B872" s="91" t="str">
        <f t="shared" si="352"/>
        <v/>
      </c>
      <c r="C872" s="81">
        <f>IF(Sheet3!A843="","",Sheet3!A843)</f>
        <v>43514</v>
      </c>
      <c r="D872" s="82">
        <f>IF(C872="","",Sheet3!E843)</f>
        <v>31.15</v>
      </c>
      <c r="E872" s="56">
        <f>_xlfn.XLOOKUP(WEEKNUM(C872)&amp;YEAR(C872),Sheet4!C:C,Sheet4!B:B,0)</f>
        <v>0</v>
      </c>
      <c r="F872" s="46">
        <f>IF(int=Weekly,-$D$5,IF(int=Bi_Weekly,0,IF(int=Monthly,0,IF(int=Quarterly,0,IF(int=Yearly,0,IF(int=None,0,0))))))</f>
        <v>0</v>
      </c>
      <c r="G872" s="46"/>
      <c r="H872" s="46">
        <f t="shared" si="361"/>
        <v>-21050</v>
      </c>
      <c r="I872" s="47"/>
      <c r="J872" s="38">
        <f t="shared" si="348"/>
        <v>0</v>
      </c>
      <c r="K872" s="48"/>
      <c r="L872" s="48">
        <f t="shared" si="353"/>
        <v>688.98240231097293</v>
      </c>
      <c r="M872" s="48"/>
      <c r="N872" s="38">
        <f t="shared" si="354"/>
        <v>0</v>
      </c>
      <c r="O872" s="36">
        <f t="shared" si="355"/>
        <v>0</v>
      </c>
      <c r="P872" s="84">
        <f t="shared" si="356"/>
        <v>-31677.399697295848</v>
      </c>
      <c r="Q872" s="38">
        <f t="shared" si="357"/>
        <v>0</v>
      </c>
      <c r="R872" s="48">
        <f t="shared" si="358"/>
        <v>322.32903557958838</v>
      </c>
      <c r="S872" s="38">
        <f t="shared" si="349"/>
        <v>1011.3114378905614</v>
      </c>
      <c r="T872" s="50">
        <f t="shared" si="362"/>
        <v>21050</v>
      </c>
      <c r="U872" s="40">
        <f t="shared" si="363"/>
        <v>21461.801831986806</v>
      </c>
      <c r="V872" s="41">
        <f t="shared" si="364"/>
        <v>1.9563032398423053E-2</v>
      </c>
      <c r="W872" s="39">
        <f t="shared" si="365"/>
        <v>411.80183198680606</v>
      </c>
      <c r="X872" s="50">
        <f t="shared" si="359"/>
        <v>10627.868447312114</v>
      </c>
      <c r="Y872" s="41">
        <f t="shared" si="366"/>
        <v>0.52444989450351165</v>
      </c>
      <c r="Z872" s="52"/>
      <c r="AA872" s="50">
        <f t="shared" si="346"/>
        <v>31677.868447312125</v>
      </c>
      <c r="AB872" s="39">
        <f t="shared" si="347"/>
        <v>31502.351290290986</v>
      </c>
      <c r="AC872" s="39">
        <f t="shared" si="367"/>
        <v>-175.5171570211387</v>
      </c>
      <c r="AD872" s="41">
        <f t="shared" si="368"/>
        <v>-5.5406870987252388E-3</v>
      </c>
      <c r="AF872" s="46">
        <f t="shared" si="350"/>
        <v>0</v>
      </c>
      <c r="AG872" s="46">
        <f t="shared" si="369"/>
        <v>0</v>
      </c>
      <c r="AH872" s="54">
        <f t="shared" si="351"/>
        <v>5887</v>
      </c>
      <c r="AI872" s="55">
        <f t="shared" si="360"/>
        <v>6.347438752783964E-2</v>
      </c>
      <c r="AJ872" s="55">
        <f t="shared" si="370"/>
        <v>0</v>
      </c>
      <c r="AK872" s="55">
        <f t="shared" si="371"/>
        <v>0</v>
      </c>
    </row>
    <row r="873" spans="2:37" s="53" customFormat="1" ht="17.25" customHeight="1" x14ac:dyDescent="0.25">
      <c r="B873" s="91" t="str">
        <f t="shared" si="352"/>
        <v/>
      </c>
      <c r="C873" s="81">
        <f>IF(Sheet3!A844="","",Sheet3!A844)</f>
        <v>43521</v>
      </c>
      <c r="D873" s="82">
        <f>IF(C873="","",Sheet3!E844)</f>
        <v>30.82</v>
      </c>
      <c r="E873" s="56">
        <f>_xlfn.XLOOKUP(WEEKNUM(C873)&amp;YEAR(C873),Sheet4!C:C,Sheet4!B:B,0)</f>
        <v>0</v>
      </c>
      <c r="F873" s="46">
        <f>IF(int=Weekly,-$D$5,IF(int=Bi_Weekly,-$D$5,IF(int=Monthly,0,IF(int=Quarterly,0,IF(int=Yearly,0,IF(int=None,0,0))))))</f>
        <v>0</v>
      </c>
      <c r="G873" s="46"/>
      <c r="H873" s="46">
        <f t="shared" si="361"/>
        <v>-21050</v>
      </c>
      <c r="I873" s="47"/>
      <c r="J873" s="38">
        <f t="shared" si="348"/>
        <v>0</v>
      </c>
      <c r="K873" s="48"/>
      <c r="L873" s="48">
        <f t="shared" si="353"/>
        <v>688.98240231097293</v>
      </c>
      <c r="M873" s="48"/>
      <c r="N873" s="38">
        <f t="shared" si="354"/>
        <v>0</v>
      </c>
      <c r="O873" s="36">
        <f t="shared" si="355"/>
        <v>0</v>
      </c>
      <c r="P873" s="84">
        <f t="shared" si="356"/>
        <v>-31677.399697295848</v>
      </c>
      <c r="Q873" s="38">
        <f t="shared" si="357"/>
        <v>0</v>
      </c>
      <c r="R873" s="48">
        <f t="shared" si="358"/>
        <v>322.32903557958838</v>
      </c>
      <c r="S873" s="38">
        <f t="shared" si="349"/>
        <v>1011.3114378905614</v>
      </c>
      <c r="T873" s="50">
        <f t="shared" si="362"/>
        <v>21050</v>
      </c>
      <c r="U873" s="40">
        <f t="shared" si="363"/>
        <v>21234.437639224187</v>
      </c>
      <c r="V873" s="41">
        <f t="shared" si="364"/>
        <v>8.761883098536094E-3</v>
      </c>
      <c r="W873" s="39">
        <f t="shared" si="365"/>
        <v>184.43763922418657</v>
      </c>
      <c r="X873" s="50">
        <f t="shared" si="359"/>
        <v>10627.868447312114</v>
      </c>
      <c r="Y873" s="41">
        <f t="shared" si="366"/>
        <v>0.51364874520362469</v>
      </c>
      <c r="Z873" s="52"/>
      <c r="AA873" s="50">
        <f t="shared" si="346"/>
        <v>31677.868447312125</v>
      </c>
      <c r="AB873" s="39">
        <f t="shared" si="347"/>
        <v>31168.6185157871</v>
      </c>
      <c r="AC873" s="39">
        <f t="shared" si="367"/>
        <v>-509.24993152502429</v>
      </c>
      <c r="AD873" s="41">
        <f t="shared" si="368"/>
        <v>-1.6075890092542955E-2</v>
      </c>
      <c r="AF873" s="46">
        <f t="shared" si="350"/>
        <v>0</v>
      </c>
      <c r="AG873" s="46">
        <f t="shared" si="369"/>
        <v>0</v>
      </c>
      <c r="AH873" s="54">
        <f t="shared" si="351"/>
        <v>5894</v>
      </c>
      <c r="AI873" s="55">
        <f t="shared" si="360"/>
        <v>6.2360801781737196E-2</v>
      </c>
      <c r="AJ873" s="55">
        <f t="shared" si="370"/>
        <v>0</v>
      </c>
      <c r="AK873" s="55">
        <f t="shared" si="371"/>
        <v>0</v>
      </c>
    </row>
    <row r="874" spans="2:37" s="53" customFormat="1" ht="17.25" customHeight="1" x14ac:dyDescent="0.25">
      <c r="B874" s="91" t="str">
        <f t="shared" si="352"/>
        <v/>
      </c>
      <c r="C874" s="81">
        <f>IF(Sheet3!A845="","",Sheet3!A845)</f>
        <v>43528</v>
      </c>
      <c r="D874" s="82">
        <f>IF(C874="","",Sheet3!E845)</f>
        <v>29.959999</v>
      </c>
      <c r="E874" s="56">
        <f>_xlfn.XLOOKUP(WEEKNUM(C874)&amp;YEAR(C874),Sheet4!C:C,Sheet4!B:B,0)</f>
        <v>0</v>
      </c>
      <c r="F874" s="46">
        <f>IF(int=Weekly,-$D$5,IF(int=Bi_Weekly,0,IF(int=Monthly,0,IF(int=Quarterly,0,IF(int=Yearly,0,IF(int=None,0,0))))))</f>
        <v>0</v>
      </c>
      <c r="G874" s="46"/>
      <c r="H874" s="46">
        <f t="shared" si="361"/>
        <v>-21050</v>
      </c>
      <c r="I874" s="47"/>
      <c r="J874" s="38">
        <f t="shared" si="348"/>
        <v>0</v>
      </c>
      <c r="K874" s="48"/>
      <c r="L874" s="48">
        <f t="shared" si="353"/>
        <v>688.98240231097293</v>
      </c>
      <c r="M874" s="48"/>
      <c r="N874" s="38">
        <f t="shared" si="354"/>
        <v>0</v>
      </c>
      <c r="O874" s="36">
        <f t="shared" si="355"/>
        <v>0</v>
      </c>
      <c r="P874" s="84">
        <f t="shared" si="356"/>
        <v>-31677.399697295848</v>
      </c>
      <c r="Q874" s="38">
        <f t="shared" si="357"/>
        <v>0</v>
      </c>
      <c r="R874" s="48">
        <f t="shared" si="358"/>
        <v>322.32903557958838</v>
      </c>
      <c r="S874" s="38">
        <f t="shared" si="349"/>
        <v>1011.3114378905614</v>
      </c>
      <c r="T874" s="50">
        <f t="shared" si="362"/>
        <v>21050</v>
      </c>
      <c r="U874" s="40">
        <f t="shared" si="363"/>
        <v>20641.912084254345</v>
      </c>
      <c r="V874" s="41">
        <f t="shared" si="364"/>
        <v>-1.9386599322833931E-2</v>
      </c>
      <c r="W874" s="39">
        <f t="shared" si="365"/>
        <v>-408.08791574565475</v>
      </c>
      <c r="X874" s="50">
        <f t="shared" si="359"/>
        <v>10627.868447312114</v>
      </c>
      <c r="Y874" s="41">
        <f t="shared" si="366"/>
        <v>0.48550026278225467</v>
      </c>
      <c r="Z874" s="52"/>
      <c r="AA874" s="50">
        <f t="shared" si="346"/>
        <v>31677.868447312125</v>
      </c>
      <c r="AB874" s="39">
        <f t="shared" si="347"/>
        <v>30298.88966788978</v>
      </c>
      <c r="AC874" s="39">
        <f t="shared" si="367"/>
        <v>-1378.9787794223448</v>
      </c>
      <c r="AD874" s="41">
        <f t="shared" si="368"/>
        <v>-4.3531299516440525E-2</v>
      </c>
      <c r="AF874" s="46">
        <f t="shared" si="350"/>
        <v>0</v>
      </c>
      <c r="AG874" s="46">
        <f t="shared" si="369"/>
        <v>0</v>
      </c>
      <c r="AH874" s="54">
        <f t="shared" si="351"/>
        <v>5901</v>
      </c>
      <c r="AI874" s="55">
        <f t="shared" si="360"/>
        <v>6.1247216035634745E-2</v>
      </c>
      <c r="AJ874" s="55">
        <f t="shared" si="370"/>
        <v>0</v>
      </c>
      <c r="AK874" s="55">
        <f t="shared" si="371"/>
        <v>0</v>
      </c>
    </row>
    <row r="875" spans="2:37" s="53" customFormat="1" ht="17.25" customHeight="1" x14ac:dyDescent="0.25">
      <c r="B875" s="91" t="str">
        <f t="shared" si="352"/>
        <v/>
      </c>
      <c r="C875" s="81">
        <f>IF(Sheet3!A846="","",Sheet3!A846)</f>
        <v>43535</v>
      </c>
      <c r="D875" s="82">
        <f>IF(C875="","",Sheet3!E846)</f>
        <v>30.67</v>
      </c>
      <c r="E875" s="56">
        <f>_xlfn.XLOOKUP(WEEKNUM(C875)&amp;YEAR(C875),Sheet4!C:C,Sheet4!B:B,0)</f>
        <v>0</v>
      </c>
      <c r="F875" s="46">
        <f>IF(int=Weekly,-$D$5,IF(int=Bi_Weekly,-$D$5,IF(int=Monthly,-$D$5,IF(int=Quarterly,0,IF(int=Yearly,0,IF(int=None,0,0))))))</f>
        <v>-100</v>
      </c>
      <c r="G875" s="46"/>
      <c r="H875" s="46">
        <f t="shared" si="361"/>
        <v>-21150</v>
      </c>
      <c r="I875" s="47"/>
      <c r="J875" s="38">
        <f t="shared" si="348"/>
        <v>3.2605151613955003</v>
      </c>
      <c r="K875" s="48"/>
      <c r="L875" s="48">
        <f t="shared" si="353"/>
        <v>692.24291747236839</v>
      </c>
      <c r="M875" s="48"/>
      <c r="N875" s="38">
        <f t="shared" si="354"/>
        <v>0</v>
      </c>
      <c r="O875" s="36">
        <f t="shared" si="355"/>
        <v>0</v>
      </c>
      <c r="P875" s="84">
        <f t="shared" si="356"/>
        <v>-31777.399697295848</v>
      </c>
      <c r="Q875" s="38">
        <f t="shared" si="357"/>
        <v>0</v>
      </c>
      <c r="R875" s="48">
        <f t="shared" si="358"/>
        <v>322.32903557958838</v>
      </c>
      <c r="S875" s="38">
        <f t="shared" si="349"/>
        <v>1014.5719530519568</v>
      </c>
      <c r="T875" s="50">
        <f t="shared" si="362"/>
        <v>21150</v>
      </c>
      <c r="U875" s="40">
        <f t="shared" si="363"/>
        <v>21231.090278877538</v>
      </c>
      <c r="V875" s="41">
        <f t="shared" si="364"/>
        <v>3.8340557388907293E-3</v>
      </c>
      <c r="W875" s="39">
        <f t="shared" si="365"/>
        <v>81.090278877538367</v>
      </c>
      <c r="X875" s="50">
        <f t="shared" si="359"/>
        <v>10627.868447312114</v>
      </c>
      <c r="Y875" s="41">
        <f t="shared" si="366"/>
        <v>0.50633374591913238</v>
      </c>
      <c r="Z875" s="52"/>
      <c r="AA875" s="50">
        <f t="shared" si="346"/>
        <v>31777.868447312125</v>
      </c>
      <c r="AB875" s="39">
        <f t="shared" si="347"/>
        <v>31116.921800103515</v>
      </c>
      <c r="AC875" s="39">
        <f t="shared" si="367"/>
        <v>-660.94664720860965</v>
      </c>
      <c r="AD875" s="41">
        <f t="shared" si="368"/>
        <v>-2.0798961022337359E-2</v>
      </c>
      <c r="AF875" s="46">
        <f t="shared" si="350"/>
        <v>-100</v>
      </c>
      <c r="AG875" s="46">
        <f t="shared" si="369"/>
        <v>-100</v>
      </c>
      <c r="AH875" s="54">
        <f t="shared" si="351"/>
        <v>5908</v>
      </c>
      <c r="AI875" s="55">
        <f t="shared" si="360"/>
        <v>6.0133630289532294E-2</v>
      </c>
      <c r="AJ875" s="55">
        <f t="shared" si="370"/>
        <v>-6.0133630289532292</v>
      </c>
      <c r="AK875" s="55">
        <f t="shared" si="371"/>
        <v>-6.0133630289532292</v>
      </c>
    </row>
    <row r="876" spans="2:37" s="53" customFormat="1" ht="17.25" customHeight="1" x14ac:dyDescent="0.25">
      <c r="B876" s="91" t="str">
        <f t="shared" si="352"/>
        <v/>
      </c>
      <c r="C876" s="81">
        <f>IF(Sheet3!A847="","",Sheet3!A847)</f>
        <v>43542</v>
      </c>
      <c r="D876" s="82">
        <f>IF(C876="","",Sheet3!E847)</f>
        <v>31.07</v>
      </c>
      <c r="E876" s="56">
        <f>_xlfn.XLOOKUP(WEEKNUM(C876)&amp;YEAR(C876),Sheet4!C:C,Sheet4!B:B,0)</f>
        <v>0</v>
      </c>
      <c r="F876" s="46">
        <f>IF(int=Weekly,-$D$5,IF(int=Bi_Weekly,0,IF(int=Monthly,0,IF(int=Quarterly,-$D$5,IF(int=Yearly,0,IF(int=None,0,0))))))</f>
        <v>0</v>
      </c>
      <c r="G876" s="46"/>
      <c r="H876" s="46">
        <f t="shared" si="361"/>
        <v>-21150</v>
      </c>
      <c r="I876" s="47"/>
      <c r="J876" s="38">
        <f t="shared" si="348"/>
        <v>0</v>
      </c>
      <c r="K876" s="48"/>
      <c r="L876" s="48">
        <f t="shared" si="353"/>
        <v>692.24291747236839</v>
      </c>
      <c r="M876" s="48"/>
      <c r="N876" s="38">
        <f t="shared" si="354"/>
        <v>0</v>
      </c>
      <c r="O876" s="36">
        <f t="shared" si="355"/>
        <v>0</v>
      </c>
      <c r="P876" s="84">
        <f t="shared" si="356"/>
        <v>-31777.399697295848</v>
      </c>
      <c r="Q876" s="38">
        <f t="shared" si="357"/>
        <v>0</v>
      </c>
      <c r="R876" s="48">
        <f t="shared" si="358"/>
        <v>322.32903557958838</v>
      </c>
      <c r="S876" s="38">
        <f t="shared" si="349"/>
        <v>1014.5719530519568</v>
      </c>
      <c r="T876" s="50">
        <f t="shared" si="362"/>
        <v>21150</v>
      </c>
      <c r="U876" s="40">
        <f t="shared" si="363"/>
        <v>21507.987445866485</v>
      </c>
      <c r="V876" s="41">
        <f t="shared" si="364"/>
        <v>1.6926120371937747E-2</v>
      </c>
      <c r="W876" s="39">
        <f t="shared" si="365"/>
        <v>357.98744586648536</v>
      </c>
      <c r="X876" s="50">
        <f t="shared" si="359"/>
        <v>10627.868447312114</v>
      </c>
      <c r="Y876" s="41">
        <f t="shared" si="366"/>
        <v>0.51942581055217962</v>
      </c>
      <c r="Z876" s="52"/>
      <c r="AA876" s="50">
        <f t="shared" si="346"/>
        <v>31777.868447312125</v>
      </c>
      <c r="AB876" s="39">
        <f t="shared" si="347"/>
        <v>31522.750581324297</v>
      </c>
      <c r="AC876" s="39">
        <f t="shared" si="367"/>
        <v>-255.11786598782783</v>
      </c>
      <c r="AD876" s="41">
        <f t="shared" si="368"/>
        <v>-8.0281616877738715E-3</v>
      </c>
      <c r="AF876" s="46">
        <f t="shared" si="350"/>
        <v>0</v>
      </c>
      <c r="AG876" s="46">
        <f t="shared" si="369"/>
        <v>0</v>
      </c>
      <c r="AH876" s="54">
        <f t="shared" si="351"/>
        <v>5915</v>
      </c>
      <c r="AI876" s="55">
        <f t="shared" si="360"/>
        <v>5.9020044543429843E-2</v>
      </c>
      <c r="AJ876" s="55">
        <f t="shared" si="370"/>
        <v>0</v>
      </c>
      <c r="AK876" s="55">
        <f t="shared" si="371"/>
        <v>0</v>
      </c>
    </row>
    <row r="877" spans="2:37" s="53" customFormat="1" ht="17.25" customHeight="1" x14ac:dyDescent="0.25">
      <c r="B877" s="91" t="str">
        <f t="shared" si="352"/>
        <v/>
      </c>
      <c r="C877" s="81">
        <f>IF(Sheet3!A848="","",Sheet3!A848)</f>
        <v>43549</v>
      </c>
      <c r="D877" s="82">
        <f>IF(C877="","",Sheet3!E848)</f>
        <v>31.360001</v>
      </c>
      <c r="E877" s="56">
        <f>_xlfn.XLOOKUP(WEEKNUM(C877)&amp;YEAR(C877),Sheet4!C:C,Sheet4!B:B,0)</f>
        <v>0</v>
      </c>
      <c r="F877" s="46">
        <f>IF(int=Weekly,-$D$5,IF(int=Bi_Weekly,-$D$5,IF(int=Monthly,0,IF(int=Quarterly,0,IF(int=Yearly,0,IF(int=None,0,0))))))</f>
        <v>0</v>
      </c>
      <c r="G877" s="46"/>
      <c r="H877" s="46">
        <f t="shared" si="361"/>
        <v>-21150</v>
      </c>
      <c r="I877" s="47"/>
      <c r="J877" s="38">
        <f t="shared" si="348"/>
        <v>0</v>
      </c>
      <c r="K877" s="48"/>
      <c r="L877" s="48">
        <f t="shared" si="353"/>
        <v>692.24291747236839</v>
      </c>
      <c r="M877" s="48"/>
      <c r="N877" s="38">
        <f t="shared" si="354"/>
        <v>0</v>
      </c>
      <c r="O877" s="36">
        <f t="shared" si="355"/>
        <v>0</v>
      </c>
      <c r="P877" s="84">
        <f t="shared" si="356"/>
        <v>-31777.399697295848</v>
      </c>
      <c r="Q877" s="38">
        <f t="shared" si="357"/>
        <v>0</v>
      </c>
      <c r="R877" s="48">
        <f t="shared" si="358"/>
        <v>322.32903557958838</v>
      </c>
      <c r="S877" s="38">
        <f t="shared" si="349"/>
        <v>1014.5719530519568</v>
      </c>
      <c r="T877" s="50">
        <f t="shared" si="362"/>
        <v>21150</v>
      </c>
      <c r="U877" s="40">
        <f t="shared" si="363"/>
        <v>21708.73858417639</v>
      </c>
      <c r="V877" s="41">
        <f t="shared" si="364"/>
        <v>2.64178999610587E-2</v>
      </c>
      <c r="W877" s="39">
        <f t="shared" si="365"/>
        <v>558.73858417638985</v>
      </c>
      <c r="X877" s="50">
        <f t="shared" si="359"/>
        <v>10627.868447312114</v>
      </c>
      <c r="Y877" s="41">
        <f t="shared" si="366"/>
        <v>0.52891759014130035</v>
      </c>
      <c r="Z877" s="52"/>
      <c r="AA877" s="50">
        <f t="shared" si="346"/>
        <v>31777.868447312125</v>
      </c>
      <c r="AB877" s="39">
        <f t="shared" si="347"/>
        <v>31816.977462281317</v>
      </c>
      <c r="AC877" s="39">
        <f t="shared" si="367"/>
        <v>39.109014969191776</v>
      </c>
      <c r="AD877" s="41">
        <f t="shared" si="368"/>
        <v>1.2306997567830269E-3</v>
      </c>
      <c r="AF877" s="46">
        <f t="shared" si="350"/>
        <v>0</v>
      </c>
      <c r="AG877" s="46">
        <f t="shared" si="369"/>
        <v>0</v>
      </c>
      <c r="AH877" s="54">
        <f t="shared" si="351"/>
        <v>5922</v>
      </c>
      <c r="AI877" s="55">
        <f t="shared" si="360"/>
        <v>5.7906458797327393E-2</v>
      </c>
      <c r="AJ877" s="55">
        <f t="shared" si="370"/>
        <v>0</v>
      </c>
      <c r="AK877" s="55">
        <f t="shared" si="371"/>
        <v>0</v>
      </c>
    </row>
    <row r="878" spans="2:37" s="53" customFormat="1" ht="17.25" customHeight="1" x14ac:dyDescent="0.25">
      <c r="B878" s="91" t="str">
        <f t="shared" si="352"/>
        <v/>
      </c>
      <c r="C878" s="81">
        <f>IF(Sheet3!A849="","",Sheet3!A849)</f>
        <v>43556</v>
      </c>
      <c r="D878" s="82">
        <f>IF(C878="","",Sheet3!E849)</f>
        <v>32.349997999999999</v>
      </c>
      <c r="E878" s="56">
        <f>_xlfn.XLOOKUP(WEEKNUM(C878)&amp;YEAR(C878),Sheet4!C:C,Sheet4!B:B,0)</f>
        <v>0</v>
      </c>
      <c r="F878" s="46">
        <f>IF(int=Weekly,-$D$5,IF(int=Bi_Weekly,0,IF(int=Monthly,0,IF(int=Quarterly,0,IF(int=Yearly,0,IF(int=None,0,0))))))</f>
        <v>0</v>
      </c>
      <c r="G878" s="46"/>
      <c r="H878" s="46">
        <f t="shared" si="361"/>
        <v>-21150</v>
      </c>
      <c r="I878" s="47"/>
      <c r="J878" s="38">
        <f t="shared" si="348"/>
        <v>0</v>
      </c>
      <c r="K878" s="48"/>
      <c r="L878" s="48">
        <f t="shared" si="353"/>
        <v>692.24291747236839</v>
      </c>
      <c r="M878" s="48"/>
      <c r="N878" s="38">
        <f t="shared" si="354"/>
        <v>0</v>
      </c>
      <c r="O878" s="36">
        <f t="shared" si="355"/>
        <v>0</v>
      </c>
      <c r="P878" s="84">
        <f t="shared" si="356"/>
        <v>-31777.399697295848</v>
      </c>
      <c r="Q878" s="38">
        <f t="shared" si="357"/>
        <v>0</v>
      </c>
      <c r="R878" s="48">
        <f t="shared" si="358"/>
        <v>322.32903557958838</v>
      </c>
      <c r="S878" s="38">
        <f t="shared" si="349"/>
        <v>1014.5719530519568</v>
      </c>
      <c r="T878" s="50">
        <f t="shared" si="362"/>
        <v>21150</v>
      </c>
      <c r="U878" s="40">
        <f t="shared" si="363"/>
        <v>22394.056995745283</v>
      </c>
      <c r="V878" s="41">
        <f t="shared" si="364"/>
        <v>5.8820661737365665E-2</v>
      </c>
      <c r="W878" s="39">
        <f t="shared" si="365"/>
        <v>1244.0569957452826</v>
      </c>
      <c r="X878" s="50">
        <f t="shared" si="359"/>
        <v>10627.868447312114</v>
      </c>
      <c r="Y878" s="41">
        <f t="shared" si="366"/>
        <v>0.56132035191760732</v>
      </c>
      <c r="Z878" s="52"/>
      <c r="AA878" s="50">
        <f t="shared" si="346"/>
        <v>31777.868447312125</v>
      </c>
      <c r="AB878" s="39">
        <f t="shared" si="347"/>
        <v>32821.400652086893</v>
      </c>
      <c r="AC878" s="39">
        <f t="shared" si="367"/>
        <v>1043.5322047747686</v>
      </c>
      <c r="AD878" s="41">
        <f t="shared" si="368"/>
        <v>3.283833232883282E-2</v>
      </c>
      <c r="AF878" s="46">
        <f t="shared" si="350"/>
        <v>0</v>
      </c>
      <c r="AG878" s="46">
        <f t="shared" si="369"/>
        <v>0</v>
      </c>
      <c r="AH878" s="54">
        <f t="shared" si="351"/>
        <v>5929</v>
      </c>
      <c r="AI878" s="55">
        <f t="shared" si="360"/>
        <v>5.6792873051224942E-2</v>
      </c>
      <c r="AJ878" s="55">
        <f t="shared" si="370"/>
        <v>0</v>
      </c>
      <c r="AK878" s="55">
        <f t="shared" si="371"/>
        <v>0</v>
      </c>
    </row>
    <row r="879" spans="2:37" s="53" customFormat="1" ht="17.25" customHeight="1" x14ac:dyDescent="0.25">
      <c r="B879" s="91" t="str">
        <f t="shared" si="352"/>
        <v/>
      </c>
      <c r="C879" s="81">
        <f>IF(Sheet3!A850="","",Sheet3!A850)</f>
        <v>43563</v>
      </c>
      <c r="D879" s="82">
        <f>IF(C879="","",Sheet3!E850)</f>
        <v>32.200001</v>
      </c>
      <c r="E879" s="56">
        <f>_xlfn.XLOOKUP(WEEKNUM(C879)&amp;YEAR(C879),Sheet4!C:C,Sheet4!B:B,0)</f>
        <v>0.51</v>
      </c>
      <c r="F879" s="46">
        <f>IF(int=Weekly,-$D$5,IF(int=Bi_Weekly,-$D$5,IF(int=Monthly,-$D$5,IF(int=Quarterly,0,IF(int=Yearly,0,IF(int=None,0,0))))))</f>
        <v>-100</v>
      </c>
      <c r="G879" s="46"/>
      <c r="H879" s="46">
        <f t="shared" si="361"/>
        <v>-21250</v>
      </c>
      <c r="I879" s="47"/>
      <c r="J879" s="38">
        <f t="shared" si="348"/>
        <v>3.1055899656649077</v>
      </c>
      <c r="K879" s="48"/>
      <c r="L879" s="48">
        <f t="shared" si="353"/>
        <v>695.34850743803327</v>
      </c>
      <c r="M879" s="48"/>
      <c r="N879" s="38">
        <f t="shared" si="354"/>
        <v>354.62773879339699</v>
      </c>
      <c r="O879" s="36">
        <f t="shared" si="355"/>
        <v>-354.62773879339699</v>
      </c>
      <c r="P879" s="84">
        <f t="shared" si="356"/>
        <v>-32232.027436089247</v>
      </c>
      <c r="Q879" s="38">
        <f t="shared" si="357"/>
        <v>11.013283471432096</v>
      </c>
      <c r="R879" s="48">
        <f t="shared" si="358"/>
        <v>333.34231905102047</v>
      </c>
      <c r="S879" s="38">
        <f t="shared" si="349"/>
        <v>1028.6908264890537</v>
      </c>
      <c r="T879" s="50">
        <f t="shared" si="362"/>
        <v>21250</v>
      </c>
      <c r="U879" s="40">
        <f t="shared" si="363"/>
        <v>22390.22263485318</v>
      </c>
      <c r="V879" s="41">
        <f t="shared" si="364"/>
        <v>5.3657535757796637E-2</v>
      </c>
      <c r="W879" s="39">
        <f t="shared" si="365"/>
        <v>1140.2226348531804</v>
      </c>
      <c r="X879" s="50">
        <f t="shared" si="359"/>
        <v>10982.496186105511</v>
      </c>
      <c r="Y879" s="41">
        <f t="shared" si="366"/>
        <v>0.5704808856921737</v>
      </c>
      <c r="Z879" s="52"/>
      <c r="AA879" s="50">
        <f t="shared" si="346"/>
        <v>32232.496186105524</v>
      </c>
      <c r="AB879" s="39">
        <f t="shared" si="347"/>
        <v>33123.845641638356</v>
      </c>
      <c r="AC879" s="39">
        <f t="shared" si="367"/>
        <v>891.34945553283251</v>
      </c>
      <c r="AD879" s="41">
        <f t="shared" si="368"/>
        <v>2.7653751989492825E-2</v>
      </c>
      <c r="AF879" s="46">
        <f t="shared" si="350"/>
        <v>254.62773879339699</v>
      </c>
      <c r="AG879" s="46">
        <f t="shared" si="369"/>
        <v>-100</v>
      </c>
      <c r="AH879" s="54">
        <f t="shared" si="351"/>
        <v>5936</v>
      </c>
      <c r="AI879" s="55">
        <f t="shared" si="360"/>
        <v>5.5679287305122498E-2</v>
      </c>
      <c r="AJ879" s="55">
        <f t="shared" si="370"/>
        <v>14.177491024131236</v>
      </c>
      <c r="AK879" s="55">
        <f t="shared" si="371"/>
        <v>-5.56792873051225</v>
      </c>
    </row>
    <row r="880" spans="2:37" s="53" customFormat="1" ht="17.25" customHeight="1" x14ac:dyDescent="0.25">
      <c r="B880" s="91" t="str">
        <f t="shared" si="352"/>
        <v/>
      </c>
      <c r="C880" s="81">
        <f>IF(Sheet3!A851="","",Sheet3!A851)</f>
        <v>43570</v>
      </c>
      <c r="D880" s="82">
        <f>IF(C880="","",Sheet3!E851)</f>
        <v>32.029998999999997</v>
      </c>
      <c r="E880" s="56">
        <f>_xlfn.XLOOKUP(WEEKNUM(C880)&amp;YEAR(C880),Sheet4!C:C,Sheet4!B:B,0)</f>
        <v>0</v>
      </c>
      <c r="F880" s="46">
        <f>IF(int=Weekly,-$D$5,IF(int=Bi_Weekly,0,IF(int=Monthly,0,IF(int=Quarterly,0,IF(int=Yearly,0,IF(int=None,0,0))))))</f>
        <v>0</v>
      </c>
      <c r="G880" s="46"/>
      <c r="H880" s="46">
        <f t="shared" si="361"/>
        <v>-21250</v>
      </c>
      <c r="I880" s="47"/>
      <c r="J880" s="38">
        <f t="shared" si="348"/>
        <v>0</v>
      </c>
      <c r="K880" s="48"/>
      <c r="L880" s="48">
        <f t="shared" si="353"/>
        <v>695.34850743803327</v>
      </c>
      <c r="M880" s="48"/>
      <c r="N880" s="38">
        <f t="shared" si="354"/>
        <v>0</v>
      </c>
      <c r="O880" s="36">
        <f t="shared" si="355"/>
        <v>0</v>
      </c>
      <c r="P880" s="84">
        <f t="shared" si="356"/>
        <v>-32232.027436089247</v>
      </c>
      <c r="Q880" s="38">
        <f t="shared" si="357"/>
        <v>0</v>
      </c>
      <c r="R880" s="48">
        <f t="shared" si="358"/>
        <v>333.34231905102047</v>
      </c>
      <c r="S880" s="38">
        <f t="shared" si="349"/>
        <v>1028.6908264890537</v>
      </c>
      <c r="T880" s="50">
        <f t="shared" si="362"/>
        <v>21250</v>
      </c>
      <c r="U880" s="40">
        <f t="shared" si="363"/>
        <v>22272.011997891696</v>
      </c>
      <c r="V880" s="41">
        <f t="shared" si="364"/>
        <v>4.8094682253726928E-2</v>
      </c>
      <c r="W880" s="39">
        <f t="shared" si="365"/>
        <v>1022.0119978916955</v>
      </c>
      <c r="X880" s="50">
        <f t="shared" si="359"/>
        <v>10982.496186105511</v>
      </c>
      <c r="Y880" s="41">
        <f t="shared" si="366"/>
        <v>0.56491803218810377</v>
      </c>
      <c r="Z880" s="52"/>
      <c r="AA880" s="50">
        <f t="shared" si="346"/>
        <v>32232.496186105524</v>
      </c>
      <c r="AB880" s="39">
        <f t="shared" si="347"/>
        <v>32948.966143753561</v>
      </c>
      <c r="AC880" s="39">
        <f t="shared" si="367"/>
        <v>716.46995764803796</v>
      </c>
      <c r="AD880" s="41">
        <f t="shared" si="368"/>
        <v>2.2228187153463086E-2</v>
      </c>
      <c r="AF880" s="46">
        <f t="shared" si="350"/>
        <v>0</v>
      </c>
      <c r="AG880" s="46">
        <f t="shared" si="369"/>
        <v>0</v>
      </c>
      <c r="AH880" s="54">
        <f t="shared" si="351"/>
        <v>5943</v>
      </c>
      <c r="AI880" s="55">
        <f t="shared" si="360"/>
        <v>5.4565701559020047E-2</v>
      </c>
      <c r="AJ880" s="55">
        <f t="shared" si="370"/>
        <v>0</v>
      </c>
      <c r="AK880" s="55">
        <f t="shared" si="371"/>
        <v>0</v>
      </c>
    </row>
    <row r="881" spans="2:37" s="53" customFormat="1" ht="17.25" customHeight="1" x14ac:dyDescent="0.25">
      <c r="B881" s="91" t="str">
        <f t="shared" si="352"/>
        <v/>
      </c>
      <c r="C881" s="81">
        <f>IF(Sheet3!A852="","",Sheet3!A852)</f>
        <v>43577</v>
      </c>
      <c r="D881" s="82">
        <f>IF(C881="","",Sheet3!E852)</f>
        <v>30.68</v>
      </c>
      <c r="E881" s="56">
        <f>_xlfn.XLOOKUP(WEEKNUM(C881)&amp;YEAR(C881),Sheet4!C:C,Sheet4!B:B,0)</f>
        <v>0</v>
      </c>
      <c r="F881" s="46">
        <f>IF(int=Weekly,-$D$5,IF(int=Bi_Weekly,-$D$5,IF(int=Monthly,0,IF(int=Quarterly,0,IF(int=Yearly,0,IF(int=None,0,0))))))</f>
        <v>0</v>
      </c>
      <c r="G881" s="46"/>
      <c r="H881" s="46">
        <f t="shared" si="361"/>
        <v>-21250</v>
      </c>
      <c r="I881" s="47"/>
      <c r="J881" s="38">
        <f t="shared" si="348"/>
        <v>0</v>
      </c>
      <c r="K881" s="48"/>
      <c r="L881" s="48">
        <f t="shared" si="353"/>
        <v>695.34850743803327</v>
      </c>
      <c r="M881" s="48"/>
      <c r="N881" s="38">
        <f t="shared" si="354"/>
        <v>0</v>
      </c>
      <c r="O881" s="36">
        <f t="shared" si="355"/>
        <v>0</v>
      </c>
      <c r="P881" s="84">
        <f t="shared" si="356"/>
        <v>-32232.027436089247</v>
      </c>
      <c r="Q881" s="38">
        <f t="shared" si="357"/>
        <v>0</v>
      </c>
      <c r="R881" s="48">
        <f t="shared" si="358"/>
        <v>333.34231905102047</v>
      </c>
      <c r="S881" s="38">
        <f t="shared" si="349"/>
        <v>1028.6908264890537</v>
      </c>
      <c r="T881" s="50">
        <f t="shared" si="362"/>
        <v>21250</v>
      </c>
      <c r="U881" s="40">
        <f t="shared" si="363"/>
        <v>21333.292208198862</v>
      </c>
      <c r="V881" s="41">
        <f t="shared" si="364"/>
        <v>3.9196333270052897E-3</v>
      </c>
      <c r="W881" s="39">
        <f t="shared" si="365"/>
        <v>83.292208198861772</v>
      </c>
      <c r="X881" s="50">
        <f t="shared" si="359"/>
        <v>10982.496186105511</v>
      </c>
      <c r="Y881" s="41">
        <f t="shared" si="366"/>
        <v>0.52074298326138213</v>
      </c>
      <c r="Z881" s="52"/>
      <c r="AA881" s="50">
        <f t="shared" ref="AA881:AA929" si="372">(D881*Q881)+(D881*J881)+AA880</f>
        <v>32232.496186105524</v>
      </c>
      <c r="AB881" s="39">
        <f t="shared" ref="AB881:AB929" si="373">(L881*D881)+(D881*R881)</f>
        <v>31560.234556684169</v>
      </c>
      <c r="AC881" s="39">
        <f t="shared" si="367"/>
        <v>-672.26162942135488</v>
      </c>
      <c r="AD881" s="41">
        <f t="shared" si="368"/>
        <v>-2.0856641866637271E-2</v>
      </c>
      <c r="AF881" s="46">
        <f t="shared" si="350"/>
        <v>0</v>
      </c>
      <c r="AG881" s="46">
        <f t="shared" si="369"/>
        <v>0</v>
      </c>
      <c r="AH881" s="54">
        <f t="shared" si="351"/>
        <v>5950</v>
      </c>
      <c r="AI881" s="55">
        <f t="shared" si="360"/>
        <v>5.3452115812917596E-2</v>
      </c>
      <c r="AJ881" s="55">
        <f t="shared" si="370"/>
        <v>0</v>
      </c>
      <c r="AK881" s="55">
        <f t="shared" si="371"/>
        <v>0</v>
      </c>
    </row>
    <row r="882" spans="2:37" s="53" customFormat="1" ht="17.25" customHeight="1" x14ac:dyDescent="0.25">
      <c r="B882" s="91" t="str">
        <f t="shared" si="352"/>
        <v/>
      </c>
      <c r="C882" s="81">
        <f>IF(Sheet3!A853="","",Sheet3!A853)</f>
        <v>43584</v>
      </c>
      <c r="D882" s="82">
        <f>IF(C882="","",Sheet3!E853)</f>
        <v>30.700001</v>
      </c>
      <c r="E882" s="56">
        <f>_xlfn.XLOOKUP(WEEKNUM(C882)&amp;YEAR(C882),Sheet4!C:C,Sheet4!B:B,0)</f>
        <v>0</v>
      </c>
      <c r="F882" s="46">
        <f>IF(int=Weekly,-$D$5,IF(int=Bi_Weekly,0,IF(int=Monthly,0,IF(int=Quarterly,0,IF(int=Yearly,0,IF(int=None,0,0))))))</f>
        <v>0</v>
      </c>
      <c r="G882" s="46"/>
      <c r="H882" s="46">
        <f t="shared" si="361"/>
        <v>-21250</v>
      </c>
      <c r="I882" s="47"/>
      <c r="J882" s="38">
        <f t="shared" si="348"/>
        <v>0</v>
      </c>
      <c r="K882" s="48"/>
      <c r="L882" s="48">
        <f t="shared" si="353"/>
        <v>695.34850743803327</v>
      </c>
      <c r="M882" s="48"/>
      <c r="N882" s="38">
        <f t="shared" si="354"/>
        <v>0</v>
      </c>
      <c r="O882" s="36">
        <f t="shared" si="355"/>
        <v>0</v>
      </c>
      <c r="P882" s="84">
        <f t="shared" si="356"/>
        <v>-32232.027436089247</v>
      </c>
      <c r="Q882" s="38">
        <f t="shared" si="357"/>
        <v>0</v>
      </c>
      <c r="R882" s="48">
        <f t="shared" si="358"/>
        <v>333.34231905102047</v>
      </c>
      <c r="S882" s="38">
        <f t="shared" si="349"/>
        <v>1028.6908264890537</v>
      </c>
      <c r="T882" s="50">
        <f t="shared" si="362"/>
        <v>21250</v>
      </c>
      <c r="U882" s="40">
        <f t="shared" si="363"/>
        <v>21347.199873696129</v>
      </c>
      <c r="V882" s="41">
        <f t="shared" si="364"/>
        <v>4.5741117033473166E-3</v>
      </c>
      <c r="W882" s="39">
        <f t="shared" si="365"/>
        <v>97.199873696128634</v>
      </c>
      <c r="X882" s="50">
        <f t="shared" si="359"/>
        <v>10982.496186105511</v>
      </c>
      <c r="Y882" s="41">
        <f t="shared" si="366"/>
        <v>0.52139746163772416</v>
      </c>
      <c r="Z882" s="52"/>
      <c r="AA882" s="50">
        <f t="shared" si="372"/>
        <v>32232.496186105524</v>
      </c>
      <c r="AB882" s="39">
        <f t="shared" si="373"/>
        <v>31580.809401904778</v>
      </c>
      <c r="AC882" s="39">
        <f t="shared" si="367"/>
        <v>-651.68678420074502</v>
      </c>
      <c r="AD882" s="41">
        <f t="shared" si="368"/>
        <v>-2.0218315715854085E-2</v>
      </c>
      <c r="AF882" s="46">
        <f t="shared" si="350"/>
        <v>0</v>
      </c>
      <c r="AG882" s="46">
        <f t="shared" si="369"/>
        <v>0</v>
      </c>
      <c r="AH882" s="54">
        <f t="shared" si="351"/>
        <v>5957</v>
      </c>
      <c r="AI882" s="55">
        <f t="shared" si="360"/>
        <v>5.2338530066815145E-2</v>
      </c>
      <c r="AJ882" s="55">
        <f t="shared" si="370"/>
        <v>0</v>
      </c>
      <c r="AK882" s="55">
        <f t="shared" si="371"/>
        <v>0</v>
      </c>
    </row>
    <row r="883" spans="2:37" s="53" customFormat="1" ht="17.25" customHeight="1" x14ac:dyDescent="0.25">
      <c r="B883" s="91" t="str">
        <f t="shared" si="352"/>
        <v/>
      </c>
      <c r="C883" s="81">
        <f>IF(Sheet3!A854="","",Sheet3!A854)</f>
        <v>43591</v>
      </c>
      <c r="D883" s="82">
        <f>IF(C883="","",Sheet3!E854)</f>
        <v>30.620000999999998</v>
      </c>
      <c r="E883" s="56">
        <f>_xlfn.XLOOKUP(WEEKNUM(C883)&amp;YEAR(C883),Sheet4!C:C,Sheet4!B:B,0)</f>
        <v>0</v>
      </c>
      <c r="F883" s="46">
        <f>IF(int=Weekly,-$D$5,IF(int=Bi_Weekly,-$D$5,IF(int=Monthly,-$D$5,IF(int=Quarterly,0,IF(int=Yearly,0,IF(int=None,0,0))))))</f>
        <v>-100</v>
      </c>
      <c r="G883" s="46"/>
      <c r="H883" s="46">
        <f t="shared" si="361"/>
        <v>-21350</v>
      </c>
      <c r="I883" s="47"/>
      <c r="J883" s="38">
        <f t="shared" si="348"/>
        <v>3.2658392140483601</v>
      </c>
      <c r="K883" s="48"/>
      <c r="L883" s="48">
        <f t="shared" si="353"/>
        <v>698.61434665208162</v>
      </c>
      <c r="M883" s="48"/>
      <c r="N883" s="38">
        <f t="shared" si="354"/>
        <v>0</v>
      </c>
      <c r="O883" s="36">
        <f t="shared" si="355"/>
        <v>0</v>
      </c>
      <c r="P883" s="84">
        <f t="shared" si="356"/>
        <v>-32332.027436089247</v>
      </c>
      <c r="Q883" s="38">
        <f t="shared" si="357"/>
        <v>0</v>
      </c>
      <c r="R883" s="48">
        <f t="shared" si="358"/>
        <v>333.34231905102047</v>
      </c>
      <c r="S883" s="38">
        <f t="shared" si="349"/>
        <v>1031.9566657031021</v>
      </c>
      <c r="T883" s="50">
        <f t="shared" si="362"/>
        <v>21350</v>
      </c>
      <c r="U883" s="40">
        <f t="shared" si="363"/>
        <v>21391.571993101086</v>
      </c>
      <c r="V883" s="41">
        <f t="shared" si="364"/>
        <v>1.9471659532124264E-3</v>
      </c>
      <c r="W883" s="39">
        <f t="shared" si="365"/>
        <v>41.571993101086264</v>
      </c>
      <c r="X883" s="50">
        <f t="shared" si="359"/>
        <v>10982.496186105511</v>
      </c>
      <c r="Y883" s="41">
        <f t="shared" si="366"/>
        <v>0.51634979762091771</v>
      </c>
      <c r="Z883" s="52"/>
      <c r="AA883" s="50">
        <f t="shared" si="372"/>
        <v>32332.496186105524</v>
      </c>
      <c r="AB883" s="39">
        <f t="shared" si="373"/>
        <v>31598.514135785652</v>
      </c>
      <c r="AC883" s="39">
        <f t="shared" si="367"/>
        <v>-733.98205031987163</v>
      </c>
      <c r="AD883" s="41">
        <f t="shared" si="368"/>
        <v>-2.2701063539761313E-2</v>
      </c>
      <c r="AF883" s="46">
        <f t="shared" si="350"/>
        <v>-100</v>
      </c>
      <c r="AG883" s="46">
        <f t="shared" si="369"/>
        <v>-100</v>
      </c>
      <c r="AH883" s="54">
        <f t="shared" si="351"/>
        <v>5964</v>
      </c>
      <c r="AI883" s="55">
        <f t="shared" si="360"/>
        <v>5.1224944320712694E-2</v>
      </c>
      <c r="AJ883" s="55">
        <f t="shared" si="370"/>
        <v>-5.1224944320712691</v>
      </c>
      <c r="AK883" s="55">
        <f t="shared" si="371"/>
        <v>-5.1224944320712691</v>
      </c>
    </row>
    <row r="884" spans="2:37" s="53" customFormat="1" ht="17.25" customHeight="1" x14ac:dyDescent="0.25">
      <c r="B884" s="91" t="str">
        <f t="shared" si="352"/>
        <v/>
      </c>
      <c r="C884" s="81">
        <f>IF(Sheet3!A855="","",Sheet3!A855)</f>
        <v>43598</v>
      </c>
      <c r="D884" s="82">
        <f>IF(C884="","",Sheet3!E855)</f>
        <v>31.799999</v>
      </c>
      <c r="E884" s="56">
        <f>_xlfn.XLOOKUP(WEEKNUM(C884)&amp;YEAR(C884),Sheet4!C:C,Sheet4!B:B,0)</f>
        <v>0</v>
      </c>
      <c r="F884" s="46">
        <f>IF(int=Weekly,-$D$5,IF(int=Bi_Weekly,0,IF(int=Monthly,0,IF(int=Quarterly,0,IF(int=Yearly,0,IF(int=None,0,0))))))</f>
        <v>0</v>
      </c>
      <c r="G884" s="46"/>
      <c r="H884" s="46">
        <f t="shared" si="361"/>
        <v>-21350</v>
      </c>
      <c r="I884" s="47"/>
      <c r="J884" s="38">
        <f t="shared" si="348"/>
        <v>0</v>
      </c>
      <c r="K884" s="48"/>
      <c r="L884" s="48">
        <f t="shared" si="353"/>
        <v>698.61434665208162</v>
      </c>
      <c r="M884" s="48"/>
      <c r="N884" s="38">
        <f t="shared" si="354"/>
        <v>0</v>
      </c>
      <c r="O884" s="36">
        <f t="shared" si="355"/>
        <v>0</v>
      </c>
      <c r="P884" s="84">
        <f t="shared" si="356"/>
        <v>-32332.027436089247</v>
      </c>
      <c r="Q884" s="38">
        <f t="shared" si="357"/>
        <v>0</v>
      </c>
      <c r="R884" s="48">
        <f t="shared" si="358"/>
        <v>333.34231905102047</v>
      </c>
      <c r="S884" s="38">
        <f t="shared" si="349"/>
        <v>1031.9566657031021</v>
      </c>
      <c r="T884" s="50">
        <f t="shared" si="362"/>
        <v>21350</v>
      </c>
      <c r="U884" s="40">
        <f t="shared" si="363"/>
        <v>22215.93552492185</v>
      </c>
      <c r="V884" s="41">
        <f t="shared" si="364"/>
        <v>4.0559040979946115E-2</v>
      </c>
      <c r="W884" s="39">
        <f t="shared" si="365"/>
        <v>865.93552492184972</v>
      </c>
      <c r="X884" s="50">
        <f t="shared" si="359"/>
        <v>10982.496186105511</v>
      </c>
      <c r="Y884" s="41">
        <f t="shared" si="366"/>
        <v>0.55496167264765162</v>
      </c>
      <c r="Z884" s="52"/>
      <c r="AA884" s="50">
        <f t="shared" si="372"/>
        <v>32332.496186105524</v>
      </c>
      <c r="AB884" s="39">
        <f t="shared" si="373"/>
        <v>32816.22093740198</v>
      </c>
      <c r="AC884" s="39">
        <f t="shared" si="367"/>
        <v>483.72475129645682</v>
      </c>
      <c r="AD884" s="41">
        <f t="shared" si="368"/>
        <v>1.4960946674582143E-2</v>
      </c>
      <c r="AF884" s="46">
        <f t="shared" si="350"/>
        <v>0</v>
      </c>
      <c r="AG884" s="46">
        <f t="shared" si="369"/>
        <v>0</v>
      </c>
      <c r="AH884" s="54">
        <f t="shared" si="351"/>
        <v>5971</v>
      </c>
      <c r="AI884" s="55">
        <f t="shared" si="360"/>
        <v>5.0111358574610243E-2</v>
      </c>
      <c r="AJ884" s="55">
        <f t="shared" si="370"/>
        <v>0</v>
      </c>
      <c r="AK884" s="55">
        <f t="shared" si="371"/>
        <v>0</v>
      </c>
    </row>
    <row r="885" spans="2:37" s="53" customFormat="1" ht="17.25" customHeight="1" x14ac:dyDescent="0.25">
      <c r="B885" s="91" t="str">
        <f t="shared" si="352"/>
        <v/>
      </c>
      <c r="C885" s="81">
        <f>IF(Sheet3!A856="","",Sheet3!A856)</f>
        <v>43605</v>
      </c>
      <c r="D885" s="82">
        <f>IF(C885="","",Sheet3!E856)</f>
        <v>32.270000000000003</v>
      </c>
      <c r="E885" s="56">
        <f>_xlfn.XLOOKUP(WEEKNUM(C885)&amp;YEAR(C885),Sheet4!C:C,Sheet4!B:B,0)</f>
        <v>0</v>
      </c>
      <c r="F885" s="46">
        <f>IF(int=Weekly,-$D$5,IF(int=Bi_Weekly,-$D$5,IF(int=Monthly,0,IF(int=Quarterly,0,IF(int=Yearly,0,IF(int=None,0,0))))))</f>
        <v>0</v>
      </c>
      <c r="G885" s="46"/>
      <c r="H885" s="46">
        <f t="shared" si="361"/>
        <v>-21350</v>
      </c>
      <c r="I885" s="47"/>
      <c r="J885" s="38">
        <f t="shared" si="348"/>
        <v>0</v>
      </c>
      <c r="K885" s="48"/>
      <c r="L885" s="48">
        <f t="shared" si="353"/>
        <v>698.61434665208162</v>
      </c>
      <c r="M885" s="48"/>
      <c r="N885" s="38">
        <f t="shared" si="354"/>
        <v>0</v>
      </c>
      <c r="O885" s="36">
        <f t="shared" si="355"/>
        <v>0</v>
      </c>
      <c r="P885" s="84">
        <f t="shared" si="356"/>
        <v>-32332.027436089247</v>
      </c>
      <c r="Q885" s="38">
        <f t="shared" si="357"/>
        <v>0</v>
      </c>
      <c r="R885" s="48">
        <f t="shared" si="358"/>
        <v>333.34231905102047</v>
      </c>
      <c r="S885" s="38">
        <f t="shared" si="349"/>
        <v>1031.9566657031021</v>
      </c>
      <c r="T885" s="50">
        <f t="shared" si="362"/>
        <v>21350</v>
      </c>
      <c r="U885" s="40">
        <f t="shared" si="363"/>
        <v>22544.284966462677</v>
      </c>
      <c r="V885" s="41">
        <f t="shared" si="364"/>
        <v>5.5938405923310341E-2</v>
      </c>
      <c r="W885" s="39">
        <f t="shared" si="365"/>
        <v>1194.2849664626774</v>
      </c>
      <c r="X885" s="50">
        <f t="shared" si="359"/>
        <v>10982.496186105511</v>
      </c>
      <c r="Y885" s="41">
        <f t="shared" si="366"/>
        <v>0.57034103759101584</v>
      </c>
      <c r="Z885" s="52"/>
      <c r="AA885" s="50">
        <f t="shared" si="372"/>
        <v>32332.496186105524</v>
      </c>
      <c r="AB885" s="39">
        <f t="shared" si="373"/>
        <v>33301.241602239112</v>
      </c>
      <c r="AC885" s="39">
        <f t="shared" si="367"/>
        <v>968.74541613358815</v>
      </c>
      <c r="AD885" s="41">
        <f t="shared" si="368"/>
        <v>2.9961974187130425E-2</v>
      </c>
      <c r="AF885" s="46">
        <f t="shared" si="350"/>
        <v>0</v>
      </c>
      <c r="AG885" s="46">
        <f t="shared" si="369"/>
        <v>0</v>
      </c>
      <c r="AH885" s="54">
        <f t="shared" si="351"/>
        <v>5978</v>
      </c>
      <c r="AI885" s="55">
        <f t="shared" si="360"/>
        <v>4.8997772828507792E-2</v>
      </c>
      <c r="AJ885" s="55">
        <f t="shared" si="370"/>
        <v>0</v>
      </c>
      <c r="AK885" s="55">
        <f t="shared" si="371"/>
        <v>0</v>
      </c>
    </row>
    <row r="886" spans="2:37" s="53" customFormat="1" ht="17.25" customHeight="1" x14ac:dyDescent="0.25">
      <c r="B886" s="91" t="str">
        <f t="shared" si="352"/>
        <v/>
      </c>
      <c r="C886" s="81">
        <f>IF(Sheet3!A857="","",Sheet3!A857)</f>
        <v>43612</v>
      </c>
      <c r="D886" s="82">
        <f>IF(C886="","",Sheet3!E857)</f>
        <v>30.58</v>
      </c>
      <c r="E886" s="56">
        <f>_xlfn.XLOOKUP(WEEKNUM(C886)&amp;YEAR(C886),Sheet4!C:C,Sheet4!B:B,0)</f>
        <v>0</v>
      </c>
      <c r="F886" s="46">
        <f>IF(int=Weekly,-$D$5,IF(int=Bi_Weekly,0,IF(int=Monthly,0,IF(int=Quarterly,0,IF(int=Yearly,0,IF(int=None,0,0))))))</f>
        <v>0</v>
      </c>
      <c r="G886" s="46"/>
      <c r="H886" s="46">
        <f t="shared" si="361"/>
        <v>-21350</v>
      </c>
      <c r="I886" s="47"/>
      <c r="J886" s="38">
        <f t="shared" si="348"/>
        <v>0</v>
      </c>
      <c r="K886" s="48"/>
      <c r="L886" s="48">
        <f t="shared" si="353"/>
        <v>698.61434665208162</v>
      </c>
      <c r="M886" s="48"/>
      <c r="N886" s="38">
        <f t="shared" si="354"/>
        <v>0</v>
      </c>
      <c r="O886" s="36">
        <f t="shared" si="355"/>
        <v>0</v>
      </c>
      <c r="P886" s="84">
        <f t="shared" si="356"/>
        <v>-32332.027436089247</v>
      </c>
      <c r="Q886" s="38">
        <f t="shared" si="357"/>
        <v>0</v>
      </c>
      <c r="R886" s="48">
        <f t="shared" si="358"/>
        <v>333.34231905102047</v>
      </c>
      <c r="S886" s="38">
        <f t="shared" si="349"/>
        <v>1031.9566657031021</v>
      </c>
      <c r="T886" s="50">
        <f t="shared" si="362"/>
        <v>21350</v>
      </c>
      <c r="U886" s="40">
        <f t="shared" si="363"/>
        <v>21363.626720620654</v>
      </c>
      <c r="V886" s="41">
        <f t="shared" si="364"/>
        <v>6.3825389323901582E-4</v>
      </c>
      <c r="W886" s="39">
        <f t="shared" si="365"/>
        <v>13.626720620653941</v>
      </c>
      <c r="X886" s="50">
        <f t="shared" si="359"/>
        <v>10982.496186105511</v>
      </c>
      <c r="Y886" s="41">
        <f t="shared" si="366"/>
        <v>0.51504088556094452</v>
      </c>
      <c r="Z886" s="52"/>
      <c r="AA886" s="50">
        <f t="shared" si="372"/>
        <v>32332.496186105524</v>
      </c>
      <c r="AB886" s="39">
        <f t="shared" si="373"/>
        <v>31557.23483720086</v>
      </c>
      <c r="AC886" s="39">
        <f t="shared" si="367"/>
        <v>-775.26134890466346</v>
      </c>
      <c r="AD886" s="41">
        <f t="shared" si="368"/>
        <v>-2.3977775932989109E-2</v>
      </c>
      <c r="AF886" s="46">
        <f t="shared" si="350"/>
        <v>0</v>
      </c>
      <c r="AG886" s="46">
        <f t="shared" si="369"/>
        <v>0</v>
      </c>
      <c r="AH886" s="54">
        <f t="shared" si="351"/>
        <v>5985</v>
      </c>
      <c r="AI886" s="55">
        <f t="shared" si="360"/>
        <v>4.7884187082405348E-2</v>
      </c>
      <c r="AJ886" s="55">
        <f t="shared" si="370"/>
        <v>0</v>
      </c>
      <c r="AK886" s="55">
        <f t="shared" si="371"/>
        <v>0</v>
      </c>
    </row>
    <row r="887" spans="2:37" s="53" customFormat="1" ht="17.25" customHeight="1" x14ac:dyDescent="0.25">
      <c r="B887" s="91" t="str">
        <f t="shared" si="352"/>
        <v/>
      </c>
      <c r="C887" s="81">
        <f>IF(Sheet3!A858="","",Sheet3!A858)</f>
        <v>43619</v>
      </c>
      <c r="D887" s="82">
        <f>IF(C887="","",Sheet3!E858)</f>
        <v>32.490001999999997</v>
      </c>
      <c r="E887" s="56">
        <f>_xlfn.XLOOKUP(WEEKNUM(C887)&amp;YEAR(C887),Sheet4!C:C,Sheet4!B:B,0)</f>
        <v>0</v>
      </c>
      <c r="F887" s="46">
        <f>IF(int=Weekly,-$D$5,IF(int=Bi_Weekly,-$D$5,IF(int=Monthly,-$D$5,IF(int=Quarterly,0,IF(int=Yearly,0,IF(int=None,0,0))))))</f>
        <v>-100</v>
      </c>
      <c r="G887" s="46"/>
      <c r="H887" s="46">
        <f t="shared" si="361"/>
        <v>-21450</v>
      </c>
      <c r="I887" s="47"/>
      <c r="J887" s="38">
        <f t="shared" si="348"/>
        <v>3.0778699244155172</v>
      </c>
      <c r="K887" s="48"/>
      <c r="L887" s="48">
        <f t="shared" si="353"/>
        <v>701.69221657649712</v>
      </c>
      <c r="M887" s="48"/>
      <c r="N887" s="38">
        <f t="shared" si="354"/>
        <v>0</v>
      </c>
      <c r="O887" s="36">
        <f t="shared" si="355"/>
        <v>0</v>
      </c>
      <c r="P887" s="84">
        <f t="shared" si="356"/>
        <v>-32432.027436089247</v>
      </c>
      <c r="Q887" s="38">
        <f t="shared" si="357"/>
        <v>0</v>
      </c>
      <c r="R887" s="48">
        <f t="shared" si="358"/>
        <v>333.34231905102047</v>
      </c>
      <c r="S887" s="38">
        <f t="shared" si="349"/>
        <v>1035.0345356275175</v>
      </c>
      <c r="T887" s="50">
        <f t="shared" si="362"/>
        <v>21450</v>
      </c>
      <c r="U887" s="40">
        <f t="shared" si="363"/>
        <v>22797.981519954821</v>
      </c>
      <c r="V887" s="41">
        <f t="shared" si="364"/>
        <v>6.2842961303255063E-2</v>
      </c>
      <c r="W887" s="39">
        <f t="shared" si="365"/>
        <v>1347.9815199548211</v>
      </c>
      <c r="X887" s="50">
        <f t="shared" si="359"/>
        <v>10982.496186105511</v>
      </c>
      <c r="Y887" s="41">
        <f t="shared" si="366"/>
        <v>0.57484744550397804</v>
      </c>
      <c r="Z887" s="52"/>
      <c r="AA887" s="50">
        <f t="shared" si="372"/>
        <v>32432.496186105524</v>
      </c>
      <c r="AB887" s="39">
        <f t="shared" si="373"/>
        <v>33628.274132607112</v>
      </c>
      <c r="AC887" s="39">
        <f t="shared" si="367"/>
        <v>1195.7779465015883</v>
      </c>
      <c r="AD887" s="41">
        <f t="shared" si="368"/>
        <v>3.6869747540859255E-2</v>
      </c>
      <c r="AF887" s="46">
        <f t="shared" si="350"/>
        <v>-100</v>
      </c>
      <c r="AG887" s="46">
        <f t="shared" si="369"/>
        <v>-100</v>
      </c>
      <c r="AH887" s="54">
        <f t="shared" si="351"/>
        <v>5992</v>
      </c>
      <c r="AI887" s="55">
        <f t="shared" si="360"/>
        <v>4.6770601336302897E-2</v>
      </c>
      <c r="AJ887" s="55">
        <f t="shared" si="370"/>
        <v>-4.6770601336302899</v>
      </c>
      <c r="AK887" s="55">
        <f t="shared" si="371"/>
        <v>-4.6770601336302899</v>
      </c>
    </row>
    <row r="888" spans="2:37" s="53" customFormat="1" ht="17.25" customHeight="1" x14ac:dyDescent="0.25">
      <c r="B888" s="91" t="str">
        <f t="shared" si="352"/>
        <v/>
      </c>
      <c r="C888" s="81">
        <f>IF(Sheet3!A859="","",Sheet3!A859)</f>
        <v>43626</v>
      </c>
      <c r="D888" s="82">
        <f>IF(C888="","",Sheet3!E859)</f>
        <v>32.349997999999999</v>
      </c>
      <c r="E888" s="56">
        <f>_xlfn.XLOOKUP(WEEKNUM(C888)&amp;YEAR(C888),Sheet4!C:C,Sheet4!B:B,0)</f>
        <v>0</v>
      </c>
      <c r="F888" s="46">
        <f>IF(int=Weekly,-$D$5,IF(int=Bi_Weekly,0,IF(int=Monthly,0,IF(int=Quarterly,0,IF(int=Yearly,0,IF(int=None,0,0))))))</f>
        <v>0</v>
      </c>
      <c r="G888" s="46"/>
      <c r="H888" s="46">
        <f t="shared" si="361"/>
        <v>-21450</v>
      </c>
      <c r="I888" s="47"/>
      <c r="J888" s="38">
        <f t="shared" si="348"/>
        <v>0</v>
      </c>
      <c r="K888" s="48"/>
      <c r="L888" s="48">
        <f t="shared" si="353"/>
        <v>701.69221657649712</v>
      </c>
      <c r="M888" s="48"/>
      <c r="N888" s="38">
        <f t="shared" si="354"/>
        <v>0</v>
      </c>
      <c r="O888" s="36">
        <f t="shared" si="355"/>
        <v>0</v>
      </c>
      <c r="P888" s="84">
        <f t="shared" si="356"/>
        <v>-32432.027436089247</v>
      </c>
      <c r="Q888" s="38">
        <f t="shared" si="357"/>
        <v>0</v>
      </c>
      <c r="R888" s="48">
        <f t="shared" si="358"/>
        <v>333.34231905102047</v>
      </c>
      <c r="S888" s="38">
        <f t="shared" si="349"/>
        <v>1035.0345356275175</v>
      </c>
      <c r="T888" s="50">
        <f t="shared" si="362"/>
        <v>21450</v>
      </c>
      <c r="U888" s="40">
        <f t="shared" si="363"/>
        <v>22699.741802865246</v>
      </c>
      <c r="V888" s="41">
        <f t="shared" si="364"/>
        <v>5.8263021112598956E-2</v>
      </c>
      <c r="W888" s="39">
        <f t="shared" si="365"/>
        <v>1249.7418028652464</v>
      </c>
      <c r="X888" s="50">
        <f t="shared" si="359"/>
        <v>10982.496186105511</v>
      </c>
      <c r="Y888" s="41">
        <f t="shared" si="366"/>
        <v>0.57026750531332215</v>
      </c>
      <c r="Z888" s="52"/>
      <c r="AA888" s="50">
        <f t="shared" si="372"/>
        <v>32432.496186105524</v>
      </c>
      <c r="AB888" s="39">
        <f t="shared" si="373"/>
        <v>33483.365157481123</v>
      </c>
      <c r="AC888" s="39">
        <f t="shared" si="367"/>
        <v>1050.8689713755994</v>
      </c>
      <c r="AD888" s="41">
        <f t="shared" si="368"/>
        <v>3.2401729590761708E-2</v>
      </c>
      <c r="AF888" s="46">
        <f t="shared" si="350"/>
        <v>0</v>
      </c>
      <c r="AG888" s="46">
        <f t="shared" si="369"/>
        <v>0</v>
      </c>
      <c r="AH888" s="54">
        <f t="shared" si="351"/>
        <v>5999</v>
      </c>
      <c r="AI888" s="55">
        <f t="shared" si="360"/>
        <v>4.5657015590200446E-2</v>
      </c>
      <c r="AJ888" s="55">
        <f t="shared" si="370"/>
        <v>0</v>
      </c>
      <c r="AK888" s="55">
        <f t="shared" si="371"/>
        <v>0</v>
      </c>
    </row>
    <row r="889" spans="2:37" s="53" customFormat="1" ht="17.25" customHeight="1" x14ac:dyDescent="0.25">
      <c r="B889" s="91" t="str">
        <f t="shared" si="352"/>
        <v/>
      </c>
      <c r="C889" s="81">
        <f>IF(Sheet3!A860="","",Sheet3!A860)</f>
        <v>43633</v>
      </c>
      <c r="D889" s="82">
        <f>IF(C889="","",Sheet3!E860)</f>
        <v>32.450001</v>
      </c>
      <c r="E889" s="56">
        <f>_xlfn.XLOOKUP(WEEKNUM(C889)&amp;YEAR(C889),Sheet4!C:C,Sheet4!B:B,0)</f>
        <v>0</v>
      </c>
      <c r="F889" s="46">
        <f>IF(int=Weekly,-$D$5,IF(int=Bi_Weekly,-$D$5,IF(int=Monthly,0,IF(int=Quarterly,-$D$5,IF(int=Yearly,0,IF(int=None,0,0))))))</f>
        <v>0</v>
      </c>
      <c r="G889" s="46"/>
      <c r="H889" s="46">
        <f t="shared" si="361"/>
        <v>-21450</v>
      </c>
      <c r="I889" s="47"/>
      <c r="J889" s="38">
        <f t="shared" si="348"/>
        <v>0</v>
      </c>
      <c r="K889" s="48"/>
      <c r="L889" s="48">
        <f t="shared" si="353"/>
        <v>701.69221657649712</v>
      </c>
      <c r="M889" s="48"/>
      <c r="N889" s="38">
        <f t="shared" si="354"/>
        <v>0</v>
      </c>
      <c r="O889" s="36">
        <f t="shared" si="355"/>
        <v>0</v>
      </c>
      <c r="P889" s="84">
        <f t="shared" si="356"/>
        <v>-32432.027436089247</v>
      </c>
      <c r="Q889" s="38">
        <f t="shared" si="357"/>
        <v>0</v>
      </c>
      <c r="R889" s="48">
        <f t="shared" si="358"/>
        <v>333.34231905102047</v>
      </c>
      <c r="S889" s="38">
        <f t="shared" si="349"/>
        <v>1035.0345356275175</v>
      </c>
      <c r="T889" s="50">
        <f t="shared" si="362"/>
        <v>21450</v>
      </c>
      <c r="U889" s="40">
        <f t="shared" si="363"/>
        <v>22769.913129599547</v>
      </c>
      <c r="V889" s="41">
        <f t="shared" si="364"/>
        <v>6.1534411636342545E-2</v>
      </c>
      <c r="W889" s="39">
        <f t="shared" si="365"/>
        <v>1319.9131295995467</v>
      </c>
      <c r="X889" s="50">
        <f t="shared" si="359"/>
        <v>10982.496186105511</v>
      </c>
      <c r="Y889" s="41">
        <f t="shared" si="366"/>
        <v>0.57353889583706574</v>
      </c>
      <c r="Z889" s="52"/>
      <c r="AA889" s="50">
        <f t="shared" si="372"/>
        <v>32432.496186105524</v>
      </c>
      <c r="AB889" s="39">
        <f t="shared" si="373"/>
        <v>33586.871716147478</v>
      </c>
      <c r="AC889" s="39">
        <f t="shared" si="367"/>
        <v>1154.3755300419543</v>
      </c>
      <c r="AD889" s="41">
        <f t="shared" si="368"/>
        <v>3.5593175542760092E-2</v>
      </c>
      <c r="AF889" s="46">
        <f t="shared" si="350"/>
        <v>0</v>
      </c>
      <c r="AG889" s="46">
        <f t="shared" si="369"/>
        <v>0</v>
      </c>
      <c r="AH889" s="54">
        <f t="shared" si="351"/>
        <v>6006</v>
      </c>
      <c r="AI889" s="55">
        <f t="shared" si="360"/>
        <v>4.4543429844097995E-2</v>
      </c>
      <c r="AJ889" s="55">
        <f t="shared" si="370"/>
        <v>0</v>
      </c>
      <c r="AK889" s="55">
        <f t="shared" si="371"/>
        <v>0</v>
      </c>
    </row>
    <row r="890" spans="2:37" s="53" customFormat="1" ht="17.25" customHeight="1" x14ac:dyDescent="0.25">
      <c r="B890" s="91" t="str">
        <f t="shared" si="352"/>
        <v/>
      </c>
      <c r="C890" s="81">
        <f>IF(Sheet3!A861="","",Sheet3!A861)</f>
        <v>43640</v>
      </c>
      <c r="D890" s="82">
        <f>IF(C890="","",Sheet3!E861)</f>
        <v>33.509998000000003</v>
      </c>
      <c r="E890" s="56">
        <f>_xlfn.XLOOKUP(WEEKNUM(C890)&amp;YEAR(C890),Sheet4!C:C,Sheet4!B:B,0)</f>
        <v>0</v>
      </c>
      <c r="F890" s="46">
        <f>IF(int=Weekly,-$D$5,IF(int=Bi_Weekly,0,IF(int=Monthly,0,IF(int=Quarterly,0,IF(int=Yearly,0,IF(int=None,0,0))))))</f>
        <v>0</v>
      </c>
      <c r="G890" s="46"/>
      <c r="H890" s="46">
        <f t="shared" si="361"/>
        <v>-21450</v>
      </c>
      <c r="I890" s="47"/>
      <c r="J890" s="38">
        <f t="shared" si="348"/>
        <v>0</v>
      </c>
      <c r="K890" s="48"/>
      <c r="L890" s="48">
        <f t="shared" si="353"/>
        <v>701.69221657649712</v>
      </c>
      <c r="M890" s="48"/>
      <c r="N890" s="38">
        <f t="shared" si="354"/>
        <v>0</v>
      </c>
      <c r="O890" s="36">
        <f t="shared" si="355"/>
        <v>0</v>
      </c>
      <c r="P890" s="84">
        <f t="shared" si="356"/>
        <v>-32432.027436089247</v>
      </c>
      <c r="Q890" s="38">
        <f t="shared" si="357"/>
        <v>0</v>
      </c>
      <c r="R890" s="48">
        <f t="shared" si="358"/>
        <v>333.34231905102047</v>
      </c>
      <c r="S890" s="38">
        <f t="shared" si="349"/>
        <v>1035.0345356275175</v>
      </c>
      <c r="T890" s="50">
        <f t="shared" si="362"/>
        <v>21450</v>
      </c>
      <c r="U890" s="40">
        <f t="shared" si="363"/>
        <v>23513.704774093989</v>
      </c>
      <c r="V890" s="41">
        <f t="shared" si="364"/>
        <v>9.6210012778274567E-2</v>
      </c>
      <c r="W890" s="39">
        <f t="shared" si="365"/>
        <v>2063.7047740939888</v>
      </c>
      <c r="X890" s="50">
        <f t="shared" si="359"/>
        <v>10982.496186105511</v>
      </c>
      <c r="Y890" s="41">
        <f t="shared" si="366"/>
        <v>0.60821449697899777</v>
      </c>
      <c r="Z890" s="52"/>
      <c r="AA890" s="50">
        <f t="shared" si="372"/>
        <v>32432.496186105524</v>
      </c>
      <c r="AB890" s="39">
        <f t="shared" si="373"/>
        <v>34684.005218809049</v>
      </c>
      <c r="AC890" s="39">
        <f t="shared" si="367"/>
        <v>2251.509032703525</v>
      </c>
      <c r="AD890" s="41">
        <f t="shared" si="368"/>
        <v>6.9421392044072716E-2</v>
      </c>
      <c r="AF890" s="46">
        <f t="shared" si="350"/>
        <v>0</v>
      </c>
      <c r="AG890" s="46">
        <f t="shared" si="369"/>
        <v>0</v>
      </c>
      <c r="AH890" s="54">
        <f t="shared" si="351"/>
        <v>6013</v>
      </c>
      <c r="AI890" s="55">
        <f t="shared" si="360"/>
        <v>4.3429844097995544E-2</v>
      </c>
      <c r="AJ890" s="55">
        <f t="shared" si="370"/>
        <v>0</v>
      </c>
      <c r="AK890" s="55">
        <f t="shared" si="371"/>
        <v>0</v>
      </c>
    </row>
    <row r="891" spans="2:37" s="53" customFormat="1" ht="17.25" customHeight="1" x14ac:dyDescent="0.25">
      <c r="B891" s="91" t="str">
        <f t="shared" si="352"/>
        <v/>
      </c>
      <c r="C891" s="81">
        <f>IF(Sheet3!A862="","",Sheet3!A862)</f>
        <v>43647</v>
      </c>
      <c r="D891" s="82">
        <f>IF(C891="","",Sheet3!E862)</f>
        <v>34.299999</v>
      </c>
      <c r="E891" s="56">
        <f>_xlfn.XLOOKUP(WEEKNUM(C891)&amp;YEAR(C891),Sheet4!C:C,Sheet4!B:B,0)</f>
        <v>0</v>
      </c>
      <c r="F891" s="46">
        <f>IF(int=Weekly,-$D$5,IF(int=Bi_Weekly,-$D$5,IF(int=Monthly,-$D$5,IF(int=Quarterly,0,IF(int=Yearly,0,IF(int=None,0,0))))))</f>
        <v>-100</v>
      </c>
      <c r="G891" s="46"/>
      <c r="H891" s="46">
        <f t="shared" si="361"/>
        <v>-21550</v>
      </c>
      <c r="I891" s="47"/>
      <c r="J891" s="38">
        <f t="shared" si="348"/>
        <v>2.9154519800423317</v>
      </c>
      <c r="K891" s="48"/>
      <c r="L891" s="48">
        <f t="shared" si="353"/>
        <v>704.60766855653947</v>
      </c>
      <c r="M891" s="48"/>
      <c r="N891" s="38">
        <f t="shared" si="354"/>
        <v>0</v>
      </c>
      <c r="O891" s="36">
        <f t="shared" si="355"/>
        <v>0</v>
      </c>
      <c r="P891" s="84">
        <f t="shared" si="356"/>
        <v>-32532.027436089247</v>
      </c>
      <c r="Q891" s="38">
        <f t="shared" si="357"/>
        <v>0</v>
      </c>
      <c r="R891" s="48">
        <f t="shared" si="358"/>
        <v>333.34231905102047</v>
      </c>
      <c r="S891" s="38">
        <f t="shared" si="349"/>
        <v>1037.9499876075599</v>
      </c>
      <c r="T891" s="50">
        <f t="shared" si="362"/>
        <v>21550</v>
      </c>
      <c r="U891" s="40">
        <f t="shared" si="363"/>
        <v>24168.042326881634</v>
      </c>
      <c r="V891" s="41">
        <f t="shared" si="364"/>
        <v>0.12148688291794119</v>
      </c>
      <c r="W891" s="39">
        <f t="shared" si="365"/>
        <v>2618.0423268816339</v>
      </c>
      <c r="X891" s="50">
        <f t="shared" si="359"/>
        <v>10982.496186105511</v>
      </c>
      <c r="Y891" s="41">
        <f t="shared" si="366"/>
        <v>0.63111547624070274</v>
      </c>
      <c r="Z891" s="52"/>
      <c r="AA891" s="50">
        <f t="shared" si="372"/>
        <v>32532.496186105524</v>
      </c>
      <c r="AB891" s="39">
        <f t="shared" si="373"/>
        <v>35601.683536989316</v>
      </c>
      <c r="AC891" s="39">
        <f t="shared" si="367"/>
        <v>3069.1873508837925</v>
      </c>
      <c r="AD891" s="41">
        <f t="shared" si="368"/>
        <v>9.4342202741719783E-2</v>
      </c>
      <c r="AF891" s="46">
        <f t="shared" si="350"/>
        <v>-100</v>
      </c>
      <c r="AG891" s="46">
        <f t="shared" si="369"/>
        <v>-100</v>
      </c>
      <c r="AH891" s="54">
        <f t="shared" si="351"/>
        <v>6020</v>
      </c>
      <c r="AI891" s="55">
        <f t="shared" si="360"/>
        <v>4.2316258351893093E-2</v>
      </c>
      <c r="AJ891" s="55">
        <f t="shared" si="370"/>
        <v>-4.231625835189309</v>
      </c>
      <c r="AK891" s="55">
        <f t="shared" si="371"/>
        <v>-4.231625835189309</v>
      </c>
    </row>
    <row r="892" spans="2:37" s="53" customFormat="1" ht="17.25" customHeight="1" x14ac:dyDescent="0.25">
      <c r="B892" s="91" t="str">
        <f t="shared" si="352"/>
        <v/>
      </c>
      <c r="C892" s="81">
        <f>IF(Sheet3!A863="","",Sheet3!A863)</f>
        <v>43654</v>
      </c>
      <c r="D892" s="82">
        <f>IF(C892="","",Sheet3!E863)</f>
        <v>33.650002000000001</v>
      </c>
      <c r="E892" s="56">
        <f>_xlfn.XLOOKUP(WEEKNUM(C892)&amp;YEAR(C892),Sheet4!C:C,Sheet4!B:B,0)</f>
        <v>0.51</v>
      </c>
      <c r="F892" s="46">
        <f>IF(int=Weekly,-$D$5,IF(int=Bi_Weekly,0,IF(int=Monthly,0,IF(int=Quarterly,0,IF(int=Yearly,0,IF(int=None,0,0))))))</f>
        <v>0</v>
      </c>
      <c r="G892" s="46"/>
      <c r="H892" s="46">
        <f t="shared" si="361"/>
        <v>-21550</v>
      </c>
      <c r="I892" s="47"/>
      <c r="J892" s="38">
        <f t="shared" si="348"/>
        <v>0</v>
      </c>
      <c r="K892" s="48"/>
      <c r="L892" s="48">
        <f t="shared" si="353"/>
        <v>704.60766855653947</v>
      </c>
      <c r="M892" s="48"/>
      <c r="N892" s="38">
        <f t="shared" si="354"/>
        <v>359.34991096383516</v>
      </c>
      <c r="O892" s="36">
        <f t="shared" si="355"/>
        <v>-359.34991096383516</v>
      </c>
      <c r="P892" s="84">
        <f t="shared" si="356"/>
        <v>-32891.37734705308</v>
      </c>
      <c r="Q892" s="38">
        <f t="shared" si="357"/>
        <v>10.679045753513927</v>
      </c>
      <c r="R892" s="48">
        <f t="shared" si="358"/>
        <v>344.02136480453441</v>
      </c>
      <c r="S892" s="38">
        <f t="shared" si="349"/>
        <v>1048.6290333610739</v>
      </c>
      <c r="T892" s="50">
        <f t="shared" si="362"/>
        <v>21550</v>
      </c>
      <c r="U892" s="40">
        <f t="shared" si="363"/>
        <v>23710.04945614289</v>
      </c>
      <c r="V892" s="41">
        <f t="shared" si="364"/>
        <v>0.10023431351011092</v>
      </c>
      <c r="W892" s="39">
        <f t="shared" si="365"/>
        <v>2160.0494561428895</v>
      </c>
      <c r="X892" s="50">
        <f t="shared" si="359"/>
        <v>11341.846097069347</v>
      </c>
      <c r="Y892" s="41">
        <f t="shared" si="366"/>
        <v>0.62653807671518491</v>
      </c>
      <c r="Z892" s="52"/>
      <c r="AA892" s="50">
        <f t="shared" si="372"/>
        <v>32891.846097069356</v>
      </c>
      <c r="AB892" s="39">
        <f t="shared" si="373"/>
        <v>35286.369069858207</v>
      </c>
      <c r="AC892" s="39">
        <f t="shared" si="367"/>
        <v>2394.5229727888509</v>
      </c>
      <c r="AD892" s="41">
        <f t="shared" si="368"/>
        <v>7.279989592928926E-2</v>
      </c>
      <c r="AF892" s="46">
        <f t="shared" si="350"/>
        <v>359.34991096383516</v>
      </c>
      <c r="AG892" s="46">
        <f t="shared" si="369"/>
        <v>0</v>
      </c>
      <c r="AH892" s="54">
        <f t="shared" si="351"/>
        <v>6027</v>
      </c>
      <c r="AI892" s="55">
        <f t="shared" si="360"/>
        <v>4.1202672605790643E-2</v>
      </c>
      <c r="AJ892" s="55">
        <f t="shared" si="370"/>
        <v>14.806176732362918</v>
      </c>
      <c r="AK892" s="55">
        <f t="shared" si="371"/>
        <v>0</v>
      </c>
    </row>
    <row r="893" spans="2:37" s="53" customFormat="1" ht="17.25" customHeight="1" x14ac:dyDescent="0.25">
      <c r="B893" s="91" t="str">
        <f t="shared" si="352"/>
        <v/>
      </c>
      <c r="C893" s="81">
        <f>IF(Sheet3!A864="","",Sheet3!A864)</f>
        <v>43661</v>
      </c>
      <c r="D893" s="82">
        <f>IF(C893="","",Sheet3!E864)</f>
        <v>32.790000999999997</v>
      </c>
      <c r="E893" s="56">
        <f>_xlfn.XLOOKUP(WEEKNUM(C893)&amp;YEAR(C893),Sheet4!C:C,Sheet4!B:B,0)</f>
        <v>0</v>
      </c>
      <c r="F893" s="46">
        <f>IF(int=Weekly,-$D$5,IF(int=Bi_Weekly,-$D$5,IF(int=Monthly,0,IF(int=Quarterly,0,IF(int=Yearly,0,IF(int=None,0,0))))))</f>
        <v>0</v>
      </c>
      <c r="G893" s="46"/>
      <c r="H893" s="46">
        <f t="shared" si="361"/>
        <v>-21550</v>
      </c>
      <c r="I893" s="47"/>
      <c r="J893" s="38">
        <f t="shared" si="348"/>
        <v>0</v>
      </c>
      <c r="K893" s="48"/>
      <c r="L893" s="48">
        <f t="shared" si="353"/>
        <v>704.60766855653947</v>
      </c>
      <c r="M893" s="48"/>
      <c r="N893" s="38">
        <f t="shared" si="354"/>
        <v>0</v>
      </c>
      <c r="O893" s="36">
        <f t="shared" si="355"/>
        <v>0</v>
      </c>
      <c r="P893" s="84">
        <f t="shared" si="356"/>
        <v>-32891.37734705308</v>
      </c>
      <c r="Q893" s="38">
        <f t="shared" si="357"/>
        <v>0</v>
      </c>
      <c r="R893" s="48">
        <f t="shared" si="358"/>
        <v>344.02136480453441</v>
      </c>
      <c r="S893" s="38">
        <f t="shared" si="349"/>
        <v>1048.6290333610739</v>
      </c>
      <c r="T893" s="50">
        <f t="shared" si="362"/>
        <v>21550</v>
      </c>
      <c r="U893" s="40">
        <f t="shared" si="363"/>
        <v>23104.086156576595</v>
      </c>
      <c r="V893" s="41">
        <f t="shared" si="364"/>
        <v>7.2115366894505595E-2</v>
      </c>
      <c r="W893" s="39">
        <f t="shared" si="365"/>
        <v>1554.0861565765954</v>
      </c>
      <c r="X893" s="50">
        <f t="shared" si="359"/>
        <v>11341.846097069347</v>
      </c>
      <c r="Y893" s="41">
        <f t="shared" si="366"/>
        <v>0.59841913009957981</v>
      </c>
      <c r="Z893" s="52"/>
      <c r="AA893" s="50">
        <f t="shared" si="372"/>
        <v>32891.846097069356</v>
      </c>
      <c r="AB893" s="39">
        <f t="shared" si="373"/>
        <v>34384.547052538641</v>
      </c>
      <c r="AC893" s="39">
        <f t="shared" si="367"/>
        <v>1492.700955469285</v>
      </c>
      <c r="AD893" s="41">
        <f t="shared" si="368"/>
        <v>4.5382097163658042E-2</v>
      </c>
      <c r="AF893" s="46">
        <f t="shared" si="350"/>
        <v>0</v>
      </c>
      <c r="AG893" s="46">
        <f t="shared" si="369"/>
        <v>0</v>
      </c>
      <c r="AH893" s="54">
        <f t="shared" si="351"/>
        <v>6034</v>
      </c>
      <c r="AI893" s="55">
        <f t="shared" si="360"/>
        <v>4.0089086859688199E-2</v>
      </c>
      <c r="AJ893" s="55">
        <f t="shared" si="370"/>
        <v>0</v>
      </c>
      <c r="AK893" s="55">
        <f t="shared" si="371"/>
        <v>0</v>
      </c>
    </row>
    <row r="894" spans="2:37" s="53" customFormat="1" ht="17.25" customHeight="1" x14ac:dyDescent="0.25">
      <c r="B894" s="91" t="str">
        <f t="shared" si="352"/>
        <v/>
      </c>
      <c r="C894" s="81">
        <f>IF(Sheet3!A865="","",Sheet3!A865)</f>
        <v>43668</v>
      </c>
      <c r="D894" s="82">
        <f>IF(C894="","",Sheet3!E865)</f>
        <v>34.150002000000001</v>
      </c>
      <c r="E894" s="56">
        <f>_xlfn.XLOOKUP(WEEKNUM(C894)&amp;YEAR(C894),Sheet4!C:C,Sheet4!B:B,0)</f>
        <v>0</v>
      </c>
      <c r="F894" s="46">
        <f>IF(int=Weekly,-$D$5,IF(int=Bi_Weekly,0,IF(int=Monthly,0,IF(int=Quarterly,0,IF(int=Yearly,0,IF(int=None,0,0))))))</f>
        <v>0</v>
      </c>
      <c r="G894" s="46"/>
      <c r="H894" s="46">
        <f t="shared" si="361"/>
        <v>-21550</v>
      </c>
      <c r="I894" s="47"/>
      <c r="J894" s="38">
        <f t="shared" si="348"/>
        <v>0</v>
      </c>
      <c r="K894" s="48"/>
      <c r="L894" s="48">
        <f t="shared" si="353"/>
        <v>704.60766855653947</v>
      </c>
      <c r="M894" s="48"/>
      <c r="N894" s="38">
        <f t="shared" si="354"/>
        <v>0</v>
      </c>
      <c r="O894" s="36">
        <f t="shared" si="355"/>
        <v>0</v>
      </c>
      <c r="P894" s="84">
        <f t="shared" si="356"/>
        <v>-32891.37734705308</v>
      </c>
      <c r="Q894" s="38">
        <f t="shared" si="357"/>
        <v>0</v>
      </c>
      <c r="R894" s="48">
        <f t="shared" si="358"/>
        <v>344.02136480453441</v>
      </c>
      <c r="S894" s="38">
        <f t="shared" si="349"/>
        <v>1048.6290333610739</v>
      </c>
      <c r="T894" s="50">
        <f t="shared" si="362"/>
        <v>21550</v>
      </c>
      <c r="U894" s="40">
        <f t="shared" si="363"/>
        <v>24062.353290421161</v>
      </c>
      <c r="V894" s="41">
        <f t="shared" si="364"/>
        <v>0.11658251927708396</v>
      </c>
      <c r="W894" s="39">
        <f t="shared" si="365"/>
        <v>2512.3532904211606</v>
      </c>
      <c r="X894" s="50">
        <f t="shared" si="359"/>
        <v>11341.846097069347</v>
      </c>
      <c r="Y894" s="41">
        <f t="shared" si="366"/>
        <v>0.64288628248215818</v>
      </c>
      <c r="Z894" s="52"/>
      <c r="AA894" s="50">
        <f t="shared" si="372"/>
        <v>32891.846097069356</v>
      </c>
      <c r="AB894" s="39">
        <f t="shared" si="373"/>
        <v>35810.68358653874</v>
      </c>
      <c r="AC894" s="39">
        <f t="shared" si="367"/>
        <v>2918.8374894693843</v>
      </c>
      <c r="AD894" s="41">
        <f t="shared" si="368"/>
        <v>8.8740458071444372E-2</v>
      </c>
      <c r="AF894" s="46">
        <f t="shared" si="350"/>
        <v>0</v>
      </c>
      <c r="AG894" s="46">
        <f t="shared" si="369"/>
        <v>0</v>
      </c>
      <c r="AH894" s="54">
        <f t="shared" si="351"/>
        <v>6041</v>
      </c>
      <c r="AI894" s="55">
        <f t="shared" si="360"/>
        <v>3.8975501113585748E-2</v>
      </c>
      <c r="AJ894" s="55">
        <f t="shared" si="370"/>
        <v>0</v>
      </c>
      <c r="AK894" s="55">
        <f t="shared" si="371"/>
        <v>0</v>
      </c>
    </row>
    <row r="895" spans="2:37" s="53" customFormat="1" ht="17.25" customHeight="1" x14ac:dyDescent="0.25">
      <c r="B895" s="91" t="str">
        <f t="shared" si="352"/>
        <v/>
      </c>
      <c r="C895" s="81">
        <f>IF(Sheet3!A866="","",Sheet3!A866)</f>
        <v>43675</v>
      </c>
      <c r="D895" s="82">
        <f>IF(C895="","",Sheet3!E866)</f>
        <v>34.169998</v>
      </c>
      <c r="E895" s="56">
        <f>_xlfn.XLOOKUP(WEEKNUM(C895)&amp;YEAR(C895),Sheet4!C:C,Sheet4!B:B,0)</f>
        <v>0</v>
      </c>
      <c r="F895" s="46">
        <f>IF(int=Weekly,-$D$5,IF(int=Bi_Weekly,-$D$5,IF(int=Monthly,-$D$5,IF(int=Quarterly,0,IF(int=Yearly,0,IF(int=None,0,0))))))</f>
        <v>-100</v>
      </c>
      <c r="G895" s="46"/>
      <c r="H895" s="46">
        <f t="shared" si="361"/>
        <v>-21650</v>
      </c>
      <c r="I895" s="47"/>
      <c r="J895" s="38">
        <f t="shared" si="348"/>
        <v>2.9265439231222667</v>
      </c>
      <c r="K895" s="48"/>
      <c r="L895" s="48">
        <f t="shared" si="353"/>
        <v>707.53421247966173</v>
      </c>
      <c r="M895" s="48"/>
      <c r="N895" s="38">
        <f t="shared" si="354"/>
        <v>0</v>
      </c>
      <c r="O895" s="36">
        <f t="shared" si="355"/>
        <v>0</v>
      </c>
      <c r="P895" s="84">
        <f t="shared" si="356"/>
        <v>-32991.37734705308</v>
      </c>
      <c r="Q895" s="38">
        <f t="shared" si="357"/>
        <v>0</v>
      </c>
      <c r="R895" s="48">
        <f t="shared" si="358"/>
        <v>344.02136480453441</v>
      </c>
      <c r="S895" s="38">
        <f t="shared" si="349"/>
        <v>1051.5555772841963</v>
      </c>
      <c r="T895" s="50">
        <f t="shared" si="362"/>
        <v>21650</v>
      </c>
      <c r="U895" s="40">
        <f t="shared" si="363"/>
        <v>24176.442625361615</v>
      </c>
      <c r="V895" s="41">
        <f t="shared" si="364"/>
        <v>0.11669480948552491</v>
      </c>
      <c r="W895" s="39">
        <f t="shared" si="365"/>
        <v>2526.4426253616148</v>
      </c>
      <c r="X895" s="50">
        <f t="shared" si="359"/>
        <v>11341.846097069347</v>
      </c>
      <c r="Y895" s="41">
        <f t="shared" si="366"/>
        <v>0.64056760842637228</v>
      </c>
      <c r="Z895" s="52"/>
      <c r="AA895" s="50">
        <f t="shared" si="372"/>
        <v>32991.846097069356</v>
      </c>
      <c r="AB895" s="39">
        <f t="shared" si="373"/>
        <v>35931.651972689826</v>
      </c>
      <c r="AC895" s="39">
        <f t="shared" si="367"/>
        <v>2939.80587562047</v>
      </c>
      <c r="AD895" s="41">
        <f t="shared" si="368"/>
        <v>8.9107043812307607E-2</v>
      </c>
      <c r="AF895" s="46">
        <f t="shared" si="350"/>
        <v>-100</v>
      </c>
      <c r="AG895" s="46">
        <f t="shared" si="369"/>
        <v>-100</v>
      </c>
      <c r="AH895" s="54">
        <f t="shared" si="351"/>
        <v>6048</v>
      </c>
      <c r="AI895" s="55">
        <f t="shared" si="360"/>
        <v>3.7861915367483297E-2</v>
      </c>
      <c r="AJ895" s="55">
        <f t="shared" si="370"/>
        <v>-3.7861915367483299</v>
      </c>
      <c r="AK895" s="55">
        <f t="shared" si="371"/>
        <v>-3.7861915367483299</v>
      </c>
    </row>
    <row r="896" spans="2:37" s="53" customFormat="1" ht="17.25" customHeight="1" x14ac:dyDescent="0.25">
      <c r="B896" s="91" t="str">
        <f t="shared" si="352"/>
        <v/>
      </c>
      <c r="C896" s="81">
        <f>IF(Sheet3!A867="","",Sheet3!A867)</f>
        <v>43682</v>
      </c>
      <c r="D896" s="82">
        <f>IF(C896="","",Sheet3!E867)</f>
        <v>34.540000999999997</v>
      </c>
      <c r="E896" s="56">
        <f>_xlfn.XLOOKUP(WEEKNUM(C896)&amp;YEAR(C896),Sheet4!C:C,Sheet4!B:B,0)</f>
        <v>0</v>
      </c>
      <c r="F896" s="46">
        <f>IF(int=Weekly,-$D$5,IF(int=Bi_Weekly,0,IF(int=Monthly,0,IF(int=Quarterly,0,IF(int=Yearly,0,IF(int=None,0,0))))))</f>
        <v>0</v>
      </c>
      <c r="G896" s="46"/>
      <c r="H896" s="46">
        <f t="shared" si="361"/>
        <v>-21650</v>
      </c>
      <c r="I896" s="47"/>
      <c r="J896" s="38">
        <f t="shared" si="348"/>
        <v>0</v>
      </c>
      <c r="K896" s="48"/>
      <c r="L896" s="48">
        <f t="shared" si="353"/>
        <v>707.53421247966173</v>
      </c>
      <c r="M896" s="48"/>
      <c r="N896" s="38">
        <f t="shared" si="354"/>
        <v>0</v>
      </c>
      <c r="O896" s="36">
        <f t="shared" si="355"/>
        <v>0</v>
      </c>
      <c r="P896" s="84">
        <f t="shared" si="356"/>
        <v>-32991.37734705308</v>
      </c>
      <c r="Q896" s="38">
        <f t="shared" si="357"/>
        <v>0</v>
      </c>
      <c r="R896" s="48">
        <f t="shared" si="358"/>
        <v>344.02136480453441</v>
      </c>
      <c r="S896" s="38">
        <f t="shared" si="349"/>
        <v>1051.5555772841963</v>
      </c>
      <c r="T896" s="50">
        <f t="shared" si="362"/>
        <v>21650</v>
      </c>
      <c r="U896" s="40">
        <f t="shared" si="363"/>
        <v>24438.232406581727</v>
      </c>
      <c r="V896" s="41">
        <f t="shared" si="364"/>
        <v>0.12878671623934079</v>
      </c>
      <c r="W896" s="39">
        <f t="shared" si="365"/>
        <v>2788.2324065817265</v>
      </c>
      <c r="X896" s="50">
        <f t="shared" si="359"/>
        <v>11341.846097069347</v>
      </c>
      <c r="Y896" s="41">
        <f t="shared" si="366"/>
        <v>0.65265951518018817</v>
      </c>
      <c r="Z896" s="52"/>
      <c r="AA896" s="50">
        <f t="shared" si="372"/>
        <v>32991.846097069356</v>
      </c>
      <c r="AB896" s="39">
        <f t="shared" si="373"/>
        <v>36320.730690951706</v>
      </c>
      <c r="AC896" s="39">
        <f t="shared" si="367"/>
        <v>3328.8845938823506</v>
      </c>
      <c r="AD896" s="41">
        <f t="shared" si="368"/>
        <v>0.10090022195448034</v>
      </c>
      <c r="AF896" s="46">
        <f t="shared" si="350"/>
        <v>0</v>
      </c>
      <c r="AG896" s="46">
        <f t="shared" si="369"/>
        <v>0</v>
      </c>
      <c r="AH896" s="54">
        <f t="shared" si="351"/>
        <v>6055</v>
      </c>
      <c r="AI896" s="55">
        <f t="shared" si="360"/>
        <v>3.6748329621380846E-2</v>
      </c>
      <c r="AJ896" s="55">
        <f t="shared" si="370"/>
        <v>0</v>
      </c>
      <c r="AK896" s="55">
        <f t="shared" si="371"/>
        <v>0</v>
      </c>
    </row>
    <row r="897" spans="2:37" s="53" customFormat="1" ht="17.25" customHeight="1" x14ac:dyDescent="0.25">
      <c r="B897" s="91" t="str">
        <f t="shared" si="352"/>
        <v/>
      </c>
      <c r="C897" s="81">
        <f>IF(Sheet3!A868="","",Sheet3!A868)</f>
        <v>43689</v>
      </c>
      <c r="D897" s="82">
        <f>IF(C897="","",Sheet3!E868)</f>
        <v>34.970001000000003</v>
      </c>
      <c r="E897" s="56">
        <f>_xlfn.XLOOKUP(WEEKNUM(C897)&amp;YEAR(C897),Sheet4!C:C,Sheet4!B:B,0)</f>
        <v>0</v>
      </c>
      <c r="F897" s="46">
        <f>IF(int=Weekly,-$D$5,IF(int=Bi_Weekly,-$D$5,IF(int=Monthly,0,IF(int=Quarterly,0,IF(int=Yearly,0,IF(int=None,0,0))))))</f>
        <v>0</v>
      </c>
      <c r="G897" s="46"/>
      <c r="H897" s="46">
        <f t="shared" si="361"/>
        <v>-21650</v>
      </c>
      <c r="I897" s="47"/>
      <c r="J897" s="38">
        <f t="shared" si="348"/>
        <v>0</v>
      </c>
      <c r="K897" s="48"/>
      <c r="L897" s="48">
        <f t="shared" si="353"/>
        <v>707.53421247966173</v>
      </c>
      <c r="M897" s="48"/>
      <c r="N897" s="38">
        <f t="shared" si="354"/>
        <v>0</v>
      </c>
      <c r="O897" s="36">
        <f t="shared" si="355"/>
        <v>0</v>
      </c>
      <c r="P897" s="84">
        <f t="shared" si="356"/>
        <v>-32991.37734705308</v>
      </c>
      <c r="Q897" s="38">
        <f t="shared" si="357"/>
        <v>0</v>
      </c>
      <c r="R897" s="48">
        <f t="shared" si="358"/>
        <v>344.02136480453441</v>
      </c>
      <c r="S897" s="38">
        <f t="shared" si="349"/>
        <v>1051.5555772841963</v>
      </c>
      <c r="T897" s="50">
        <f t="shared" si="362"/>
        <v>21650</v>
      </c>
      <c r="U897" s="40">
        <f t="shared" si="363"/>
        <v>24742.472117947986</v>
      </c>
      <c r="V897" s="41">
        <f t="shared" si="364"/>
        <v>0.14283935879667364</v>
      </c>
      <c r="W897" s="39">
        <f t="shared" si="365"/>
        <v>3092.4721179479857</v>
      </c>
      <c r="X897" s="50">
        <f t="shared" si="359"/>
        <v>11341.846097069347</v>
      </c>
      <c r="Y897" s="41">
        <f t="shared" si="366"/>
        <v>0.66671215773752102</v>
      </c>
      <c r="Z897" s="52"/>
      <c r="AA897" s="50">
        <f t="shared" si="372"/>
        <v>32991.846097069356</v>
      </c>
      <c r="AB897" s="39">
        <f t="shared" si="373"/>
        <v>36772.899589183922</v>
      </c>
      <c r="AC897" s="39">
        <f t="shared" si="367"/>
        <v>3781.0534921145663</v>
      </c>
      <c r="AD897" s="41">
        <f t="shared" si="368"/>
        <v>0.1146056962374844</v>
      </c>
      <c r="AF897" s="46">
        <f t="shared" si="350"/>
        <v>0</v>
      </c>
      <c r="AG897" s="46">
        <f t="shared" si="369"/>
        <v>0</v>
      </c>
      <c r="AH897" s="54">
        <f t="shared" si="351"/>
        <v>6062</v>
      </c>
      <c r="AI897" s="55">
        <f t="shared" si="360"/>
        <v>3.5634743875278395E-2</v>
      </c>
      <c r="AJ897" s="55">
        <f t="shared" si="370"/>
        <v>0</v>
      </c>
      <c r="AK897" s="55">
        <f t="shared" si="371"/>
        <v>0</v>
      </c>
    </row>
    <row r="898" spans="2:37" s="53" customFormat="1" ht="17.25" customHeight="1" x14ac:dyDescent="0.25">
      <c r="B898" s="91" t="str">
        <f t="shared" si="352"/>
        <v/>
      </c>
      <c r="C898" s="81">
        <f>IF(Sheet3!A869="","",Sheet3!A869)</f>
        <v>43696</v>
      </c>
      <c r="D898" s="82">
        <f>IF(C898="","",Sheet3!E869)</f>
        <v>34.82</v>
      </c>
      <c r="E898" s="56">
        <f>_xlfn.XLOOKUP(WEEKNUM(C898)&amp;YEAR(C898),Sheet4!C:C,Sheet4!B:B,0)</f>
        <v>0</v>
      </c>
      <c r="F898" s="46">
        <f>IF(int=Weekly,-$D$5,IF(int=Bi_Weekly,0,IF(int=Monthly,0,IF(int=Quarterly,0,IF(int=Yearly,0,IF(int=None,0,0))))))</f>
        <v>0</v>
      </c>
      <c r="G898" s="46"/>
      <c r="H898" s="46">
        <f t="shared" si="361"/>
        <v>-21650</v>
      </c>
      <c r="I898" s="47"/>
      <c r="J898" s="38">
        <f t="shared" si="348"/>
        <v>0</v>
      </c>
      <c r="K898" s="48"/>
      <c r="L898" s="48">
        <f t="shared" si="353"/>
        <v>707.53421247966173</v>
      </c>
      <c r="M898" s="48"/>
      <c r="N898" s="38">
        <f t="shared" si="354"/>
        <v>0</v>
      </c>
      <c r="O898" s="36">
        <f t="shared" si="355"/>
        <v>0</v>
      </c>
      <c r="P898" s="84">
        <f t="shared" si="356"/>
        <v>-32991.37734705308</v>
      </c>
      <c r="Q898" s="38">
        <f t="shared" si="357"/>
        <v>0</v>
      </c>
      <c r="R898" s="48">
        <f t="shared" si="358"/>
        <v>344.02136480453441</v>
      </c>
      <c r="S898" s="38">
        <f t="shared" si="349"/>
        <v>1051.5555772841963</v>
      </c>
      <c r="T898" s="50">
        <f t="shared" si="362"/>
        <v>21650</v>
      </c>
      <c r="U898" s="40">
        <f t="shared" si="363"/>
        <v>24636.341278541822</v>
      </c>
      <c r="V898" s="41">
        <f t="shared" si="364"/>
        <v>0.13793724150308639</v>
      </c>
      <c r="W898" s="39">
        <f t="shared" si="365"/>
        <v>2986.3412785418222</v>
      </c>
      <c r="X898" s="50">
        <f t="shared" si="359"/>
        <v>11341.846097069347</v>
      </c>
      <c r="Y898" s="41">
        <f t="shared" si="366"/>
        <v>0.66181004044393377</v>
      </c>
      <c r="Z898" s="52"/>
      <c r="AA898" s="50">
        <f t="shared" si="372"/>
        <v>32991.846097069356</v>
      </c>
      <c r="AB898" s="39">
        <f t="shared" si="373"/>
        <v>36615.165201035707</v>
      </c>
      <c r="AC898" s="39">
        <f t="shared" si="367"/>
        <v>3623.3191039663507</v>
      </c>
      <c r="AD898" s="41">
        <f t="shared" si="368"/>
        <v>0.10982468496324027</v>
      </c>
      <c r="AF898" s="46">
        <f t="shared" si="350"/>
        <v>0</v>
      </c>
      <c r="AG898" s="46">
        <f t="shared" si="369"/>
        <v>0</v>
      </c>
      <c r="AH898" s="54">
        <f t="shared" si="351"/>
        <v>6069</v>
      </c>
      <c r="AI898" s="55">
        <f t="shared" si="360"/>
        <v>3.4521158129175944E-2</v>
      </c>
      <c r="AJ898" s="55">
        <f t="shared" si="370"/>
        <v>0</v>
      </c>
      <c r="AK898" s="55">
        <f t="shared" si="371"/>
        <v>0</v>
      </c>
    </row>
    <row r="899" spans="2:37" s="53" customFormat="1" ht="17.25" customHeight="1" x14ac:dyDescent="0.25">
      <c r="B899" s="91" t="str">
        <f t="shared" si="352"/>
        <v/>
      </c>
      <c r="C899" s="81">
        <f>IF(Sheet3!A870="","",Sheet3!A870)</f>
        <v>43703</v>
      </c>
      <c r="D899" s="82">
        <f>IF(C899="","",Sheet3!E870)</f>
        <v>35.259998000000003</v>
      </c>
      <c r="E899" s="56">
        <f>_xlfn.XLOOKUP(WEEKNUM(C899)&amp;YEAR(C899),Sheet4!C:C,Sheet4!B:B,0)</f>
        <v>0</v>
      </c>
      <c r="F899" s="46">
        <f>IF(int=Weekly,-$D$5,IF(int=Bi_Weekly,-$D$5,IF(int=Monthly,-$D$5,IF(int=Quarterly,0,IF(int=Yearly,0,IF(int=None,0,0))))))</f>
        <v>-100</v>
      </c>
      <c r="G899" s="46"/>
      <c r="H899" s="46">
        <f t="shared" si="361"/>
        <v>-21750</v>
      </c>
      <c r="I899" s="47"/>
      <c r="J899" s="38">
        <f t="shared" si="348"/>
        <v>2.8360750332430533</v>
      </c>
      <c r="K899" s="48"/>
      <c r="L899" s="48">
        <f t="shared" si="353"/>
        <v>710.37028751290484</v>
      </c>
      <c r="M899" s="48"/>
      <c r="N899" s="38">
        <f t="shared" si="354"/>
        <v>0</v>
      </c>
      <c r="O899" s="36">
        <f t="shared" si="355"/>
        <v>0</v>
      </c>
      <c r="P899" s="84">
        <f t="shared" si="356"/>
        <v>-33091.37734705308</v>
      </c>
      <c r="Q899" s="38">
        <f t="shared" si="357"/>
        <v>0</v>
      </c>
      <c r="R899" s="48">
        <f t="shared" si="358"/>
        <v>344.02136480453441</v>
      </c>
      <c r="S899" s="38">
        <f t="shared" si="349"/>
        <v>1054.3916523174394</v>
      </c>
      <c r="T899" s="50">
        <f t="shared" si="362"/>
        <v>21750</v>
      </c>
      <c r="U899" s="40">
        <f t="shared" si="363"/>
        <v>25047.654916964453</v>
      </c>
      <c r="V899" s="41">
        <f t="shared" si="364"/>
        <v>0.15161631802135411</v>
      </c>
      <c r="W899" s="39">
        <f t="shared" si="365"/>
        <v>3297.6549169644532</v>
      </c>
      <c r="X899" s="50">
        <f t="shared" si="359"/>
        <v>11341.846097069347</v>
      </c>
      <c r="Y899" s="41">
        <f t="shared" si="366"/>
        <v>0.67308050639235861</v>
      </c>
      <c r="Z899" s="52"/>
      <c r="AA899" s="50">
        <f t="shared" si="372"/>
        <v>33091.846097069356</v>
      </c>
      <c r="AB899" s="39">
        <f t="shared" si="373"/>
        <v>37177.847551929604</v>
      </c>
      <c r="AC899" s="39">
        <f t="shared" si="367"/>
        <v>4086.0014548602485</v>
      </c>
      <c r="AD899" s="41">
        <f t="shared" si="368"/>
        <v>0.12347456962282033</v>
      </c>
      <c r="AF899" s="46">
        <f t="shared" si="350"/>
        <v>-100</v>
      </c>
      <c r="AG899" s="46">
        <f t="shared" si="369"/>
        <v>-100</v>
      </c>
      <c r="AH899" s="54">
        <f t="shared" si="351"/>
        <v>6076</v>
      </c>
      <c r="AI899" s="55">
        <f t="shared" si="360"/>
        <v>3.34075723830735E-2</v>
      </c>
      <c r="AJ899" s="55">
        <f t="shared" si="370"/>
        <v>-3.3407572383073498</v>
      </c>
      <c r="AK899" s="55">
        <f t="shared" si="371"/>
        <v>-3.3407572383073498</v>
      </c>
    </row>
    <row r="900" spans="2:37" s="53" customFormat="1" ht="17.25" customHeight="1" x14ac:dyDescent="0.25">
      <c r="B900" s="91" t="str">
        <f t="shared" si="352"/>
        <v/>
      </c>
      <c r="C900" s="81">
        <f>IF(Sheet3!A871="","",Sheet3!A871)</f>
        <v>43710</v>
      </c>
      <c r="D900" s="82">
        <f>IF(C900="","",Sheet3!E871)</f>
        <v>36.25</v>
      </c>
      <c r="E900" s="56">
        <f>_xlfn.XLOOKUP(WEEKNUM(C900)&amp;YEAR(C900),Sheet4!C:C,Sheet4!B:B,0)</f>
        <v>0</v>
      </c>
      <c r="F900" s="46">
        <f>IF(int=Weekly,-$D$5,IF(int=Bi_Weekly,0,IF(int=Monthly,0,IF(int=Quarterly,0,IF(int=Yearly,0,IF(int=None,0,0))))))</f>
        <v>0</v>
      </c>
      <c r="G900" s="46"/>
      <c r="H900" s="46">
        <f t="shared" si="361"/>
        <v>-21750</v>
      </c>
      <c r="I900" s="47"/>
      <c r="J900" s="38">
        <f t="shared" si="348"/>
        <v>0</v>
      </c>
      <c r="K900" s="48"/>
      <c r="L900" s="48">
        <f t="shared" si="353"/>
        <v>710.37028751290484</v>
      </c>
      <c r="M900" s="48"/>
      <c r="N900" s="38">
        <f t="shared" si="354"/>
        <v>0</v>
      </c>
      <c r="O900" s="36">
        <f t="shared" si="355"/>
        <v>0</v>
      </c>
      <c r="P900" s="84">
        <f t="shared" si="356"/>
        <v>-33091.37734705308</v>
      </c>
      <c r="Q900" s="38">
        <f t="shared" si="357"/>
        <v>0</v>
      </c>
      <c r="R900" s="48">
        <f t="shared" si="358"/>
        <v>344.02136480453441</v>
      </c>
      <c r="S900" s="38">
        <f t="shared" si="349"/>
        <v>1054.3916523174394</v>
      </c>
      <c r="T900" s="50">
        <f t="shared" si="362"/>
        <v>21750</v>
      </c>
      <c r="U900" s="40">
        <f t="shared" si="363"/>
        <v>25750.922922342801</v>
      </c>
      <c r="V900" s="41">
        <f t="shared" si="364"/>
        <v>0.18395047918817475</v>
      </c>
      <c r="W900" s="39">
        <f t="shared" si="365"/>
        <v>4000.922922342801</v>
      </c>
      <c r="X900" s="50">
        <f t="shared" si="359"/>
        <v>11341.846097069347</v>
      </c>
      <c r="Y900" s="41">
        <f t="shared" si="366"/>
        <v>0.70541466755917903</v>
      </c>
      <c r="Z900" s="52"/>
      <c r="AA900" s="50">
        <f t="shared" si="372"/>
        <v>33091.846097069356</v>
      </c>
      <c r="AB900" s="39">
        <f t="shared" si="373"/>
        <v>38221.697396507174</v>
      </c>
      <c r="AC900" s="39">
        <f t="shared" si="367"/>
        <v>5129.8512994378179</v>
      </c>
      <c r="AD900" s="41">
        <f t="shared" si="368"/>
        <v>0.15501858930415247</v>
      </c>
      <c r="AF900" s="46">
        <f t="shared" si="350"/>
        <v>0</v>
      </c>
      <c r="AG900" s="46">
        <f t="shared" si="369"/>
        <v>0</v>
      </c>
      <c r="AH900" s="54">
        <f t="shared" si="351"/>
        <v>6083</v>
      </c>
      <c r="AI900" s="55">
        <f t="shared" si="360"/>
        <v>3.2293986636971049E-2</v>
      </c>
      <c r="AJ900" s="55">
        <f t="shared" si="370"/>
        <v>0</v>
      </c>
      <c r="AK900" s="55">
        <f t="shared" si="371"/>
        <v>0</v>
      </c>
    </row>
    <row r="901" spans="2:37" s="53" customFormat="1" ht="17.25" customHeight="1" x14ac:dyDescent="0.25">
      <c r="B901" s="91" t="str">
        <f t="shared" si="352"/>
        <v/>
      </c>
      <c r="C901" s="81">
        <f>IF(Sheet3!A872="","",Sheet3!A872)</f>
        <v>43717</v>
      </c>
      <c r="D901" s="82">
        <f>IF(C901="","",Sheet3!E872)</f>
        <v>37.909999999999997</v>
      </c>
      <c r="E901" s="56">
        <f>_xlfn.XLOOKUP(WEEKNUM(C901)&amp;YEAR(C901),Sheet4!C:C,Sheet4!B:B,0)</f>
        <v>0</v>
      </c>
      <c r="F901" s="46">
        <f>IF(int=Weekly,-$D$5,IF(int=Bi_Weekly,-$D$5,IF(int=Monthly,0,IF(int=Quarterly,0,IF(int=Yearly,0,IF(int=None,0,0))))))</f>
        <v>0</v>
      </c>
      <c r="G901" s="46"/>
      <c r="H901" s="46">
        <f t="shared" si="361"/>
        <v>-21750</v>
      </c>
      <c r="I901" s="47"/>
      <c r="J901" s="38">
        <f t="shared" si="348"/>
        <v>0</v>
      </c>
      <c r="K901" s="48"/>
      <c r="L901" s="48">
        <f t="shared" si="353"/>
        <v>710.37028751290484</v>
      </c>
      <c r="M901" s="48"/>
      <c r="N901" s="38">
        <f t="shared" si="354"/>
        <v>0</v>
      </c>
      <c r="O901" s="36">
        <f t="shared" si="355"/>
        <v>0</v>
      </c>
      <c r="P901" s="84">
        <f t="shared" si="356"/>
        <v>-33091.37734705308</v>
      </c>
      <c r="Q901" s="38">
        <f t="shared" si="357"/>
        <v>0</v>
      </c>
      <c r="R901" s="48">
        <f t="shared" si="358"/>
        <v>344.02136480453441</v>
      </c>
      <c r="S901" s="38">
        <f t="shared" si="349"/>
        <v>1054.3916523174394</v>
      </c>
      <c r="T901" s="50">
        <f t="shared" si="362"/>
        <v>21750</v>
      </c>
      <c r="U901" s="40">
        <f t="shared" si="363"/>
        <v>26930.13759961422</v>
      </c>
      <c r="V901" s="41">
        <f t="shared" si="364"/>
        <v>0.23816724595927452</v>
      </c>
      <c r="W901" s="39">
        <f t="shared" si="365"/>
        <v>5180.1375996142197</v>
      </c>
      <c r="X901" s="50">
        <f t="shared" si="359"/>
        <v>11341.846097069347</v>
      </c>
      <c r="Y901" s="41">
        <f t="shared" si="366"/>
        <v>0.7596314343302788</v>
      </c>
      <c r="Z901" s="52"/>
      <c r="AA901" s="50">
        <f t="shared" si="372"/>
        <v>33091.846097069356</v>
      </c>
      <c r="AB901" s="39">
        <f t="shared" si="373"/>
        <v>39971.987539354115</v>
      </c>
      <c r="AC901" s="39">
        <f t="shared" si="367"/>
        <v>6880.1414422847593</v>
      </c>
      <c r="AD901" s="41">
        <f t="shared" si="368"/>
        <v>0.20791047504883897</v>
      </c>
      <c r="AF901" s="46">
        <f t="shared" si="350"/>
        <v>0</v>
      </c>
      <c r="AG901" s="46">
        <f t="shared" si="369"/>
        <v>0</v>
      </c>
      <c r="AH901" s="54">
        <f t="shared" si="351"/>
        <v>6090</v>
      </c>
      <c r="AI901" s="55">
        <f t="shared" si="360"/>
        <v>3.1180400890868598E-2</v>
      </c>
      <c r="AJ901" s="55">
        <f t="shared" si="370"/>
        <v>0</v>
      </c>
      <c r="AK901" s="55">
        <f t="shared" si="371"/>
        <v>0</v>
      </c>
    </row>
    <row r="902" spans="2:37" s="53" customFormat="1" ht="17.25" customHeight="1" x14ac:dyDescent="0.25">
      <c r="B902" s="91" t="str">
        <f t="shared" si="352"/>
        <v/>
      </c>
      <c r="C902" s="81">
        <f>IF(Sheet3!A873="","",Sheet3!A873)</f>
        <v>43724</v>
      </c>
      <c r="D902" s="82">
        <f>IF(C902="","",Sheet3!E873)</f>
        <v>37.909999999999997</v>
      </c>
      <c r="E902" s="56">
        <f>_xlfn.XLOOKUP(WEEKNUM(C902)&amp;YEAR(C902),Sheet4!C:C,Sheet4!B:B,0)</f>
        <v>0</v>
      </c>
      <c r="F902" s="46">
        <f>IF(int=Weekly,-$D$5,IF(int=Bi_Weekly,0,IF(int=Monthly,0,IF(int=Quarterly,-$D$5,IF(int=Yearly,0,IF(int=None,0,0))))))</f>
        <v>0</v>
      </c>
      <c r="G902" s="46"/>
      <c r="H902" s="46">
        <f t="shared" si="361"/>
        <v>-21750</v>
      </c>
      <c r="I902" s="47"/>
      <c r="J902" s="38">
        <f t="shared" si="348"/>
        <v>0</v>
      </c>
      <c r="K902" s="48"/>
      <c r="L902" s="48">
        <f t="shared" si="353"/>
        <v>710.37028751290484</v>
      </c>
      <c r="M902" s="48"/>
      <c r="N902" s="38">
        <f t="shared" si="354"/>
        <v>0</v>
      </c>
      <c r="O902" s="36">
        <f t="shared" si="355"/>
        <v>0</v>
      </c>
      <c r="P902" s="84">
        <f t="shared" si="356"/>
        <v>-33091.37734705308</v>
      </c>
      <c r="Q902" s="38">
        <f t="shared" si="357"/>
        <v>0</v>
      </c>
      <c r="R902" s="48">
        <f t="shared" si="358"/>
        <v>344.02136480453441</v>
      </c>
      <c r="S902" s="38">
        <f t="shared" si="349"/>
        <v>1054.3916523174394</v>
      </c>
      <c r="T902" s="50">
        <f t="shared" si="362"/>
        <v>21750</v>
      </c>
      <c r="U902" s="40">
        <f t="shared" si="363"/>
        <v>26930.13759961422</v>
      </c>
      <c r="V902" s="41">
        <f t="shared" si="364"/>
        <v>0.23816724595927452</v>
      </c>
      <c r="W902" s="39">
        <f t="shared" si="365"/>
        <v>5180.1375996142197</v>
      </c>
      <c r="X902" s="50">
        <f t="shared" si="359"/>
        <v>11341.846097069347</v>
      </c>
      <c r="Y902" s="41">
        <f t="shared" si="366"/>
        <v>0.7596314343302788</v>
      </c>
      <c r="Z902" s="52"/>
      <c r="AA902" s="50">
        <f t="shared" si="372"/>
        <v>33091.846097069356</v>
      </c>
      <c r="AB902" s="39">
        <f t="shared" si="373"/>
        <v>39971.987539354115</v>
      </c>
      <c r="AC902" s="39">
        <f t="shared" si="367"/>
        <v>6880.1414422847593</v>
      </c>
      <c r="AD902" s="41">
        <f t="shared" si="368"/>
        <v>0.20791047504883897</v>
      </c>
      <c r="AF902" s="46">
        <f t="shared" si="350"/>
        <v>0</v>
      </c>
      <c r="AG902" s="46">
        <f t="shared" si="369"/>
        <v>0</v>
      </c>
      <c r="AH902" s="54">
        <f t="shared" si="351"/>
        <v>6097</v>
      </c>
      <c r="AI902" s="55">
        <f t="shared" si="360"/>
        <v>3.0066815144766147E-2</v>
      </c>
      <c r="AJ902" s="55">
        <f t="shared" si="370"/>
        <v>0</v>
      </c>
      <c r="AK902" s="55">
        <f t="shared" si="371"/>
        <v>0</v>
      </c>
    </row>
    <row r="903" spans="2:37" s="53" customFormat="1" ht="17.25" customHeight="1" x14ac:dyDescent="0.25">
      <c r="B903" s="91" t="str">
        <f t="shared" si="352"/>
        <v/>
      </c>
      <c r="C903" s="81">
        <f>IF(Sheet3!A874="","",Sheet3!A874)</f>
        <v>43731</v>
      </c>
      <c r="D903" s="82">
        <f>IF(C903="","",Sheet3!E874)</f>
        <v>37.43</v>
      </c>
      <c r="E903" s="56">
        <f>_xlfn.XLOOKUP(WEEKNUM(C903)&amp;YEAR(C903),Sheet4!C:C,Sheet4!B:B,0)</f>
        <v>0</v>
      </c>
      <c r="F903" s="46">
        <f>IF(int=Weekly,-$D$5,IF(int=Bi_Weekly,-$D$5,IF(int=Monthly,-$D$5,IF(int=Quarterly,0,IF(int=Yearly,0,IF(int=None,0,0))))))</f>
        <v>-100</v>
      </c>
      <c r="G903" s="46"/>
      <c r="H903" s="46">
        <f t="shared" si="361"/>
        <v>-21850</v>
      </c>
      <c r="I903" s="47"/>
      <c r="J903" s="38">
        <f t="shared" si="348"/>
        <v>2.6716537536735241</v>
      </c>
      <c r="K903" s="48"/>
      <c r="L903" s="48">
        <f t="shared" si="353"/>
        <v>713.04194126657831</v>
      </c>
      <c r="M903" s="48"/>
      <c r="N903" s="38">
        <f t="shared" si="354"/>
        <v>0</v>
      </c>
      <c r="O903" s="36">
        <f t="shared" si="355"/>
        <v>0</v>
      </c>
      <c r="P903" s="84">
        <f t="shared" si="356"/>
        <v>-33191.37734705308</v>
      </c>
      <c r="Q903" s="38">
        <f t="shared" si="357"/>
        <v>0</v>
      </c>
      <c r="R903" s="48">
        <f t="shared" si="358"/>
        <v>344.02136480453441</v>
      </c>
      <c r="S903" s="38">
        <f t="shared" si="349"/>
        <v>1057.0633060711127</v>
      </c>
      <c r="T903" s="50">
        <f t="shared" si="362"/>
        <v>21850</v>
      </c>
      <c r="U903" s="40">
        <f t="shared" si="363"/>
        <v>26689.159861608026</v>
      </c>
      <c r="V903" s="41">
        <f t="shared" si="364"/>
        <v>0.22147184721318203</v>
      </c>
      <c r="W903" s="39">
        <f t="shared" si="365"/>
        <v>4839.1598616080264</v>
      </c>
      <c r="X903" s="50">
        <f t="shared" si="359"/>
        <v>11341.846097069347</v>
      </c>
      <c r="Y903" s="41">
        <f t="shared" si="366"/>
        <v>0.74054947179301478</v>
      </c>
      <c r="Z903" s="52"/>
      <c r="AA903" s="50">
        <f t="shared" si="372"/>
        <v>33191.846097069356</v>
      </c>
      <c r="AB903" s="39">
        <f t="shared" si="373"/>
        <v>39565.879546241747</v>
      </c>
      <c r="AC903" s="39">
        <f t="shared" si="367"/>
        <v>6374.0334491723916</v>
      </c>
      <c r="AD903" s="41">
        <f t="shared" si="368"/>
        <v>0.19203612328556741</v>
      </c>
      <c r="AF903" s="46">
        <f t="shared" si="350"/>
        <v>-100</v>
      </c>
      <c r="AG903" s="46">
        <f t="shared" si="369"/>
        <v>-100</v>
      </c>
      <c r="AH903" s="54">
        <f t="shared" si="351"/>
        <v>6104</v>
      </c>
      <c r="AI903" s="55">
        <f t="shared" si="360"/>
        <v>2.8953229398663696E-2</v>
      </c>
      <c r="AJ903" s="55">
        <f t="shared" si="370"/>
        <v>-2.8953229398663698</v>
      </c>
      <c r="AK903" s="55">
        <f t="shared" si="371"/>
        <v>-2.8953229398663698</v>
      </c>
    </row>
    <row r="904" spans="2:37" s="53" customFormat="1" ht="17.25" customHeight="1" x14ac:dyDescent="0.25">
      <c r="B904" s="91" t="str">
        <f t="shared" si="352"/>
        <v/>
      </c>
      <c r="C904" s="81">
        <f>IF(Sheet3!A875="","",Sheet3!A875)</f>
        <v>43738</v>
      </c>
      <c r="D904" s="82">
        <f>IF(C904="","",Sheet3!E875)</f>
        <v>37.509998000000003</v>
      </c>
      <c r="E904" s="56">
        <f>_xlfn.XLOOKUP(WEEKNUM(C904)&amp;YEAR(C904),Sheet4!C:C,Sheet4!B:B,0)</f>
        <v>0</v>
      </c>
      <c r="F904" s="46">
        <f>IF(int=Weekly,-$D$5,IF(int=Bi_Weekly,0,IF(int=Monthly,0,IF(int=Quarterly,0,IF(int=Yearly,0,IF(int=None,0,0))))))</f>
        <v>0</v>
      </c>
      <c r="G904" s="46"/>
      <c r="H904" s="46">
        <f t="shared" si="361"/>
        <v>-21850</v>
      </c>
      <c r="I904" s="47"/>
      <c r="J904" s="38">
        <f t="shared" si="348"/>
        <v>0</v>
      </c>
      <c r="K904" s="48"/>
      <c r="L904" s="48">
        <f t="shared" si="353"/>
        <v>713.04194126657831</v>
      </c>
      <c r="M904" s="48"/>
      <c r="N904" s="38">
        <f t="shared" si="354"/>
        <v>0</v>
      </c>
      <c r="O904" s="36">
        <f t="shared" si="355"/>
        <v>0</v>
      </c>
      <c r="P904" s="84">
        <f t="shared" si="356"/>
        <v>-33191.37734705308</v>
      </c>
      <c r="Q904" s="38">
        <f t="shared" si="357"/>
        <v>0</v>
      </c>
      <c r="R904" s="48">
        <f t="shared" si="358"/>
        <v>344.02136480453441</v>
      </c>
      <c r="S904" s="38">
        <f t="shared" si="349"/>
        <v>1057.0633060711127</v>
      </c>
      <c r="T904" s="50">
        <f t="shared" si="362"/>
        <v>21850</v>
      </c>
      <c r="U904" s="40">
        <f t="shared" si="363"/>
        <v>26746.201790825471</v>
      </c>
      <c r="V904" s="41">
        <f t="shared" si="364"/>
        <v>0.22408246182267599</v>
      </c>
      <c r="W904" s="39">
        <f t="shared" si="365"/>
        <v>4896.2017908254711</v>
      </c>
      <c r="X904" s="50">
        <f t="shared" si="359"/>
        <v>11341.846097069347</v>
      </c>
      <c r="Y904" s="41">
        <f t="shared" si="366"/>
        <v>0.74316008640250897</v>
      </c>
      <c r="Z904" s="52"/>
      <c r="AA904" s="50">
        <f t="shared" si="372"/>
        <v>33191.846097069356</v>
      </c>
      <c r="AB904" s="39">
        <f t="shared" si="373"/>
        <v>39650.44249660083</v>
      </c>
      <c r="AC904" s="39">
        <f t="shared" si="367"/>
        <v>6458.5963995314742</v>
      </c>
      <c r="AD904" s="41">
        <f t="shared" si="368"/>
        <v>0.19458382581804412</v>
      </c>
      <c r="AF904" s="46">
        <f t="shared" si="350"/>
        <v>0</v>
      </c>
      <c r="AG904" s="46">
        <f t="shared" si="369"/>
        <v>0</v>
      </c>
      <c r="AH904" s="54">
        <f t="shared" si="351"/>
        <v>6111</v>
      </c>
      <c r="AI904" s="55">
        <f t="shared" si="360"/>
        <v>2.7839643652561249E-2</v>
      </c>
      <c r="AJ904" s="55">
        <f t="shared" si="370"/>
        <v>0</v>
      </c>
      <c r="AK904" s="55">
        <f t="shared" si="371"/>
        <v>0</v>
      </c>
    </row>
    <row r="905" spans="2:37" s="53" customFormat="1" ht="17.25" customHeight="1" x14ac:dyDescent="0.25">
      <c r="B905" s="91" t="str">
        <f t="shared" si="352"/>
        <v/>
      </c>
      <c r="C905" s="81">
        <f>IF(Sheet3!A876="","",Sheet3!A876)</f>
        <v>43745</v>
      </c>
      <c r="D905" s="82">
        <f>IF(C905="","",Sheet3!E876)</f>
        <v>37.580002</v>
      </c>
      <c r="E905" s="56">
        <f>_xlfn.XLOOKUP(WEEKNUM(C905)&amp;YEAR(C905),Sheet4!C:C,Sheet4!B:B,0)</f>
        <v>0.51</v>
      </c>
      <c r="F905" s="46">
        <f>IF(int=Weekly,-$D$5,IF(int=Bi_Weekly,-$D$5,IF(int=Monthly,0,IF(int=Quarterly,0,IF(int=Yearly,0,IF(int=None,0,0))))))</f>
        <v>0</v>
      </c>
      <c r="G905" s="46"/>
      <c r="H905" s="46">
        <f t="shared" si="361"/>
        <v>-21850</v>
      </c>
      <c r="I905" s="47"/>
      <c r="J905" s="38">
        <f t="shared" si="348"/>
        <v>0</v>
      </c>
      <c r="K905" s="48"/>
      <c r="L905" s="48">
        <f t="shared" si="353"/>
        <v>713.04194126657831</v>
      </c>
      <c r="M905" s="48"/>
      <c r="N905" s="38">
        <f t="shared" si="354"/>
        <v>363.65139004595494</v>
      </c>
      <c r="O905" s="36">
        <f t="shared" si="355"/>
        <v>-363.65139004595494</v>
      </c>
      <c r="P905" s="84">
        <f t="shared" si="356"/>
        <v>-33555.028737099034</v>
      </c>
      <c r="Q905" s="38">
        <f t="shared" si="357"/>
        <v>9.6767262025679219</v>
      </c>
      <c r="R905" s="48">
        <f t="shared" si="358"/>
        <v>353.69809100710233</v>
      </c>
      <c r="S905" s="38">
        <f t="shared" si="349"/>
        <v>1066.7400322736808</v>
      </c>
      <c r="T905" s="50">
        <f t="shared" si="362"/>
        <v>21850</v>
      </c>
      <c r="U905" s="40">
        <f t="shared" si="363"/>
        <v>26796.117578881895</v>
      </c>
      <c r="V905" s="41">
        <f t="shared" si="364"/>
        <v>0.22636693724859924</v>
      </c>
      <c r="W905" s="39">
        <f t="shared" si="365"/>
        <v>4946.1175788818946</v>
      </c>
      <c r="X905" s="50">
        <f t="shared" si="359"/>
        <v>11705.497487115303</v>
      </c>
      <c r="Y905" s="41">
        <f t="shared" si="366"/>
        <v>0.76208764604106172</v>
      </c>
      <c r="Z905" s="52"/>
      <c r="AA905" s="50">
        <f t="shared" si="372"/>
        <v>33555.49748711531</v>
      </c>
      <c r="AB905" s="39">
        <f t="shared" si="373"/>
        <v>40088.092546324981</v>
      </c>
      <c r="AC905" s="39">
        <f t="shared" si="367"/>
        <v>6532.5950592096706</v>
      </c>
      <c r="AD905" s="41">
        <f t="shared" si="368"/>
        <v>0.19468032210573138</v>
      </c>
      <c r="AF905" s="46">
        <f t="shared" si="350"/>
        <v>363.65139004595494</v>
      </c>
      <c r="AG905" s="46">
        <f t="shared" si="369"/>
        <v>0</v>
      </c>
      <c r="AH905" s="54">
        <f t="shared" si="351"/>
        <v>6118</v>
      </c>
      <c r="AI905" s="55">
        <f t="shared" si="360"/>
        <v>2.6726057906458798E-2</v>
      </c>
      <c r="AJ905" s="55">
        <f t="shared" si="370"/>
        <v>9.718968108132426</v>
      </c>
      <c r="AK905" s="55">
        <f t="shared" si="371"/>
        <v>0</v>
      </c>
    </row>
    <row r="906" spans="2:37" s="53" customFormat="1" ht="17.25" customHeight="1" x14ac:dyDescent="0.25">
      <c r="B906" s="91" t="str">
        <f t="shared" si="352"/>
        <v/>
      </c>
      <c r="C906" s="81">
        <f>IF(Sheet3!A877="","",Sheet3!A877)</f>
        <v>43752</v>
      </c>
      <c r="D906" s="82">
        <f>IF(C906="","",Sheet3!E877)</f>
        <v>38.470001000000003</v>
      </c>
      <c r="E906" s="56">
        <f>_xlfn.XLOOKUP(WEEKNUM(C906)&amp;YEAR(C906),Sheet4!C:C,Sheet4!B:B,0)</f>
        <v>0</v>
      </c>
      <c r="F906" s="46">
        <f>IF(int=Weekly,-$D$5,IF(int=Bi_Weekly,0,IF(int=Monthly,0,IF(int=Quarterly,0,IF(int=Yearly,0,IF(int=None,0,0))))))</f>
        <v>0</v>
      </c>
      <c r="G906" s="46"/>
      <c r="H906" s="46">
        <f t="shared" si="361"/>
        <v>-21850</v>
      </c>
      <c r="I906" s="47"/>
      <c r="J906" s="38">
        <f t="shared" si="348"/>
        <v>0</v>
      </c>
      <c r="K906" s="48"/>
      <c r="L906" s="48">
        <f t="shared" si="353"/>
        <v>713.04194126657831</v>
      </c>
      <c r="M906" s="48"/>
      <c r="N906" s="38">
        <f t="shared" si="354"/>
        <v>0</v>
      </c>
      <c r="O906" s="36">
        <f t="shared" si="355"/>
        <v>0</v>
      </c>
      <c r="P906" s="84">
        <f t="shared" si="356"/>
        <v>-33555.028737099034</v>
      </c>
      <c r="Q906" s="38">
        <f t="shared" si="357"/>
        <v>0</v>
      </c>
      <c r="R906" s="48">
        <f t="shared" si="358"/>
        <v>353.69809100710233</v>
      </c>
      <c r="S906" s="38">
        <f t="shared" si="349"/>
        <v>1066.7400322736808</v>
      </c>
      <c r="T906" s="50">
        <f t="shared" si="362"/>
        <v>21850</v>
      </c>
      <c r="U906" s="40">
        <f t="shared" si="363"/>
        <v>27430.72419356721</v>
      </c>
      <c r="V906" s="41">
        <f t="shared" si="364"/>
        <v>0.25541071824106232</v>
      </c>
      <c r="W906" s="39">
        <f t="shared" si="365"/>
        <v>5580.72419356721</v>
      </c>
      <c r="X906" s="50">
        <f t="shared" si="359"/>
        <v>11705.497487115303</v>
      </c>
      <c r="Y906" s="41">
        <f t="shared" si="366"/>
        <v>0.79113142703352479</v>
      </c>
      <c r="Z906" s="52"/>
      <c r="AA906" s="50">
        <f t="shared" si="372"/>
        <v>33555.49748711531</v>
      </c>
      <c r="AB906" s="39">
        <f t="shared" si="373"/>
        <v>41037.490108308528</v>
      </c>
      <c r="AC906" s="39">
        <f t="shared" si="367"/>
        <v>7481.9926211932179</v>
      </c>
      <c r="AD906" s="41">
        <f t="shared" si="368"/>
        <v>0.22297367589516925</v>
      </c>
      <c r="AF906" s="46">
        <f t="shared" si="350"/>
        <v>0</v>
      </c>
      <c r="AG906" s="46">
        <f t="shared" si="369"/>
        <v>0</v>
      </c>
      <c r="AH906" s="54">
        <f t="shared" si="351"/>
        <v>6125</v>
      </c>
      <c r="AI906" s="55">
        <f t="shared" si="360"/>
        <v>2.5612472160356347E-2</v>
      </c>
      <c r="AJ906" s="55">
        <f t="shared" si="370"/>
        <v>0</v>
      </c>
      <c r="AK906" s="55">
        <f t="shared" si="371"/>
        <v>0</v>
      </c>
    </row>
    <row r="907" spans="2:37" s="53" customFormat="1" ht="17.25" customHeight="1" x14ac:dyDescent="0.25">
      <c r="B907" s="91" t="str">
        <f t="shared" si="352"/>
        <v/>
      </c>
      <c r="C907" s="81">
        <f>IF(Sheet3!A878="","",Sheet3!A878)</f>
        <v>43759</v>
      </c>
      <c r="D907" s="82">
        <f>IF(C907="","",Sheet3!E878)</f>
        <v>36.909999999999997</v>
      </c>
      <c r="E907" s="56">
        <f>_xlfn.XLOOKUP(WEEKNUM(C907)&amp;YEAR(C907),Sheet4!C:C,Sheet4!B:B,0)</f>
        <v>0</v>
      </c>
      <c r="F907" s="46">
        <f>IF(int=Weekly,-$D$5,IF(int=Bi_Weekly,-$D$5,IF(int=Monthly,-$D$5,IF(int=Quarterly,0,IF(int=Yearly,0,IF(int=None,0,0))))))</f>
        <v>-100</v>
      </c>
      <c r="G907" s="46"/>
      <c r="H907" s="46">
        <f t="shared" si="361"/>
        <v>-21950</v>
      </c>
      <c r="I907" s="47"/>
      <c r="J907" s="38">
        <f t="shared" si="348"/>
        <v>2.7092928745597402</v>
      </c>
      <c r="K907" s="48"/>
      <c r="L907" s="48">
        <f t="shared" si="353"/>
        <v>715.75123414113807</v>
      </c>
      <c r="M907" s="48"/>
      <c r="N907" s="38">
        <f t="shared" si="354"/>
        <v>0</v>
      </c>
      <c r="O907" s="36">
        <f t="shared" si="355"/>
        <v>0</v>
      </c>
      <c r="P907" s="84">
        <f t="shared" si="356"/>
        <v>-33655.028737099034</v>
      </c>
      <c r="Q907" s="38">
        <f t="shared" si="357"/>
        <v>0</v>
      </c>
      <c r="R907" s="48">
        <f t="shared" si="358"/>
        <v>353.69809100710233</v>
      </c>
      <c r="S907" s="38">
        <f t="shared" si="349"/>
        <v>1069.4493251482404</v>
      </c>
      <c r="T907" s="50">
        <f t="shared" si="362"/>
        <v>21950</v>
      </c>
      <c r="U907" s="40">
        <f t="shared" si="363"/>
        <v>26418.378052149405</v>
      </c>
      <c r="V907" s="41">
        <f t="shared" si="364"/>
        <v>0.20357075408425529</v>
      </c>
      <c r="W907" s="39">
        <f t="shared" si="365"/>
        <v>4468.3780521494045</v>
      </c>
      <c r="X907" s="50">
        <f t="shared" si="359"/>
        <v>11705.497487115303</v>
      </c>
      <c r="Y907" s="41">
        <f t="shared" si="366"/>
        <v>0.736850821834383</v>
      </c>
      <c r="Z907" s="52"/>
      <c r="AA907" s="50">
        <f t="shared" si="372"/>
        <v>33655.49748711531</v>
      </c>
      <c r="AB907" s="39">
        <f t="shared" si="373"/>
        <v>39473.374591221553</v>
      </c>
      <c r="AC907" s="39">
        <f t="shared" si="367"/>
        <v>5817.8771041062428</v>
      </c>
      <c r="AD907" s="41">
        <f t="shared" si="368"/>
        <v>0.17286558032112165</v>
      </c>
      <c r="AF907" s="46">
        <f t="shared" si="350"/>
        <v>-100</v>
      </c>
      <c r="AG907" s="46">
        <f t="shared" si="369"/>
        <v>-100</v>
      </c>
      <c r="AH907" s="54">
        <f t="shared" si="351"/>
        <v>6132</v>
      </c>
      <c r="AI907" s="55">
        <f t="shared" si="360"/>
        <v>2.4498886414253896E-2</v>
      </c>
      <c r="AJ907" s="55">
        <f t="shared" si="370"/>
        <v>-2.4498886414253898</v>
      </c>
      <c r="AK907" s="55">
        <f t="shared" si="371"/>
        <v>-2.4498886414253898</v>
      </c>
    </row>
    <row r="908" spans="2:37" s="53" customFormat="1" ht="17.25" customHeight="1" x14ac:dyDescent="0.25">
      <c r="B908" s="91" t="str">
        <f t="shared" si="352"/>
        <v/>
      </c>
      <c r="C908" s="81">
        <f>IF(Sheet3!A879="","",Sheet3!A879)</f>
        <v>43766</v>
      </c>
      <c r="D908" s="82">
        <f>IF(C908="","",Sheet3!E879)</f>
        <v>38.950001</v>
      </c>
      <c r="E908" s="56">
        <f>_xlfn.XLOOKUP(WEEKNUM(C908)&amp;YEAR(C908),Sheet4!C:C,Sheet4!B:B,0)</f>
        <v>0</v>
      </c>
      <c r="F908" s="46">
        <f>IF(int=Weekly,-$D$5,IF(int=Bi_Weekly,0,IF(int=Monthly,0,IF(int=Quarterly,0,IF(int=Yearly,0,IF(int=None,0,0))))))</f>
        <v>0</v>
      </c>
      <c r="G908" s="46"/>
      <c r="H908" s="46">
        <f t="shared" si="361"/>
        <v>-21950</v>
      </c>
      <c r="I908" s="47"/>
      <c r="J908" s="38">
        <f t="shared" si="348"/>
        <v>0</v>
      </c>
      <c r="K908" s="48"/>
      <c r="L908" s="48">
        <f t="shared" si="353"/>
        <v>715.75123414113807</v>
      </c>
      <c r="M908" s="48"/>
      <c r="N908" s="38">
        <f t="shared" si="354"/>
        <v>0</v>
      </c>
      <c r="O908" s="36">
        <f t="shared" si="355"/>
        <v>0</v>
      </c>
      <c r="P908" s="84">
        <f t="shared" si="356"/>
        <v>-33655.028737099034</v>
      </c>
      <c r="Q908" s="38">
        <f t="shared" si="357"/>
        <v>0</v>
      </c>
      <c r="R908" s="48">
        <f t="shared" si="358"/>
        <v>353.69809100710233</v>
      </c>
      <c r="S908" s="38">
        <f t="shared" si="349"/>
        <v>1069.4493251482404</v>
      </c>
      <c r="T908" s="50">
        <f t="shared" si="362"/>
        <v>21950</v>
      </c>
      <c r="U908" s="40">
        <f t="shared" si="363"/>
        <v>27878.51128554856</v>
      </c>
      <c r="V908" s="41">
        <f t="shared" si="364"/>
        <v>0.27009163032111894</v>
      </c>
      <c r="W908" s="39">
        <f t="shared" si="365"/>
        <v>5928.5112855485604</v>
      </c>
      <c r="X908" s="50">
        <f t="shared" si="359"/>
        <v>11705.497487115303</v>
      </c>
      <c r="Y908" s="41">
        <f t="shared" si="366"/>
        <v>0.80337169807124642</v>
      </c>
      <c r="Z908" s="52"/>
      <c r="AA908" s="50">
        <f t="shared" si="372"/>
        <v>33655.49748711531</v>
      </c>
      <c r="AB908" s="39">
        <f t="shared" si="373"/>
        <v>41655.052283973288</v>
      </c>
      <c r="AC908" s="39">
        <f t="shared" si="367"/>
        <v>7999.5547968579776</v>
      </c>
      <c r="AD908" s="41">
        <f t="shared" si="368"/>
        <v>0.2376893938329252</v>
      </c>
      <c r="AF908" s="46">
        <f t="shared" si="350"/>
        <v>0</v>
      </c>
      <c r="AG908" s="46">
        <f t="shared" si="369"/>
        <v>0</v>
      </c>
      <c r="AH908" s="54">
        <f t="shared" si="351"/>
        <v>6139</v>
      </c>
      <c r="AI908" s="55">
        <f t="shared" si="360"/>
        <v>2.3385300668151449E-2</v>
      </c>
      <c r="AJ908" s="55">
        <f t="shared" si="370"/>
        <v>0</v>
      </c>
      <c r="AK908" s="55">
        <f t="shared" si="371"/>
        <v>0</v>
      </c>
    </row>
    <row r="909" spans="2:37" s="53" customFormat="1" ht="17.25" customHeight="1" x14ac:dyDescent="0.25">
      <c r="B909" s="91" t="str">
        <f t="shared" si="352"/>
        <v/>
      </c>
      <c r="C909" s="81">
        <f>IF(Sheet3!A880="","",Sheet3!A880)</f>
        <v>43773</v>
      </c>
      <c r="D909" s="82">
        <f>IF(C909="","",Sheet3!E880)</f>
        <v>39.380001</v>
      </c>
      <c r="E909" s="56">
        <f>_xlfn.XLOOKUP(WEEKNUM(C909)&amp;YEAR(C909),Sheet4!C:C,Sheet4!B:B,0)</f>
        <v>0</v>
      </c>
      <c r="F909" s="46">
        <f>IF(int=Weekly,-$D$5,IF(int=Bi_Weekly,-$D$5,IF(int=Monthly,0,IF(int=Quarterly,0,IF(int=Yearly,0,IF(int=None,0,0))))))</f>
        <v>0</v>
      </c>
      <c r="G909" s="46"/>
      <c r="H909" s="46">
        <f t="shared" si="361"/>
        <v>-21950</v>
      </c>
      <c r="I909" s="47"/>
      <c r="J909" s="38">
        <f t="shared" si="348"/>
        <v>0</v>
      </c>
      <c r="K909" s="48"/>
      <c r="L909" s="48">
        <f t="shared" si="353"/>
        <v>715.75123414113807</v>
      </c>
      <c r="M909" s="48"/>
      <c r="N909" s="38">
        <f t="shared" si="354"/>
        <v>0</v>
      </c>
      <c r="O909" s="36">
        <f t="shared" si="355"/>
        <v>0</v>
      </c>
      <c r="P909" s="84">
        <f t="shared" si="356"/>
        <v>-33655.028737099034</v>
      </c>
      <c r="Q909" s="38">
        <f t="shared" si="357"/>
        <v>0</v>
      </c>
      <c r="R909" s="48">
        <f t="shared" si="358"/>
        <v>353.69809100710233</v>
      </c>
      <c r="S909" s="38">
        <f t="shared" si="349"/>
        <v>1069.4493251482404</v>
      </c>
      <c r="T909" s="50">
        <f t="shared" si="362"/>
        <v>21950</v>
      </c>
      <c r="U909" s="40">
        <f t="shared" si="363"/>
        <v>28186.284316229252</v>
      </c>
      <c r="V909" s="41">
        <f t="shared" si="364"/>
        <v>0.28411318069381553</v>
      </c>
      <c r="W909" s="39">
        <f t="shared" si="365"/>
        <v>6236.284316229252</v>
      </c>
      <c r="X909" s="50">
        <f t="shared" si="359"/>
        <v>11705.497487115303</v>
      </c>
      <c r="Y909" s="41">
        <f t="shared" si="366"/>
        <v>0.81739324844394301</v>
      </c>
      <c r="Z909" s="52"/>
      <c r="AA909" s="50">
        <f t="shared" si="372"/>
        <v>33655.49748711531</v>
      </c>
      <c r="AB909" s="39">
        <f t="shared" si="373"/>
        <v>42114.915493787033</v>
      </c>
      <c r="AC909" s="39">
        <f t="shared" si="367"/>
        <v>8459.4180066717236</v>
      </c>
      <c r="AD909" s="41">
        <f t="shared" si="368"/>
        <v>0.25135323017912103</v>
      </c>
      <c r="AF909" s="46">
        <f t="shared" si="350"/>
        <v>0</v>
      </c>
      <c r="AG909" s="46">
        <f t="shared" si="369"/>
        <v>0</v>
      </c>
      <c r="AH909" s="54">
        <f t="shared" si="351"/>
        <v>6146</v>
      </c>
      <c r="AI909" s="55">
        <f t="shared" si="360"/>
        <v>2.2271714922048998E-2</v>
      </c>
      <c r="AJ909" s="55">
        <f t="shared" si="370"/>
        <v>0</v>
      </c>
      <c r="AK909" s="55">
        <f t="shared" si="371"/>
        <v>0</v>
      </c>
    </row>
    <row r="910" spans="2:37" s="53" customFormat="1" ht="17.25" customHeight="1" x14ac:dyDescent="0.25">
      <c r="B910" s="91" t="str">
        <f t="shared" si="352"/>
        <v/>
      </c>
      <c r="C910" s="81">
        <f>IF(Sheet3!A881="","",Sheet3!A881)</f>
        <v>43780</v>
      </c>
      <c r="D910" s="82">
        <f>IF(C910="","",Sheet3!E881)</f>
        <v>39.5</v>
      </c>
      <c r="E910" s="56">
        <f>_xlfn.XLOOKUP(WEEKNUM(C910)&amp;YEAR(C910),Sheet4!C:C,Sheet4!B:B,0)</f>
        <v>0</v>
      </c>
      <c r="F910" s="46">
        <f>IF(int=Weekly,-$D$5,IF(int=Bi_Weekly,0,IF(int=Monthly,0,IF(int=Quarterly,0,IF(int=Yearly,0,IF(int=None,0,0))))))</f>
        <v>0</v>
      </c>
      <c r="G910" s="46"/>
      <c r="H910" s="46">
        <f t="shared" si="361"/>
        <v>-21950</v>
      </c>
      <c r="I910" s="47"/>
      <c r="J910" s="38">
        <f t="shared" si="348"/>
        <v>0</v>
      </c>
      <c r="K910" s="48"/>
      <c r="L910" s="48">
        <f t="shared" si="353"/>
        <v>715.75123414113807</v>
      </c>
      <c r="M910" s="48"/>
      <c r="N910" s="38">
        <f t="shared" si="354"/>
        <v>0</v>
      </c>
      <c r="O910" s="36">
        <f t="shared" si="355"/>
        <v>0</v>
      </c>
      <c r="P910" s="84">
        <f t="shared" si="356"/>
        <v>-33655.028737099034</v>
      </c>
      <c r="Q910" s="38">
        <f t="shared" si="357"/>
        <v>0</v>
      </c>
      <c r="R910" s="48">
        <f t="shared" si="358"/>
        <v>353.69809100710233</v>
      </c>
      <c r="S910" s="38">
        <f t="shared" si="349"/>
        <v>1069.4493251482404</v>
      </c>
      <c r="T910" s="50">
        <f t="shared" si="362"/>
        <v>21950</v>
      </c>
      <c r="U910" s="40">
        <f t="shared" si="363"/>
        <v>28272.173748574955</v>
      </c>
      <c r="V910" s="41">
        <f t="shared" si="364"/>
        <v>0.2880261388872416</v>
      </c>
      <c r="W910" s="39">
        <f t="shared" si="365"/>
        <v>6322.1737485749545</v>
      </c>
      <c r="X910" s="50">
        <f t="shared" si="359"/>
        <v>11705.497487115303</v>
      </c>
      <c r="Y910" s="41">
        <f t="shared" si="366"/>
        <v>0.82130620663736931</v>
      </c>
      <c r="Z910" s="52"/>
      <c r="AA910" s="50">
        <f t="shared" si="372"/>
        <v>33655.49748711531</v>
      </c>
      <c r="AB910" s="39">
        <f t="shared" si="373"/>
        <v>42243.248343355495</v>
      </c>
      <c r="AC910" s="39">
        <f t="shared" si="367"/>
        <v>8587.7508562401854</v>
      </c>
      <c r="AD910" s="41">
        <f t="shared" si="368"/>
        <v>0.25516636203425391</v>
      </c>
      <c r="AF910" s="46">
        <f t="shared" si="350"/>
        <v>0</v>
      </c>
      <c r="AG910" s="46">
        <f t="shared" si="369"/>
        <v>0</v>
      </c>
      <c r="AH910" s="54">
        <f t="shared" si="351"/>
        <v>6153</v>
      </c>
      <c r="AI910" s="55">
        <f t="shared" si="360"/>
        <v>2.1158129175946547E-2</v>
      </c>
      <c r="AJ910" s="55">
        <f t="shared" si="370"/>
        <v>0</v>
      </c>
      <c r="AK910" s="55">
        <f t="shared" si="371"/>
        <v>0</v>
      </c>
    </row>
    <row r="911" spans="2:37" s="53" customFormat="1" ht="17.25" customHeight="1" x14ac:dyDescent="0.25">
      <c r="B911" s="91" t="str">
        <f t="shared" si="352"/>
        <v/>
      </c>
      <c r="C911" s="81">
        <f>IF(Sheet3!A882="","",Sheet3!A882)</f>
        <v>43787</v>
      </c>
      <c r="D911" s="82">
        <f>IF(C911="","",Sheet3!E882)</f>
        <v>37.75</v>
      </c>
      <c r="E911" s="56">
        <f>_xlfn.XLOOKUP(WEEKNUM(C911)&amp;YEAR(C911),Sheet4!C:C,Sheet4!B:B,0)</f>
        <v>0</v>
      </c>
      <c r="F911" s="46">
        <f>IF(int=Weekly,-$D$5,IF(int=Bi_Weekly,-$D$5,IF(int=Monthly,-$D$5,IF(int=Quarterly,0,IF(int=Yearly,0,IF(int=None,0,0))))))</f>
        <v>-100</v>
      </c>
      <c r="G911" s="46"/>
      <c r="H911" s="46">
        <f t="shared" si="361"/>
        <v>-22050</v>
      </c>
      <c r="I911" s="47"/>
      <c r="J911" s="38">
        <f t="shared" si="348"/>
        <v>2.6490066225165565</v>
      </c>
      <c r="K911" s="48"/>
      <c r="L911" s="48">
        <f t="shared" si="353"/>
        <v>718.40024076365466</v>
      </c>
      <c r="M911" s="48"/>
      <c r="N911" s="38">
        <f t="shared" si="354"/>
        <v>0</v>
      </c>
      <c r="O911" s="36">
        <f t="shared" si="355"/>
        <v>0</v>
      </c>
      <c r="P911" s="84">
        <f t="shared" si="356"/>
        <v>-33755.028737099034</v>
      </c>
      <c r="Q911" s="38">
        <f t="shared" si="357"/>
        <v>0</v>
      </c>
      <c r="R911" s="48">
        <f t="shared" si="358"/>
        <v>353.69809100710233</v>
      </c>
      <c r="S911" s="38">
        <f t="shared" si="349"/>
        <v>1072.0983317707569</v>
      </c>
      <c r="T911" s="50">
        <f t="shared" si="362"/>
        <v>22050</v>
      </c>
      <c r="U911" s="40">
        <f t="shared" si="363"/>
        <v>27119.609088827965</v>
      </c>
      <c r="V911" s="41">
        <f t="shared" si="364"/>
        <v>0.22991424439129093</v>
      </c>
      <c r="W911" s="39">
        <f t="shared" si="365"/>
        <v>5069.609088827965</v>
      </c>
      <c r="X911" s="50">
        <f t="shared" si="359"/>
        <v>11705.497487115303</v>
      </c>
      <c r="Y911" s="41">
        <f t="shared" si="366"/>
        <v>0.76077580843280135</v>
      </c>
      <c r="Z911" s="52"/>
      <c r="AA911" s="50">
        <f t="shared" si="372"/>
        <v>33755.49748711531</v>
      </c>
      <c r="AB911" s="39">
        <f t="shared" si="373"/>
        <v>40471.712024346081</v>
      </c>
      <c r="AC911" s="39">
        <f t="shared" si="367"/>
        <v>6716.2145372307714</v>
      </c>
      <c r="AD911" s="41">
        <f t="shared" si="368"/>
        <v>0.19896653988863267</v>
      </c>
      <c r="AF911" s="46">
        <f t="shared" si="350"/>
        <v>-100</v>
      </c>
      <c r="AG911" s="46">
        <f t="shared" si="369"/>
        <v>-100</v>
      </c>
      <c r="AH911" s="54">
        <f t="shared" si="351"/>
        <v>6160</v>
      </c>
      <c r="AI911" s="55">
        <f t="shared" si="360"/>
        <v>2.0044543429844099E-2</v>
      </c>
      <c r="AJ911" s="55">
        <f t="shared" si="370"/>
        <v>-2.0044543429844097</v>
      </c>
      <c r="AK911" s="55">
        <f t="shared" si="371"/>
        <v>-2.0044543429844097</v>
      </c>
    </row>
    <row r="912" spans="2:37" s="53" customFormat="1" ht="17.25" customHeight="1" x14ac:dyDescent="0.25">
      <c r="B912" s="91" t="str">
        <f t="shared" si="352"/>
        <v/>
      </c>
      <c r="C912" s="81">
        <f>IF(Sheet3!A883="","",Sheet3!A883)</f>
        <v>43794</v>
      </c>
      <c r="D912" s="82">
        <f>IF(C912="","",Sheet3!E883)</f>
        <v>37.380001</v>
      </c>
      <c r="E912" s="56">
        <f>_xlfn.XLOOKUP(WEEKNUM(C912)&amp;YEAR(C912),Sheet4!C:C,Sheet4!B:B,0)</f>
        <v>0</v>
      </c>
      <c r="F912" s="46">
        <f>IF(int=Weekly,-$D$5,IF(int=Bi_Weekly,0,IF(int=Monthly,0,IF(int=Quarterly,0,IF(int=Yearly,0,IF(int=None,0,0))))))</f>
        <v>0</v>
      </c>
      <c r="G912" s="46"/>
      <c r="H912" s="46">
        <f t="shared" si="361"/>
        <v>-22050</v>
      </c>
      <c r="I912" s="47"/>
      <c r="J912" s="38">
        <f t="shared" si="348"/>
        <v>0</v>
      </c>
      <c r="K912" s="48"/>
      <c r="L912" s="48">
        <f t="shared" si="353"/>
        <v>718.40024076365466</v>
      </c>
      <c r="M912" s="48"/>
      <c r="N912" s="38">
        <f t="shared" si="354"/>
        <v>0</v>
      </c>
      <c r="O912" s="36">
        <f t="shared" si="355"/>
        <v>0</v>
      </c>
      <c r="P912" s="84">
        <f t="shared" si="356"/>
        <v>-33755.028737099034</v>
      </c>
      <c r="Q912" s="38">
        <f t="shared" si="357"/>
        <v>0</v>
      </c>
      <c r="R912" s="48">
        <f t="shared" si="358"/>
        <v>353.69809100710233</v>
      </c>
      <c r="S912" s="38">
        <f t="shared" si="349"/>
        <v>1072.0983317707569</v>
      </c>
      <c r="T912" s="50">
        <f t="shared" si="362"/>
        <v>22050</v>
      </c>
      <c r="U912" s="40">
        <f t="shared" si="363"/>
        <v>26853.801718145653</v>
      </c>
      <c r="V912" s="41">
        <f t="shared" si="364"/>
        <v>0.21785948835127678</v>
      </c>
      <c r="W912" s="39">
        <f t="shared" si="365"/>
        <v>4803.8017181456526</v>
      </c>
      <c r="X912" s="50">
        <f t="shared" si="359"/>
        <v>11705.497487115303</v>
      </c>
      <c r="Y912" s="41">
        <f t="shared" si="366"/>
        <v>0.74872105239278719</v>
      </c>
      <c r="Z912" s="52"/>
      <c r="AA912" s="50">
        <f t="shared" si="372"/>
        <v>33755.49748711531</v>
      </c>
      <c r="AB912" s="39">
        <f t="shared" si="373"/>
        <v>40075.036713689231</v>
      </c>
      <c r="AC912" s="39">
        <f t="shared" si="367"/>
        <v>6319.539226573921</v>
      </c>
      <c r="AD912" s="41">
        <f t="shared" si="368"/>
        <v>0.18721511152327497</v>
      </c>
      <c r="AF912" s="46">
        <f t="shared" si="350"/>
        <v>0</v>
      </c>
      <c r="AG912" s="46">
        <f t="shared" si="369"/>
        <v>0</v>
      </c>
      <c r="AH912" s="54">
        <f t="shared" si="351"/>
        <v>6167</v>
      </c>
      <c r="AI912" s="55">
        <f t="shared" si="360"/>
        <v>1.8930957683741648E-2</v>
      </c>
      <c r="AJ912" s="55">
        <f t="shared" si="370"/>
        <v>0</v>
      </c>
      <c r="AK912" s="55">
        <f t="shared" si="371"/>
        <v>0</v>
      </c>
    </row>
    <row r="913" spans="2:37" s="53" customFormat="1" ht="17.25" customHeight="1" x14ac:dyDescent="0.25">
      <c r="B913" s="91" t="str">
        <f t="shared" si="352"/>
        <v/>
      </c>
      <c r="C913" s="81">
        <f>IF(Sheet3!A884="","",Sheet3!A884)</f>
        <v>43801</v>
      </c>
      <c r="D913" s="82">
        <f>IF(C913="","",Sheet3!E884)</f>
        <v>38.200001</v>
      </c>
      <c r="E913" s="56">
        <f>_xlfn.XLOOKUP(WEEKNUM(C913)&amp;YEAR(C913),Sheet4!C:C,Sheet4!B:B,0)</f>
        <v>0</v>
      </c>
      <c r="F913" s="46">
        <f>IF(int=Weekly,-$D$5,IF(int=Bi_Weekly,-$D$5,IF(int=Monthly,0,IF(int=Quarterly,0,IF(int=Yearly,0,IF(int=None,0,0))))))</f>
        <v>0</v>
      </c>
      <c r="G913" s="46"/>
      <c r="H913" s="46">
        <f t="shared" si="361"/>
        <v>-22050</v>
      </c>
      <c r="I913" s="47"/>
      <c r="J913" s="38">
        <f t="shared" si="348"/>
        <v>0</v>
      </c>
      <c r="K913" s="48"/>
      <c r="L913" s="48">
        <f t="shared" si="353"/>
        <v>718.40024076365466</v>
      </c>
      <c r="M913" s="48"/>
      <c r="N913" s="38">
        <f t="shared" si="354"/>
        <v>0</v>
      </c>
      <c r="O913" s="36">
        <f t="shared" si="355"/>
        <v>0</v>
      </c>
      <c r="P913" s="84">
        <f t="shared" si="356"/>
        <v>-33755.028737099034</v>
      </c>
      <c r="Q913" s="38">
        <f t="shared" si="357"/>
        <v>0</v>
      </c>
      <c r="R913" s="48">
        <f t="shared" si="358"/>
        <v>353.69809100710233</v>
      </c>
      <c r="S913" s="38">
        <f t="shared" si="349"/>
        <v>1072.0983317707569</v>
      </c>
      <c r="T913" s="50">
        <f t="shared" si="362"/>
        <v>22050</v>
      </c>
      <c r="U913" s="40">
        <f t="shared" si="363"/>
        <v>27442.88991557185</v>
      </c>
      <c r="V913" s="41">
        <f t="shared" si="364"/>
        <v>0.24457550637514069</v>
      </c>
      <c r="W913" s="39">
        <f t="shared" si="365"/>
        <v>5392.88991557185</v>
      </c>
      <c r="X913" s="50">
        <f t="shared" si="359"/>
        <v>11705.497487115303</v>
      </c>
      <c r="Y913" s="41">
        <f t="shared" si="366"/>
        <v>0.77543707041665066</v>
      </c>
      <c r="Z913" s="52"/>
      <c r="AA913" s="50">
        <f t="shared" si="372"/>
        <v>33755.49748711531</v>
      </c>
      <c r="AB913" s="39">
        <f t="shared" si="373"/>
        <v>40954.157345741252</v>
      </c>
      <c r="AC913" s="39">
        <f t="shared" si="367"/>
        <v>7198.6598586259424</v>
      </c>
      <c r="AD913" s="41">
        <f t="shared" si="368"/>
        <v>0.21325888801886905</v>
      </c>
      <c r="AF913" s="46">
        <f t="shared" si="350"/>
        <v>0</v>
      </c>
      <c r="AG913" s="46">
        <f t="shared" si="369"/>
        <v>0</v>
      </c>
      <c r="AH913" s="54">
        <f t="shared" si="351"/>
        <v>6174</v>
      </c>
      <c r="AI913" s="55">
        <f t="shared" si="360"/>
        <v>1.7817371937639197E-2</v>
      </c>
      <c r="AJ913" s="55">
        <f t="shared" si="370"/>
        <v>0</v>
      </c>
      <c r="AK913" s="55">
        <f t="shared" si="371"/>
        <v>0</v>
      </c>
    </row>
    <row r="914" spans="2:37" s="53" customFormat="1" ht="17.25" customHeight="1" x14ac:dyDescent="0.25">
      <c r="B914" s="91" t="str">
        <f t="shared" si="352"/>
        <v/>
      </c>
      <c r="C914" s="81">
        <f>IF(Sheet3!A885="","",Sheet3!A885)</f>
        <v>43808</v>
      </c>
      <c r="D914" s="82">
        <f>IF(C914="","",Sheet3!E885)</f>
        <v>38.259998000000003</v>
      </c>
      <c r="E914" s="56">
        <f>_xlfn.XLOOKUP(WEEKNUM(C914)&amp;YEAR(C914),Sheet4!C:C,Sheet4!B:B,0)</f>
        <v>0</v>
      </c>
      <c r="F914" s="46">
        <f>IF(int=Weekly,-$D$5,IF(int=Bi_Weekly,0,IF(int=Monthly,0,IF(int=Quarterly,0,IF(int=Yearly,0,IF(int=None,0,0))))))</f>
        <v>0</v>
      </c>
      <c r="G914" s="46"/>
      <c r="H914" s="46">
        <f t="shared" si="361"/>
        <v>-22050</v>
      </c>
      <c r="I914" s="47"/>
      <c r="J914" s="38">
        <f t="shared" si="348"/>
        <v>0</v>
      </c>
      <c r="K914" s="48"/>
      <c r="L914" s="48">
        <f t="shared" si="353"/>
        <v>718.40024076365466</v>
      </c>
      <c r="M914" s="48"/>
      <c r="N914" s="38">
        <f t="shared" si="354"/>
        <v>0</v>
      </c>
      <c r="O914" s="36">
        <f t="shared" si="355"/>
        <v>0</v>
      </c>
      <c r="P914" s="84">
        <f t="shared" si="356"/>
        <v>-33755.028737099034</v>
      </c>
      <c r="Q914" s="38">
        <f t="shared" si="357"/>
        <v>0</v>
      </c>
      <c r="R914" s="48">
        <f t="shared" si="358"/>
        <v>353.69809100710233</v>
      </c>
      <c r="S914" s="38">
        <f t="shared" si="349"/>
        <v>1072.0983317707569</v>
      </c>
      <c r="T914" s="50">
        <f t="shared" si="362"/>
        <v>22050</v>
      </c>
      <c r="U914" s="40">
        <f t="shared" si="363"/>
        <v>27485.991774816946</v>
      </c>
      <c r="V914" s="41">
        <f t="shared" si="364"/>
        <v>0.24653023922072315</v>
      </c>
      <c r="W914" s="39">
        <f t="shared" si="365"/>
        <v>5435.9917748169464</v>
      </c>
      <c r="X914" s="50">
        <f t="shared" si="359"/>
        <v>11705.497487115303</v>
      </c>
      <c r="Y914" s="41">
        <f t="shared" si="366"/>
        <v>0.77739180326223356</v>
      </c>
      <c r="Z914" s="52"/>
      <c r="AA914" s="50">
        <f t="shared" si="372"/>
        <v>33755.49748711531</v>
      </c>
      <c r="AB914" s="39">
        <f t="shared" si="373"/>
        <v>41018.480029352504</v>
      </c>
      <c r="AC914" s="39">
        <f t="shared" si="367"/>
        <v>7262.9825422371941</v>
      </c>
      <c r="AD914" s="41">
        <f t="shared" si="368"/>
        <v>0.21516443491936443</v>
      </c>
      <c r="AF914" s="46">
        <f t="shared" si="350"/>
        <v>0</v>
      </c>
      <c r="AG914" s="46">
        <f t="shared" si="369"/>
        <v>0</v>
      </c>
      <c r="AH914" s="54">
        <f t="shared" si="351"/>
        <v>6181</v>
      </c>
      <c r="AI914" s="55">
        <f t="shared" si="360"/>
        <v>1.670378619153675E-2</v>
      </c>
      <c r="AJ914" s="55">
        <f t="shared" si="370"/>
        <v>0</v>
      </c>
      <c r="AK914" s="55">
        <f t="shared" si="371"/>
        <v>0</v>
      </c>
    </row>
    <row r="915" spans="2:37" s="53" customFormat="1" ht="17.25" customHeight="1" x14ac:dyDescent="0.25">
      <c r="B915" s="91" t="str">
        <f t="shared" si="352"/>
        <v/>
      </c>
      <c r="C915" s="81">
        <f>IF(Sheet3!A886="","",Sheet3!A886)</f>
        <v>43815</v>
      </c>
      <c r="D915" s="82">
        <f>IF(C915="","",Sheet3!E886)</f>
        <v>39.150002000000001</v>
      </c>
      <c r="E915" s="56">
        <f>_xlfn.XLOOKUP(WEEKNUM(C915)&amp;YEAR(C915),Sheet4!C:C,Sheet4!B:B,0)</f>
        <v>0</v>
      </c>
      <c r="F915" s="46">
        <f>IF(int=Weekly,-$D$5,IF(int=Bi_Weekly,-$D$5,IF(int=Monthly,-$D$5,IF(int=Quarterly,-$D$5,IF(int=Yearly,-$D$5,IF(int=None,0,0))))))</f>
        <v>-100</v>
      </c>
      <c r="G915" s="46"/>
      <c r="H915" s="46">
        <f t="shared" si="361"/>
        <v>-22150</v>
      </c>
      <c r="I915" s="47"/>
      <c r="J915" s="38">
        <f t="shared" si="348"/>
        <v>2.5542782858606241</v>
      </c>
      <c r="K915" s="48"/>
      <c r="L915" s="48">
        <f t="shared" si="353"/>
        <v>720.95451904951528</v>
      </c>
      <c r="M915" s="48"/>
      <c r="N915" s="38">
        <f t="shared" si="354"/>
        <v>0</v>
      </c>
      <c r="O915" s="36">
        <f t="shared" si="355"/>
        <v>0</v>
      </c>
      <c r="P915" s="84">
        <f t="shared" si="356"/>
        <v>-33855.028737099034</v>
      </c>
      <c r="Q915" s="38">
        <f t="shared" si="357"/>
        <v>0</v>
      </c>
      <c r="R915" s="48">
        <f t="shared" si="358"/>
        <v>353.69809100710233</v>
      </c>
      <c r="S915" s="38">
        <f t="shared" si="349"/>
        <v>1074.6526100566175</v>
      </c>
      <c r="T915" s="50">
        <f t="shared" si="362"/>
        <v>22150</v>
      </c>
      <c r="U915" s="40">
        <f t="shared" si="363"/>
        <v>28225.37086269756</v>
      </c>
      <c r="V915" s="41">
        <f t="shared" si="364"/>
        <v>0.27428310892539787</v>
      </c>
      <c r="W915" s="39">
        <f t="shared" si="365"/>
        <v>6075.3708626975604</v>
      </c>
      <c r="X915" s="50">
        <f t="shared" si="359"/>
        <v>11705.497487115303</v>
      </c>
      <c r="Y915" s="41">
        <f t="shared" si="366"/>
        <v>0.80274800676356062</v>
      </c>
      <c r="Z915" s="52"/>
      <c r="AA915" s="50">
        <f t="shared" si="372"/>
        <v>33855.49748711531</v>
      </c>
      <c r="AB915" s="39">
        <f t="shared" si="373"/>
        <v>42072.651833021795</v>
      </c>
      <c r="AC915" s="39">
        <f t="shared" si="367"/>
        <v>8217.1543459064851</v>
      </c>
      <c r="AD915" s="41">
        <f t="shared" si="368"/>
        <v>0.24271255647723855</v>
      </c>
      <c r="AF915" s="46">
        <f t="shared" si="350"/>
        <v>-100</v>
      </c>
      <c r="AG915" s="46">
        <f t="shared" si="369"/>
        <v>-100</v>
      </c>
      <c r="AH915" s="54">
        <f t="shared" si="351"/>
        <v>6188</v>
      </c>
      <c r="AI915" s="55">
        <f t="shared" si="360"/>
        <v>1.5590200445434299E-2</v>
      </c>
      <c r="AJ915" s="55">
        <f t="shared" si="370"/>
        <v>-1.5590200445434299</v>
      </c>
      <c r="AK915" s="55">
        <f t="shared" si="371"/>
        <v>-1.5590200445434299</v>
      </c>
    </row>
    <row r="916" spans="2:37" s="53" customFormat="1" ht="17.25" customHeight="1" x14ac:dyDescent="0.25">
      <c r="B916" s="91" t="str">
        <f t="shared" si="352"/>
        <v/>
      </c>
      <c r="C916" s="81">
        <f>IF(Sheet3!A887="","",Sheet3!A887)</f>
        <v>43822</v>
      </c>
      <c r="D916" s="82">
        <f>IF(C916="","",Sheet3!E887)</f>
        <v>39.240001999999997</v>
      </c>
      <c r="E916" s="56">
        <f>_xlfn.XLOOKUP(WEEKNUM(C916)&amp;YEAR(C916),Sheet4!C:C,Sheet4!B:B,0)</f>
        <v>0</v>
      </c>
      <c r="F916" s="46">
        <f>IF(int=Weekly,-$D$5,IF(int=Bi_Weekly,0,IF(int=Monthly,0,IF(int=Quarterly,0,IF(int=Yearly,0,IF(int=None,0,0))))))</f>
        <v>0</v>
      </c>
      <c r="G916" s="46"/>
      <c r="H916" s="46">
        <f t="shared" si="361"/>
        <v>-22150</v>
      </c>
      <c r="I916" s="47"/>
      <c r="J916" s="38">
        <f t="shared" si="348"/>
        <v>0</v>
      </c>
      <c r="K916" s="48"/>
      <c r="L916" s="48">
        <f t="shared" si="353"/>
        <v>720.95451904951528</v>
      </c>
      <c r="M916" s="48"/>
      <c r="N916" s="38">
        <f t="shared" si="354"/>
        <v>0</v>
      </c>
      <c r="O916" s="36">
        <f t="shared" si="355"/>
        <v>0</v>
      </c>
      <c r="P916" s="84">
        <f t="shared" si="356"/>
        <v>-33855.028737099034</v>
      </c>
      <c r="Q916" s="38">
        <f t="shared" si="357"/>
        <v>0</v>
      </c>
      <c r="R916" s="48">
        <f t="shared" si="358"/>
        <v>353.69809100710233</v>
      </c>
      <c r="S916" s="38">
        <f t="shared" si="349"/>
        <v>1074.6526100566175</v>
      </c>
      <c r="T916" s="50">
        <f t="shared" si="362"/>
        <v>22150</v>
      </c>
      <c r="U916" s="40">
        <f t="shared" si="363"/>
        <v>28290.256769412015</v>
      </c>
      <c r="V916" s="41">
        <f t="shared" si="364"/>
        <v>0.27721249523304814</v>
      </c>
      <c r="W916" s="39">
        <f t="shared" si="365"/>
        <v>6140.2567694120153</v>
      </c>
      <c r="X916" s="50">
        <f t="shared" si="359"/>
        <v>11705.497487115303</v>
      </c>
      <c r="Y916" s="41">
        <f t="shared" si="366"/>
        <v>0.80567739307121067</v>
      </c>
      <c r="Z916" s="52"/>
      <c r="AA916" s="50">
        <f t="shared" si="372"/>
        <v>33855.49748711531</v>
      </c>
      <c r="AB916" s="39">
        <f t="shared" si="373"/>
        <v>42169.37056792689</v>
      </c>
      <c r="AC916" s="39">
        <f t="shared" si="367"/>
        <v>8313.8730808115797</v>
      </c>
      <c r="AD916" s="41">
        <f t="shared" si="368"/>
        <v>0.24556936680595709</v>
      </c>
      <c r="AF916" s="46">
        <f t="shared" si="350"/>
        <v>0</v>
      </c>
      <c r="AG916" s="46">
        <f t="shared" si="369"/>
        <v>0</v>
      </c>
      <c r="AH916" s="54">
        <f t="shared" si="351"/>
        <v>6195</v>
      </c>
      <c r="AI916" s="55">
        <f t="shared" si="360"/>
        <v>1.4476614699331848E-2</v>
      </c>
      <c r="AJ916" s="55">
        <f t="shared" si="370"/>
        <v>0</v>
      </c>
      <c r="AK916" s="55">
        <f t="shared" si="371"/>
        <v>0</v>
      </c>
    </row>
    <row r="917" spans="2:37" s="53" customFormat="1" ht="17.25" customHeight="1" x14ac:dyDescent="0.25">
      <c r="B917" s="91" t="str">
        <f t="shared" si="352"/>
        <v/>
      </c>
      <c r="C917" s="81">
        <f>IF(Sheet3!A888="","",Sheet3!A888)</f>
        <v>43829</v>
      </c>
      <c r="D917" s="82">
        <f>IF(C917="","",Sheet3!E888)</f>
        <v>39.060001</v>
      </c>
      <c r="E917" s="56">
        <f>_xlfn.XLOOKUP(WEEKNUM(C917)&amp;YEAR(C917),Sheet4!C:C,Sheet4!B:B,0)</f>
        <v>0</v>
      </c>
      <c r="F917" s="46">
        <f>IF(int=Weekly,-$D$5,IF(int=Bi_Weekly,-$D$5,IF(int=Monthly,0,IF(int=Quarterly,0,IF(int=Yearly,0,IF(int=None,0,0))))))</f>
        <v>0</v>
      </c>
      <c r="G917" s="46"/>
      <c r="H917" s="46">
        <f t="shared" si="361"/>
        <v>-22150</v>
      </c>
      <c r="I917" s="47"/>
      <c r="J917" s="38">
        <f t="shared" si="348"/>
        <v>0</v>
      </c>
      <c r="K917" s="48"/>
      <c r="L917" s="48">
        <f t="shared" si="353"/>
        <v>720.95451904951528</v>
      </c>
      <c r="M917" s="48"/>
      <c r="N917" s="38">
        <f t="shared" si="354"/>
        <v>0</v>
      </c>
      <c r="O917" s="36">
        <f t="shared" si="355"/>
        <v>0</v>
      </c>
      <c r="P917" s="84">
        <f t="shared" si="356"/>
        <v>-33855.028737099034</v>
      </c>
      <c r="Q917" s="38">
        <f t="shared" si="357"/>
        <v>0</v>
      </c>
      <c r="R917" s="48">
        <f t="shared" si="358"/>
        <v>353.69809100710233</v>
      </c>
      <c r="S917" s="38">
        <f t="shared" si="349"/>
        <v>1074.6526100566175</v>
      </c>
      <c r="T917" s="50">
        <f t="shared" si="362"/>
        <v>22150</v>
      </c>
      <c r="U917" s="40">
        <f t="shared" si="363"/>
        <v>28160.484235028587</v>
      </c>
      <c r="V917" s="41">
        <f t="shared" si="364"/>
        <v>0.27135369006901078</v>
      </c>
      <c r="W917" s="39">
        <f t="shared" si="365"/>
        <v>6010.4842350285871</v>
      </c>
      <c r="X917" s="50">
        <f t="shared" si="359"/>
        <v>11705.497487115303</v>
      </c>
      <c r="Y917" s="41">
        <f t="shared" si="366"/>
        <v>0.79981858790717308</v>
      </c>
      <c r="Z917" s="52"/>
      <c r="AA917" s="50">
        <f t="shared" si="372"/>
        <v>33855.49748711531</v>
      </c>
      <c r="AB917" s="39">
        <f t="shared" si="373"/>
        <v>41975.932023464091</v>
      </c>
      <c r="AC917" s="39">
        <f t="shared" si="367"/>
        <v>8120.434536348781</v>
      </c>
      <c r="AD917" s="41">
        <f t="shared" si="368"/>
        <v>0.23985571440618325</v>
      </c>
      <c r="AF917" s="46">
        <f t="shared" si="350"/>
        <v>0</v>
      </c>
      <c r="AG917" s="46">
        <f t="shared" si="369"/>
        <v>0</v>
      </c>
      <c r="AH917" s="54">
        <f t="shared" si="351"/>
        <v>6202</v>
      </c>
      <c r="AI917" s="55">
        <f t="shared" si="360"/>
        <v>1.3363028953229399E-2</v>
      </c>
      <c r="AJ917" s="55">
        <f t="shared" si="370"/>
        <v>0</v>
      </c>
      <c r="AK917" s="55">
        <f t="shared" si="371"/>
        <v>0</v>
      </c>
    </row>
    <row r="918" spans="2:37" s="53" customFormat="1" ht="17.25" customHeight="1" x14ac:dyDescent="0.25">
      <c r="B918" s="91" t="str">
        <f t="shared" si="352"/>
        <v/>
      </c>
      <c r="C918" s="81">
        <f>IF(Sheet3!A889="","",Sheet3!A889)</f>
        <v>43836</v>
      </c>
      <c r="D918" s="82">
        <f>IF(C918="","",Sheet3!E889)</f>
        <v>38.57</v>
      </c>
      <c r="E918" s="56">
        <f>_xlfn.XLOOKUP(WEEKNUM(C918)&amp;YEAR(C918),Sheet4!C:C,Sheet4!B:B,0)</f>
        <v>0.52</v>
      </c>
      <c r="F918" s="46">
        <f>IF(int=Weekly,-$D$5,IF(int=Bi_Weekly,0,IF(int=Monthly,0,IF(int=Quarterly,0,IF(int=Yearly,0,IF(int=None,0,0))))))</f>
        <v>0</v>
      </c>
      <c r="G918" s="46"/>
      <c r="H918" s="46">
        <f t="shared" si="361"/>
        <v>-22150</v>
      </c>
      <c r="I918" s="47"/>
      <c r="J918" s="38">
        <f t="shared" si="348"/>
        <v>0</v>
      </c>
      <c r="K918" s="48"/>
      <c r="L918" s="48">
        <f t="shared" si="353"/>
        <v>720.95451904951528</v>
      </c>
      <c r="M918" s="48"/>
      <c r="N918" s="38">
        <f t="shared" si="354"/>
        <v>374.89634990574797</v>
      </c>
      <c r="O918" s="36">
        <f t="shared" si="355"/>
        <v>-374.89634990574797</v>
      </c>
      <c r="P918" s="84">
        <f t="shared" si="356"/>
        <v>-34229.925087004784</v>
      </c>
      <c r="Q918" s="38">
        <f t="shared" si="357"/>
        <v>9.7198949936673049</v>
      </c>
      <c r="R918" s="48">
        <f t="shared" si="358"/>
        <v>363.41798600076964</v>
      </c>
      <c r="S918" s="38">
        <f t="shared" si="349"/>
        <v>1084.3725050502849</v>
      </c>
      <c r="T918" s="50">
        <f t="shared" si="362"/>
        <v>22150</v>
      </c>
      <c r="U918" s="40">
        <f t="shared" si="363"/>
        <v>27807.215799739806</v>
      </c>
      <c r="V918" s="41">
        <f t="shared" si="364"/>
        <v>0.25540477651195514</v>
      </c>
      <c r="W918" s="39">
        <f t="shared" si="365"/>
        <v>5657.2157997398062</v>
      </c>
      <c r="X918" s="50">
        <f t="shared" si="359"/>
        <v>12080.393837021051</v>
      </c>
      <c r="Y918" s="41">
        <f t="shared" si="366"/>
        <v>0.8007950174609868</v>
      </c>
      <c r="Z918" s="52"/>
      <c r="AA918" s="50">
        <f t="shared" si="372"/>
        <v>34230.39383702106</v>
      </c>
      <c r="AB918" s="39">
        <f t="shared" si="373"/>
        <v>41824.247519789489</v>
      </c>
      <c r="AC918" s="39">
        <f t="shared" si="367"/>
        <v>7593.8536827684293</v>
      </c>
      <c r="AD918" s="41">
        <f t="shared" si="368"/>
        <v>0.22184534945535672</v>
      </c>
      <c r="AF918" s="46">
        <f t="shared" si="350"/>
        <v>374.89634990574797</v>
      </c>
      <c r="AG918" s="46">
        <f t="shared" si="369"/>
        <v>0</v>
      </c>
      <c r="AH918" s="54">
        <f t="shared" si="351"/>
        <v>6209</v>
      </c>
      <c r="AI918" s="55">
        <f t="shared" si="360"/>
        <v>1.2249443207126948E-2</v>
      </c>
      <c r="AJ918" s="55">
        <f t="shared" si="370"/>
        <v>4.592271546729652</v>
      </c>
      <c r="AK918" s="55">
        <f t="shared" si="371"/>
        <v>0</v>
      </c>
    </row>
    <row r="919" spans="2:37" s="53" customFormat="1" ht="17.25" customHeight="1" x14ac:dyDescent="0.25">
      <c r="B919" s="91" t="str">
        <f t="shared" si="352"/>
        <v/>
      </c>
      <c r="C919" s="81">
        <f>IF(Sheet3!A890="","",Sheet3!A890)</f>
        <v>43843</v>
      </c>
      <c r="D919" s="82">
        <f>IF(C919="","",Sheet3!E890)</f>
        <v>38.380001</v>
      </c>
      <c r="E919" s="56">
        <f>_xlfn.XLOOKUP(WEEKNUM(C919)&amp;YEAR(C919),Sheet4!C:C,Sheet4!B:B,0)</f>
        <v>0</v>
      </c>
      <c r="F919" s="46">
        <f>IF(int=Weekly,-$D$5,IF(int=Bi_Weekly,-$D$5,IF(int=Monthly,-$D$5,IF(int=Quarterly,0,IF(int=Yearly,0,IF(int=None,0,0))))))</f>
        <v>-100</v>
      </c>
      <c r="G919" s="46"/>
      <c r="H919" s="46">
        <f t="shared" si="361"/>
        <v>-22250</v>
      </c>
      <c r="I919" s="47"/>
      <c r="J919" s="38">
        <f t="shared" si="348"/>
        <v>2.6055236423782273</v>
      </c>
      <c r="K919" s="48"/>
      <c r="L919" s="48">
        <f t="shared" si="353"/>
        <v>723.5600426918935</v>
      </c>
      <c r="M919" s="48"/>
      <c r="N919" s="38">
        <f t="shared" si="354"/>
        <v>0</v>
      </c>
      <c r="O919" s="36">
        <f t="shared" si="355"/>
        <v>0</v>
      </c>
      <c r="P919" s="84">
        <f t="shared" si="356"/>
        <v>-34329.925087004784</v>
      </c>
      <c r="Q919" s="38">
        <f t="shared" si="357"/>
        <v>0</v>
      </c>
      <c r="R919" s="48">
        <f t="shared" si="358"/>
        <v>363.41798600076964</v>
      </c>
      <c r="S919" s="38">
        <f t="shared" si="349"/>
        <v>1086.9780286926632</v>
      </c>
      <c r="T919" s="50">
        <f t="shared" si="362"/>
        <v>22250</v>
      </c>
      <c r="U919" s="40">
        <f t="shared" si="363"/>
        <v>27770.235162074914</v>
      </c>
      <c r="V919" s="41">
        <f t="shared" si="364"/>
        <v>0.24810045672246805</v>
      </c>
      <c r="W919" s="39">
        <f t="shared" si="365"/>
        <v>5520.2351620749141</v>
      </c>
      <c r="X919" s="50">
        <f t="shared" si="359"/>
        <v>12080.393837021051</v>
      </c>
      <c r="Y919" s="41">
        <f t="shared" si="366"/>
        <v>0.7910395055773467</v>
      </c>
      <c r="Z919" s="52"/>
      <c r="AA919" s="50">
        <f t="shared" si="372"/>
        <v>34330.39383702106</v>
      </c>
      <c r="AB919" s="39">
        <f t="shared" si="373"/>
        <v>41718.21782820244</v>
      </c>
      <c r="AC919" s="39">
        <f t="shared" si="367"/>
        <v>7387.8239911813798</v>
      </c>
      <c r="AD919" s="41">
        <f t="shared" si="368"/>
        <v>0.21519776400626456</v>
      </c>
      <c r="AF919" s="46">
        <f t="shared" si="350"/>
        <v>-100</v>
      </c>
      <c r="AG919" s="46">
        <f t="shared" si="369"/>
        <v>-100</v>
      </c>
      <c r="AH919" s="54">
        <f t="shared" si="351"/>
        <v>6216</v>
      </c>
      <c r="AI919" s="55">
        <f t="shared" si="360"/>
        <v>1.1135857461024499E-2</v>
      </c>
      <c r="AJ919" s="55">
        <f t="shared" si="370"/>
        <v>-1.1135857461024499</v>
      </c>
      <c r="AK919" s="55">
        <f t="shared" si="371"/>
        <v>-1.1135857461024499</v>
      </c>
    </row>
    <row r="920" spans="2:37" s="53" customFormat="1" ht="17.25" customHeight="1" x14ac:dyDescent="0.25">
      <c r="B920" s="91" t="str">
        <f t="shared" si="352"/>
        <v/>
      </c>
      <c r="C920" s="81">
        <f>IF(Sheet3!A891="","",Sheet3!A891)</f>
        <v>43850</v>
      </c>
      <c r="D920" s="82">
        <f>IF(C920="","",Sheet3!E891)</f>
        <v>38.5</v>
      </c>
      <c r="E920" s="56">
        <f>_xlfn.XLOOKUP(WEEKNUM(C920)&amp;YEAR(C920),Sheet4!C:C,Sheet4!B:B,0)</f>
        <v>0</v>
      </c>
      <c r="F920" s="46">
        <f>IF(int=Weekly,-$D$5,IF(int=Bi_Weekly,0,IF(int=Monthly,0,IF(int=Quarterly,0,IF(int=Yearly,0,IF(int=None,0,0))))))</f>
        <v>0</v>
      </c>
      <c r="G920" s="46"/>
      <c r="H920" s="46">
        <f t="shared" si="361"/>
        <v>-22250</v>
      </c>
      <c r="I920" s="47"/>
      <c r="J920" s="38">
        <f t="shared" si="348"/>
        <v>0</v>
      </c>
      <c r="K920" s="48"/>
      <c r="L920" s="48">
        <f t="shared" si="353"/>
        <v>723.5600426918935</v>
      </c>
      <c r="M920" s="48"/>
      <c r="N920" s="38">
        <f t="shared" si="354"/>
        <v>0</v>
      </c>
      <c r="O920" s="36">
        <f t="shared" si="355"/>
        <v>0</v>
      </c>
      <c r="P920" s="84">
        <f t="shared" si="356"/>
        <v>-34329.925087004784</v>
      </c>
      <c r="Q920" s="38">
        <f t="shared" si="357"/>
        <v>0</v>
      </c>
      <c r="R920" s="48">
        <f t="shared" si="358"/>
        <v>363.41798600076964</v>
      </c>
      <c r="S920" s="38">
        <f t="shared" si="349"/>
        <v>1086.9780286926632</v>
      </c>
      <c r="T920" s="50">
        <f t="shared" si="362"/>
        <v>22250</v>
      </c>
      <c r="U920" s="40">
        <f t="shared" si="363"/>
        <v>27857.061643637899</v>
      </c>
      <c r="V920" s="41">
        <f t="shared" si="364"/>
        <v>0.25200277050057962</v>
      </c>
      <c r="W920" s="39">
        <f t="shared" si="365"/>
        <v>5607.0616436378987</v>
      </c>
      <c r="X920" s="50">
        <f t="shared" si="359"/>
        <v>12080.393837021051</v>
      </c>
      <c r="Y920" s="41">
        <f t="shared" si="366"/>
        <v>0.79494181935545849</v>
      </c>
      <c r="Z920" s="52"/>
      <c r="AA920" s="50">
        <f t="shared" si="372"/>
        <v>34330.39383702106</v>
      </c>
      <c r="AB920" s="39">
        <f t="shared" si="373"/>
        <v>41848.654104667527</v>
      </c>
      <c r="AC920" s="39">
        <f t="shared" si="367"/>
        <v>7518.2602676464667</v>
      </c>
      <c r="AD920" s="41">
        <f t="shared" si="368"/>
        <v>0.2189972041491397</v>
      </c>
      <c r="AF920" s="46">
        <f t="shared" si="350"/>
        <v>0</v>
      </c>
      <c r="AG920" s="46">
        <f t="shared" si="369"/>
        <v>0</v>
      </c>
      <c r="AH920" s="54">
        <f t="shared" si="351"/>
        <v>6223</v>
      </c>
      <c r="AI920" s="55">
        <f t="shared" si="360"/>
        <v>1.002227171492205E-2</v>
      </c>
      <c r="AJ920" s="55">
        <f t="shared" si="370"/>
        <v>0</v>
      </c>
      <c r="AK920" s="55">
        <f t="shared" si="371"/>
        <v>0</v>
      </c>
    </row>
    <row r="921" spans="2:37" s="53" customFormat="1" ht="17.25" customHeight="1" x14ac:dyDescent="0.25">
      <c r="B921" s="91" t="str">
        <f t="shared" si="352"/>
        <v/>
      </c>
      <c r="C921" s="81">
        <f>IF(Sheet3!A892="","",Sheet3!A892)</f>
        <v>43857</v>
      </c>
      <c r="D921" s="82">
        <f>IF(C921="","",Sheet3!E892)</f>
        <v>37.619999</v>
      </c>
      <c r="E921" s="56">
        <f>_xlfn.XLOOKUP(WEEKNUM(C921)&amp;YEAR(C921),Sheet4!C:C,Sheet4!B:B,0)</f>
        <v>0</v>
      </c>
      <c r="F921" s="46">
        <f>IF(int=Weekly,-$D$5,IF(int=Bi_Weekly,-$D$5,IF(int=Monthly,0,IF(int=Quarterly,0,IF(int=Yearly,0,IF(int=None,0,0))))))</f>
        <v>0</v>
      </c>
      <c r="G921" s="46"/>
      <c r="H921" s="46">
        <f t="shared" si="361"/>
        <v>-22250</v>
      </c>
      <c r="I921" s="47"/>
      <c r="J921" s="38">
        <f t="shared" si="348"/>
        <v>0</v>
      </c>
      <c r="K921" s="48"/>
      <c r="L921" s="48">
        <f t="shared" si="353"/>
        <v>723.5600426918935</v>
      </c>
      <c r="M921" s="48"/>
      <c r="N921" s="38">
        <f t="shared" si="354"/>
        <v>0</v>
      </c>
      <c r="O921" s="36">
        <f t="shared" si="355"/>
        <v>0</v>
      </c>
      <c r="P921" s="84">
        <f t="shared" si="356"/>
        <v>-34329.925087004784</v>
      </c>
      <c r="Q921" s="38">
        <f t="shared" si="357"/>
        <v>0</v>
      </c>
      <c r="R921" s="48">
        <f t="shared" si="358"/>
        <v>363.41798600076964</v>
      </c>
      <c r="S921" s="38">
        <f t="shared" si="349"/>
        <v>1086.9780286926632</v>
      </c>
      <c r="T921" s="50">
        <f t="shared" si="362"/>
        <v>22250</v>
      </c>
      <c r="U921" s="40">
        <f t="shared" si="363"/>
        <v>27220.32808250899</v>
      </c>
      <c r="V921" s="41">
        <f t="shared" si="364"/>
        <v>0.22338553179815679</v>
      </c>
      <c r="W921" s="39">
        <f t="shared" si="365"/>
        <v>4970.3280825089896</v>
      </c>
      <c r="X921" s="50">
        <f t="shared" si="359"/>
        <v>12080.393837021051</v>
      </c>
      <c r="Y921" s="41">
        <f t="shared" si="366"/>
        <v>0.76632458065303566</v>
      </c>
      <c r="Z921" s="52"/>
      <c r="AA921" s="50">
        <f t="shared" si="372"/>
        <v>34330.39383702106</v>
      </c>
      <c r="AB921" s="39">
        <f t="shared" si="373"/>
        <v>40892.112352439959</v>
      </c>
      <c r="AC921" s="39">
        <f t="shared" si="367"/>
        <v>6561.7185154188992</v>
      </c>
      <c r="AD921" s="41">
        <f t="shared" si="368"/>
        <v>0.1911343792491802</v>
      </c>
      <c r="AF921" s="46">
        <f t="shared" si="350"/>
        <v>0</v>
      </c>
      <c r="AG921" s="46">
        <f t="shared" si="369"/>
        <v>0</v>
      </c>
      <c r="AH921" s="54">
        <f t="shared" si="351"/>
        <v>6230</v>
      </c>
      <c r="AI921" s="55">
        <f t="shared" si="360"/>
        <v>8.9086859688195987E-3</v>
      </c>
      <c r="AJ921" s="55">
        <f t="shared" si="370"/>
        <v>0</v>
      </c>
      <c r="AK921" s="55">
        <f t="shared" si="371"/>
        <v>0</v>
      </c>
    </row>
    <row r="922" spans="2:37" s="53" customFormat="1" ht="17.25" customHeight="1" x14ac:dyDescent="0.25">
      <c r="B922" s="91" t="str">
        <f t="shared" si="352"/>
        <v/>
      </c>
      <c r="C922" s="81">
        <f>IF(Sheet3!A893="","",Sheet3!A893)</f>
        <v>43864</v>
      </c>
      <c r="D922" s="82">
        <f>IF(C922="","",Sheet3!E893)</f>
        <v>38.450001</v>
      </c>
      <c r="E922" s="56">
        <f>_xlfn.XLOOKUP(WEEKNUM(C922)&amp;YEAR(C922),Sheet4!C:C,Sheet4!B:B,0)</f>
        <v>0</v>
      </c>
      <c r="F922" s="46">
        <f>IF(int=Weekly,-$D$5,IF(int=Bi_Weekly,0,IF(int=Monthly,0,IF(int=Quarterly,0,IF(int=Yearly,0,IF(int=None,0,0))))))</f>
        <v>0</v>
      </c>
      <c r="G922" s="46"/>
      <c r="H922" s="46">
        <f t="shared" si="361"/>
        <v>-22250</v>
      </c>
      <c r="I922" s="47"/>
      <c r="J922" s="38">
        <f t="shared" si="348"/>
        <v>0</v>
      </c>
      <c r="K922" s="48"/>
      <c r="L922" s="48">
        <f t="shared" si="353"/>
        <v>723.5600426918935</v>
      </c>
      <c r="M922" s="48"/>
      <c r="N922" s="38">
        <f t="shared" si="354"/>
        <v>0</v>
      </c>
      <c r="O922" s="36">
        <f t="shared" si="355"/>
        <v>0</v>
      </c>
      <c r="P922" s="84">
        <f t="shared" si="356"/>
        <v>-34329.925087004784</v>
      </c>
      <c r="Q922" s="38">
        <f t="shared" si="357"/>
        <v>0</v>
      </c>
      <c r="R922" s="48">
        <f t="shared" si="358"/>
        <v>363.41798600076964</v>
      </c>
      <c r="S922" s="38">
        <f t="shared" si="349"/>
        <v>1086.9780286926632</v>
      </c>
      <c r="T922" s="50">
        <f t="shared" si="362"/>
        <v>22250</v>
      </c>
      <c r="U922" s="40">
        <f t="shared" si="363"/>
        <v>27820.884365063346</v>
      </c>
      <c r="V922" s="41">
        <f t="shared" si="364"/>
        <v>0.2503768253961054</v>
      </c>
      <c r="W922" s="39">
        <f t="shared" si="365"/>
        <v>5570.8843650633462</v>
      </c>
      <c r="X922" s="50">
        <f t="shared" si="359"/>
        <v>12080.393837021051</v>
      </c>
      <c r="Y922" s="41">
        <f t="shared" si="366"/>
        <v>0.79331587425098404</v>
      </c>
      <c r="Z922" s="52"/>
      <c r="AA922" s="50">
        <f t="shared" si="372"/>
        <v>34330.39383702106</v>
      </c>
      <c r="AB922" s="39">
        <f t="shared" si="373"/>
        <v>41794.306290210923</v>
      </c>
      <c r="AC922" s="39">
        <f t="shared" si="367"/>
        <v>7463.9124531898633</v>
      </c>
      <c r="AD922" s="41">
        <f t="shared" si="368"/>
        <v>0.21741412255926296</v>
      </c>
      <c r="AF922" s="46">
        <f t="shared" si="350"/>
        <v>0</v>
      </c>
      <c r="AG922" s="46">
        <f t="shared" si="369"/>
        <v>0</v>
      </c>
      <c r="AH922" s="54">
        <f t="shared" si="351"/>
        <v>6237</v>
      </c>
      <c r="AI922" s="55">
        <f t="shared" si="360"/>
        <v>7.7951002227171495E-3</v>
      </c>
      <c r="AJ922" s="55">
        <f t="shared" si="370"/>
        <v>0</v>
      </c>
      <c r="AK922" s="55">
        <f t="shared" si="371"/>
        <v>0</v>
      </c>
    </row>
    <row r="923" spans="2:37" s="53" customFormat="1" ht="17.25" customHeight="1" x14ac:dyDescent="0.25">
      <c r="B923" s="91" t="str">
        <f t="shared" si="352"/>
        <v/>
      </c>
      <c r="C923" s="81">
        <f>IF(Sheet3!A894="","",Sheet3!A894)</f>
        <v>43871</v>
      </c>
      <c r="D923" s="82">
        <f>IF(C923="","",Sheet3!E894)</f>
        <v>38.25</v>
      </c>
      <c r="E923" s="56">
        <f>_xlfn.XLOOKUP(WEEKNUM(C923)&amp;YEAR(C923),Sheet4!C:C,Sheet4!B:B,0)</f>
        <v>0</v>
      </c>
      <c r="F923" s="46">
        <f>IF(int=Weekly,-$D$5,IF(int=Bi_Weekly,-$D$5,IF(int=Monthly,-$D$5,IF(int=Quarterly,0,IF(int=Yearly,0,IF(int=None,0,0))))))</f>
        <v>-100</v>
      </c>
      <c r="G923" s="46"/>
      <c r="H923" s="46">
        <f t="shared" si="361"/>
        <v>-22350</v>
      </c>
      <c r="I923" s="47"/>
      <c r="J923" s="38">
        <f t="shared" si="348"/>
        <v>2.6143790849673203</v>
      </c>
      <c r="K923" s="48"/>
      <c r="L923" s="48">
        <f t="shared" si="353"/>
        <v>726.17442177686087</v>
      </c>
      <c r="M923" s="48"/>
      <c r="N923" s="38">
        <f t="shared" si="354"/>
        <v>0</v>
      </c>
      <c r="O923" s="36">
        <f t="shared" si="355"/>
        <v>0</v>
      </c>
      <c r="P923" s="84">
        <f t="shared" si="356"/>
        <v>-34429.925087004784</v>
      </c>
      <c r="Q923" s="38">
        <f t="shared" si="357"/>
        <v>0</v>
      </c>
      <c r="R923" s="48">
        <f t="shared" si="358"/>
        <v>363.41798600076964</v>
      </c>
      <c r="S923" s="38">
        <f t="shared" si="349"/>
        <v>1089.5924077776306</v>
      </c>
      <c r="T923" s="50">
        <f t="shared" si="362"/>
        <v>22350</v>
      </c>
      <c r="U923" s="40">
        <f t="shared" si="363"/>
        <v>27776.171632964928</v>
      </c>
      <c r="V923" s="41">
        <f t="shared" si="364"/>
        <v>0.24278172854429214</v>
      </c>
      <c r="W923" s="39">
        <f t="shared" si="365"/>
        <v>5426.171632964928</v>
      </c>
      <c r="X923" s="50">
        <f t="shared" si="359"/>
        <v>12080.393837021051</v>
      </c>
      <c r="Y923" s="41">
        <f t="shared" si="366"/>
        <v>0.78329151990988732</v>
      </c>
      <c r="Z923" s="52"/>
      <c r="AA923" s="50">
        <f t="shared" si="372"/>
        <v>34430.39383702106</v>
      </c>
      <c r="AB923" s="39">
        <f t="shared" si="373"/>
        <v>41676.909597494363</v>
      </c>
      <c r="AC923" s="39">
        <f t="shared" si="367"/>
        <v>7246.5157604733031</v>
      </c>
      <c r="AD923" s="41">
        <f t="shared" si="368"/>
        <v>0.21046857014692444</v>
      </c>
      <c r="AF923" s="46">
        <f t="shared" si="350"/>
        <v>-100</v>
      </c>
      <c r="AG923" s="46">
        <f t="shared" si="369"/>
        <v>-100</v>
      </c>
      <c r="AH923" s="54">
        <f t="shared" si="351"/>
        <v>6244</v>
      </c>
      <c r="AI923" s="55">
        <f t="shared" si="360"/>
        <v>6.6815144766146995E-3</v>
      </c>
      <c r="AJ923" s="55">
        <f t="shared" si="370"/>
        <v>-0.66815144766146994</v>
      </c>
      <c r="AK923" s="55">
        <f t="shared" si="371"/>
        <v>-0.66815144766146994</v>
      </c>
    </row>
    <row r="924" spans="2:37" s="53" customFormat="1" ht="17.25" customHeight="1" x14ac:dyDescent="0.25">
      <c r="B924" s="91" t="str">
        <f t="shared" si="352"/>
        <v/>
      </c>
      <c r="C924" s="81">
        <f>IF(Sheet3!A895="","",Sheet3!A895)</f>
        <v>43878</v>
      </c>
      <c r="D924" s="82">
        <f>IF(C924="","",Sheet3!E895)</f>
        <v>38.549999</v>
      </c>
      <c r="E924" s="56">
        <f>_xlfn.XLOOKUP(WEEKNUM(C924)&amp;YEAR(C924),Sheet4!C:C,Sheet4!B:B,0)</f>
        <v>0</v>
      </c>
      <c r="F924" s="46">
        <f>IF(int=Weekly,-$D$5,IF(int=Bi_Weekly,0,IF(int=Monthly,0,IF(int=Quarterly,0,IF(int=Yearly,0,IF(int=None,0,0))))))</f>
        <v>0</v>
      </c>
      <c r="G924" s="46"/>
      <c r="H924" s="46">
        <f t="shared" si="361"/>
        <v>-22350</v>
      </c>
      <c r="I924" s="47"/>
      <c r="J924" s="38">
        <f t="shared" si="348"/>
        <v>0</v>
      </c>
      <c r="K924" s="48"/>
      <c r="L924" s="48">
        <f t="shared" si="353"/>
        <v>726.17442177686087</v>
      </c>
      <c r="M924" s="48"/>
      <c r="N924" s="38">
        <f t="shared" si="354"/>
        <v>0</v>
      </c>
      <c r="O924" s="36">
        <f t="shared" si="355"/>
        <v>0</v>
      </c>
      <c r="P924" s="84">
        <f t="shared" si="356"/>
        <v>-34429.925087004784</v>
      </c>
      <c r="Q924" s="38">
        <f t="shared" si="357"/>
        <v>0</v>
      </c>
      <c r="R924" s="48">
        <f t="shared" si="358"/>
        <v>363.41798600076964</v>
      </c>
      <c r="S924" s="38">
        <f t="shared" si="349"/>
        <v>1089.5924077776306</v>
      </c>
      <c r="T924" s="50">
        <f t="shared" si="362"/>
        <v>22350</v>
      </c>
      <c r="U924" s="40">
        <f t="shared" si="363"/>
        <v>27994.023233323565</v>
      </c>
      <c r="V924" s="41">
        <f t="shared" si="364"/>
        <v>0.25252900372812381</v>
      </c>
      <c r="W924" s="39">
        <f t="shared" si="365"/>
        <v>5644.0232333235654</v>
      </c>
      <c r="X924" s="50">
        <f t="shared" si="359"/>
        <v>12080.393837021051</v>
      </c>
      <c r="Y924" s="41">
        <f t="shared" si="366"/>
        <v>0.79303879509371877</v>
      </c>
      <c r="Z924" s="52"/>
      <c r="AA924" s="50">
        <f t="shared" si="372"/>
        <v>34430.39383702106</v>
      </c>
      <c r="AB924" s="39">
        <f t="shared" si="373"/>
        <v>42003.786230235251</v>
      </c>
      <c r="AC924" s="39">
        <f t="shared" si="367"/>
        <v>7573.3923932141915</v>
      </c>
      <c r="AD924" s="41">
        <f t="shared" si="368"/>
        <v>0.21996240963909486</v>
      </c>
      <c r="AF924" s="46">
        <f t="shared" si="350"/>
        <v>0</v>
      </c>
      <c r="AG924" s="46">
        <f t="shared" si="369"/>
        <v>0</v>
      </c>
      <c r="AH924" s="54">
        <f t="shared" si="351"/>
        <v>6251</v>
      </c>
      <c r="AI924" s="55">
        <f t="shared" si="360"/>
        <v>5.5679287305122494E-3</v>
      </c>
      <c r="AJ924" s="55">
        <f t="shared" si="370"/>
        <v>0</v>
      </c>
      <c r="AK924" s="55">
        <f t="shared" si="371"/>
        <v>0</v>
      </c>
    </row>
    <row r="925" spans="2:37" s="53" customFormat="1" ht="17.25" customHeight="1" x14ac:dyDescent="0.25">
      <c r="B925" s="91" t="str">
        <f t="shared" si="352"/>
        <v/>
      </c>
      <c r="C925" s="81">
        <f>IF(Sheet3!A896="","",Sheet3!A896)</f>
        <v>43885</v>
      </c>
      <c r="D925" s="82">
        <f>IF(C925="","",Sheet3!E896)</f>
        <v>35.220001000000003</v>
      </c>
      <c r="E925" s="56">
        <f>_xlfn.XLOOKUP(WEEKNUM(C925)&amp;YEAR(C925),Sheet4!C:C,Sheet4!B:B,0)</f>
        <v>0</v>
      </c>
      <c r="F925" s="46">
        <f>IF(int=Weekly,-$D$5,IF(int=Bi_Weekly,-$D$5,IF(int=Monthly,0,IF(int=Quarterly,0,IF(int=Yearly,0,IF(int=None,0,0))))))</f>
        <v>0</v>
      </c>
      <c r="G925" s="46"/>
      <c r="H925" s="46">
        <f t="shared" si="361"/>
        <v>-22350</v>
      </c>
      <c r="I925" s="47"/>
      <c r="J925" s="38">
        <f t="shared" si="348"/>
        <v>0</v>
      </c>
      <c r="K925" s="48"/>
      <c r="L925" s="48">
        <f t="shared" si="353"/>
        <v>726.17442177686087</v>
      </c>
      <c r="M925" s="48"/>
      <c r="N925" s="38">
        <f t="shared" si="354"/>
        <v>0</v>
      </c>
      <c r="O925" s="36">
        <f t="shared" si="355"/>
        <v>0</v>
      </c>
      <c r="P925" s="84">
        <f t="shared" si="356"/>
        <v>-34429.925087004784</v>
      </c>
      <c r="Q925" s="38">
        <f t="shared" si="357"/>
        <v>0</v>
      </c>
      <c r="R925" s="48">
        <f t="shared" si="358"/>
        <v>363.41798600076964</v>
      </c>
      <c r="S925" s="38">
        <f t="shared" si="349"/>
        <v>1089.5924077776306</v>
      </c>
      <c r="T925" s="50">
        <f t="shared" si="362"/>
        <v>22350</v>
      </c>
      <c r="U925" s="40">
        <f t="shared" si="363"/>
        <v>25575.863861155463</v>
      </c>
      <c r="V925" s="41">
        <f t="shared" si="364"/>
        <v>0.14433395351926004</v>
      </c>
      <c r="W925" s="39">
        <f t="shared" si="365"/>
        <v>3225.8638611554634</v>
      </c>
      <c r="X925" s="50">
        <f t="shared" si="359"/>
        <v>12080.393837021051</v>
      </c>
      <c r="Y925" s="41">
        <f t="shared" si="366"/>
        <v>0.68484374488485522</v>
      </c>
      <c r="Z925" s="52"/>
      <c r="AA925" s="50">
        <f t="shared" si="372"/>
        <v>34430.39383702106</v>
      </c>
      <c r="AB925" s="39">
        <f t="shared" si="373"/>
        <v>38375.445691520559</v>
      </c>
      <c r="AC925" s="39">
        <f t="shared" si="367"/>
        <v>3945.0518544994993</v>
      </c>
      <c r="AD925" s="41">
        <f t="shared" si="368"/>
        <v>0.11458050329524871</v>
      </c>
      <c r="AF925" s="46">
        <f t="shared" si="350"/>
        <v>0</v>
      </c>
      <c r="AG925" s="46">
        <f t="shared" si="369"/>
        <v>0</v>
      </c>
      <c r="AH925" s="54">
        <f t="shared" si="351"/>
        <v>6258</v>
      </c>
      <c r="AI925" s="55">
        <f t="shared" si="360"/>
        <v>4.4543429844097994E-3</v>
      </c>
      <c r="AJ925" s="55">
        <f t="shared" si="370"/>
        <v>0</v>
      </c>
      <c r="AK925" s="55">
        <f t="shared" si="371"/>
        <v>0</v>
      </c>
    </row>
    <row r="926" spans="2:37" s="53" customFormat="1" ht="17.25" customHeight="1" x14ac:dyDescent="0.25">
      <c r="B926" s="91" t="str">
        <f t="shared" si="352"/>
        <v/>
      </c>
      <c r="C926" s="81">
        <f>IF(Sheet3!A897="","",Sheet3!A897)</f>
        <v>43892</v>
      </c>
      <c r="D926" s="82">
        <f>IF(C926="","",Sheet3!E897)</f>
        <v>37.029998999999997</v>
      </c>
      <c r="E926" s="56">
        <f>_xlfn.XLOOKUP(WEEKNUM(C926)&amp;YEAR(C926),Sheet4!C:C,Sheet4!B:B,0)</f>
        <v>0</v>
      </c>
      <c r="F926" s="46">
        <f>IF(int=Weekly,-$D$5,IF(int=Bi_Weekly,0,IF(int=Monthly,0,IF(int=Quarterly,0,IF(int=Yearly,0,IF(int=None,0,0))))))</f>
        <v>0</v>
      </c>
      <c r="G926" s="46"/>
      <c r="H926" s="46">
        <f t="shared" si="361"/>
        <v>-22350</v>
      </c>
      <c r="I926" s="47"/>
      <c r="J926" s="38">
        <f t="shared" si="348"/>
        <v>0</v>
      </c>
      <c r="K926" s="48"/>
      <c r="L926" s="48">
        <f t="shared" si="353"/>
        <v>726.17442177686087</v>
      </c>
      <c r="M926" s="48"/>
      <c r="N926" s="38">
        <f t="shared" si="354"/>
        <v>0</v>
      </c>
      <c r="O926" s="36">
        <f t="shared" si="355"/>
        <v>0</v>
      </c>
      <c r="P926" s="84">
        <f t="shared" si="356"/>
        <v>-34429.925087004784</v>
      </c>
      <c r="Q926" s="38">
        <f t="shared" si="357"/>
        <v>0</v>
      </c>
      <c r="R926" s="48">
        <f t="shared" si="358"/>
        <v>363.41798600076964</v>
      </c>
      <c r="S926" s="38">
        <f t="shared" si="349"/>
        <v>1089.5924077776306</v>
      </c>
      <c r="T926" s="50">
        <f t="shared" si="362"/>
        <v>22350</v>
      </c>
      <c r="U926" s="40">
        <f t="shared" si="363"/>
        <v>26890.238112222734</v>
      </c>
      <c r="V926" s="41">
        <f t="shared" si="364"/>
        <v>0.20314264484218048</v>
      </c>
      <c r="W926" s="39">
        <f t="shared" si="365"/>
        <v>4540.2381122227343</v>
      </c>
      <c r="X926" s="50">
        <f t="shared" si="359"/>
        <v>12080.393837021051</v>
      </c>
      <c r="Y926" s="41">
        <f t="shared" si="366"/>
        <v>0.74365243620777544</v>
      </c>
      <c r="Z926" s="52"/>
      <c r="AA926" s="50">
        <f t="shared" si="372"/>
        <v>34430.39383702106</v>
      </c>
      <c r="AB926" s="39">
        <f t="shared" si="373"/>
        <v>40347.605770413247</v>
      </c>
      <c r="AC926" s="39">
        <f t="shared" si="367"/>
        <v>5917.2119333921873</v>
      </c>
      <c r="AD926" s="41">
        <f t="shared" si="368"/>
        <v>0.17186012920449789</v>
      </c>
      <c r="AF926" s="46">
        <f t="shared" si="350"/>
        <v>0</v>
      </c>
      <c r="AG926" s="46">
        <f t="shared" si="369"/>
        <v>0</v>
      </c>
      <c r="AH926" s="54">
        <f t="shared" si="351"/>
        <v>6265</v>
      </c>
      <c r="AI926" s="55">
        <f t="shared" si="360"/>
        <v>3.3407572383073497E-3</v>
      </c>
      <c r="AJ926" s="55">
        <f t="shared" si="370"/>
        <v>0</v>
      </c>
      <c r="AK926" s="55">
        <f t="shared" si="371"/>
        <v>0</v>
      </c>
    </row>
    <row r="927" spans="2:37" s="53" customFormat="1" ht="17.25" customHeight="1" x14ac:dyDescent="0.25">
      <c r="B927" s="91" t="str">
        <f t="shared" si="352"/>
        <v/>
      </c>
      <c r="C927" s="81">
        <f>IF(Sheet3!A898="","",Sheet3!A898)</f>
        <v>43899</v>
      </c>
      <c r="D927" s="82">
        <f>IF(C927="","",Sheet3!E898)</f>
        <v>34.470001000000003</v>
      </c>
      <c r="E927" s="56">
        <f>_xlfn.XLOOKUP(WEEKNUM(C927)&amp;YEAR(C927),Sheet4!C:C,Sheet4!B:B,0)</f>
        <v>0</v>
      </c>
      <c r="F927" s="46">
        <f>IF(int=Weekly,-$D$5,IF(int=Bi_Weekly,-$D$5,IF(int=Monthly,-$D$5,IF(int=Quarterly,0,IF(int=Yearly,0,IF(int=None,0,0))))))</f>
        <v>-100</v>
      </c>
      <c r="G927" s="46"/>
      <c r="H927" s="46">
        <f t="shared" si="361"/>
        <v>-22450</v>
      </c>
      <c r="I927" s="47"/>
      <c r="J927" s="38">
        <f t="shared" si="348"/>
        <v>2.9010733129946815</v>
      </c>
      <c r="K927" s="48"/>
      <c r="L927" s="48">
        <f t="shared" si="353"/>
        <v>729.07549508985551</v>
      </c>
      <c r="M927" s="48"/>
      <c r="N927" s="38">
        <f t="shared" si="354"/>
        <v>0</v>
      </c>
      <c r="O927" s="36">
        <f t="shared" si="355"/>
        <v>0</v>
      </c>
      <c r="P927" s="84">
        <f t="shared" si="356"/>
        <v>-34529.925087004784</v>
      </c>
      <c r="Q927" s="38">
        <f t="shared" si="357"/>
        <v>0</v>
      </c>
      <c r="R927" s="48">
        <f t="shared" si="358"/>
        <v>363.41798600076964</v>
      </c>
      <c r="S927" s="38">
        <f t="shared" ref="S927:S929" si="374">IF(D927=0,"",L927+R927)</f>
        <v>1092.4934810906252</v>
      </c>
      <c r="T927" s="50">
        <f t="shared" si="362"/>
        <v>22450</v>
      </c>
      <c r="U927" s="40">
        <f t="shared" si="363"/>
        <v>25131.233044822817</v>
      </c>
      <c r="V927" s="41">
        <f t="shared" si="364"/>
        <v>0.11943131602774248</v>
      </c>
      <c r="W927" s="39">
        <f t="shared" si="365"/>
        <v>2681.2330448228167</v>
      </c>
      <c r="X927" s="50">
        <f t="shared" si="359"/>
        <v>12080.393837021051</v>
      </c>
      <c r="Y927" s="41">
        <f t="shared" si="366"/>
        <v>0.65753349139616346</v>
      </c>
      <c r="Z927" s="52"/>
      <c r="AA927" s="50">
        <f t="shared" si="372"/>
        <v>34530.39383702106</v>
      </c>
      <c r="AB927" s="39">
        <f t="shared" si="373"/>
        <v>37658.251385687334</v>
      </c>
      <c r="AC927" s="39">
        <f t="shared" si="367"/>
        <v>3127.8575486662739</v>
      </c>
      <c r="AD927" s="41">
        <f t="shared" si="368"/>
        <v>9.0582735992799535E-2</v>
      </c>
      <c r="AF927" s="46">
        <f t="shared" si="350"/>
        <v>-100</v>
      </c>
      <c r="AG927" s="46">
        <f t="shared" si="369"/>
        <v>-100</v>
      </c>
      <c r="AH927" s="54">
        <f t="shared" si="351"/>
        <v>6272</v>
      </c>
      <c r="AI927" s="55">
        <f t="shared" si="360"/>
        <v>2.2271714922048997E-3</v>
      </c>
      <c r="AJ927" s="55">
        <f t="shared" si="370"/>
        <v>-0.22271714922048996</v>
      </c>
      <c r="AK927" s="55">
        <f t="shared" si="371"/>
        <v>-0.22271714922048996</v>
      </c>
    </row>
    <row r="928" spans="2:37" s="53" customFormat="1" ht="17.25" customHeight="1" x14ac:dyDescent="0.25">
      <c r="B928" s="91" t="str">
        <f t="shared" ref="B928:B932" si="375">IF(C927="","",IF(C$30&lt;C928,"",B927+1))</f>
        <v/>
      </c>
      <c r="C928" s="81">
        <f>IF(Sheet3!A899="","",Sheet3!A899)</f>
        <v>43906</v>
      </c>
      <c r="D928" s="82">
        <f>IF(C928="","",Sheet3!E899)</f>
        <v>28.450001</v>
      </c>
      <c r="E928" s="56">
        <f>_xlfn.XLOOKUP(WEEKNUM(C928)&amp;YEAR(C928),Sheet4!C:C,Sheet4!B:B,0)</f>
        <v>0</v>
      </c>
      <c r="F928" s="46">
        <f>IF(int=Weekly,-$D$5,IF(int=Bi_Weekly,0,IF(int=Monthly,0,IF(int=Quarterly,-$D$5,IF(int=Yearly,0,IF(int=None,0,0))))))</f>
        <v>0</v>
      </c>
      <c r="G928" s="46"/>
      <c r="H928" s="46">
        <f t="shared" si="361"/>
        <v>-22450</v>
      </c>
      <c r="I928" s="47"/>
      <c r="J928" s="38">
        <f t="shared" si="348"/>
        <v>0</v>
      </c>
      <c r="K928" s="48"/>
      <c r="L928" s="48">
        <f t="shared" si="353"/>
        <v>729.07549508985551</v>
      </c>
      <c r="M928" s="48"/>
      <c r="N928" s="38">
        <f t="shared" ref="N928:N929" si="376">IF(D928=0,"",L928*E928)</f>
        <v>0</v>
      </c>
      <c r="O928" s="36">
        <f t="shared" ref="O928:O929" si="377">-(IF(D928=0,"",N928))</f>
        <v>0</v>
      </c>
      <c r="P928" s="84">
        <f t="shared" ref="P928:P929" si="378">P927+F928+O928</f>
        <v>-34529.925087004784</v>
      </c>
      <c r="Q928" s="38">
        <f t="shared" si="357"/>
        <v>0</v>
      </c>
      <c r="R928" s="48">
        <f t="shared" ref="R928:R929" si="379">IF(D928=0,"",Q928+R927)</f>
        <v>363.41798600076964</v>
      </c>
      <c r="S928" s="38">
        <f t="shared" si="374"/>
        <v>1092.4934810906252</v>
      </c>
      <c r="T928" s="50">
        <f t="shared" si="362"/>
        <v>22450</v>
      </c>
      <c r="U928" s="40">
        <f t="shared" si="363"/>
        <v>20742.198564381884</v>
      </c>
      <c r="V928" s="41">
        <f t="shared" si="364"/>
        <v>-7.6071333435105415E-2</v>
      </c>
      <c r="W928" s="39">
        <f t="shared" si="365"/>
        <v>-1707.8014356181156</v>
      </c>
      <c r="X928" s="50">
        <f t="shared" si="359"/>
        <v>12080.393837021051</v>
      </c>
      <c r="Y928" s="41">
        <f t="shared" si="366"/>
        <v>0.46203084193331567</v>
      </c>
      <c r="Z928" s="52"/>
      <c r="AA928" s="50">
        <f t="shared" si="372"/>
        <v>34530.39383702106</v>
      </c>
      <c r="AB928" s="39">
        <f t="shared" si="373"/>
        <v>31081.440629521767</v>
      </c>
      <c r="AC928" s="39">
        <f t="shared" si="367"/>
        <v>-3448.9532074992931</v>
      </c>
      <c r="AD928" s="41">
        <f t="shared" si="368"/>
        <v>-9.9881664361486933E-2</v>
      </c>
      <c r="AF928" s="46">
        <f t="shared" si="350"/>
        <v>0</v>
      </c>
      <c r="AG928" s="46">
        <f t="shared" si="369"/>
        <v>0</v>
      </c>
      <c r="AH928" s="54">
        <f t="shared" si="351"/>
        <v>6279</v>
      </c>
      <c r="AI928" s="55">
        <f t="shared" ref="AI928:AI929" si="380">(AH$30-AH928)/AH$30</f>
        <v>1.1135857461024498E-3</v>
      </c>
      <c r="AJ928" s="55">
        <f t="shared" si="370"/>
        <v>0</v>
      </c>
      <c r="AK928" s="55">
        <f t="shared" si="371"/>
        <v>0</v>
      </c>
    </row>
    <row r="929" spans="2:37" s="53" customFormat="1" ht="17.25" customHeight="1" x14ac:dyDescent="0.25">
      <c r="B929" s="91" t="str">
        <f t="shared" si="375"/>
        <v/>
      </c>
      <c r="C929" s="81">
        <f>IF(Sheet3!A900="","",Sheet3!A900)</f>
        <v>43913</v>
      </c>
      <c r="D929" s="82">
        <f>IF(C929="","",Sheet3!E900)</f>
        <v>28.09</v>
      </c>
      <c r="E929" s="56">
        <f>_xlfn.XLOOKUP(WEEKNUM(C929)&amp;YEAR(C929),Sheet4!C:C,Sheet4!B:B,0)</f>
        <v>0</v>
      </c>
      <c r="F929" s="46">
        <f>IF(int=Weekly,-$D$5,IF(int=Bi_Weekly,-$D$5,IF(int=Monthly,0,IF(int=Quarterly,0,IF(int=Yearly,0,IF(int=None,0,0))))))</f>
        <v>0</v>
      </c>
      <c r="G929" s="46"/>
      <c r="H929" s="46">
        <f t="shared" ref="H929" si="381">H928+F929</f>
        <v>-22450</v>
      </c>
      <c r="I929" s="47"/>
      <c r="J929" s="38">
        <f t="shared" si="348"/>
        <v>0</v>
      </c>
      <c r="K929" s="48"/>
      <c r="L929" s="48">
        <f t="shared" si="353"/>
        <v>729.07549508985551</v>
      </c>
      <c r="M929" s="48"/>
      <c r="N929" s="38">
        <f t="shared" si="376"/>
        <v>0</v>
      </c>
      <c r="O929" s="36">
        <f t="shared" si="377"/>
        <v>0</v>
      </c>
      <c r="P929" s="84">
        <f t="shared" si="378"/>
        <v>-34529.925087004784</v>
      </c>
      <c r="Q929" s="38">
        <f t="shared" si="357"/>
        <v>0</v>
      </c>
      <c r="R929" s="48">
        <f t="shared" si="379"/>
        <v>363.41798600076964</v>
      </c>
      <c r="S929" s="38">
        <f t="shared" si="374"/>
        <v>1092.4934810906252</v>
      </c>
      <c r="T929" s="50">
        <f t="shared" ref="T929" si="382">IF(D929=0,"",D929*J929)+T928</f>
        <v>22450</v>
      </c>
      <c r="U929" s="40">
        <f t="shared" ref="U929" si="383">IF(D929=0,"",L929*D929)</f>
        <v>20479.73065707404</v>
      </c>
      <c r="V929" s="41">
        <f t="shared" ref="V929" si="384">(U929/T929)-1</f>
        <v>-8.7762554250599534E-2</v>
      </c>
      <c r="W929" s="39">
        <f t="shared" ref="W929" si="385">U929-T929</f>
        <v>-1970.2693429259598</v>
      </c>
      <c r="X929" s="50">
        <f t="shared" si="359"/>
        <v>12080.393837021051</v>
      </c>
      <c r="Y929" s="41">
        <f t="shared" ref="Y929" si="386">((U929+X929)/T929)-1</f>
        <v>0.45033962111782144</v>
      </c>
      <c r="Z929" s="52"/>
      <c r="AA929" s="50">
        <f t="shared" si="372"/>
        <v>34530.39383702106</v>
      </c>
      <c r="AB929" s="39">
        <f t="shared" si="373"/>
        <v>30688.141883835662</v>
      </c>
      <c r="AC929" s="39">
        <f t="shared" ref="AC929" si="387">AB929-AA929</f>
        <v>-3842.2519531853977</v>
      </c>
      <c r="AD929" s="41">
        <f t="shared" ref="AD929" si="388">(AB929/AA929)-1</f>
        <v>-0.11127159369569672</v>
      </c>
      <c r="AF929" s="46">
        <f t="shared" si="350"/>
        <v>0</v>
      </c>
      <c r="AG929" s="46">
        <f t="shared" ref="AG929" si="389">F929</f>
        <v>0</v>
      </c>
      <c r="AH929" s="54">
        <f t="shared" si="351"/>
        <v>6286</v>
      </c>
      <c r="AI929" s="55">
        <f t="shared" si="380"/>
        <v>0</v>
      </c>
      <c r="AJ929" s="55">
        <f t="shared" ref="AJ929" si="390">AI929*AF929</f>
        <v>0</v>
      </c>
      <c r="AK929" s="55">
        <f t="shared" ref="AK929" si="391">$AI929*AG929</f>
        <v>0</v>
      </c>
    </row>
    <row r="930" spans="2:37" s="53" customFormat="1" ht="17.25" customHeight="1" x14ac:dyDescent="0.25">
      <c r="B930" s="91" t="e">
        <f t="shared" si="375"/>
        <v>#VALUE!</v>
      </c>
      <c r="C930" s="81" t="str">
        <f>IF(Sheet3!A901="","",Sheet3!A901)</f>
        <v/>
      </c>
      <c r="D930" s="82" t="str">
        <f>IF(C930="","",Sheet3!E901)</f>
        <v/>
      </c>
      <c r="E930" s="56"/>
      <c r="F930" s="46"/>
      <c r="G930" s="46"/>
      <c r="H930" s="46"/>
      <c r="I930" s="47"/>
      <c r="J930" s="48"/>
      <c r="K930" s="48"/>
      <c r="L930" s="48"/>
      <c r="M930" s="48"/>
      <c r="N930" s="48"/>
      <c r="O930" s="46"/>
      <c r="P930" s="49"/>
      <c r="Q930" s="48"/>
      <c r="R930" s="48"/>
      <c r="S930" s="48"/>
      <c r="T930" s="50"/>
      <c r="U930" s="51"/>
      <c r="V930" s="52"/>
      <c r="W930" s="50"/>
      <c r="X930" s="50"/>
      <c r="Y930" s="52"/>
      <c r="Z930" s="52"/>
      <c r="AA930" s="50"/>
      <c r="AB930" s="50"/>
      <c r="AC930" s="50"/>
      <c r="AD930" s="52"/>
      <c r="AF930" s="46"/>
      <c r="AG930" s="46"/>
      <c r="AH930" s="54"/>
      <c r="AI930" s="55"/>
      <c r="AJ930" s="55"/>
      <c r="AK930" s="55"/>
    </row>
    <row r="931" spans="2:37" s="53" customFormat="1" ht="17.25" customHeight="1" x14ac:dyDescent="0.25">
      <c r="B931" s="91" t="str">
        <f t="shared" si="375"/>
        <v/>
      </c>
      <c r="C931" s="35" t="str">
        <f>IF(Sheet3!A902="","",Sheet3!A902)</f>
        <v/>
      </c>
      <c r="D931" s="80"/>
      <c r="E931" s="45"/>
      <c r="F931" s="46"/>
      <c r="G931" s="46"/>
      <c r="H931" s="46"/>
      <c r="I931" s="47"/>
      <c r="J931" s="48"/>
      <c r="K931" s="48"/>
      <c r="L931" s="48"/>
      <c r="M931" s="48"/>
      <c r="N931" s="48"/>
      <c r="O931" s="46"/>
      <c r="P931" s="49"/>
      <c r="Q931" s="48"/>
      <c r="R931" s="48"/>
      <c r="S931" s="48"/>
      <c r="T931" s="50"/>
      <c r="U931" s="51"/>
      <c r="V931" s="52"/>
      <c r="W931" s="50"/>
      <c r="X931" s="50"/>
      <c r="Y931" s="52"/>
      <c r="Z931" s="52"/>
      <c r="AA931" s="50"/>
      <c r="AB931" s="50"/>
      <c r="AC931" s="50"/>
      <c r="AD931" s="52"/>
      <c r="AF931" s="46"/>
      <c r="AG931" s="46"/>
      <c r="AH931" s="54"/>
      <c r="AI931" s="55"/>
      <c r="AJ931" s="55"/>
      <c r="AK931" s="55"/>
    </row>
    <row r="932" spans="2:37" s="53" customFormat="1" ht="17.25" customHeight="1" x14ac:dyDescent="0.25">
      <c r="B932" s="91" t="str">
        <f t="shared" si="375"/>
        <v/>
      </c>
      <c r="C932" s="35" t="str">
        <f>IF(Sheet3!A903="","",Sheet3!A903)</f>
        <v/>
      </c>
      <c r="D932" s="80"/>
      <c r="E932" s="45"/>
      <c r="F932" s="46"/>
      <c r="G932" s="46"/>
      <c r="H932" s="46"/>
      <c r="I932" s="47"/>
      <c r="J932" s="48"/>
      <c r="K932" s="48"/>
      <c r="L932" s="48"/>
      <c r="M932" s="48"/>
      <c r="N932" s="48"/>
      <c r="O932" s="46"/>
      <c r="P932" s="49"/>
      <c r="Q932" s="48"/>
      <c r="R932" s="48"/>
      <c r="S932" s="48"/>
      <c r="T932" s="50"/>
      <c r="U932" s="51"/>
      <c r="V932" s="52"/>
      <c r="W932" s="50"/>
      <c r="X932" s="50"/>
      <c r="Y932" s="52"/>
      <c r="Z932" s="52"/>
      <c r="AA932" s="50"/>
      <c r="AB932" s="50"/>
      <c r="AC932" s="50"/>
      <c r="AD932" s="52"/>
      <c r="AF932" s="46"/>
      <c r="AG932" s="46"/>
      <c r="AH932" s="54"/>
      <c r="AI932" s="55"/>
      <c r="AJ932" s="55"/>
      <c r="AK932" s="55"/>
    </row>
    <row r="933" spans="2:37" s="53" customFormat="1" ht="17.25" customHeight="1" x14ac:dyDescent="0.25">
      <c r="B933" s="91"/>
      <c r="C933" s="35" t="str">
        <f>IF(Sheet3!A904="","",Sheet3!A904)</f>
        <v/>
      </c>
      <c r="D933" s="80"/>
      <c r="E933" s="45"/>
      <c r="F933" s="46"/>
      <c r="G933" s="46"/>
      <c r="H933" s="46"/>
      <c r="I933" s="47"/>
      <c r="J933" s="48"/>
      <c r="K933" s="48"/>
      <c r="L933" s="48"/>
      <c r="M933" s="48"/>
      <c r="N933" s="48"/>
      <c r="O933" s="46"/>
      <c r="P933" s="49"/>
      <c r="Q933" s="48"/>
      <c r="R933" s="48"/>
      <c r="S933" s="48"/>
      <c r="T933" s="50"/>
      <c r="U933" s="51"/>
      <c r="V933" s="52"/>
      <c r="W933" s="50"/>
      <c r="X933" s="50"/>
      <c r="Y933" s="52"/>
      <c r="Z933" s="52"/>
      <c r="AA933" s="50"/>
      <c r="AB933" s="50"/>
      <c r="AC933" s="50"/>
      <c r="AD933" s="52"/>
      <c r="AF933" s="46"/>
      <c r="AG933" s="46"/>
      <c r="AH933" s="54"/>
      <c r="AI933" s="55"/>
      <c r="AJ933" s="55"/>
      <c r="AK933" s="55"/>
    </row>
    <row r="934" spans="2:37" s="53" customFormat="1" ht="17.25" customHeight="1" x14ac:dyDescent="0.25">
      <c r="B934" s="91"/>
      <c r="C934" s="35" t="str">
        <f>IF(Sheet3!A905="","",Sheet3!A905)</f>
        <v/>
      </c>
      <c r="D934" s="80"/>
      <c r="E934" s="45"/>
      <c r="F934" s="46"/>
      <c r="G934" s="46"/>
      <c r="H934" s="46"/>
      <c r="I934" s="47"/>
      <c r="J934" s="48"/>
      <c r="K934" s="48"/>
      <c r="L934" s="48"/>
      <c r="M934" s="48"/>
      <c r="N934" s="48"/>
      <c r="O934" s="46"/>
      <c r="P934" s="49"/>
      <c r="Q934" s="48"/>
      <c r="R934" s="48"/>
      <c r="S934" s="48"/>
      <c r="T934" s="50"/>
      <c r="U934" s="51"/>
      <c r="V934" s="52"/>
      <c r="W934" s="50"/>
      <c r="X934" s="50"/>
      <c r="Y934" s="52"/>
      <c r="Z934" s="52"/>
      <c r="AA934" s="50"/>
      <c r="AB934" s="50"/>
      <c r="AC934" s="50"/>
      <c r="AD934" s="52"/>
      <c r="AF934" s="46"/>
      <c r="AG934" s="46"/>
      <c r="AH934" s="54"/>
      <c r="AI934" s="55"/>
      <c r="AJ934" s="55"/>
      <c r="AK934" s="55"/>
    </row>
    <row r="935" spans="2:37" s="53" customFormat="1" ht="17.25" customHeight="1" x14ac:dyDescent="0.25">
      <c r="B935" s="91"/>
      <c r="C935" s="35" t="str">
        <f>IF(Sheet3!A906="","",Sheet3!A906)</f>
        <v/>
      </c>
      <c r="D935" s="80"/>
      <c r="E935" s="45"/>
      <c r="F935" s="46"/>
      <c r="G935" s="46"/>
      <c r="H935" s="46"/>
      <c r="I935" s="47"/>
      <c r="J935" s="48"/>
      <c r="K935" s="48"/>
      <c r="L935" s="48"/>
      <c r="M935" s="48"/>
      <c r="N935" s="48"/>
      <c r="O935" s="46"/>
      <c r="P935" s="49"/>
      <c r="Q935" s="48"/>
      <c r="R935" s="48"/>
      <c r="S935" s="48"/>
      <c r="T935" s="50"/>
      <c r="U935" s="51"/>
      <c r="V935" s="52"/>
      <c r="W935" s="50"/>
      <c r="X935" s="50"/>
      <c r="Y935" s="52"/>
      <c r="Z935" s="52"/>
      <c r="AA935" s="50"/>
      <c r="AB935" s="50"/>
      <c r="AC935" s="50"/>
      <c r="AD935" s="52"/>
      <c r="AF935" s="46"/>
      <c r="AG935" s="46"/>
      <c r="AH935" s="54"/>
      <c r="AI935" s="55"/>
      <c r="AJ935" s="55"/>
      <c r="AK935" s="55"/>
    </row>
    <row r="936" spans="2:37" s="53" customFormat="1" ht="17.25" customHeight="1" x14ac:dyDescent="0.25">
      <c r="B936" s="91"/>
      <c r="C936" s="35" t="str">
        <f>IF(Sheet3!A907="","",Sheet3!A907)</f>
        <v/>
      </c>
      <c r="D936" s="80"/>
      <c r="E936" s="45"/>
      <c r="F936" s="46"/>
      <c r="G936" s="46"/>
      <c r="H936" s="46"/>
      <c r="I936" s="47"/>
      <c r="J936" s="48"/>
      <c r="K936" s="48"/>
      <c r="L936" s="48"/>
      <c r="M936" s="48"/>
      <c r="N936" s="48"/>
      <c r="O936" s="46"/>
      <c r="P936" s="49"/>
      <c r="Q936" s="48"/>
      <c r="R936" s="48"/>
      <c r="S936" s="48"/>
      <c r="T936" s="50"/>
      <c r="U936" s="51"/>
      <c r="V936" s="52"/>
      <c r="W936" s="50"/>
      <c r="X936" s="50"/>
      <c r="Y936" s="52"/>
      <c r="Z936" s="52"/>
      <c r="AA936" s="50"/>
      <c r="AB936" s="50"/>
      <c r="AC936" s="50"/>
      <c r="AD936" s="52"/>
      <c r="AF936" s="46"/>
      <c r="AG936" s="46"/>
      <c r="AH936" s="54"/>
      <c r="AI936" s="55"/>
      <c r="AJ936" s="55"/>
      <c r="AK936" s="55"/>
    </row>
    <row r="937" spans="2:37" s="53" customFormat="1" ht="17.25" customHeight="1" x14ac:dyDescent="0.25">
      <c r="B937" s="91"/>
      <c r="C937" s="35" t="str">
        <f>IF(Sheet3!A908="","",Sheet3!A908)</f>
        <v/>
      </c>
      <c r="D937" s="80"/>
      <c r="E937" s="45"/>
      <c r="F937" s="46"/>
      <c r="G937" s="46"/>
      <c r="H937" s="46"/>
      <c r="I937" s="47"/>
      <c r="J937" s="48"/>
      <c r="K937" s="48"/>
      <c r="L937" s="48"/>
      <c r="M937" s="48"/>
      <c r="N937" s="48"/>
      <c r="O937" s="46"/>
      <c r="P937" s="49"/>
      <c r="Q937" s="48"/>
      <c r="R937" s="48"/>
      <c r="S937" s="48"/>
      <c r="T937" s="50"/>
      <c r="U937" s="51"/>
      <c r="V937" s="52"/>
      <c r="W937" s="50"/>
      <c r="X937" s="50"/>
      <c r="Y937" s="52"/>
      <c r="Z937" s="52"/>
      <c r="AA937" s="50"/>
      <c r="AB937" s="50"/>
      <c r="AC937" s="50"/>
      <c r="AD937" s="52"/>
      <c r="AF937" s="46"/>
      <c r="AG937" s="46"/>
      <c r="AH937" s="54"/>
      <c r="AI937" s="55"/>
      <c r="AJ937" s="55"/>
      <c r="AK937" s="55"/>
    </row>
    <row r="938" spans="2:37" s="53" customFormat="1" ht="17.25" customHeight="1" x14ac:dyDescent="0.25">
      <c r="B938" s="91"/>
      <c r="C938" s="35" t="str">
        <f>IF(Sheet3!A909="","",Sheet3!A909)</f>
        <v/>
      </c>
      <c r="D938" s="80"/>
      <c r="E938" s="45"/>
      <c r="F938" s="46"/>
      <c r="G938" s="46"/>
      <c r="H938" s="46"/>
      <c r="I938" s="47"/>
      <c r="J938" s="48"/>
      <c r="K938" s="48"/>
      <c r="L938" s="48"/>
      <c r="M938" s="48"/>
      <c r="N938" s="48"/>
      <c r="O938" s="46"/>
      <c r="P938" s="49"/>
      <c r="Q938" s="48"/>
      <c r="R938" s="48"/>
      <c r="S938" s="48"/>
      <c r="T938" s="50"/>
      <c r="U938" s="51"/>
      <c r="V938" s="52"/>
      <c r="W938" s="50"/>
      <c r="X938" s="50"/>
      <c r="Y938" s="52"/>
      <c r="Z938" s="52"/>
      <c r="AA938" s="50"/>
      <c r="AB938" s="50"/>
      <c r="AC938" s="50"/>
      <c r="AD938" s="52"/>
      <c r="AF938" s="46"/>
      <c r="AG938" s="46"/>
      <c r="AH938" s="54"/>
      <c r="AI938" s="55"/>
      <c r="AJ938" s="55"/>
      <c r="AK938" s="55"/>
    </row>
    <row r="939" spans="2:37" s="53" customFormat="1" ht="17.25" customHeight="1" x14ac:dyDescent="0.25">
      <c r="B939" s="91"/>
      <c r="C939" s="35" t="str">
        <f>IF(Sheet3!A910="","",Sheet3!A910)</f>
        <v/>
      </c>
      <c r="D939" s="80"/>
      <c r="E939" s="45"/>
      <c r="F939" s="46"/>
      <c r="G939" s="46"/>
      <c r="H939" s="46"/>
      <c r="I939" s="47"/>
      <c r="J939" s="48"/>
      <c r="K939" s="48"/>
      <c r="L939" s="48"/>
      <c r="M939" s="48"/>
      <c r="N939" s="48"/>
      <c r="O939" s="46"/>
      <c r="P939" s="49"/>
      <c r="Q939" s="48"/>
      <c r="R939" s="48"/>
      <c r="S939" s="48"/>
      <c r="T939" s="50"/>
      <c r="U939" s="51"/>
      <c r="V939" s="52"/>
      <c r="W939" s="50"/>
      <c r="X939" s="50"/>
      <c r="Y939" s="52"/>
      <c r="Z939" s="52"/>
      <c r="AA939" s="50"/>
      <c r="AB939" s="50"/>
      <c r="AC939" s="50"/>
      <c r="AD939" s="52"/>
      <c r="AF939" s="46"/>
      <c r="AG939" s="46"/>
      <c r="AH939" s="54"/>
      <c r="AI939" s="55"/>
      <c r="AJ939" s="55"/>
      <c r="AK939" s="55"/>
    </row>
    <row r="940" spans="2:37" s="53" customFormat="1" ht="17.25" customHeight="1" x14ac:dyDescent="0.25">
      <c r="B940" s="91"/>
      <c r="C940" s="35" t="str">
        <f>IF(Sheet3!A911="","",Sheet3!A911)</f>
        <v/>
      </c>
      <c r="D940" s="80"/>
      <c r="E940" s="45"/>
      <c r="F940" s="46"/>
      <c r="G940" s="46"/>
      <c r="H940" s="46"/>
      <c r="I940" s="47"/>
      <c r="J940" s="48"/>
      <c r="K940" s="48"/>
      <c r="L940" s="48"/>
      <c r="M940" s="48"/>
      <c r="N940" s="48"/>
      <c r="O940" s="46"/>
      <c r="P940" s="49"/>
      <c r="Q940" s="48"/>
      <c r="R940" s="48"/>
      <c r="S940" s="48"/>
      <c r="T940" s="50"/>
      <c r="U940" s="51"/>
      <c r="V940" s="52"/>
      <c r="W940" s="50"/>
      <c r="X940" s="50"/>
      <c r="Y940" s="52"/>
      <c r="Z940" s="52"/>
      <c r="AA940" s="50"/>
      <c r="AB940" s="50"/>
      <c r="AC940" s="50"/>
      <c r="AD940" s="52"/>
      <c r="AF940" s="46"/>
      <c r="AG940" s="46"/>
      <c r="AH940" s="54"/>
      <c r="AI940" s="55"/>
      <c r="AJ940" s="55"/>
      <c r="AK940" s="55"/>
    </row>
    <row r="941" spans="2:37" s="53" customFormat="1" ht="17.25" customHeight="1" x14ac:dyDescent="0.25">
      <c r="B941" s="91"/>
      <c r="C941" s="35" t="str">
        <f>IF(Sheet3!A912="","",Sheet3!A912)</f>
        <v/>
      </c>
      <c r="D941" s="80"/>
      <c r="E941" s="45"/>
      <c r="F941" s="46"/>
      <c r="G941" s="46"/>
      <c r="H941" s="46"/>
      <c r="I941" s="47"/>
      <c r="J941" s="48"/>
      <c r="K941" s="48"/>
      <c r="L941" s="48"/>
      <c r="M941" s="48"/>
      <c r="N941" s="48"/>
      <c r="O941" s="46"/>
      <c r="P941" s="49"/>
      <c r="Q941" s="48"/>
      <c r="R941" s="48"/>
      <c r="S941" s="48"/>
      <c r="T941" s="50"/>
      <c r="U941" s="51"/>
      <c r="V941" s="52"/>
      <c r="W941" s="50"/>
      <c r="X941" s="50"/>
      <c r="Y941" s="52"/>
      <c r="Z941" s="52"/>
      <c r="AA941" s="50"/>
      <c r="AB941" s="50"/>
      <c r="AC941" s="50"/>
      <c r="AD941" s="52"/>
      <c r="AF941" s="46"/>
      <c r="AG941" s="46"/>
      <c r="AH941" s="54"/>
      <c r="AI941" s="55"/>
      <c r="AJ941" s="55"/>
      <c r="AK941" s="55"/>
    </row>
    <row r="942" spans="2:37" s="53" customFormat="1" ht="17.25" customHeight="1" x14ac:dyDescent="0.25">
      <c r="B942" s="91"/>
      <c r="C942" s="35" t="str">
        <f>IF(Sheet3!A913="","",Sheet3!A913)</f>
        <v/>
      </c>
      <c r="D942" s="80"/>
      <c r="E942" s="45"/>
      <c r="F942" s="46"/>
      <c r="G942" s="46"/>
      <c r="H942" s="46"/>
      <c r="I942" s="47"/>
      <c r="J942" s="48"/>
      <c r="K942" s="48"/>
      <c r="L942" s="48"/>
      <c r="M942" s="48"/>
      <c r="N942" s="48"/>
      <c r="O942" s="46"/>
      <c r="P942" s="49"/>
      <c r="Q942" s="48"/>
      <c r="R942" s="48"/>
      <c r="S942" s="48"/>
      <c r="T942" s="50"/>
      <c r="U942" s="51"/>
      <c r="V942" s="52"/>
      <c r="W942" s="50"/>
      <c r="X942" s="50"/>
      <c r="Y942" s="52"/>
      <c r="Z942" s="52"/>
      <c r="AA942" s="50"/>
      <c r="AB942" s="50"/>
      <c r="AC942" s="50"/>
      <c r="AD942" s="52"/>
      <c r="AF942" s="46"/>
      <c r="AG942" s="46"/>
      <c r="AH942" s="54"/>
      <c r="AI942" s="55"/>
      <c r="AJ942" s="55"/>
      <c r="AK942" s="55"/>
    </row>
    <row r="943" spans="2:37" s="53" customFormat="1" ht="17.25" customHeight="1" x14ac:dyDescent="0.25">
      <c r="B943" s="91"/>
      <c r="C943" s="35" t="str">
        <f>IF(Sheet3!A914="","",Sheet3!A914)</f>
        <v/>
      </c>
      <c r="D943" s="80"/>
      <c r="E943" s="45"/>
      <c r="F943" s="46"/>
      <c r="G943" s="46"/>
      <c r="H943" s="46"/>
      <c r="I943" s="47"/>
      <c r="J943" s="48"/>
      <c r="K943" s="48"/>
      <c r="L943" s="48"/>
      <c r="M943" s="48"/>
      <c r="N943" s="48"/>
      <c r="O943" s="46"/>
      <c r="P943" s="49"/>
      <c r="Q943" s="48"/>
      <c r="R943" s="48"/>
      <c r="S943" s="48"/>
      <c r="T943" s="50"/>
      <c r="U943" s="51"/>
      <c r="V943" s="52"/>
      <c r="W943" s="50"/>
      <c r="X943" s="50"/>
      <c r="Y943" s="52"/>
      <c r="Z943" s="52"/>
      <c r="AA943" s="50"/>
      <c r="AB943" s="50"/>
      <c r="AC943" s="50"/>
      <c r="AD943" s="52"/>
      <c r="AF943" s="46"/>
      <c r="AG943" s="46"/>
      <c r="AH943" s="54"/>
      <c r="AI943" s="55"/>
      <c r="AJ943" s="55"/>
      <c r="AK943" s="55"/>
    </row>
    <row r="944" spans="2:37" s="53" customFormat="1" ht="17.25" customHeight="1" x14ac:dyDescent="0.25">
      <c r="B944" s="91"/>
      <c r="C944" s="35" t="str">
        <f>IF(Sheet3!A915="","",Sheet3!A915)</f>
        <v/>
      </c>
      <c r="D944" s="80"/>
      <c r="E944" s="45"/>
      <c r="F944" s="46"/>
      <c r="G944" s="46"/>
      <c r="H944" s="46"/>
      <c r="I944" s="47"/>
      <c r="J944" s="48"/>
      <c r="K944" s="48"/>
      <c r="L944" s="48"/>
      <c r="M944" s="48"/>
      <c r="N944" s="48"/>
      <c r="O944" s="46"/>
      <c r="P944" s="49"/>
      <c r="Q944" s="48"/>
      <c r="R944" s="48"/>
      <c r="S944" s="48"/>
      <c r="T944" s="50"/>
      <c r="U944" s="51"/>
      <c r="V944" s="52"/>
      <c r="W944" s="50"/>
      <c r="X944" s="50"/>
      <c r="Y944" s="52"/>
      <c r="Z944" s="52"/>
      <c r="AA944" s="50"/>
      <c r="AB944" s="50"/>
      <c r="AC944" s="50"/>
      <c r="AD944" s="52"/>
      <c r="AF944" s="46"/>
      <c r="AG944" s="46"/>
      <c r="AH944" s="54"/>
      <c r="AI944" s="55"/>
      <c r="AJ944" s="55"/>
      <c r="AK944" s="55"/>
    </row>
    <row r="945" spans="2:6" s="53" customFormat="1" ht="17.25" customHeight="1" x14ac:dyDescent="0.25">
      <c r="B945" s="91"/>
      <c r="C945" s="35" t="str">
        <f>IF(Sheet3!A916="","",Sheet3!A916)</f>
        <v/>
      </c>
      <c r="D945" s="80"/>
      <c r="E945" s="45"/>
      <c r="F945" s="46"/>
    </row>
    <row r="946" spans="2:6" s="53" customFormat="1" ht="17.25" customHeight="1" x14ac:dyDescent="0.25">
      <c r="B946" s="91"/>
      <c r="C946" s="35" t="str">
        <f>IF(Sheet3!A917="","",Sheet3!A917)</f>
        <v/>
      </c>
      <c r="D946" s="80"/>
      <c r="E946" s="45"/>
      <c r="F946" s="46"/>
    </row>
    <row r="947" spans="2:6" s="53" customFormat="1" ht="17.25" customHeight="1" x14ac:dyDescent="0.25">
      <c r="B947" s="91"/>
      <c r="C947" s="35" t="str">
        <f>IF(Sheet3!A918="","",Sheet3!A918)</f>
        <v/>
      </c>
      <c r="D947" s="80"/>
      <c r="E947" s="45"/>
      <c r="F947" s="46"/>
    </row>
    <row r="948" spans="2:6" s="53" customFormat="1" ht="17.25" customHeight="1" x14ac:dyDescent="0.25">
      <c r="B948" s="91"/>
      <c r="C948" s="35" t="str">
        <f>IF(Sheet3!A919="","",Sheet3!A919)</f>
        <v/>
      </c>
      <c r="D948" s="80"/>
      <c r="E948" s="45"/>
      <c r="F948" s="46"/>
    </row>
    <row r="949" spans="2:6" s="53" customFormat="1" ht="17.25" customHeight="1" x14ac:dyDescent="0.25">
      <c r="B949" s="91"/>
      <c r="C949" s="35" t="str">
        <f>IF(Sheet3!A920="","",Sheet3!A920)</f>
        <v/>
      </c>
      <c r="D949" s="80"/>
      <c r="E949" s="45"/>
      <c r="F949" s="46"/>
    </row>
    <row r="950" spans="2:6" s="53" customFormat="1" ht="17.25" customHeight="1" x14ac:dyDescent="0.25">
      <c r="B950" s="91"/>
      <c r="C950" s="35" t="str">
        <f>IF(Sheet3!A921="","",Sheet3!A921)</f>
        <v/>
      </c>
      <c r="D950" s="80"/>
      <c r="E950" s="45"/>
      <c r="F950" s="46"/>
    </row>
    <row r="951" spans="2:6" s="53" customFormat="1" ht="17.25" customHeight="1" x14ac:dyDescent="0.25">
      <c r="B951" s="91"/>
      <c r="C951" s="35" t="str">
        <f>IF(Sheet3!A922="","",Sheet3!A922)</f>
        <v/>
      </c>
      <c r="D951" s="80"/>
      <c r="E951" s="45"/>
      <c r="F951" s="46"/>
    </row>
    <row r="952" spans="2:6" s="53" customFormat="1" ht="17.25" customHeight="1" x14ac:dyDescent="0.25">
      <c r="B952" s="91"/>
      <c r="C952" s="35" t="str">
        <f>IF(Sheet3!A923="","",Sheet3!A923)</f>
        <v/>
      </c>
      <c r="D952" s="80"/>
      <c r="E952" s="45"/>
      <c r="F952" s="46"/>
    </row>
    <row r="953" spans="2:6" s="53" customFormat="1" ht="17.25" customHeight="1" x14ac:dyDescent="0.25">
      <c r="B953" s="91"/>
      <c r="C953" s="35" t="str">
        <f>IF(Sheet3!A924="","",Sheet3!A924)</f>
        <v/>
      </c>
      <c r="D953" s="80"/>
      <c r="E953" s="45"/>
      <c r="F953" s="46"/>
    </row>
    <row r="954" spans="2:6" s="53" customFormat="1" ht="17.25" customHeight="1" x14ac:dyDescent="0.25">
      <c r="B954" s="91"/>
      <c r="C954" s="35" t="str">
        <f>IF(Sheet3!A925="","",Sheet3!A925)</f>
        <v/>
      </c>
      <c r="D954" s="80"/>
      <c r="E954" s="45"/>
      <c r="F954" s="46"/>
    </row>
    <row r="955" spans="2:6" s="53" customFormat="1" ht="17.25" customHeight="1" x14ac:dyDescent="0.25">
      <c r="B955" s="91"/>
      <c r="C955" s="35" t="str">
        <f>IF(Sheet3!A926="","",Sheet3!A926)</f>
        <v/>
      </c>
      <c r="D955" s="80"/>
      <c r="E955" s="45"/>
      <c r="F955" s="46"/>
    </row>
    <row r="956" spans="2:6" s="53" customFormat="1" ht="17.25" customHeight="1" x14ac:dyDescent="0.25">
      <c r="B956" s="91"/>
      <c r="C956" s="35" t="str">
        <f>IF(Sheet3!A927="","",Sheet3!A927)</f>
        <v/>
      </c>
      <c r="D956" s="80"/>
      <c r="E956" s="45"/>
      <c r="F956" s="46"/>
    </row>
    <row r="957" spans="2:6" s="53" customFormat="1" ht="17.25" customHeight="1" x14ac:dyDescent="0.25">
      <c r="B957" s="91"/>
      <c r="C957" s="35" t="str">
        <f>IF(Sheet3!A928="","",Sheet3!A928)</f>
        <v/>
      </c>
      <c r="D957" s="80"/>
      <c r="E957" s="45"/>
      <c r="F957" s="46"/>
    </row>
    <row r="958" spans="2:6" s="53" customFormat="1" ht="17.25" customHeight="1" x14ac:dyDescent="0.25">
      <c r="B958" s="91"/>
      <c r="C958" s="35" t="str">
        <f>IF(Sheet3!A929="","",Sheet3!A929)</f>
        <v/>
      </c>
      <c r="D958" s="80"/>
      <c r="E958" s="45"/>
      <c r="F958" s="46"/>
    </row>
    <row r="959" spans="2:6" s="53" customFormat="1" ht="17.25" customHeight="1" x14ac:dyDescent="0.25">
      <c r="B959" s="91"/>
      <c r="C959" s="35" t="str">
        <f>IF(Sheet3!A930="","",Sheet3!A930)</f>
        <v/>
      </c>
      <c r="D959" s="80"/>
      <c r="E959" s="45"/>
      <c r="F959" s="46"/>
    </row>
    <row r="960" spans="2:6" s="53" customFormat="1" ht="17.25" customHeight="1" x14ac:dyDescent="0.25">
      <c r="B960" s="91"/>
      <c r="C960" s="35" t="str">
        <f>IF(Sheet3!A931="","",Sheet3!A931)</f>
        <v/>
      </c>
      <c r="D960" s="80"/>
      <c r="E960" s="45"/>
      <c r="F960" s="46"/>
    </row>
    <row r="961" spans="2:6" s="53" customFormat="1" ht="17.25" customHeight="1" x14ac:dyDescent="0.25">
      <c r="B961" s="91"/>
      <c r="C961" s="35" t="str">
        <f>IF(Sheet3!A932="","",Sheet3!A932)</f>
        <v/>
      </c>
      <c r="D961" s="80"/>
      <c r="E961" s="45"/>
      <c r="F961" s="46"/>
    </row>
    <row r="962" spans="2:6" s="53" customFormat="1" ht="17.25" customHeight="1" x14ac:dyDescent="0.25">
      <c r="B962" s="91"/>
      <c r="C962" s="35" t="str">
        <f>IF(Sheet3!A933="","",Sheet3!A933)</f>
        <v/>
      </c>
      <c r="D962" s="80"/>
      <c r="E962" s="45"/>
      <c r="F962" s="46"/>
    </row>
    <row r="963" spans="2:6" s="53" customFormat="1" ht="17.25" customHeight="1" x14ac:dyDescent="0.25">
      <c r="B963" s="91"/>
      <c r="C963" s="35" t="str">
        <f>IF(Sheet3!A934="","",Sheet3!A934)</f>
        <v/>
      </c>
      <c r="D963" s="80"/>
      <c r="E963" s="45"/>
      <c r="F963" s="46"/>
    </row>
    <row r="964" spans="2:6" s="53" customFormat="1" ht="17.25" customHeight="1" x14ac:dyDescent="0.25">
      <c r="B964" s="91"/>
      <c r="C964" s="35" t="str">
        <f>IF(Sheet3!A935="","",Sheet3!A935)</f>
        <v/>
      </c>
      <c r="D964" s="80"/>
      <c r="E964" s="45"/>
      <c r="F964" s="46"/>
    </row>
    <row r="965" spans="2:6" s="53" customFormat="1" ht="17.25" customHeight="1" x14ac:dyDescent="0.25">
      <c r="B965" s="91"/>
      <c r="C965" s="35" t="str">
        <f>IF(Sheet3!A936="","",Sheet3!A936)</f>
        <v/>
      </c>
      <c r="D965" s="80"/>
      <c r="E965" s="45"/>
      <c r="F965" s="46"/>
    </row>
    <row r="966" spans="2:6" s="53" customFormat="1" ht="17.25" customHeight="1" x14ac:dyDescent="0.25">
      <c r="B966" s="91"/>
      <c r="C966" s="35" t="str">
        <f>IF(Sheet3!A937="","",Sheet3!A937)</f>
        <v/>
      </c>
      <c r="D966" s="80"/>
      <c r="E966" s="45"/>
      <c r="F966" s="46"/>
    </row>
    <row r="967" spans="2:6" s="53" customFormat="1" ht="17.25" customHeight="1" x14ac:dyDescent="0.25">
      <c r="B967" s="91"/>
      <c r="C967" s="35" t="str">
        <f>IF(Sheet3!A938="","",Sheet3!A938)</f>
        <v/>
      </c>
      <c r="D967" s="80"/>
      <c r="E967" s="45"/>
      <c r="F967" s="46"/>
    </row>
    <row r="968" spans="2:6" s="53" customFormat="1" ht="17.25" customHeight="1" x14ac:dyDescent="0.25">
      <c r="B968" s="91"/>
      <c r="C968" s="35" t="str">
        <f>IF(Sheet3!A939="","",Sheet3!A939)</f>
        <v/>
      </c>
      <c r="D968" s="80"/>
      <c r="E968" s="45"/>
      <c r="F968" s="46"/>
    </row>
    <row r="969" spans="2:6" s="53" customFormat="1" ht="17.25" customHeight="1" x14ac:dyDescent="0.25">
      <c r="B969" s="91"/>
      <c r="C969" s="35" t="str">
        <f>IF(Sheet3!A940="","",Sheet3!A940)</f>
        <v/>
      </c>
      <c r="D969" s="80"/>
      <c r="E969" s="45"/>
      <c r="F969" s="46"/>
    </row>
    <row r="970" spans="2:6" s="53" customFormat="1" ht="17.25" customHeight="1" x14ac:dyDescent="0.25">
      <c r="B970" s="91"/>
      <c r="C970" s="35" t="str">
        <f>IF(Sheet3!A941="","",Sheet3!A941)</f>
        <v/>
      </c>
      <c r="D970" s="80"/>
      <c r="E970" s="45"/>
      <c r="F970" s="46"/>
    </row>
    <row r="971" spans="2:6" s="53" customFormat="1" ht="17.25" customHeight="1" x14ac:dyDescent="0.25">
      <c r="B971" s="91"/>
      <c r="C971" s="35" t="str">
        <f>IF(Sheet3!A942="","",Sheet3!A942)</f>
        <v/>
      </c>
      <c r="D971" s="80"/>
      <c r="E971" s="45"/>
      <c r="F971" s="46"/>
    </row>
    <row r="972" spans="2:6" s="53" customFormat="1" ht="17.25" customHeight="1" x14ac:dyDescent="0.25">
      <c r="B972" s="91"/>
      <c r="C972" s="35" t="str">
        <f>IF(Sheet3!A943="","",Sheet3!A943)</f>
        <v/>
      </c>
      <c r="D972" s="80"/>
      <c r="E972" s="45"/>
      <c r="F972" s="46"/>
    </row>
    <row r="973" spans="2:6" s="53" customFormat="1" ht="17.25" customHeight="1" x14ac:dyDescent="0.25">
      <c r="B973" s="91"/>
      <c r="C973" s="35" t="str">
        <f>IF(Sheet3!A944="","",Sheet3!A944)</f>
        <v/>
      </c>
      <c r="D973" s="80"/>
      <c r="E973" s="45"/>
      <c r="F973" s="46"/>
    </row>
    <row r="974" spans="2:6" s="53" customFormat="1" ht="17.25" customHeight="1" x14ac:dyDescent="0.25">
      <c r="B974" s="91"/>
      <c r="C974" s="35" t="str">
        <f>IF(Sheet3!A945="","",Sheet3!A945)</f>
        <v/>
      </c>
      <c r="D974" s="80"/>
      <c r="E974" s="45"/>
      <c r="F974" s="46"/>
    </row>
    <row r="975" spans="2:6" s="53" customFormat="1" ht="17.25" customHeight="1" x14ac:dyDescent="0.25">
      <c r="B975" s="91"/>
      <c r="C975" s="35" t="str">
        <f>IF(Sheet3!A946="","",Sheet3!A946)</f>
        <v/>
      </c>
      <c r="D975" s="80"/>
      <c r="E975" s="45"/>
      <c r="F975" s="46"/>
    </row>
    <row r="976" spans="2:6" s="53" customFormat="1" ht="17.25" customHeight="1" x14ac:dyDescent="0.25">
      <c r="B976" s="91"/>
      <c r="C976" s="35" t="str">
        <f>IF(Sheet3!A947="","",Sheet3!A947)</f>
        <v/>
      </c>
      <c r="D976" s="80"/>
      <c r="E976" s="45"/>
      <c r="F976" s="46"/>
    </row>
    <row r="977" spans="2:6" s="53" customFormat="1" ht="17.25" customHeight="1" x14ac:dyDescent="0.25">
      <c r="B977" s="91"/>
      <c r="C977" s="35" t="str">
        <f>IF(Sheet3!A948="","",Sheet3!A948)</f>
        <v/>
      </c>
      <c r="D977" s="80"/>
      <c r="E977" s="45"/>
      <c r="F977" s="46"/>
    </row>
    <row r="978" spans="2:6" s="53" customFormat="1" ht="17.25" customHeight="1" x14ac:dyDescent="0.25">
      <c r="B978" s="91"/>
      <c r="C978" s="35" t="str">
        <f>IF(Sheet3!A949="","",Sheet3!A949)</f>
        <v/>
      </c>
      <c r="D978" s="80"/>
      <c r="E978" s="45"/>
      <c r="F978" s="46"/>
    </row>
    <row r="979" spans="2:6" s="53" customFormat="1" ht="17.25" customHeight="1" x14ac:dyDescent="0.25">
      <c r="B979" s="91"/>
      <c r="C979" s="35" t="str">
        <f>IF(Sheet3!A950="","",Sheet3!A950)</f>
        <v/>
      </c>
      <c r="D979" s="80"/>
      <c r="E979" s="45"/>
      <c r="F979" s="46"/>
    </row>
    <row r="980" spans="2:6" s="53" customFormat="1" ht="17.25" customHeight="1" x14ac:dyDescent="0.25">
      <c r="B980" s="91"/>
      <c r="C980" s="35" t="str">
        <f>IF(Sheet3!A951="","",Sheet3!A951)</f>
        <v/>
      </c>
      <c r="D980" s="80"/>
      <c r="E980" s="45"/>
      <c r="F980" s="46"/>
    </row>
    <row r="981" spans="2:6" s="53" customFormat="1" ht="17.25" customHeight="1" x14ac:dyDescent="0.25">
      <c r="B981" s="91"/>
      <c r="C981" s="35" t="str">
        <f>IF(Sheet3!A952="","",Sheet3!A952)</f>
        <v/>
      </c>
      <c r="D981" s="80"/>
      <c r="E981" s="45"/>
      <c r="F981" s="46"/>
    </row>
    <row r="982" spans="2:6" s="53" customFormat="1" ht="17.25" customHeight="1" x14ac:dyDescent="0.25">
      <c r="B982" s="91"/>
      <c r="C982" s="35" t="str">
        <f>IF(Sheet3!A953="","",Sheet3!A953)</f>
        <v/>
      </c>
      <c r="D982" s="80"/>
      <c r="E982" s="45"/>
      <c r="F982" s="46"/>
    </row>
    <row r="983" spans="2:6" s="53" customFormat="1" ht="17.25" customHeight="1" x14ac:dyDescent="0.25">
      <c r="B983" s="91"/>
      <c r="C983" s="35" t="str">
        <f>IF(Sheet3!A954="","",Sheet3!A954)</f>
        <v/>
      </c>
      <c r="D983" s="80"/>
      <c r="E983" s="45"/>
      <c r="F983" s="46"/>
    </row>
    <row r="984" spans="2:6" s="53" customFormat="1" ht="17.25" customHeight="1" x14ac:dyDescent="0.25">
      <c r="B984" s="91"/>
      <c r="C984" s="35" t="str">
        <f>IF(Sheet3!A955="","",Sheet3!A955)</f>
        <v/>
      </c>
      <c r="D984" s="80"/>
      <c r="E984" s="45"/>
      <c r="F984" s="46"/>
    </row>
    <row r="985" spans="2:6" s="53" customFormat="1" ht="17.25" customHeight="1" x14ac:dyDescent="0.25">
      <c r="B985" s="91"/>
      <c r="C985" s="35" t="str">
        <f>IF(Sheet3!A956="","",Sheet3!A956)</f>
        <v/>
      </c>
      <c r="D985" s="80"/>
      <c r="E985" s="45"/>
      <c r="F985" s="46"/>
    </row>
    <row r="986" spans="2:6" s="53" customFormat="1" ht="17.25" customHeight="1" x14ac:dyDescent="0.25">
      <c r="B986" s="91"/>
      <c r="C986" s="35" t="str">
        <f>IF(Sheet3!A957="","",Sheet3!A957)</f>
        <v/>
      </c>
      <c r="D986" s="80"/>
      <c r="E986" s="45"/>
      <c r="F986" s="46"/>
    </row>
    <row r="987" spans="2:6" s="53" customFormat="1" ht="17.25" customHeight="1" x14ac:dyDescent="0.25">
      <c r="B987" s="91"/>
      <c r="C987" s="35" t="str">
        <f>IF(Sheet3!A958="","",Sheet3!A958)</f>
        <v/>
      </c>
      <c r="D987" s="80"/>
      <c r="E987" s="45"/>
      <c r="F987" s="46"/>
    </row>
    <row r="988" spans="2:6" s="53" customFormat="1" ht="17.25" customHeight="1" x14ac:dyDescent="0.25">
      <c r="B988" s="91"/>
      <c r="C988" s="35" t="str">
        <f>IF(Sheet3!A959="","",Sheet3!A959)</f>
        <v/>
      </c>
      <c r="D988" s="80"/>
      <c r="E988" s="45"/>
      <c r="F988" s="46"/>
    </row>
    <row r="989" spans="2:6" s="53" customFormat="1" ht="17.25" customHeight="1" x14ac:dyDescent="0.25">
      <c r="B989" s="91"/>
      <c r="C989" s="35" t="str">
        <f>IF(Sheet3!A960="","",Sheet3!A960)</f>
        <v/>
      </c>
      <c r="D989" s="80"/>
      <c r="E989" s="45"/>
      <c r="F989" s="46"/>
    </row>
    <row r="990" spans="2:6" s="53" customFormat="1" ht="17.25" customHeight="1" x14ac:dyDescent="0.25">
      <c r="B990" s="91"/>
      <c r="C990" s="35" t="str">
        <f>IF(Sheet3!A961="","",Sheet3!A961)</f>
        <v/>
      </c>
      <c r="D990" s="80"/>
      <c r="E990" s="45"/>
      <c r="F990" s="46"/>
    </row>
    <row r="991" spans="2:6" s="53" customFormat="1" ht="17.25" customHeight="1" x14ac:dyDescent="0.25">
      <c r="B991" s="91"/>
      <c r="C991" s="35" t="str">
        <f>IF(Sheet3!A962="","",Sheet3!A962)</f>
        <v/>
      </c>
      <c r="D991" s="80"/>
      <c r="E991" s="45"/>
      <c r="F991" s="46"/>
    </row>
    <row r="992" spans="2:6" s="53" customFormat="1" ht="17.25" customHeight="1" x14ac:dyDescent="0.25">
      <c r="B992" s="91"/>
      <c r="C992" s="35" t="str">
        <f>IF(Sheet3!A963="","",Sheet3!A963)</f>
        <v/>
      </c>
      <c r="D992" s="80"/>
      <c r="E992" s="45"/>
      <c r="F992" s="46"/>
    </row>
    <row r="993" spans="2:6" s="53" customFormat="1" ht="17.25" customHeight="1" x14ac:dyDescent="0.25">
      <c r="B993" s="91"/>
      <c r="C993" s="35" t="str">
        <f>IF(Sheet3!A964="","",Sheet3!A964)</f>
        <v/>
      </c>
      <c r="D993" s="80"/>
      <c r="E993" s="45"/>
      <c r="F993" s="46"/>
    </row>
    <row r="994" spans="2:6" s="53" customFormat="1" ht="17.25" customHeight="1" x14ac:dyDescent="0.25">
      <c r="B994" s="91"/>
      <c r="C994" s="35" t="str">
        <f>IF(Sheet3!A965="","",Sheet3!A965)</f>
        <v/>
      </c>
      <c r="D994" s="80"/>
      <c r="E994" s="45"/>
      <c r="F994" s="46"/>
    </row>
    <row r="995" spans="2:6" s="53" customFormat="1" ht="17.25" customHeight="1" x14ac:dyDescent="0.25">
      <c r="B995" s="91"/>
      <c r="C995" s="35" t="str">
        <f>IF(Sheet3!A966="","",Sheet3!A966)</f>
        <v/>
      </c>
      <c r="D995" s="80"/>
      <c r="E995" s="45"/>
      <c r="F995" s="46"/>
    </row>
    <row r="996" spans="2:6" s="53" customFormat="1" ht="17.25" customHeight="1" x14ac:dyDescent="0.25">
      <c r="B996" s="91"/>
      <c r="C996" s="35" t="str">
        <f>IF(Sheet3!A967="","",Sheet3!A967)</f>
        <v/>
      </c>
      <c r="D996" s="80"/>
      <c r="E996" s="45"/>
      <c r="F996" s="46"/>
    </row>
    <row r="997" spans="2:6" s="53" customFormat="1" ht="17.25" customHeight="1" x14ac:dyDescent="0.25">
      <c r="B997" s="91"/>
      <c r="C997" s="35" t="str">
        <f>IF(Sheet3!A968="","",Sheet3!A968)</f>
        <v/>
      </c>
      <c r="D997" s="80"/>
      <c r="E997" s="45"/>
      <c r="F997" s="46"/>
    </row>
    <row r="998" spans="2:6" s="53" customFormat="1" ht="17.25" customHeight="1" x14ac:dyDescent="0.25">
      <c r="B998" s="91"/>
      <c r="C998" s="35" t="str">
        <f>IF(Sheet3!A969="","",Sheet3!A969)</f>
        <v/>
      </c>
      <c r="D998" s="80"/>
      <c r="E998" s="45"/>
      <c r="F998" s="46"/>
    </row>
    <row r="999" spans="2:6" s="53" customFormat="1" ht="17.25" customHeight="1" x14ac:dyDescent="0.25">
      <c r="B999" s="91"/>
      <c r="C999" s="35" t="str">
        <f>IF(Sheet3!A970="","",Sheet3!A970)</f>
        <v/>
      </c>
      <c r="D999" s="80"/>
      <c r="E999" s="45"/>
      <c r="F999" s="46"/>
    </row>
    <row r="1000" spans="2:6" s="53" customFormat="1" ht="17.25" customHeight="1" x14ac:dyDescent="0.25">
      <c r="B1000" s="91"/>
      <c r="C1000" s="35" t="str">
        <f>IF(Sheet3!A971="","",Sheet3!A971)</f>
        <v/>
      </c>
      <c r="D1000" s="80"/>
      <c r="E1000" s="45"/>
      <c r="F1000" s="46"/>
    </row>
    <row r="1001" spans="2:6" s="53" customFormat="1" ht="17.25" customHeight="1" x14ac:dyDescent="0.25">
      <c r="B1001" s="91"/>
      <c r="C1001" s="35" t="str">
        <f>IF(Sheet3!A972="","",Sheet3!A972)</f>
        <v/>
      </c>
      <c r="D1001" s="80"/>
      <c r="E1001" s="45"/>
      <c r="F1001" s="46"/>
    </row>
    <row r="1002" spans="2:6" s="53" customFormat="1" ht="17.25" customHeight="1" x14ac:dyDescent="0.25">
      <c r="B1002" s="91"/>
      <c r="C1002" s="35" t="str">
        <f>IF(Sheet3!A973="","",Sheet3!A973)</f>
        <v/>
      </c>
      <c r="D1002" s="80"/>
      <c r="E1002" s="45"/>
      <c r="F1002" s="46"/>
    </row>
    <row r="1003" spans="2:6" s="53" customFormat="1" ht="17.25" customHeight="1" x14ac:dyDescent="0.25">
      <c r="B1003" s="91"/>
      <c r="C1003" s="35" t="str">
        <f>IF(Sheet3!A974="","",Sheet3!A974)</f>
        <v/>
      </c>
      <c r="D1003" s="80"/>
      <c r="E1003" s="45"/>
      <c r="F1003" s="46"/>
    </row>
    <row r="1004" spans="2:6" s="53" customFormat="1" ht="17.25" customHeight="1" x14ac:dyDescent="0.25">
      <c r="B1004" s="91"/>
      <c r="C1004" s="35" t="str">
        <f>IF(Sheet3!A975="","",Sheet3!A975)</f>
        <v/>
      </c>
      <c r="D1004" s="80"/>
      <c r="E1004" s="45"/>
      <c r="F1004" s="46"/>
    </row>
    <row r="1005" spans="2:6" s="53" customFormat="1" ht="17.25" customHeight="1" x14ac:dyDescent="0.25">
      <c r="B1005" s="91"/>
      <c r="C1005" s="35" t="str">
        <f>IF(Sheet3!A976="","",Sheet3!A976)</f>
        <v/>
      </c>
      <c r="D1005" s="80"/>
      <c r="E1005" s="45"/>
      <c r="F1005" s="46"/>
    </row>
    <row r="1006" spans="2:6" s="53" customFormat="1" ht="17.25" customHeight="1" x14ac:dyDescent="0.25">
      <c r="B1006" s="91"/>
      <c r="C1006" s="35" t="str">
        <f>IF(Sheet3!A977="","",Sheet3!A977)</f>
        <v/>
      </c>
      <c r="D1006" s="80"/>
      <c r="E1006" s="45"/>
      <c r="F1006" s="46"/>
    </row>
    <row r="1007" spans="2:6" s="53" customFormat="1" ht="17.25" customHeight="1" x14ac:dyDescent="0.25">
      <c r="B1007" s="91"/>
      <c r="C1007" s="35" t="str">
        <f>IF(Sheet3!A978="","",Sheet3!A978)</f>
        <v/>
      </c>
      <c r="D1007" s="80"/>
      <c r="E1007" s="45"/>
      <c r="F1007" s="46"/>
    </row>
    <row r="1008" spans="2:6" s="53" customFormat="1" ht="17.25" customHeight="1" x14ac:dyDescent="0.25">
      <c r="B1008" s="91"/>
      <c r="C1008" s="35" t="str">
        <f>IF(Sheet3!A979="","",Sheet3!A979)</f>
        <v/>
      </c>
      <c r="D1008" s="80"/>
      <c r="E1008" s="45"/>
      <c r="F1008" s="46"/>
    </row>
    <row r="1009" spans="2:6" s="53" customFormat="1" ht="17.25" customHeight="1" x14ac:dyDescent="0.25">
      <c r="B1009" s="91"/>
      <c r="C1009" s="35" t="str">
        <f>IF(Sheet3!A980="","",Sheet3!A980)</f>
        <v/>
      </c>
      <c r="D1009" s="80"/>
      <c r="E1009" s="45"/>
      <c r="F1009" s="46"/>
    </row>
    <row r="1010" spans="2:6" s="53" customFormat="1" ht="17.25" customHeight="1" x14ac:dyDescent="0.25">
      <c r="B1010" s="91"/>
      <c r="C1010" s="35" t="str">
        <f>IF(Sheet3!A981="","",Sheet3!A981)</f>
        <v/>
      </c>
      <c r="D1010" s="80"/>
      <c r="E1010" s="45"/>
      <c r="F1010" s="46"/>
    </row>
    <row r="1011" spans="2:6" s="53" customFormat="1" ht="17.25" customHeight="1" x14ac:dyDescent="0.25">
      <c r="B1011" s="91"/>
      <c r="C1011" s="35" t="str">
        <f>IF(Sheet3!A982="","",Sheet3!A982)</f>
        <v/>
      </c>
      <c r="D1011" s="80"/>
      <c r="E1011" s="45"/>
      <c r="F1011" s="46"/>
    </row>
    <row r="1012" spans="2:6" s="53" customFormat="1" ht="17.25" customHeight="1" x14ac:dyDescent="0.25">
      <c r="B1012" s="91"/>
      <c r="C1012" s="35" t="str">
        <f>IF(Sheet3!A983="","",Sheet3!A983)</f>
        <v/>
      </c>
      <c r="D1012" s="80"/>
      <c r="E1012" s="45"/>
      <c r="F1012" s="46"/>
    </row>
    <row r="1013" spans="2:6" s="53" customFormat="1" ht="17.25" customHeight="1" x14ac:dyDescent="0.25">
      <c r="B1013" s="91"/>
      <c r="C1013" s="35" t="str">
        <f>IF(Sheet3!A984="","",Sheet3!A984)</f>
        <v/>
      </c>
      <c r="D1013" s="80"/>
      <c r="E1013" s="45"/>
      <c r="F1013" s="46"/>
    </row>
    <row r="1014" spans="2:6" s="53" customFormat="1" ht="17.25" customHeight="1" x14ac:dyDescent="0.25">
      <c r="B1014" s="91"/>
      <c r="C1014" s="35" t="str">
        <f>IF(Sheet3!A985="","",Sheet3!A985)</f>
        <v/>
      </c>
      <c r="D1014" s="80"/>
      <c r="E1014" s="45"/>
      <c r="F1014" s="46"/>
    </row>
    <row r="1015" spans="2:6" s="53" customFormat="1" ht="17.25" customHeight="1" x14ac:dyDescent="0.25">
      <c r="B1015" s="91"/>
      <c r="C1015" s="35" t="str">
        <f>IF(Sheet3!A986="","",Sheet3!A986)</f>
        <v/>
      </c>
      <c r="D1015" s="80"/>
      <c r="E1015" s="45"/>
      <c r="F1015" s="46"/>
    </row>
    <row r="1016" spans="2:6" s="53" customFormat="1" ht="17.25" customHeight="1" x14ac:dyDescent="0.25">
      <c r="B1016" s="91"/>
      <c r="C1016" s="35" t="str">
        <f>IF(Sheet3!A987="","",Sheet3!A987)</f>
        <v/>
      </c>
      <c r="D1016" s="80"/>
      <c r="E1016" s="45"/>
      <c r="F1016" s="46"/>
    </row>
    <row r="1017" spans="2:6" s="53" customFormat="1" ht="17.25" customHeight="1" x14ac:dyDescent="0.25">
      <c r="B1017" s="91"/>
      <c r="C1017" s="35" t="str">
        <f>IF(Sheet3!A988="","",Sheet3!A988)</f>
        <v/>
      </c>
      <c r="D1017" s="80"/>
      <c r="E1017" s="45"/>
      <c r="F1017" s="46"/>
    </row>
    <row r="1018" spans="2:6" s="53" customFormat="1" ht="17.25" customHeight="1" x14ac:dyDescent="0.25">
      <c r="B1018" s="91"/>
      <c r="C1018" s="35" t="str">
        <f>IF(Sheet3!A989="","",Sheet3!A989)</f>
        <v/>
      </c>
      <c r="D1018" s="80"/>
      <c r="E1018" s="45"/>
      <c r="F1018" s="46"/>
    </row>
    <row r="1019" spans="2:6" s="53" customFormat="1" ht="17.25" customHeight="1" x14ac:dyDescent="0.25">
      <c r="B1019" s="91"/>
      <c r="C1019" s="35" t="str">
        <f>IF(Sheet3!A990="","",Sheet3!A990)</f>
        <v/>
      </c>
      <c r="D1019" s="80"/>
      <c r="E1019" s="45"/>
      <c r="F1019" s="46"/>
    </row>
    <row r="1020" spans="2:6" s="53" customFormat="1" ht="17.25" customHeight="1" x14ac:dyDescent="0.25">
      <c r="B1020" s="91"/>
      <c r="C1020" s="35" t="str">
        <f>IF(Sheet3!A991="","",Sheet3!A991)</f>
        <v/>
      </c>
      <c r="D1020" s="80"/>
      <c r="E1020" s="45"/>
      <c r="F1020" s="46"/>
    </row>
    <row r="1021" spans="2:6" s="53" customFormat="1" ht="17.25" customHeight="1" x14ac:dyDescent="0.25">
      <c r="B1021" s="91"/>
      <c r="C1021" s="35" t="str">
        <f>IF(Sheet3!A992="","",Sheet3!A992)</f>
        <v/>
      </c>
      <c r="D1021" s="80"/>
      <c r="E1021" s="45"/>
      <c r="F1021" s="46"/>
    </row>
    <row r="1022" spans="2:6" s="53" customFormat="1" ht="17.25" customHeight="1" x14ac:dyDescent="0.25">
      <c r="B1022" s="91"/>
      <c r="C1022" s="35" t="str">
        <f>IF(Sheet3!A993="","",Sheet3!A993)</f>
        <v/>
      </c>
      <c r="D1022" s="80"/>
      <c r="E1022" s="45"/>
      <c r="F1022" s="46"/>
    </row>
    <row r="1023" spans="2:6" s="53" customFormat="1" ht="17.25" customHeight="1" x14ac:dyDescent="0.25">
      <c r="B1023" s="91"/>
      <c r="C1023" s="35" t="str">
        <f>IF(Sheet3!A994="","",Sheet3!A994)</f>
        <v/>
      </c>
      <c r="D1023" s="80"/>
      <c r="E1023" s="45"/>
      <c r="F1023" s="46"/>
    </row>
    <row r="1024" spans="2:6" s="53" customFormat="1" ht="17.25" customHeight="1" x14ac:dyDescent="0.25">
      <c r="B1024" s="91"/>
      <c r="C1024" s="35" t="str">
        <f>IF(Sheet3!A995="","",Sheet3!A995)</f>
        <v/>
      </c>
      <c r="D1024" s="80"/>
      <c r="E1024" s="45"/>
      <c r="F1024" s="46"/>
    </row>
    <row r="1025" spans="2:6" s="53" customFormat="1" ht="17.25" customHeight="1" x14ac:dyDescent="0.25">
      <c r="B1025" s="91"/>
      <c r="C1025" s="35" t="str">
        <f>IF(Sheet3!A996="","",Sheet3!A996)</f>
        <v/>
      </c>
      <c r="D1025" s="80"/>
      <c r="E1025" s="45"/>
      <c r="F1025" s="46"/>
    </row>
    <row r="1026" spans="2:6" s="53" customFormat="1" ht="17.25" customHeight="1" x14ac:dyDescent="0.25">
      <c r="B1026" s="91"/>
      <c r="C1026" s="35" t="str">
        <f>IF(Sheet3!A997="","",Sheet3!A997)</f>
        <v/>
      </c>
      <c r="D1026" s="80"/>
      <c r="E1026" s="45"/>
      <c r="F1026" s="46"/>
    </row>
    <row r="1027" spans="2:6" s="53" customFormat="1" ht="17.25" customHeight="1" x14ac:dyDescent="0.25">
      <c r="B1027" s="91"/>
      <c r="C1027" s="35" t="str">
        <f>IF(Sheet3!A998="","",Sheet3!A998)</f>
        <v/>
      </c>
      <c r="D1027" s="80"/>
      <c r="E1027" s="45"/>
      <c r="F1027" s="46"/>
    </row>
    <row r="1028" spans="2:6" s="53" customFormat="1" ht="17.25" customHeight="1" x14ac:dyDescent="0.25">
      <c r="B1028" s="91"/>
      <c r="C1028" s="35" t="str">
        <f>IF(Sheet3!A999="","",Sheet3!A999)</f>
        <v/>
      </c>
      <c r="D1028" s="80"/>
      <c r="E1028" s="45"/>
      <c r="F1028" s="46"/>
    </row>
    <row r="1029" spans="2:6" s="53" customFormat="1" ht="17.25" customHeight="1" x14ac:dyDescent="0.25">
      <c r="B1029" s="91"/>
      <c r="C1029" s="35" t="str">
        <f>IF(Sheet3!A1000="","",Sheet3!A1000)</f>
        <v/>
      </c>
      <c r="D1029" s="80"/>
      <c r="E1029" s="45"/>
      <c r="F1029" s="46"/>
    </row>
    <row r="1030" spans="2:6" s="53" customFormat="1" ht="17.25" customHeight="1" x14ac:dyDescent="0.25">
      <c r="B1030" s="91"/>
      <c r="C1030" s="35" t="str">
        <f>IF(Sheet3!A1001="","",Sheet3!A1001)</f>
        <v/>
      </c>
      <c r="D1030" s="80"/>
      <c r="E1030" s="45"/>
      <c r="F1030" s="46"/>
    </row>
    <row r="1031" spans="2:6" s="53" customFormat="1" ht="17.25" customHeight="1" x14ac:dyDescent="0.25">
      <c r="B1031" s="91"/>
      <c r="C1031" s="35" t="str">
        <f>IF(Sheet3!A1002="","",Sheet3!A1002)</f>
        <v/>
      </c>
      <c r="D1031" s="80"/>
      <c r="E1031" s="45"/>
      <c r="F1031" s="46"/>
    </row>
    <row r="1032" spans="2:6" s="53" customFormat="1" ht="17.25" customHeight="1" x14ac:dyDescent="0.25">
      <c r="B1032" s="91"/>
      <c r="C1032" s="35" t="str">
        <f>IF(Sheet3!A1003="","",Sheet3!A1003)</f>
        <v/>
      </c>
      <c r="D1032" s="80"/>
      <c r="E1032" s="45"/>
      <c r="F1032" s="46"/>
    </row>
    <row r="1033" spans="2:6" s="53" customFormat="1" ht="17.25" customHeight="1" x14ac:dyDescent="0.25">
      <c r="B1033" s="91"/>
      <c r="C1033" s="35" t="str">
        <f>IF(Sheet3!A1004="","",Sheet3!A1004)</f>
        <v/>
      </c>
      <c r="D1033" s="80"/>
      <c r="E1033" s="45"/>
      <c r="F1033" s="46"/>
    </row>
    <row r="1034" spans="2:6" s="53" customFormat="1" ht="17.25" customHeight="1" x14ac:dyDescent="0.25">
      <c r="B1034" s="91"/>
      <c r="C1034" s="35" t="str">
        <f>IF(Sheet3!A1005="","",Sheet3!A1005)</f>
        <v/>
      </c>
      <c r="D1034" s="80"/>
      <c r="E1034" s="45"/>
      <c r="F1034" s="46"/>
    </row>
    <row r="1035" spans="2:6" s="53" customFormat="1" ht="17.25" customHeight="1" x14ac:dyDescent="0.25">
      <c r="B1035" s="91"/>
      <c r="C1035" s="35" t="str">
        <f>IF(Sheet3!A1006="","",Sheet3!A1006)</f>
        <v/>
      </c>
      <c r="D1035" s="80"/>
      <c r="E1035" s="45"/>
      <c r="F1035" s="46"/>
    </row>
    <row r="1036" spans="2:6" s="53" customFormat="1" ht="17.25" customHeight="1" x14ac:dyDescent="0.25">
      <c r="B1036" s="91"/>
      <c r="C1036" s="35" t="str">
        <f>IF(Sheet3!A1007="","",Sheet3!A1007)</f>
        <v/>
      </c>
      <c r="D1036" s="80"/>
      <c r="E1036" s="45"/>
      <c r="F1036" s="46"/>
    </row>
    <row r="1037" spans="2:6" s="53" customFormat="1" ht="17.25" customHeight="1" x14ac:dyDescent="0.25">
      <c r="B1037" s="91"/>
      <c r="C1037" s="35" t="str">
        <f>IF(Sheet3!A1008="","",Sheet3!A1008)</f>
        <v/>
      </c>
      <c r="D1037" s="80"/>
      <c r="E1037" s="45"/>
      <c r="F1037" s="46"/>
    </row>
    <row r="1038" spans="2:6" s="53" customFormat="1" ht="17.25" customHeight="1" x14ac:dyDescent="0.25">
      <c r="B1038" s="91"/>
      <c r="C1038" s="35" t="str">
        <f>IF(Sheet3!A1009="","",Sheet3!A1009)</f>
        <v/>
      </c>
      <c r="D1038" s="80"/>
      <c r="E1038" s="45"/>
      <c r="F1038" s="46"/>
    </row>
    <row r="1039" spans="2:6" s="53" customFormat="1" ht="17.25" customHeight="1" x14ac:dyDescent="0.25">
      <c r="B1039" s="91"/>
      <c r="C1039" s="35" t="str">
        <f>IF(Sheet3!A1010="","",Sheet3!A1010)</f>
        <v/>
      </c>
      <c r="D1039" s="80"/>
      <c r="E1039" s="45"/>
      <c r="F1039" s="46"/>
    </row>
    <row r="1040" spans="2:6" s="53" customFormat="1" ht="17.25" customHeight="1" x14ac:dyDescent="0.25">
      <c r="B1040" s="91"/>
      <c r="C1040" s="35" t="str">
        <f>IF(Sheet3!A1011="","",Sheet3!A1011)</f>
        <v/>
      </c>
      <c r="D1040" s="80"/>
      <c r="E1040" s="45"/>
      <c r="F1040" s="46"/>
    </row>
    <row r="1041" spans="2:6" s="53" customFormat="1" ht="17.25" customHeight="1" x14ac:dyDescent="0.25">
      <c r="B1041" s="91"/>
      <c r="C1041" s="35" t="str">
        <f>IF(Sheet3!A1012="","",Sheet3!A1012)</f>
        <v/>
      </c>
      <c r="D1041" s="80"/>
      <c r="E1041" s="45"/>
      <c r="F1041" s="46"/>
    </row>
    <row r="1042" spans="2:6" s="53" customFormat="1" ht="17.25" customHeight="1" x14ac:dyDescent="0.25">
      <c r="B1042" s="91"/>
      <c r="C1042" s="35" t="str">
        <f>IF(Sheet3!A1013="","",Sheet3!A1013)</f>
        <v/>
      </c>
      <c r="D1042" s="80"/>
      <c r="E1042" s="45"/>
      <c r="F1042" s="46"/>
    </row>
    <row r="1043" spans="2:6" s="53" customFormat="1" ht="17.25" customHeight="1" x14ac:dyDescent="0.25">
      <c r="B1043" s="91"/>
      <c r="C1043" s="35" t="str">
        <f>IF(Sheet3!A1014="","",Sheet3!A1014)</f>
        <v/>
      </c>
      <c r="D1043" s="80"/>
      <c r="E1043" s="45"/>
      <c r="F1043" s="46"/>
    </row>
    <row r="1044" spans="2:6" s="53" customFormat="1" ht="17.25" customHeight="1" x14ac:dyDescent="0.25">
      <c r="B1044" s="91"/>
      <c r="C1044" s="35" t="str">
        <f>IF(Sheet3!A1015="","",Sheet3!A1015)</f>
        <v/>
      </c>
      <c r="D1044" s="80"/>
      <c r="E1044" s="45"/>
      <c r="F1044" s="46"/>
    </row>
    <row r="1045" spans="2:6" s="53" customFormat="1" ht="17.25" customHeight="1" x14ac:dyDescent="0.25">
      <c r="B1045" s="91"/>
      <c r="C1045" s="35" t="str">
        <f>IF(Sheet3!A1016="","",Sheet3!A1016)</f>
        <v/>
      </c>
      <c r="D1045" s="80"/>
      <c r="E1045" s="45"/>
      <c r="F1045" s="46"/>
    </row>
    <row r="1046" spans="2:6" s="53" customFormat="1" ht="17.25" customHeight="1" x14ac:dyDescent="0.25">
      <c r="B1046" s="91"/>
      <c r="C1046" s="35" t="str">
        <f>IF(Sheet3!A1017="","",Sheet3!A1017)</f>
        <v/>
      </c>
      <c r="D1046" s="80"/>
      <c r="E1046" s="45"/>
      <c r="F1046" s="46"/>
    </row>
    <row r="1047" spans="2:6" s="53" customFormat="1" ht="17.25" customHeight="1" x14ac:dyDescent="0.25">
      <c r="B1047" s="91"/>
      <c r="C1047" s="35" t="str">
        <f>IF(Sheet3!A1018="","",Sheet3!A1018)</f>
        <v/>
      </c>
      <c r="D1047" s="80"/>
      <c r="E1047" s="45"/>
      <c r="F1047" s="46"/>
    </row>
    <row r="1048" spans="2:6" s="53" customFormat="1" ht="17.25" customHeight="1" x14ac:dyDescent="0.25">
      <c r="B1048" s="91"/>
      <c r="C1048" s="35" t="str">
        <f>IF(Sheet3!A1019="","",Sheet3!A1019)</f>
        <v/>
      </c>
      <c r="D1048" s="80"/>
      <c r="E1048" s="45"/>
      <c r="F1048" s="46"/>
    </row>
    <row r="1049" spans="2:6" s="53" customFormat="1" ht="17.25" customHeight="1" x14ac:dyDescent="0.25">
      <c r="B1049" s="91"/>
      <c r="C1049" s="35" t="str">
        <f>IF(Sheet3!A1020="","",Sheet3!A1020)</f>
        <v/>
      </c>
      <c r="D1049" s="80"/>
      <c r="E1049" s="45"/>
      <c r="F1049" s="46"/>
    </row>
    <row r="1050" spans="2:6" s="53" customFormat="1" ht="17.25" customHeight="1" x14ac:dyDescent="0.25">
      <c r="B1050" s="91"/>
      <c r="C1050" s="35" t="str">
        <f>IF(Sheet3!A1021="","",Sheet3!A1021)</f>
        <v/>
      </c>
      <c r="D1050" s="80"/>
      <c r="E1050" s="45"/>
      <c r="F1050" s="46"/>
    </row>
    <row r="1051" spans="2:6" s="53" customFormat="1" ht="17.25" customHeight="1" x14ac:dyDescent="0.25">
      <c r="B1051" s="91"/>
      <c r="C1051" s="35" t="str">
        <f>IF(Sheet3!A1022="","",Sheet3!A1022)</f>
        <v/>
      </c>
      <c r="D1051" s="80"/>
      <c r="E1051" s="45"/>
      <c r="F1051" s="46"/>
    </row>
    <row r="1052" spans="2:6" s="53" customFormat="1" ht="17.25" customHeight="1" x14ac:dyDescent="0.25">
      <c r="B1052" s="91"/>
      <c r="C1052" s="35" t="str">
        <f>IF(Sheet3!A1023="","",Sheet3!A1023)</f>
        <v/>
      </c>
      <c r="D1052" s="80"/>
      <c r="E1052" s="45"/>
      <c r="F1052" s="46"/>
    </row>
    <row r="1053" spans="2:6" s="53" customFormat="1" ht="17.25" customHeight="1" x14ac:dyDescent="0.25">
      <c r="B1053" s="91"/>
      <c r="C1053" s="35" t="str">
        <f>IF(Sheet3!A1024="","",Sheet3!A1024)</f>
        <v/>
      </c>
      <c r="D1053" s="80"/>
      <c r="E1053" s="45"/>
      <c r="F1053" s="46"/>
    </row>
    <row r="1054" spans="2:6" s="53" customFormat="1" ht="17.25" customHeight="1" x14ac:dyDescent="0.25">
      <c r="B1054" s="91"/>
      <c r="C1054" s="35" t="str">
        <f>IF(Sheet3!A1025="","",Sheet3!A1025)</f>
        <v/>
      </c>
      <c r="D1054" s="80"/>
      <c r="E1054" s="45"/>
      <c r="F1054" s="46"/>
    </row>
    <row r="1055" spans="2:6" s="53" customFormat="1" ht="17.25" customHeight="1" x14ac:dyDescent="0.25">
      <c r="B1055" s="91"/>
      <c r="C1055" s="35" t="str">
        <f>IF(Sheet3!A1026="","",Sheet3!A1026)</f>
        <v/>
      </c>
      <c r="D1055" s="80"/>
      <c r="E1055" s="45"/>
      <c r="F1055" s="46"/>
    </row>
    <row r="1056" spans="2:6" s="53" customFormat="1" ht="17.25" customHeight="1" x14ac:dyDescent="0.25">
      <c r="B1056" s="91"/>
      <c r="C1056" s="35" t="str">
        <f>IF(Sheet3!A1027="","",Sheet3!A1027)</f>
        <v/>
      </c>
      <c r="D1056" s="80"/>
      <c r="E1056" s="45"/>
      <c r="F1056" s="46"/>
    </row>
    <row r="1057" spans="2:6" s="53" customFormat="1" ht="17.25" customHeight="1" x14ac:dyDescent="0.25">
      <c r="B1057" s="91"/>
      <c r="C1057" s="35" t="str">
        <f>IF(Sheet3!A1028="","",Sheet3!A1028)</f>
        <v/>
      </c>
      <c r="D1057" s="80"/>
      <c r="E1057" s="45"/>
      <c r="F1057" s="46"/>
    </row>
    <row r="1058" spans="2:6" s="53" customFormat="1" ht="17.25" customHeight="1" x14ac:dyDescent="0.25">
      <c r="B1058" s="91"/>
      <c r="C1058" s="35" t="str">
        <f>IF(Sheet3!A1029="","",Sheet3!A1029)</f>
        <v/>
      </c>
      <c r="D1058" s="80"/>
      <c r="E1058" s="45"/>
      <c r="F1058" s="46"/>
    </row>
    <row r="1059" spans="2:6" s="53" customFormat="1" ht="17.25" customHeight="1" x14ac:dyDescent="0.25">
      <c r="B1059" s="91"/>
      <c r="C1059" s="35" t="str">
        <f>IF(Sheet3!A1030="","",Sheet3!A1030)</f>
        <v/>
      </c>
      <c r="D1059" s="80"/>
      <c r="E1059" s="45"/>
      <c r="F1059" s="46"/>
    </row>
    <row r="1060" spans="2:6" s="53" customFormat="1" ht="17.25" customHeight="1" x14ac:dyDescent="0.25">
      <c r="B1060" s="91"/>
      <c r="C1060" s="35" t="str">
        <f>IF(Sheet3!A1031="","",Sheet3!A1031)</f>
        <v/>
      </c>
      <c r="D1060" s="80"/>
      <c r="E1060" s="45"/>
      <c r="F1060" s="46"/>
    </row>
    <row r="1061" spans="2:6" s="53" customFormat="1" ht="17.25" customHeight="1" x14ac:dyDescent="0.25">
      <c r="B1061" s="91"/>
      <c r="C1061" s="35" t="str">
        <f>IF(Sheet3!A1032="","",Sheet3!A1032)</f>
        <v/>
      </c>
      <c r="D1061" s="80"/>
      <c r="E1061" s="45"/>
      <c r="F1061" s="46"/>
    </row>
    <row r="1062" spans="2:6" s="53" customFormat="1" ht="17.25" customHeight="1" x14ac:dyDescent="0.25">
      <c r="B1062" s="91"/>
      <c r="C1062" s="35" t="str">
        <f>IF(Sheet3!A1033="","",Sheet3!A1033)</f>
        <v/>
      </c>
      <c r="D1062" s="80"/>
      <c r="E1062" s="45"/>
      <c r="F1062" s="46"/>
    </row>
    <row r="1063" spans="2:6" s="53" customFormat="1" ht="17.25" customHeight="1" x14ac:dyDescent="0.25">
      <c r="B1063" s="91"/>
      <c r="C1063" s="35" t="str">
        <f>IF(Sheet3!A1034="","",Sheet3!A1034)</f>
        <v/>
      </c>
      <c r="D1063" s="80"/>
      <c r="E1063" s="45"/>
      <c r="F1063" s="46"/>
    </row>
    <row r="1064" spans="2:6" s="53" customFormat="1" ht="17.25" customHeight="1" x14ac:dyDescent="0.25">
      <c r="B1064" s="91"/>
      <c r="C1064" s="35" t="str">
        <f>IF(Sheet3!A1035="","",Sheet3!A1035)</f>
        <v/>
      </c>
      <c r="D1064" s="80"/>
      <c r="E1064" s="45"/>
      <c r="F1064" s="46"/>
    </row>
    <row r="1065" spans="2:6" s="53" customFormat="1" ht="17.25" customHeight="1" x14ac:dyDescent="0.25">
      <c r="B1065" s="91"/>
      <c r="C1065" s="35" t="str">
        <f>IF(Sheet3!A1036="","",Sheet3!A1036)</f>
        <v/>
      </c>
      <c r="D1065" s="80"/>
      <c r="E1065" s="45"/>
      <c r="F1065" s="46"/>
    </row>
    <row r="1066" spans="2:6" s="53" customFormat="1" ht="17.25" customHeight="1" x14ac:dyDescent="0.25">
      <c r="B1066" s="91"/>
      <c r="C1066" s="35" t="str">
        <f>IF(Sheet3!A1037="","",Sheet3!A1037)</f>
        <v/>
      </c>
      <c r="D1066" s="80"/>
      <c r="E1066" s="45"/>
      <c r="F1066" s="46"/>
    </row>
    <row r="1067" spans="2:6" s="53" customFormat="1" ht="17.25" customHeight="1" x14ac:dyDescent="0.25">
      <c r="B1067" s="91"/>
      <c r="C1067" s="35" t="str">
        <f>IF(Sheet3!A1038="","",Sheet3!A1038)</f>
        <v/>
      </c>
      <c r="D1067" s="80"/>
      <c r="E1067" s="45"/>
      <c r="F1067" s="46"/>
    </row>
    <row r="1068" spans="2:6" s="53" customFormat="1" ht="17.25" customHeight="1" x14ac:dyDescent="0.25">
      <c r="B1068" s="91"/>
      <c r="C1068" s="35" t="str">
        <f>IF(Sheet3!A1039="","",Sheet3!A1039)</f>
        <v/>
      </c>
      <c r="D1068" s="80"/>
      <c r="E1068" s="45"/>
      <c r="F1068" s="46"/>
    </row>
    <row r="1069" spans="2:6" s="53" customFormat="1" ht="17.25" customHeight="1" x14ac:dyDescent="0.25">
      <c r="B1069" s="91"/>
      <c r="C1069" s="35" t="str">
        <f>IF(Sheet3!A1040="","",Sheet3!A1040)</f>
        <v/>
      </c>
      <c r="D1069" s="80"/>
      <c r="E1069" s="45"/>
      <c r="F1069" s="46"/>
    </row>
    <row r="1070" spans="2:6" s="53" customFormat="1" ht="17.25" customHeight="1" x14ac:dyDescent="0.25">
      <c r="B1070" s="91"/>
      <c r="C1070" s="35" t="str">
        <f>IF(Sheet3!A1041="","",Sheet3!A1041)</f>
        <v/>
      </c>
      <c r="D1070" s="80"/>
      <c r="E1070" s="45"/>
      <c r="F1070" s="46"/>
    </row>
    <row r="1071" spans="2:6" s="53" customFormat="1" ht="17.25" customHeight="1" x14ac:dyDescent="0.25">
      <c r="B1071" s="91"/>
      <c r="C1071" s="35" t="str">
        <f>IF(Sheet3!A1042="","",Sheet3!A1042)</f>
        <v/>
      </c>
      <c r="D1071" s="80"/>
      <c r="E1071" s="45"/>
      <c r="F1071" s="46"/>
    </row>
    <row r="1072" spans="2:6" s="53" customFormat="1" ht="17.25" customHeight="1" x14ac:dyDescent="0.25">
      <c r="B1072" s="91"/>
      <c r="C1072" s="35" t="str">
        <f>IF(Sheet3!A1043="","",Sheet3!A1043)</f>
        <v/>
      </c>
      <c r="D1072" s="80"/>
      <c r="E1072" s="45"/>
      <c r="F1072" s="46"/>
    </row>
    <row r="1073" spans="2:6" s="53" customFormat="1" ht="17.25" customHeight="1" x14ac:dyDescent="0.25">
      <c r="B1073" s="91"/>
      <c r="C1073" s="35" t="str">
        <f>IF(Sheet3!A1044="","",Sheet3!A1044)</f>
        <v/>
      </c>
      <c r="D1073" s="80"/>
      <c r="E1073" s="45"/>
      <c r="F1073" s="46"/>
    </row>
    <row r="1074" spans="2:6" s="53" customFormat="1" ht="17.25" customHeight="1" x14ac:dyDescent="0.25">
      <c r="B1074" s="91"/>
      <c r="C1074" s="35" t="str">
        <f>IF(Sheet3!A1045="","",Sheet3!A1045)</f>
        <v/>
      </c>
      <c r="D1074" s="80"/>
      <c r="E1074" s="45"/>
      <c r="F1074" s="46"/>
    </row>
    <row r="1075" spans="2:6" s="53" customFormat="1" ht="17.25" customHeight="1" x14ac:dyDescent="0.25">
      <c r="B1075" s="91"/>
      <c r="C1075" s="35" t="str">
        <f>IF(Sheet3!A1046="","",Sheet3!A1046)</f>
        <v/>
      </c>
      <c r="D1075" s="80"/>
      <c r="E1075" s="45"/>
      <c r="F1075" s="46"/>
    </row>
    <row r="1076" spans="2:6" s="53" customFormat="1" ht="17.25" customHeight="1" x14ac:dyDescent="0.25">
      <c r="B1076" s="91"/>
      <c r="C1076" s="35" t="str">
        <f>IF(Sheet3!A1047="","",Sheet3!A1047)</f>
        <v/>
      </c>
      <c r="D1076" s="80"/>
      <c r="E1076" s="45"/>
      <c r="F1076" s="46"/>
    </row>
    <row r="1077" spans="2:6" s="53" customFormat="1" ht="17.25" customHeight="1" x14ac:dyDescent="0.25">
      <c r="B1077" s="91"/>
      <c r="C1077" s="35" t="str">
        <f>IF(Sheet3!A1048="","",Sheet3!A1048)</f>
        <v/>
      </c>
      <c r="D1077" s="80"/>
      <c r="E1077" s="45"/>
      <c r="F1077" s="46"/>
    </row>
    <row r="1078" spans="2:6" s="53" customFormat="1" ht="17.25" customHeight="1" x14ac:dyDescent="0.25">
      <c r="B1078" s="91"/>
      <c r="C1078" s="35" t="str">
        <f>IF(Sheet3!A1049="","",Sheet3!A1049)</f>
        <v/>
      </c>
      <c r="D1078" s="80"/>
      <c r="E1078" s="45"/>
      <c r="F1078" s="46"/>
    </row>
    <row r="1079" spans="2:6" s="53" customFormat="1" ht="17.25" customHeight="1" x14ac:dyDescent="0.25">
      <c r="B1079" s="91"/>
      <c r="C1079" s="35" t="str">
        <f>IF(Sheet3!A1050="","",Sheet3!A1050)</f>
        <v/>
      </c>
      <c r="D1079" s="80"/>
      <c r="E1079" s="45"/>
      <c r="F1079" s="46"/>
    </row>
    <row r="1080" spans="2:6" s="53" customFormat="1" ht="17.25" customHeight="1" x14ac:dyDescent="0.25">
      <c r="B1080" s="91"/>
      <c r="C1080" s="35" t="str">
        <f>IF(Sheet3!A1051="","",Sheet3!A1051)</f>
        <v/>
      </c>
      <c r="D1080" s="80"/>
      <c r="E1080" s="45"/>
      <c r="F1080" s="46"/>
    </row>
    <row r="1081" spans="2:6" s="53" customFormat="1" ht="17.25" customHeight="1" x14ac:dyDescent="0.25">
      <c r="B1081" s="91"/>
      <c r="C1081" s="35" t="str">
        <f>IF(Sheet3!A1052="","",Sheet3!A1052)</f>
        <v/>
      </c>
      <c r="D1081" s="80"/>
      <c r="E1081" s="45"/>
      <c r="F1081" s="46"/>
    </row>
    <row r="1082" spans="2:6" s="53" customFormat="1" ht="17.25" customHeight="1" x14ac:dyDescent="0.25">
      <c r="B1082" s="91"/>
      <c r="C1082" s="35" t="str">
        <f>IF(Sheet3!A1053="","",Sheet3!A1053)</f>
        <v/>
      </c>
      <c r="D1082" s="80"/>
      <c r="E1082" s="45"/>
      <c r="F1082" s="46"/>
    </row>
    <row r="1083" spans="2:6" s="53" customFormat="1" ht="17.25" customHeight="1" x14ac:dyDescent="0.25">
      <c r="B1083" s="91"/>
      <c r="C1083" s="35" t="str">
        <f>IF(Sheet3!A1054="","",Sheet3!A1054)</f>
        <v/>
      </c>
      <c r="D1083" s="80"/>
      <c r="E1083" s="45"/>
      <c r="F1083" s="46"/>
    </row>
    <row r="1084" spans="2:6" s="53" customFormat="1" ht="17.25" customHeight="1" x14ac:dyDescent="0.25">
      <c r="B1084" s="91"/>
      <c r="C1084" s="35" t="str">
        <f>IF(Sheet3!A1055="","",Sheet3!A1055)</f>
        <v/>
      </c>
      <c r="D1084" s="80"/>
      <c r="E1084" s="45"/>
      <c r="F1084" s="46"/>
    </row>
    <row r="1085" spans="2:6" s="53" customFormat="1" ht="17.25" customHeight="1" x14ac:dyDescent="0.25">
      <c r="B1085" s="91"/>
      <c r="C1085" s="35" t="str">
        <f>IF(Sheet3!A1056="","",Sheet3!A1056)</f>
        <v/>
      </c>
      <c r="D1085" s="80"/>
      <c r="E1085" s="45"/>
      <c r="F1085" s="46"/>
    </row>
    <row r="1086" spans="2:6" s="53" customFormat="1" ht="17.25" customHeight="1" x14ac:dyDescent="0.25">
      <c r="B1086" s="91"/>
      <c r="C1086" s="35" t="str">
        <f>IF(Sheet3!A1057="","",Sheet3!A1057)</f>
        <v/>
      </c>
      <c r="D1086" s="80"/>
      <c r="E1086" s="45"/>
      <c r="F1086" s="46"/>
    </row>
    <row r="1087" spans="2:6" s="53" customFormat="1" ht="17.25" customHeight="1" x14ac:dyDescent="0.25">
      <c r="B1087" s="91"/>
      <c r="C1087" s="35" t="str">
        <f>IF(Sheet3!A1058="","",Sheet3!A1058)</f>
        <v/>
      </c>
      <c r="D1087" s="80"/>
      <c r="E1087" s="45"/>
      <c r="F1087" s="46"/>
    </row>
    <row r="1088" spans="2:6" s="53" customFormat="1" ht="17.25" customHeight="1" x14ac:dyDescent="0.25">
      <c r="B1088" s="91"/>
      <c r="C1088" s="35" t="str">
        <f>IF(Sheet3!A1059="","",Sheet3!A1059)</f>
        <v/>
      </c>
      <c r="D1088" s="80"/>
      <c r="E1088" s="45"/>
      <c r="F1088" s="46"/>
    </row>
    <row r="1089" spans="2:6" s="53" customFormat="1" ht="17.25" customHeight="1" x14ac:dyDescent="0.25">
      <c r="B1089" s="91"/>
      <c r="C1089" s="35" t="str">
        <f>IF(Sheet3!A1060="","",Sheet3!A1060)</f>
        <v/>
      </c>
      <c r="D1089" s="80"/>
      <c r="E1089" s="45"/>
      <c r="F1089" s="46"/>
    </row>
    <row r="1090" spans="2:6" s="53" customFormat="1" ht="17.25" customHeight="1" x14ac:dyDescent="0.25">
      <c r="B1090" s="91"/>
      <c r="C1090" s="35" t="str">
        <f>IF(Sheet3!A1061="","",Sheet3!A1061)</f>
        <v/>
      </c>
      <c r="D1090" s="80"/>
      <c r="E1090" s="45"/>
      <c r="F1090" s="46"/>
    </row>
    <row r="1091" spans="2:6" s="53" customFormat="1" ht="17.25" customHeight="1" x14ac:dyDescent="0.25">
      <c r="B1091" s="91"/>
      <c r="C1091" s="35" t="str">
        <f>IF(Sheet3!A1062="","",Sheet3!A1062)</f>
        <v/>
      </c>
      <c r="D1091" s="80"/>
      <c r="E1091" s="45"/>
      <c r="F1091" s="46"/>
    </row>
    <row r="1092" spans="2:6" s="53" customFormat="1" ht="17.25" customHeight="1" x14ac:dyDescent="0.25">
      <c r="B1092" s="91"/>
      <c r="C1092" s="35" t="str">
        <f>IF(Sheet3!A1063="","",Sheet3!A1063)</f>
        <v/>
      </c>
      <c r="D1092" s="80"/>
      <c r="E1092" s="45"/>
      <c r="F1092" s="46"/>
    </row>
    <row r="1093" spans="2:6" s="53" customFormat="1" ht="17.25" customHeight="1" x14ac:dyDescent="0.25">
      <c r="B1093" s="91"/>
      <c r="C1093" s="35" t="str">
        <f>IF(Sheet3!A1064="","",Sheet3!A1064)</f>
        <v/>
      </c>
      <c r="D1093" s="80"/>
      <c r="E1093" s="45"/>
      <c r="F1093" s="46"/>
    </row>
    <row r="1094" spans="2:6" s="53" customFormat="1" ht="17.25" customHeight="1" x14ac:dyDescent="0.25">
      <c r="B1094" s="91"/>
      <c r="C1094" s="35" t="str">
        <f>IF(Sheet3!A1065="","",Sheet3!A1065)</f>
        <v/>
      </c>
      <c r="D1094" s="80"/>
      <c r="E1094" s="45"/>
      <c r="F1094" s="46"/>
    </row>
    <row r="1095" spans="2:6" s="53" customFormat="1" ht="17.25" customHeight="1" x14ac:dyDescent="0.25">
      <c r="B1095" s="91"/>
      <c r="C1095" s="35" t="str">
        <f>IF(Sheet3!A1066="","",Sheet3!A1066)</f>
        <v/>
      </c>
      <c r="D1095" s="80"/>
      <c r="E1095" s="45"/>
      <c r="F1095" s="46"/>
    </row>
    <row r="1096" spans="2:6" s="53" customFormat="1" ht="17.25" customHeight="1" x14ac:dyDescent="0.25">
      <c r="B1096" s="91"/>
      <c r="C1096" s="35" t="str">
        <f>IF(Sheet3!A1067="","",Sheet3!A1067)</f>
        <v/>
      </c>
      <c r="D1096" s="80"/>
      <c r="E1096" s="45"/>
      <c r="F1096" s="46"/>
    </row>
    <row r="1097" spans="2:6" s="53" customFormat="1" ht="17.25" customHeight="1" x14ac:dyDescent="0.25">
      <c r="B1097" s="91"/>
      <c r="C1097" s="35" t="str">
        <f>IF(Sheet3!A1068="","",Sheet3!A1068)</f>
        <v/>
      </c>
      <c r="D1097" s="80"/>
      <c r="E1097" s="45"/>
      <c r="F1097" s="46"/>
    </row>
    <row r="1098" spans="2:6" s="53" customFormat="1" ht="17.25" customHeight="1" x14ac:dyDescent="0.25">
      <c r="B1098" s="91"/>
      <c r="C1098" s="35" t="str">
        <f>IF(Sheet3!A1069="","",Sheet3!A1069)</f>
        <v/>
      </c>
      <c r="D1098" s="80"/>
      <c r="E1098" s="45"/>
      <c r="F1098" s="46"/>
    </row>
    <row r="1099" spans="2:6" s="53" customFormat="1" ht="17.25" customHeight="1" x14ac:dyDescent="0.25">
      <c r="B1099" s="91"/>
      <c r="C1099" s="35" t="str">
        <f>IF(Sheet3!A1070="","",Sheet3!A1070)</f>
        <v/>
      </c>
      <c r="D1099" s="80"/>
      <c r="E1099" s="45"/>
      <c r="F1099" s="46"/>
    </row>
    <row r="1100" spans="2:6" s="53" customFormat="1" ht="17.25" customHeight="1" x14ac:dyDescent="0.25">
      <c r="B1100" s="91"/>
      <c r="C1100" s="35" t="str">
        <f>IF(Sheet3!A1071="","",Sheet3!A1071)</f>
        <v/>
      </c>
      <c r="D1100" s="80"/>
      <c r="E1100" s="45"/>
      <c r="F1100" s="46"/>
    </row>
    <row r="1101" spans="2:6" s="53" customFormat="1" ht="17.25" customHeight="1" x14ac:dyDescent="0.25">
      <c r="B1101" s="91"/>
      <c r="C1101" s="35" t="str">
        <f>IF(Sheet3!A1072="","",Sheet3!A1072)</f>
        <v/>
      </c>
      <c r="D1101" s="80"/>
      <c r="E1101" s="45"/>
      <c r="F1101" s="46"/>
    </row>
    <row r="1102" spans="2:6" s="53" customFormat="1" ht="17.25" customHeight="1" x14ac:dyDescent="0.25">
      <c r="B1102" s="91"/>
      <c r="C1102" s="35" t="str">
        <f>IF(Sheet3!A1073="","",Sheet3!A1073)</f>
        <v/>
      </c>
      <c r="D1102" s="80"/>
      <c r="E1102" s="45"/>
      <c r="F1102" s="46"/>
    </row>
    <row r="1103" spans="2:6" s="53" customFormat="1" ht="17.25" customHeight="1" x14ac:dyDescent="0.25">
      <c r="B1103" s="91"/>
      <c r="C1103" s="35" t="str">
        <f>IF(Sheet3!A1074="","",Sheet3!A1074)</f>
        <v/>
      </c>
      <c r="D1103" s="80"/>
      <c r="E1103" s="45"/>
      <c r="F1103" s="46"/>
    </row>
    <row r="1104" spans="2:6" s="53" customFormat="1" ht="17.25" customHeight="1" x14ac:dyDescent="0.25">
      <c r="B1104" s="91"/>
      <c r="C1104" s="35" t="str">
        <f>IF(Sheet3!A1075="","",Sheet3!A1075)</f>
        <v/>
      </c>
      <c r="D1104" s="80"/>
      <c r="E1104" s="45"/>
      <c r="F1104" s="46"/>
    </row>
    <row r="1105" spans="2:6" s="53" customFormat="1" ht="17.25" customHeight="1" x14ac:dyDescent="0.25">
      <c r="B1105" s="91"/>
      <c r="C1105" s="35" t="str">
        <f>IF(Sheet3!A1076="","",Sheet3!A1076)</f>
        <v/>
      </c>
      <c r="D1105" s="80"/>
      <c r="E1105" s="45"/>
      <c r="F1105" s="46"/>
    </row>
    <row r="1106" spans="2:6" s="53" customFormat="1" ht="17.25" customHeight="1" x14ac:dyDescent="0.25">
      <c r="B1106" s="91"/>
      <c r="C1106" s="35" t="str">
        <f>IF(Sheet3!A1077="","",Sheet3!A1077)</f>
        <v/>
      </c>
      <c r="D1106" s="80"/>
      <c r="E1106" s="45"/>
      <c r="F1106" s="46"/>
    </row>
    <row r="1107" spans="2:6" s="53" customFormat="1" ht="17.25" customHeight="1" x14ac:dyDescent="0.25">
      <c r="B1107" s="91"/>
      <c r="C1107" s="35" t="str">
        <f>IF(Sheet3!A1078="","",Sheet3!A1078)</f>
        <v/>
      </c>
      <c r="D1107" s="80"/>
      <c r="E1107" s="45"/>
      <c r="F1107" s="46"/>
    </row>
    <row r="1108" spans="2:6" s="53" customFormat="1" ht="17.25" customHeight="1" x14ac:dyDescent="0.25">
      <c r="B1108" s="91"/>
      <c r="C1108" s="35" t="str">
        <f>IF(Sheet3!A1079="","",Sheet3!A1079)</f>
        <v/>
      </c>
      <c r="D1108" s="80"/>
      <c r="E1108" s="45"/>
      <c r="F1108" s="46"/>
    </row>
    <row r="1109" spans="2:6" s="53" customFormat="1" ht="17.25" customHeight="1" x14ac:dyDescent="0.25">
      <c r="B1109" s="91"/>
      <c r="C1109" s="35" t="str">
        <f>IF(Sheet3!A1080="","",Sheet3!A1080)</f>
        <v/>
      </c>
      <c r="D1109" s="80"/>
      <c r="E1109" s="45"/>
      <c r="F1109" s="46"/>
    </row>
    <row r="1110" spans="2:6" s="53" customFormat="1" ht="17.25" customHeight="1" x14ac:dyDescent="0.25">
      <c r="B1110" s="91"/>
      <c r="C1110" s="35" t="str">
        <f>IF(Sheet3!A1081="","",Sheet3!A1081)</f>
        <v/>
      </c>
      <c r="D1110" s="80"/>
      <c r="E1110" s="45"/>
      <c r="F1110" s="46"/>
    </row>
    <row r="1111" spans="2:6" s="53" customFormat="1" ht="17.25" customHeight="1" x14ac:dyDescent="0.25">
      <c r="B1111" s="91"/>
      <c r="C1111" s="35" t="str">
        <f>IF(Sheet3!A1082="","",Sheet3!A1082)</f>
        <v/>
      </c>
      <c r="D1111" s="80"/>
      <c r="E1111" s="45"/>
      <c r="F1111" s="46"/>
    </row>
    <row r="1112" spans="2:6" s="53" customFormat="1" ht="17.25" customHeight="1" x14ac:dyDescent="0.25">
      <c r="B1112" s="91"/>
      <c r="C1112" s="35" t="str">
        <f>IF(Sheet3!A1083="","",Sheet3!A1083)</f>
        <v/>
      </c>
      <c r="D1112" s="80"/>
      <c r="E1112" s="45"/>
      <c r="F1112" s="46"/>
    </row>
    <row r="1113" spans="2:6" s="53" customFormat="1" ht="17.25" customHeight="1" x14ac:dyDescent="0.25">
      <c r="B1113" s="91"/>
      <c r="C1113" s="35" t="str">
        <f>IF(Sheet3!A1084="","",Sheet3!A1084)</f>
        <v/>
      </c>
      <c r="D1113" s="80"/>
      <c r="E1113" s="45"/>
      <c r="F1113" s="46"/>
    </row>
    <row r="1114" spans="2:6" s="53" customFormat="1" ht="17.25" customHeight="1" x14ac:dyDescent="0.25">
      <c r="B1114" s="91"/>
      <c r="C1114" s="35" t="str">
        <f>IF(Sheet3!A1085="","",Sheet3!A1085)</f>
        <v/>
      </c>
      <c r="D1114" s="80"/>
      <c r="E1114" s="45"/>
      <c r="F1114" s="46"/>
    </row>
    <row r="1115" spans="2:6" s="53" customFormat="1" ht="17.25" customHeight="1" x14ac:dyDescent="0.25">
      <c r="B1115" s="91"/>
      <c r="C1115" s="35" t="str">
        <f>IF(Sheet3!A1086="","",Sheet3!A1086)</f>
        <v/>
      </c>
      <c r="D1115" s="80"/>
      <c r="E1115" s="45"/>
      <c r="F1115" s="46"/>
    </row>
    <row r="1116" spans="2:6" s="53" customFormat="1" ht="17.25" customHeight="1" x14ac:dyDescent="0.25">
      <c r="B1116" s="91"/>
      <c r="C1116" s="35" t="str">
        <f>IF(Sheet3!A1087="","",Sheet3!A1087)</f>
        <v/>
      </c>
      <c r="D1116" s="80"/>
      <c r="E1116" s="45"/>
      <c r="F1116" s="46"/>
    </row>
    <row r="1117" spans="2:6" s="53" customFormat="1" ht="17.25" customHeight="1" x14ac:dyDescent="0.25">
      <c r="B1117" s="91"/>
      <c r="C1117" s="35" t="str">
        <f>IF(Sheet3!A1088="","",Sheet3!A1088)</f>
        <v/>
      </c>
      <c r="D1117" s="80"/>
      <c r="E1117" s="45"/>
      <c r="F1117" s="46"/>
    </row>
    <row r="1118" spans="2:6" s="53" customFormat="1" ht="17.25" customHeight="1" x14ac:dyDescent="0.25">
      <c r="B1118" s="91"/>
      <c r="C1118" s="35" t="str">
        <f>IF(Sheet3!A1089="","",Sheet3!A1089)</f>
        <v/>
      </c>
      <c r="D1118" s="80"/>
      <c r="E1118" s="45"/>
      <c r="F1118" s="46"/>
    </row>
    <row r="1119" spans="2:6" s="53" customFormat="1" ht="17.25" customHeight="1" x14ac:dyDescent="0.25">
      <c r="B1119" s="91"/>
      <c r="C1119" s="35" t="str">
        <f>IF(Sheet3!A1090="","",Sheet3!A1090)</f>
        <v/>
      </c>
      <c r="D1119" s="80"/>
      <c r="E1119" s="45"/>
      <c r="F1119" s="46"/>
    </row>
    <row r="1120" spans="2:6" s="53" customFormat="1" ht="17.25" customHeight="1" x14ac:dyDescent="0.25">
      <c r="B1120" s="91"/>
      <c r="C1120" s="35" t="str">
        <f>IF(Sheet3!A1091="","",Sheet3!A1091)</f>
        <v/>
      </c>
      <c r="D1120" s="80"/>
      <c r="E1120" s="45"/>
      <c r="F1120" s="46"/>
    </row>
    <row r="1121" spans="2:6" s="53" customFormat="1" ht="17.25" customHeight="1" x14ac:dyDescent="0.25">
      <c r="B1121" s="91"/>
      <c r="C1121" s="35" t="str">
        <f>IF(Sheet3!A1092="","",Sheet3!A1092)</f>
        <v/>
      </c>
      <c r="D1121" s="80"/>
      <c r="E1121" s="45"/>
      <c r="F1121" s="46"/>
    </row>
    <row r="1122" spans="2:6" s="53" customFormat="1" ht="17.25" customHeight="1" x14ac:dyDescent="0.25">
      <c r="B1122" s="91"/>
      <c r="C1122" s="35" t="str">
        <f>IF(Sheet3!A1093="","",Sheet3!A1093)</f>
        <v/>
      </c>
      <c r="D1122" s="80"/>
      <c r="E1122" s="45"/>
      <c r="F1122" s="46"/>
    </row>
    <row r="1123" spans="2:6" s="53" customFormat="1" ht="17.25" customHeight="1" x14ac:dyDescent="0.25">
      <c r="B1123" s="91"/>
      <c r="C1123" s="35" t="str">
        <f>IF(Sheet3!A1094="","",Sheet3!A1094)</f>
        <v/>
      </c>
      <c r="D1123" s="80"/>
      <c r="E1123" s="45"/>
      <c r="F1123" s="46"/>
    </row>
    <row r="1124" spans="2:6" s="53" customFormat="1" ht="17.25" customHeight="1" x14ac:dyDescent="0.25">
      <c r="B1124" s="91"/>
      <c r="C1124" s="35" t="str">
        <f>IF(Sheet3!A1095="","",Sheet3!A1095)</f>
        <v/>
      </c>
      <c r="D1124" s="80"/>
      <c r="E1124" s="45"/>
      <c r="F1124" s="46"/>
    </row>
    <row r="1125" spans="2:6" s="53" customFormat="1" ht="17.25" customHeight="1" x14ac:dyDescent="0.25">
      <c r="B1125" s="91"/>
      <c r="C1125" s="35" t="str">
        <f>IF(Sheet3!A1096="","",Sheet3!A1096)</f>
        <v/>
      </c>
      <c r="D1125" s="80"/>
      <c r="E1125" s="45"/>
      <c r="F1125" s="46"/>
    </row>
    <row r="1126" spans="2:6" s="53" customFormat="1" ht="17.25" customHeight="1" x14ac:dyDescent="0.25">
      <c r="B1126" s="91"/>
      <c r="C1126" s="35" t="str">
        <f>IF(Sheet3!A1097="","",Sheet3!A1097)</f>
        <v/>
      </c>
      <c r="D1126" s="80"/>
      <c r="E1126" s="45"/>
      <c r="F1126" s="46"/>
    </row>
    <row r="1127" spans="2:6" s="53" customFormat="1" ht="17.25" customHeight="1" x14ac:dyDescent="0.25">
      <c r="B1127" s="91"/>
      <c r="C1127" s="35" t="str">
        <f>IF(Sheet3!A1098="","",Sheet3!A1098)</f>
        <v/>
      </c>
      <c r="D1127" s="80"/>
      <c r="E1127" s="45"/>
      <c r="F1127" s="46"/>
    </row>
    <row r="1128" spans="2:6" s="53" customFormat="1" ht="17.25" customHeight="1" x14ac:dyDescent="0.25">
      <c r="B1128" s="91"/>
      <c r="C1128" s="35" t="str">
        <f>IF(Sheet3!A1099="","",Sheet3!A1099)</f>
        <v/>
      </c>
      <c r="D1128" s="80"/>
      <c r="E1128" s="45"/>
      <c r="F1128" s="46"/>
    </row>
    <row r="1129" spans="2:6" s="53" customFormat="1" ht="17.25" customHeight="1" x14ac:dyDescent="0.25">
      <c r="B1129" s="91"/>
      <c r="C1129" s="35" t="str">
        <f>IF(Sheet3!A1100="","",Sheet3!A1100)</f>
        <v/>
      </c>
      <c r="D1129" s="80"/>
      <c r="E1129" s="45"/>
      <c r="F1129" s="46"/>
    </row>
    <row r="1130" spans="2:6" s="53" customFormat="1" ht="17.25" customHeight="1" x14ac:dyDescent="0.25">
      <c r="B1130" s="91"/>
      <c r="C1130" s="35" t="str">
        <f>IF(Sheet3!A1101="","",Sheet3!A1101)</f>
        <v/>
      </c>
      <c r="D1130" s="80"/>
      <c r="E1130" s="45"/>
      <c r="F1130" s="46"/>
    </row>
    <row r="1131" spans="2:6" s="53" customFormat="1" ht="17.25" customHeight="1" x14ac:dyDescent="0.25">
      <c r="B1131" s="91"/>
      <c r="C1131" s="35" t="str">
        <f>IF(Sheet3!A1102="","",Sheet3!A1102)</f>
        <v/>
      </c>
      <c r="D1131" s="80"/>
      <c r="E1131" s="45"/>
      <c r="F1131" s="46"/>
    </row>
    <row r="1132" spans="2:6" s="53" customFormat="1" ht="17.25" customHeight="1" x14ac:dyDescent="0.25">
      <c r="B1132" s="91"/>
      <c r="C1132" s="35" t="str">
        <f>IF(Sheet3!A1103="","",Sheet3!A1103)</f>
        <v/>
      </c>
      <c r="D1132" s="80"/>
      <c r="E1132" s="45"/>
      <c r="F1132" s="46"/>
    </row>
    <row r="1133" spans="2:6" s="53" customFormat="1" ht="17.25" customHeight="1" x14ac:dyDescent="0.25">
      <c r="B1133" s="91"/>
      <c r="C1133" s="35" t="str">
        <f>IF(Sheet3!A1104="","",Sheet3!A1104)</f>
        <v/>
      </c>
      <c r="D1133" s="80"/>
      <c r="E1133" s="45"/>
      <c r="F1133" s="46"/>
    </row>
    <row r="1134" spans="2:6" s="53" customFormat="1" ht="17.25" customHeight="1" x14ac:dyDescent="0.25">
      <c r="B1134" s="91"/>
      <c r="C1134" s="35" t="str">
        <f>IF(Sheet3!A1105="","",Sheet3!A1105)</f>
        <v/>
      </c>
      <c r="D1134" s="80"/>
      <c r="E1134" s="45"/>
      <c r="F1134" s="46"/>
    </row>
    <row r="1135" spans="2:6" s="53" customFormat="1" ht="17.25" customHeight="1" x14ac:dyDescent="0.25">
      <c r="B1135" s="91"/>
      <c r="C1135" s="35" t="str">
        <f>IF(Sheet3!A1106="","",Sheet3!A1106)</f>
        <v/>
      </c>
      <c r="D1135" s="80"/>
      <c r="E1135" s="45"/>
      <c r="F1135" s="46"/>
    </row>
    <row r="1136" spans="2:6" s="53" customFormat="1" ht="17.25" customHeight="1" x14ac:dyDescent="0.25">
      <c r="B1136" s="91"/>
      <c r="C1136" s="35" t="str">
        <f>IF(Sheet3!A1107="","",Sheet3!A1107)</f>
        <v/>
      </c>
      <c r="D1136" s="80"/>
      <c r="E1136" s="45"/>
      <c r="F1136" s="46"/>
    </row>
    <row r="1137" spans="2:6" s="53" customFormat="1" ht="17.25" customHeight="1" x14ac:dyDescent="0.25">
      <c r="B1137" s="91"/>
      <c r="C1137" s="35" t="str">
        <f>IF(Sheet3!A1108="","",Sheet3!A1108)</f>
        <v/>
      </c>
      <c r="D1137" s="80"/>
      <c r="E1137" s="45"/>
      <c r="F1137" s="46"/>
    </row>
    <row r="1138" spans="2:6" s="53" customFormat="1" ht="17.25" customHeight="1" x14ac:dyDescent="0.25">
      <c r="B1138" s="91"/>
      <c r="C1138" s="35" t="str">
        <f>IF(Sheet3!A1109="","",Sheet3!A1109)</f>
        <v/>
      </c>
      <c r="D1138" s="80"/>
      <c r="E1138" s="45"/>
      <c r="F1138" s="46"/>
    </row>
    <row r="1139" spans="2:6" s="53" customFormat="1" ht="17.25" customHeight="1" x14ac:dyDescent="0.25">
      <c r="B1139" s="91"/>
      <c r="C1139" s="35" t="str">
        <f>IF(Sheet3!A1110="","",Sheet3!A1110)</f>
        <v/>
      </c>
      <c r="D1139" s="80"/>
      <c r="E1139" s="45"/>
      <c r="F1139" s="46"/>
    </row>
    <row r="1140" spans="2:6" s="53" customFormat="1" ht="17.25" customHeight="1" x14ac:dyDescent="0.25">
      <c r="B1140" s="91"/>
      <c r="C1140" s="35" t="str">
        <f>IF(Sheet3!A1111="","",Sheet3!A1111)</f>
        <v/>
      </c>
      <c r="D1140" s="80"/>
      <c r="E1140" s="45"/>
      <c r="F1140" s="46"/>
    </row>
    <row r="1141" spans="2:6" s="53" customFormat="1" ht="17.25" customHeight="1" x14ac:dyDescent="0.25">
      <c r="B1141" s="91"/>
      <c r="C1141" s="35" t="str">
        <f>IF(Sheet3!A1112="","",Sheet3!A1112)</f>
        <v/>
      </c>
      <c r="D1141" s="80"/>
      <c r="E1141" s="45"/>
      <c r="F1141" s="46"/>
    </row>
    <row r="1142" spans="2:6" s="53" customFormat="1" ht="17.25" customHeight="1" x14ac:dyDescent="0.25">
      <c r="B1142" s="91"/>
      <c r="C1142" s="35" t="str">
        <f>IF(Sheet3!A1113="","",Sheet3!A1113)</f>
        <v/>
      </c>
      <c r="D1142" s="80"/>
      <c r="E1142" s="45"/>
      <c r="F1142" s="46"/>
    </row>
    <row r="1143" spans="2:6" s="53" customFormat="1" ht="17.25" customHeight="1" x14ac:dyDescent="0.25">
      <c r="B1143" s="91"/>
      <c r="C1143" s="35" t="str">
        <f>IF(Sheet3!A1114="","",Sheet3!A1114)</f>
        <v/>
      </c>
      <c r="D1143" s="80"/>
      <c r="E1143" s="45"/>
      <c r="F1143" s="46"/>
    </row>
    <row r="1144" spans="2:6" s="53" customFormat="1" ht="17.25" customHeight="1" x14ac:dyDescent="0.25">
      <c r="B1144" s="91"/>
      <c r="C1144" s="35" t="str">
        <f>IF(Sheet3!A1115="","",Sheet3!A1115)</f>
        <v/>
      </c>
      <c r="D1144" s="80"/>
      <c r="E1144" s="45"/>
      <c r="F1144" s="46"/>
    </row>
    <row r="1145" spans="2:6" s="53" customFormat="1" ht="17.25" customHeight="1" x14ac:dyDescent="0.25">
      <c r="B1145" s="91"/>
      <c r="C1145" s="35" t="str">
        <f>IF(Sheet3!A1116="","",Sheet3!A1116)</f>
        <v/>
      </c>
      <c r="D1145" s="80"/>
      <c r="E1145" s="45"/>
      <c r="F1145" s="46"/>
    </row>
    <row r="1146" spans="2:6" s="53" customFormat="1" ht="17.25" customHeight="1" x14ac:dyDescent="0.25">
      <c r="B1146" s="91"/>
      <c r="C1146" s="35" t="str">
        <f>IF(Sheet3!A1117="","",Sheet3!A1117)</f>
        <v/>
      </c>
      <c r="D1146" s="80"/>
      <c r="E1146" s="45"/>
      <c r="F1146" s="46"/>
    </row>
    <row r="1147" spans="2:6" s="53" customFormat="1" ht="17.25" customHeight="1" x14ac:dyDescent="0.25">
      <c r="B1147" s="91"/>
      <c r="C1147" s="35" t="str">
        <f>IF(Sheet3!A1118="","",Sheet3!A1118)</f>
        <v/>
      </c>
      <c r="D1147" s="80"/>
      <c r="E1147" s="45"/>
      <c r="F1147" s="46"/>
    </row>
    <row r="1148" spans="2:6" s="53" customFormat="1" ht="17.25" customHeight="1" x14ac:dyDescent="0.25">
      <c r="B1148" s="91"/>
      <c r="C1148" s="35" t="str">
        <f>IF(Sheet3!A1119="","",Sheet3!A1119)</f>
        <v/>
      </c>
      <c r="D1148" s="80"/>
      <c r="E1148" s="45"/>
      <c r="F1148" s="46"/>
    </row>
    <row r="1149" spans="2:6" s="53" customFormat="1" ht="17.25" customHeight="1" x14ac:dyDescent="0.25">
      <c r="B1149" s="91"/>
      <c r="C1149" s="35" t="str">
        <f>IF(Sheet3!A1120="","",Sheet3!A1120)</f>
        <v/>
      </c>
      <c r="D1149" s="80"/>
      <c r="E1149" s="45"/>
      <c r="F1149" s="46"/>
    </row>
    <row r="1150" spans="2:6" s="53" customFormat="1" ht="17.25" customHeight="1" x14ac:dyDescent="0.25">
      <c r="B1150" s="91"/>
      <c r="C1150" s="35" t="str">
        <f>IF(Sheet3!A1121="","",Sheet3!A1121)</f>
        <v/>
      </c>
      <c r="D1150" s="80"/>
      <c r="E1150" s="45"/>
      <c r="F1150" s="46"/>
    </row>
    <row r="1151" spans="2:6" s="53" customFormat="1" ht="17.25" customHeight="1" x14ac:dyDescent="0.25">
      <c r="B1151" s="91"/>
      <c r="C1151" s="35" t="str">
        <f>IF(Sheet3!A1122="","",Sheet3!A1122)</f>
        <v/>
      </c>
      <c r="D1151" s="80"/>
      <c r="E1151" s="45"/>
      <c r="F1151" s="46"/>
    </row>
    <row r="1152" spans="2:6" s="53" customFormat="1" ht="17.25" customHeight="1" x14ac:dyDescent="0.25">
      <c r="B1152" s="91"/>
      <c r="C1152" s="35" t="str">
        <f>IF(Sheet3!A1123="","",Sheet3!A1123)</f>
        <v/>
      </c>
      <c r="D1152" s="80"/>
      <c r="E1152" s="45"/>
      <c r="F1152" s="46"/>
    </row>
    <row r="1153" spans="2:6" s="53" customFormat="1" ht="17.25" customHeight="1" x14ac:dyDescent="0.25">
      <c r="B1153" s="91"/>
      <c r="C1153" s="35" t="str">
        <f>IF(Sheet3!A1124="","",Sheet3!A1124)</f>
        <v/>
      </c>
      <c r="D1153" s="80"/>
      <c r="E1153" s="45"/>
      <c r="F1153" s="46"/>
    </row>
    <row r="1154" spans="2:6" s="53" customFormat="1" ht="17.25" customHeight="1" x14ac:dyDescent="0.25">
      <c r="B1154" s="91"/>
      <c r="C1154" s="35" t="str">
        <f>IF(Sheet3!A1125="","",Sheet3!A1125)</f>
        <v/>
      </c>
      <c r="D1154" s="80"/>
      <c r="E1154" s="45"/>
      <c r="F1154" s="46"/>
    </row>
    <row r="1155" spans="2:6" s="53" customFormat="1" ht="17.25" customHeight="1" x14ac:dyDescent="0.25">
      <c r="B1155" s="91"/>
      <c r="C1155" s="35" t="str">
        <f>IF(Sheet3!A1126="","",Sheet3!A1126)</f>
        <v/>
      </c>
      <c r="D1155" s="80"/>
      <c r="E1155" s="45"/>
      <c r="F1155" s="46"/>
    </row>
    <row r="1156" spans="2:6" s="53" customFormat="1" ht="17.25" customHeight="1" x14ac:dyDescent="0.25">
      <c r="B1156" s="91"/>
      <c r="C1156" s="35" t="str">
        <f>IF(Sheet3!A1127="","",Sheet3!A1127)</f>
        <v/>
      </c>
      <c r="D1156" s="80"/>
      <c r="E1156" s="45"/>
      <c r="F1156" s="46"/>
    </row>
    <row r="1157" spans="2:6" s="53" customFormat="1" ht="17.25" customHeight="1" x14ac:dyDescent="0.25">
      <c r="B1157" s="91"/>
      <c r="C1157" s="35" t="str">
        <f>IF(Sheet3!A1128="","",Sheet3!A1128)</f>
        <v/>
      </c>
      <c r="D1157" s="80"/>
      <c r="E1157" s="45"/>
      <c r="F1157" s="46"/>
    </row>
    <row r="1158" spans="2:6" s="53" customFormat="1" ht="17.25" customHeight="1" x14ac:dyDescent="0.25">
      <c r="B1158" s="91"/>
      <c r="C1158" s="35" t="str">
        <f>IF(Sheet3!A1129="","",Sheet3!A1129)</f>
        <v/>
      </c>
      <c r="D1158" s="80"/>
      <c r="E1158" s="45"/>
      <c r="F1158" s="46"/>
    </row>
    <row r="1159" spans="2:6" s="53" customFormat="1" ht="17.25" customHeight="1" x14ac:dyDescent="0.25">
      <c r="B1159" s="91"/>
      <c r="C1159" s="35" t="str">
        <f>IF(Sheet3!A1130="","",Sheet3!A1130)</f>
        <v/>
      </c>
      <c r="D1159" s="80"/>
      <c r="E1159" s="45"/>
      <c r="F1159" s="46"/>
    </row>
    <row r="1160" spans="2:6" s="53" customFormat="1" ht="17.25" customHeight="1" x14ac:dyDescent="0.25">
      <c r="B1160" s="91"/>
      <c r="C1160" s="35" t="str">
        <f>IF(Sheet3!A1131="","",Sheet3!A1131)</f>
        <v/>
      </c>
      <c r="D1160" s="80"/>
      <c r="E1160" s="45"/>
      <c r="F1160" s="46"/>
    </row>
    <row r="1161" spans="2:6" s="53" customFormat="1" ht="17.25" customHeight="1" x14ac:dyDescent="0.25">
      <c r="B1161" s="91"/>
      <c r="C1161" s="35" t="str">
        <f>IF(Sheet3!A1132="","",Sheet3!A1132)</f>
        <v/>
      </c>
      <c r="D1161" s="80"/>
      <c r="E1161" s="45"/>
      <c r="F1161" s="46"/>
    </row>
    <row r="1162" spans="2:6" s="53" customFormat="1" ht="17.25" customHeight="1" x14ac:dyDescent="0.25">
      <c r="B1162" s="91"/>
      <c r="C1162" s="35" t="str">
        <f>IF(Sheet3!A1133="","",Sheet3!A1133)</f>
        <v/>
      </c>
      <c r="D1162" s="80"/>
      <c r="E1162" s="45"/>
      <c r="F1162" s="46"/>
    </row>
    <row r="1163" spans="2:6" s="53" customFormat="1" ht="17.25" customHeight="1" x14ac:dyDescent="0.25">
      <c r="B1163" s="91"/>
      <c r="C1163" s="35" t="str">
        <f>IF(Sheet3!A1134="","",Sheet3!A1134)</f>
        <v/>
      </c>
      <c r="D1163" s="80"/>
      <c r="E1163" s="45"/>
      <c r="F1163" s="46"/>
    </row>
    <row r="1164" spans="2:6" s="53" customFormat="1" ht="17.25" customHeight="1" x14ac:dyDescent="0.25">
      <c r="B1164" s="91"/>
      <c r="C1164" s="35" t="str">
        <f>IF(Sheet3!A1135="","",Sheet3!A1135)</f>
        <v/>
      </c>
      <c r="D1164" s="80"/>
      <c r="E1164" s="45"/>
      <c r="F1164" s="46"/>
    </row>
    <row r="1165" spans="2:6" s="53" customFormat="1" ht="17.25" customHeight="1" x14ac:dyDescent="0.25">
      <c r="B1165" s="91"/>
      <c r="C1165" s="35" t="str">
        <f>IF(Sheet3!A1136="","",Sheet3!A1136)</f>
        <v/>
      </c>
      <c r="D1165" s="80"/>
      <c r="E1165" s="45"/>
      <c r="F1165" s="46"/>
    </row>
    <row r="1166" spans="2:6" s="53" customFormat="1" ht="17.25" customHeight="1" x14ac:dyDescent="0.25">
      <c r="B1166" s="91"/>
      <c r="C1166" s="35" t="str">
        <f>IF(Sheet3!A1137="","",Sheet3!A1137)</f>
        <v/>
      </c>
      <c r="D1166" s="80"/>
      <c r="E1166" s="45"/>
      <c r="F1166" s="46"/>
    </row>
    <row r="1167" spans="2:6" s="53" customFormat="1" ht="17.25" customHeight="1" x14ac:dyDescent="0.25">
      <c r="B1167" s="91"/>
      <c r="C1167" s="35" t="str">
        <f>IF(Sheet3!A1138="","",Sheet3!A1138)</f>
        <v/>
      </c>
      <c r="D1167" s="80"/>
      <c r="E1167" s="45"/>
      <c r="F1167" s="46"/>
    </row>
    <row r="1168" spans="2:6" s="53" customFormat="1" ht="17.25" customHeight="1" x14ac:dyDescent="0.25">
      <c r="B1168" s="91"/>
      <c r="C1168" s="35" t="str">
        <f>IF(Sheet3!A1139="","",Sheet3!A1139)</f>
        <v/>
      </c>
      <c r="D1168" s="80"/>
      <c r="E1168" s="45"/>
      <c r="F1168" s="46"/>
    </row>
    <row r="1169" spans="2:6" s="53" customFormat="1" ht="17.25" customHeight="1" x14ac:dyDescent="0.25">
      <c r="B1169" s="91"/>
      <c r="C1169" s="35" t="str">
        <f>IF(Sheet3!A1140="","",Sheet3!A1140)</f>
        <v/>
      </c>
      <c r="D1169" s="80"/>
      <c r="E1169" s="45"/>
      <c r="F1169" s="46"/>
    </row>
    <row r="1170" spans="2:6" s="53" customFormat="1" ht="17.25" customHeight="1" x14ac:dyDescent="0.25">
      <c r="B1170" s="91"/>
      <c r="C1170" s="35" t="str">
        <f>IF(Sheet3!A1141="","",Sheet3!A1141)</f>
        <v/>
      </c>
      <c r="D1170" s="80"/>
      <c r="E1170" s="45"/>
      <c r="F1170" s="46"/>
    </row>
    <row r="1171" spans="2:6" s="53" customFormat="1" ht="17.25" customHeight="1" x14ac:dyDescent="0.25">
      <c r="B1171" s="91"/>
      <c r="C1171" s="35" t="str">
        <f>IF(Sheet3!A1142="","",Sheet3!A1142)</f>
        <v/>
      </c>
      <c r="D1171" s="80"/>
      <c r="E1171" s="45"/>
      <c r="F1171" s="46"/>
    </row>
    <row r="1172" spans="2:6" s="53" customFormat="1" ht="17.25" customHeight="1" x14ac:dyDescent="0.25">
      <c r="B1172" s="91"/>
      <c r="C1172" s="35" t="str">
        <f>IF(Sheet3!A1143="","",Sheet3!A1143)</f>
        <v/>
      </c>
      <c r="D1172" s="80"/>
      <c r="E1172" s="45"/>
      <c r="F1172" s="46"/>
    </row>
    <row r="1173" spans="2:6" s="53" customFormat="1" ht="17.25" customHeight="1" x14ac:dyDescent="0.25">
      <c r="B1173" s="91"/>
      <c r="C1173" s="35" t="str">
        <f>IF(Sheet3!A1144="","",Sheet3!A1144)</f>
        <v/>
      </c>
      <c r="D1173" s="80"/>
      <c r="E1173" s="45"/>
      <c r="F1173" s="46"/>
    </row>
    <row r="1174" spans="2:6" s="53" customFormat="1" ht="17.25" customHeight="1" x14ac:dyDescent="0.25">
      <c r="B1174" s="91"/>
      <c r="C1174" s="35" t="str">
        <f>IF(Sheet3!A1145="","",Sheet3!A1145)</f>
        <v/>
      </c>
      <c r="D1174" s="80"/>
      <c r="E1174" s="45"/>
      <c r="F1174" s="46"/>
    </row>
    <row r="1175" spans="2:6" s="53" customFormat="1" ht="17.25" customHeight="1" x14ac:dyDescent="0.25">
      <c r="B1175" s="91"/>
      <c r="C1175" s="35" t="str">
        <f>IF(Sheet3!A1146="","",Sheet3!A1146)</f>
        <v/>
      </c>
      <c r="D1175" s="80"/>
      <c r="E1175" s="45"/>
      <c r="F1175" s="46"/>
    </row>
    <row r="1176" spans="2:6" s="53" customFormat="1" ht="17.25" customHeight="1" x14ac:dyDescent="0.25">
      <c r="B1176" s="91"/>
      <c r="C1176" s="35" t="str">
        <f>IF(Sheet3!A1147="","",Sheet3!A1147)</f>
        <v/>
      </c>
      <c r="D1176" s="80"/>
      <c r="E1176" s="45"/>
      <c r="F1176" s="46"/>
    </row>
    <row r="1177" spans="2:6" s="53" customFormat="1" ht="17.25" customHeight="1" x14ac:dyDescent="0.25">
      <c r="B1177" s="91"/>
      <c r="C1177" s="35" t="str">
        <f>IF(Sheet3!A1148="","",Sheet3!A1148)</f>
        <v/>
      </c>
      <c r="D1177" s="80"/>
      <c r="E1177" s="45"/>
      <c r="F1177" s="46"/>
    </row>
    <row r="1178" spans="2:6" s="53" customFormat="1" ht="17.25" customHeight="1" x14ac:dyDescent="0.25">
      <c r="B1178" s="91"/>
      <c r="C1178" s="35" t="str">
        <f>IF(Sheet3!A1149="","",Sheet3!A1149)</f>
        <v/>
      </c>
      <c r="D1178" s="80"/>
      <c r="E1178" s="45"/>
      <c r="F1178" s="46"/>
    </row>
    <row r="1179" spans="2:6" s="53" customFormat="1" ht="17.25" customHeight="1" x14ac:dyDescent="0.25">
      <c r="B1179" s="91"/>
      <c r="C1179" s="35" t="str">
        <f>IF(Sheet3!A1150="","",Sheet3!A1150)</f>
        <v/>
      </c>
      <c r="D1179" s="80"/>
      <c r="E1179" s="45"/>
      <c r="F1179" s="46"/>
    </row>
    <row r="1180" spans="2:6" s="53" customFormat="1" ht="17.25" customHeight="1" x14ac:dyDescent="0.25">
      <c r="B1180" s="91"/>
      <c r="C1180" s="35" t="str">
        <f>IF(Sheet3!A1151="","",Sheet3!A1151)</f>
        <v/>
      </c>
      <c r="D1180" s="80"/>
      <c r="E1180" s="45"/>
      <c r="F1180" s="46"/>
    </row>
    <row r="1181" spans="2:6" s="53" customFormat="1" ht="17.25" customHeight="1" x14ac:dyDescent="0.25">
      <c r="B1181" s="91"/>
      <c r="C1181" s="35" t="str">
        <f>IF(Sheet3!A1152="","",Sheet3!A1152)</f>
        <v/>
      </c>
      <c r="D1181" s="80"/>
      <c r="E1181" s="45"/>
      <c r="F1181" s="46"/>
    </row>
    <row r="1182" spans="2:6" s="53" customFormat="1" ht="17.25" customHeight="1" x14ac:dyDescent="0.25">
      <c r="B1182" s="91"/>
      <c r="C1182" s="35" t="str">
        <f>IF(Sheet3!A1153="","",Sheet3!A1153)</f>
        <v/>
      </c>
      <c r="D1182" s="80"/>
      <c r="E1182" s="45"/>
      <c r="F1182" s="46"/>
    </row>
    <row r="1183" spans="2:6" s="53" customFormat="1" ht="17.25" customHeight="1" x14ac:dyDescent="0.25">
      <c r="B1183" s="91"/>
      <c r="C1183" s="35" t="str">
        <f>IF(Sheet3!A1154="","",Sheet3!A1154)</f>
        <v/>
      </c>
      <c r="D1183" s="80"/>
      <c r="E1183" s="45"/>
      <c r="F1183" s="46"/>
    </row>
    <row r="1184" spans="2:6" s="53" customFormat="1" ht="17.25" customHeight="1" x14ac:dyDescent="0.25">
      <c r="B1184" s="91"/>
      <c r="C1184" s="35" t="str">
        <f>IF(Sheet3!A1155="","",Sheet3!A1155)</f>
        <v/>
      </c>
      <c r="D1184" s="80"/>
      <c r="E1184" s="45"/>
      <c r="F1184" s="46"/>
    </row>
    <row r="1185" spans="2:6" s="53" customFormat="1" ht="17.25" customHeight="1" x14ac:dyDescent="0.25">
      <c r="B1185" s="91"/>
      <c r="C1185" s="35" t="str">
        <f>IF(Sheet3!A1156="","",Sheet3!A1156)</f>
        <v/>
      </c>
      <c r="D1185" s="80"/>
      <c r="E1185" s="45"/>
      <c r="F1185" s="46"/>
    </row>
    <row r="1186" spans="2:6" s="53" customFormat="1" ht="17.25" customHeight="1" x14ac:dyDescent="0.25">
      <c r="B1186" s="91"/>
      <c r="C1186" s="35" t="str">
        <f>IF(Sheet3!A1157="","",Sheet3!A1157)</f>
        <v/>
      </c>
      <c r="D1186" s="80"/>
      <c r="E1186" s="45"/>
      <c r="F1186" s="46"/>
    </row>
    <row r="1187" spans="2:6" s="53" customFormat="1" ht="17.25" customHeight="1" x14ac:dyDescent="0.25">
      <c r="B1187" s="91"/>
      <c r="C1187" s="35" t="str">
        <f>IF(Sheet3!A1158="","",Sheet3!A1158)</f>
        <v/>
      </c>
      <c r="D1187" s="80"/>
      <c r="E1187" s="45"/>
      <c r="F1187" s="46"/>
    </row>
    <row r="1188" spans="2:6" s="53" customFormat="1" ht="17.25" customHeight="1" x14ac:dyDescent="0.25">
      <c r="B1188" s="91"/>
      <c r="C1188" s="35" t="str">
        <f>IF(Sheet3!A1159="","",Sheet3!A1159)</f>
        <v/>
      </c>
      <c r="D1188" s="80"/>
      <c r="E1188" s="45"/>
      <c r="F1188" s="46"/>
    </row>
    <row r="1189" spans="2:6" s="53" customFormat="1" ht="17.25" customHeight="1" x14ac:dyDescent="0.25">
      <c r="B1189" s="91"/>
      <c r="C1189" s="35" t="str">
        <f>IF(Sheet3!A1160="","",Sheet3!A1160)</f>
        <v/>
      </c>
      <c r="D1189" s="80"/>
      <c r="E1189" s="45"/>
      <c r="F1189" s="46"/>
    </row>
    <row r="1190" spans="2:6" s="53" customFormat="1" ht="17.25" customHeight="1" x14ac:dyDescent="0.25">
      <c r="B1190" s="91"/>
      <c r="C1190" s="35" t="str">
        <f>IF(Sheet3!A1161="","",Sheet3!A1161)</f>
        <v/>
      </c>
      <c r="D1190" s="80"/>
      <c r="E1190" s="45"/>
      <c r="F1190" s="46"/>
    </row>
    <row r="1191" spans="2:6" s="53" customFormat="1" ht="17.25" customHeight="1" x14ac:dyDescent="0.25">
      <c r="B1191" s="91"/>
      <c r="C1191" s="35" t="str">
        <f>IF(Sheet3!A1162="","",Sheet3!A1162)</f>
        <v/>
      </c>
      <c r="D1191" s="80"/>
      <c r="E1191" s="45"/>
      <c r="F1191" s="46"/>
    </row>
    <row r="1192" spans="2:6" s="53" customFormat="1" ht="17.25" customHeight="1" x14ac:dyDescent="0.25">
      <c r="B1192" s="91"/>
      <c r="C1192" s="35" t="str">
        <f>IF(Sheet3!A1163="","",Sheet3!A1163)</f>
        <v/>
      </c>
      <c r="D1192" s="80"/>
      <c r="E1192" s="45"/>
      <c r="F1192" s="46"/>
    </row>
    <row r="1193" spans="2:6" s="53" customFormat="1" ht="17.25" customHeight="1" x14ac:dyDescent="0.25">
      <c r="B1193" s="91"/>
      <c r="C1193" s="35" t="str">
        <f>IF(Sheet3!A1164="","",Sheet3!A1164)</f>
        <v/>
      </c>
      <c r="D1193" s="80"/>
      <c r="E1193" s="45"/>
      <c r="F1193" s="46"/>
    </row>
    <row r="1194" spans="2:6" s="53" customFormat="1" ht="17.25" customHeight="1" x14ac:dyDescent="0.25">
      <c r="B1194" s="91"/>
      <c r="C1194" s="35" t="str">
        <f>IF(Sheet3!A1165="","",Sheet3!A1165)</f>
        <v/>
      </c>
      <c r="D1194" s="80"/>
      <c r="E1194" s="45"/>
      <c r="F1194" s="46"/>
    </row>
    <row r="1195" spans="2:6" s="53" customFormat="1" ht="17.25" customHeight="1" x14ac:dyDescent="0.25">
      <c r="B1195" s="91"/>
      <c r="C1195" s="35" t="str">
        <f>IF(Sheet3!A1166="","",Sheet3!A1166)</f>
        <v/>
      </c>
      <c r="D1195" s="80"/>
      <c r="E1195" s="45"/>
      <c r="F1195" s="46"/>
    </row>
    <row r="1196" spans="2:6" s="53" customFormat="1" ht="17.25" customHeight="1" x14ac:dyDescent="0.25">
      <c r="B1196" s="91"/>
      <c r="C1196" s="35" t="str">
        <f>IF(Sheet3!A1167="","",Sheet3!A1167)</f>
        <v/>
      </c>
      <c r="D1196" s="80"/>
      <c r="E1196" s="45"/>
      <c r="F1196" s="46"/>
    </row>
    <row r="1197" spans="2:6" s="53" customFormat="1" ht="17.25" customHeight="1" x14ac:dyDescent="0.25">
      <c r="B1197" s="91"/>
      <c r="C1197" s="35" t="str">
        <f>IF(Sheet3!A1168="","",Sheet3!A1168)</f>
        <v/>
      </c>
      <c r="D1197" s="80"/>
      <c r="E1197" s="45"/>
      <c r="F1197" s="46"/>
    </row>
    <row r="1198" spans="2:6" s="53" customFormat="1" ht="17.25" customHeight="1" x14ac:dyDescent="0.25">
      <c r="B1198" s="91"/>
      <c r="C1198" s="35" t="str">
        <f>IF(Sheet3!A1169="","",Sheet3!A1169)</f>
        <v/>
      </c>
      <c r="D1198" s="80"/>
      <c r="E1198" s="45"/>
      <c r="F1198" s="46"/>
    </row>
    <row r="1199" spans="2:6" s="53" customFormat="1" ht="17.25" customHeight="1" x14ac:dyDescent="0.25">
      <c r="B1199" s="91"/>
      <c r="C1199" s="35" t="str">
        <f>IF(Sheet3!A1170="","",Sheet3!A1170)</f>
        <v/>
      </c>
      <c r="D1199" s="80"/>
      <c r="E1199" s="45"/>
      <c r="F1199" s="46"/>
    </row>
    <row r="1200" spans="2:6" s="53" customFormat="1" ht="17.25" customHeight="1" x14ac:dyDescent="0.25">
      <c r="B1200" s="91"/>
      <c r="C1200" s="35" t="str">
        <f>IF(Sheet3!A1171="","",Sheet3!A1171)</f>
        <v/>
      </c>
      <c r="D1200" s="80"/>
      <c r="E1200" s="45"/>
      <c r="F1200" s="46"/>
    </row>
    <row r="1201" spans="2:6" s="53" customFormat="1" ht="17.25" customHeight="1" x14ac:dyDescent="0.25">
      <c r="B1201" s="91"/>
      <c r="C1201" s="35" t="str">
        <f>IF(Sheet3!A1172="","",Sheet3!A1172)</f>
        <v/>
      </c>
      <c r="D1201" s="80"/>
      <c r="E1201" s="45"/>
      <c r="F1201" s="46"/>
    </row>
    <row r="1202" spans="2:6" s="53" customFormat="1" ht="17.25" customHeight="1" x14ac:dyDescent="0.25">
      <c r="B1202" s="91"/>
      <c r="C1202" s="35" t="str">
        <f>IF(Sheet3!A1173="","",Sheet3!A1173)</f>
        <v/>
      </c>
      <c r="D1202" s="80"/>
      <c r="E1202" s="45"/>
      <c r="F1202" s="46"/>
    </row>
    <row r="1203" spans="2:6" s="53" customFormat="1" ht="17.25" customHeight="1" x14ac:dyDescent="0.25">
      <c r="B1203" s="91"/>
      <c r="C1203" s="35" t="str">
        <f>IF(Sheet3!A1174="","",Sheet3!A1174)</f>
        <v/>
      </c>
      <c r="D1203" s="80"/>
      <c r="E1203" s="45"/>
      <c r="F1203" s="46"/>
    </row>
    <row r="1204" spans="2:6" s="53" customFormat="1" ht="17.25" customHeight="1" x14ac:dyDescent="0.25">
      <c r="B1204" s="91"/>
      <c r="C1204" s="35" t="str">
        <f>IF(Sheet3!A1175="","",Sheet3!A1175)</f>
        <v/>
      </c>
      <c r="D1204" s="80"/>
      <c r="E1204" s="45"/>
      <c r="F1204" s="46"/>
    </row>
    <row r="1205" spans="2:6" s="53" customFormat="1" ht="17.25" customHeight="1" x14ac:dyDescent="0.25">
      <c r="B1205" s="91"/>
      <c r="C1205" s="35" t="str">
        <f>IF(Sheet3!A1176="","",Sheet3!A1176)</f>
        <v/>
      </c>
      <c r="D1205" s="80"/>
      <c r="E1205" s="45"/>
      <c r="F1205" s="46"/>
    </row>
    <row r="1206" spans="2:6" s="53" customFormat="1" ht="17.25" customHeight="1" x14ac:dyDescent="0.25">
      <c r="B1206" s="91"/>
      <c r="C1206" s="35" t="str">
        <f>IF(Sheet3!A1177="","",Sheet3!A1177)</f>
        <v/>
      </c>
      <c r="D1206" s="80"/>
      <c r="E1206" s="45"/>
      <c r="F1206" s="46"/>
    </row>
    <row r="1207" spans="2:6" s="53" customFormat="1" ht="17.25" customHeight="1" x14ac:dyDescent="0.25">
      <c r="B1207" s="91"/>
      <c r="C1207" s="35" t="str">
        <f>IF(Sheet3!A1178="","",Sheet3!A1178)</f>
        <v/>
      </c>
      <c r="D1207" s="80"/>
      <c r="E1207" s="45"/>
      <c r="F1207" s="46"/>
    </row>
    <row r="1208" spans="2:6" s="53" customFormat="1" ht="17.25" customHeight="1" x14ac:dyDescent="0.25">
      <c r="B1208" s="91"/>
      <c r="C1208" s="35" t="str">
        <f>IF(Sheet3!A1179="","",Sheet3!A1179)</f>
        <v/>
      </c>
      <c r="D1208" s="80"/>
      <c r="E1208" s="45"/>
      <c r="F1208" s="46"/>
    </row>
    <row r="1209" spans="2:6" s="53" customFormat="1" ht="17.25" customHeight="1" x14ac:dyDescent="0.25">
      <c r="B1209" s="91"/>
      <c r="C1209" s="35" t="str">
        <f>IF(Sheet3!A1180="","",Sheet3!A1180)</f>
        <v/>
      </c>
      <c r="D1209" s="80"/>
      <c r="E1209" s="45"/>
      <c r="F1209" s="46"/>
    </row>
    <row r="1210" spans="2:6" s="53" customFormat="1" ht="17.25" customHeight="1" x14ac:dyDescent="0.25">
      <c r="B1210" s="91"/>
      <c r="C1210" s="35" t="str">
        <f>IF(Sheet3!A1181="","",Sheet3!A1181)</f>
        <v/>
      </c>
      <c r="D1210" s="80"/>
      <c r="E1210" s="45"/>
      <c r="F1210" s="46"/>
    </row>
    <row r="1211" spans="2:6" s="53" customFormat="1" ht="17.25" customHeight="1" x14ac:dyDescent="0.25">
      <c r="B1211" s="91"/>
      <c r="C1211" s="35" t="str">
        <f>IF(Sheet3!A1182="","",Sheet3!A1182)</f>
        <v/>
      </c>
      <c r="D1211" s="80"/>
      <c r="E1211" s="45"/>
      <c r="F1211" s="46"/>
    </row>
    <row r="1212" spans="2:6" s="53" customFormat="1" ht="17.25" customHeight="1" x14ac:dyDescent="0.25">
      <c r="B1212" s="91"/>
      <c r="C1212" s="35" t="str">
        <f>IF(Sheet3!A1183="","",Sheet3!A1183)</f>
        <v/>
      </c>
      <c r="D1212" s="80"/>
      <c r="E1212" s="45"/>
      <c r="F1212" s="46"/>
    </row>
    <row r="1213" spans="2:6" s="53" customFormat="1" ht="17.25" customHeight="1" x14ac:dyDescent="0.25">
      <c r="B1213" s="91"/>
      <c r="C1213" s="35" t="str">
        <f>IF(Sheet3!A1184="","",Sheet3!A1184)</f>
        <v/>
      </c>
      <c r="D1213" s="80"/>
      <c r="E1213" s="45"/>
      <c r="F1213" s="46"/>
    </row>
    <row r="1214" spans="2:6" s="53" customFormat="1" ht="17.25" customHeight="1" x14ac:dyDescent="0.25">
      <c r="B1214" s="91"/>
      <c r="C1214" s="35" t="str">
        <f>IF(Sheet3!A1185="","",Sheet3!A1185)</f>
        <v/>
      </c>
      <c r="D1214" s="80"/>
      <c r="E1214" s="45"/>
      <c r="F1214" s="46"/>
    </row>
    <row r="1215" spans="2:6" s="53" customFormat="1" ht="17.25" customHeight="1" x14ac:dyDescent="0.25">
      <c r="B1215" s="91"/>
      <c r="C1215" s="35" t="str">
        <f>IF(Sheet3!A1186="","",Sheet3!A1186)</f>
        <v/>
      </c>
      <c r="D1215" s="80"/>
      <c r="E1215" s="45"/>
      <c r="F1215" s="46"/>
    </row>
    <row r="1216" spans="2:6" s="53" customFormat="1" ht="17.25" customHeight="1" x14ac:dyDescent="0.25">
      <c r="B1216" s="91"/>
      <c r="C1216" s="35" t="str">
        <f>IF(Sheet3!A1187="","",Sheet3!A1187)</f>
        <v/>
      </c>
      <c r="D1216" s="80"/>
      <c r="E1216" s="45"/>
      <c r="F1216" s="46"/>
    </row>
    <row r="1217" spans="2:6" s="53" customFormat="1" ht="17.25" customHeight="1" x14ac:dyDescent="0.25">
      <c r="B1217" s="91"/>
      <c r="C1217" s="35" t="str">
        <f>IF(Sheet3!A1188="","",Sheet3!A1188)</f>
        <v/>
      </c>
      <c r="D1217" s="80"/>
      <c r="E1217" s="45"/>
      <c r="F1217" s="46"/>
    </row>
    <row r="1218" spans="2:6" s="53" customFormat="1" ht="17.25" customHeight="1" x14ac:dyDescent="0.25">
      <c r="B1218" s="91"/>
      <c r="C1218" s="35" t="str">
        <f>IF(Sheet3!A1189="","",Sheet3!A1189)</f>
        <v/>
      </c>
      <c r="D1218" s="80"/>
      <c r="E1218" s="45"/>
      <c r="F1218" s="46"/>
    </row>
    <row r="1219" spans="2:6" s="53" customFormat="1" ht="17.25" customHeight="1" x14ac:dyDescent="0.25">
      <c r="B1219" s="91"/>
      <c r="C1219" s="35" t="str">
        <f>IF(Sheet3!A1190="","",Sheet3!A1190)</f>
        <v/>
      </c>
      <c r="D1219" s="80"/>
      <c r="E1219" s="45"/>
      <c r="F1219" s="46"/>
    </row>
    <row r="1220" spans="2:6" s="53" customFormat="1" ht="17.25" customHeight="1" x14ac:dyDescent="0.25">
      <c r="B1220" s="91"/>
      <c r="C1220" s="35" t="str">
        <f>IF(Sheet3!A1191="","",Sheet3!A1191)</f>
        <v/>
      </c>
      <c r="D1220" s="80"/>
      <c r="E1220" s="45"/>
      <c r="F1220" s="46"/>
    </row>
    <row r="1221" spans="2:6" s="53" customFormat="1" ht="17.25" customHeight="1" x14ac:dyDescent="0.25">
      <c r="B1221" s="91"/>
      <c r="C1221" s="35" t="str">
        <f>IF(Sheet3!A1192="","",Sheet3!A1192)</f>
        <v/>
      </c>
      <c r="D1221" s="80"/>
      <c r="E1221" s="45"/>
      <c r="F1221" s="46"/>
    </row>
    <row r="1222" spans="2:6" s="53" customFormat="1" ht="17.25" customHeight="1" x14ac:dyDescent="0.25">
      <c r="B1222" s="91"/>
      <c r="C1222" s="35" t="str">
        <f>IF(Sheet3!A1193="","",Sheet3!A1193)</f>
        <v/>
      </c>
      <c r="D1222" s="80"/>
      <c r="E1222" s="45"/>
      <c r="F1222" s="46"/>
    </row>
    <row r="1223" spans="2:6" s="53" customFormat="1" ht="17.25" customHeight="1" x14ac:dyDescent="0.25">
      <c r="B1223" s="91"/>
      <c r="C1223" s="35" t="str">
        <f>IF(Sheet3!A1194="","",Sheet3!A1194)</f>
        <v/>
      </c>
      <c r="D1223" s="80"/>
      <c r="E1223" s="45"/>
      <c r="F1223" s="46"/>
    </row>
    <row r="1224" spans="2:6" s="53" customFormat="1" ht="17.25" customHeight="1" x14ac:dyDescent="0.25">
      <c r="B1224" s="91"/>
      <c r="C1224" s="35" t="str">
        <f>IF(Sheet3!A1195="","",Sheet3!A1195)</f>
        <v/>
      </c>
      <c r="D1224" s="80"/>
      <c r="E1224" s="45"/>
      <c r="F1224" s="46"/>
    </row>
    <row r="1225" spans="2:6" s="53" customFormat="1" ht="17.25" customHeight="1" x14ac:dyDescent="0.25">
      <c r="B1225" s="91"/>
      <c r="C1225" s="35" t="str">
        <f>IF(Sheet3!A1196="","",Sheet3!A1196)</f>
        <v/>
      </c>
      <c r="D1225" s="80"/>
      <c r="E1225" s="45"/>
      <c r="F1225" s="46"/>
    </row>
    <row r="1226" spans="2:6" s="53" customFormat="1" ht="17.25" customHeight="1" x14ac:dyDescent="0.25">
      <c r="B1226" s="91"/>
      <c r="C1226" s="35" t="str">
        <f>IF(Sheet3!A1197="","",Sheet3!A1197)</f>
        <v/>
      </c>
      <c r="D1226" s="80"/>
      <c r="E1226" s="45"/>
      <c r="F1226" s="46"/>
    </row>
    <row r="1227" spans="2:6" s="53" customFormat="1" ht="17.25" customHeight="1" x14ac:dyDescent="0.25">
      <c r="B1227" s="91"/>
      <c r="C1227" s="35" t="str">
        <f>IF(Sheet3!A1198="","",Sheet3!A1198)</f>
        <v/>
      </c>
      <c r="D1227" s="80"/>
      <c r="E1227" s="45"/>
      <c r="F1227" s="46"/>
    </row>
    <row r="1228" spans="2:6" s="53" customFormat="1" ht="17.25" customHeight="1" x14ac:dyDescent="0.25">
      <c r="B1228" s="91"/>
      <c r="C1228" s="35" t="str">
        <f>IF(Sheet3!A1199="","",Sheet3!A1199)</f>
        <v/>
      </c>
      <c r="D1228" s="80"/>
      <c r="E1228" s="45"/>
      <c r="F1228" s="46"/>
    </row>
    <row r="1229" spans="2:6" s="53" customFormat="1" ht="17.25" customHeight="1" x14ac:dyDescent="0.25">
      <c r="B1229" s="91"/>
      <c r="C1229" s="35" t="str">
        <f>IF(Sheet3!A1200="","",Sheet3!A1200)</f>
        <v/>
      </c>
      <c r="D1229" s="80"/>
      <c r="E1229" s="45"/>
      <c r="F1229" s="46"/>
    </row>
    <row r="1230" spans="2:6" s="53" customFormat="1" ht="17.25" customHeight="1" x14ac:dyDescent="0.25">
      <c r="B1230" s="91"/>
      <c r="C1230" s="35" t="str">
        <f>IF(Sheet3!A1201="","",Sheet3!A1201)</f>
        <v/>
      </c>
      <c r="D1230" s="80"/>
      <c r="E1230" s="45"/>
      <c r="F1230" s="46"/>
    </row>
    <row r="1231" spans="2:6" s="53" customFormat="1" ht="17.25" customHeight="1" x14ac:dyDescent="0.25">
      <c r="B1231" s="91"/>
      <c r="C1231" s="35" t="str">
        <f>IF(Sheet3!A1202="","",Sheet3!A1202)</f>
        <v/>
      </c>
      <c r="D1231" s="80"/>
      <c r="E1231" s="45"/>
      <c r="F1231" s="46"/>
    </row>
    <row r="1232" spans="2:6" s="53" customFormat="1" ht="17.25" customHeight="1" x14ac:dyDescent="0.25">
      <c r="B1232" s="91"/>
      <c r="C1232" s="35" t="str">
        <f>IF(Sheet3!A1203="","",Sheet3!A1203)</f>
        <v/>
      </c>
      <c r="D1232" s="80"/>
      <c r="E1232" s="45"/>
      <c r="F1232" s="46"/>
    </row>
    <row r="1233" spans="2:6" s="53" customFormat="1" ht="17.25" customHeight="1" x14ac:dyDescent="0.25">
      <c r="B1233" s="91"/>
      <c r="C1233" s="35" t="str">
        <f>IF(Sheet3!A1204="","",Sheet3!A1204)</f>
        <v/>
      </c>
      <c r="D1233" s="80"/>
      <c r="E1233" s="45"/>
      <c r="F1233" s="46"/>
    </row>
    <row r="1234" spans="2:6" s="53" customFormat="1" ht="17.25" customHeight="1" x14ac:dyDescent="0.25">
      <c r="B1234" s="91"/>
      <c r="C1234" s="35" t="str">
        <f>IF(Sheet3!A1205="","",Sheet3!A1205)</f>
        <v/>
      </c>
      <c r="D1234" s="80"/>
      <c r="E1234" s="45"/>
      <c r="F1234" s="46"/>
    </row>
    <row r="1235" spans="2:6" s="53" customFormat="1" ht="17.25" customHeight="1" x14ac:dyDescent="0.25">
      <c r="B1235" s="91"/>
      <c r="C1235" s="35" t="str">
        <f>IF(Sheet3!A1206="","",Sheet3!A1206)</f>
        <v/>
      </c>
      <c r="D1235" s="80"/>
      <c r="E1235" s="45"/>
      <c r="F1235" s="46"/>
    </row>
    <row r="1236" spans="2:6" s="53" customFormat="1" ht="17.25" customHeight="1" x14ac:dyDescent="0.25">
      <c r="B1236" s="91"/>
      <c r="C1236" s="35" t="str">
        <f>IF(Sheet3!A1207="","",Sheet3!A1207)</f>
        <v/>
      </c>
      <c r="D1236" s="80"/>
      <c r="E1236" s="45"/>
      <c r="F1236" s="46"/>
    </row>
    <row r="1237" spans="2:6" s="53" customFormat="1" ht="17.25" customHeight="1" x14ac:dyDescent="0.25">
      <c r="B1237" s="91"/>
      <c r="C1237" s="35" t="str">
        <f>IF(Sheet3!A1208="","",Sheet3!A1208)</f>
        <v/>
      </c>
      <c r="D1237" s="80"/>
      <c r="E1237" s="45"/>
      <c r="F1237" s="46"/>
    </row>
    <row r="1238" spans="2:6" s="53" customFormat="1" ht="17.25" customHeight="1" x14ac:dyDescent="0.25">
      <c r="B1238" s="91"/>
      <c r="C1238" s="35" t="str">
        <f>IF(Sheet3!A1209="","",Sheet3!A1209)</f>
        <v/>
      </c>
      <c r="D1238" s="80"/>
      <c r="E1238" s="45"/>
      <c r="F1238" s="46"/>
    </row>
    <row r="1239" spans="2:6" s="53" customFormat="1" ht="17.25" customHeight="1" x14ac:dyDescent="0.25">
      <c r="B1239" s="91"/>
      <c r="C1239" s="35" t="str">
        <f>IF(Sheet3!A1210="","",Sheet3!A1210)</f>
        <v/>
      </c>
      <c r="D1239" s="80"/>
      <c r="E1239" s="45"/>
      <c r="F1239" s="46"/>
    </row>
    <row r="1240" spans="2:6" s="53" customFormat="1" ht="17.25" customHeight="1" x14ac:dyDescent="0.25">
      <c r="B1240" s="91"/>
      <c r="C1240" s="35" t="str">
        <f>IF(Sheet3!A1211="","",Sheet3!A1211)</f>
        <v/>
      </c>
      <c r="D1240" s="80"/>
      <c r="E1240" s="45"/>
      <c r="F1240" s="46"/>
    </row>
    <row r="1241" spans="2:6" s="53" customFormat="1" ht="17.25" customHeight="1" x14ac:dyDescent="0.25">
      <c r="B1241" s="91"/>
      <c r="C1241" s="35" t="str">
        <f>IF(Sheet3!A1212="","",Sheet3!A1212)</f>
        <v/>
      </c>
      <c r="D1241" s="80"/>
      <c r="E1241" s="45"/>
      <c r="F1241" s="46"/>
    </row>
    <row r="1242" spans="2:6" s="53" customFormat="1" ht="17.25" customHeight="1" x14ac:dyDescent="0.25">
      <c r="B1242" s="91"/>
      <c r="C1242" s="35" t="str">
        <f>IF(Sheet3!A1213="","",Sheet3!A1213)</f>
        <v/>
      </c>
      <c r="D1242" s="80"/>
      <c r="E1242" s="45"/>
      <c r="F1242" s="46"/>
    </row>
    <row r="1243" spans="2:6" s="53" customFormat="1" ht="17.25" customHeight="1" x14ac:dyDescent="0.25">
      <c r="B1243" s="91"/>
      <c r="C1243" s="35" t="str">
        <f>IF(Sheet3!A1214="","",Sheet3!A1214)</f>
        <v/>
      </c>
      <c r="D1243" s="80"/>
      <c r="E1243" s="45"/>
      <c r="F1243" s="46"/>
    </row>
    <row r="1244" spans="2:6" s="53" customFormat="1" ht="17.25" customHeight="1" x14ac:dyDescent="0.25">
      <c r="B1244" s="91"/>
      <c r="C1244" s="35" t="str">
        <f>IF(Sheet3!A1215="","",Sheet3!A1215)</f>
        <v/>
      </c>
      <c r="D1244" s="80"/>
      <c r="E1244" s="45"/>
      <c r="F1244" s="46"/>
    </row>
    <row r="1245" spans="2:6" s="53" customFormat="1" ht="17.25" customHeight="1" x14ac:dyDescent="0.25">
      <c r="B1245" s="91"/>
      <c r="C1245" s="35" t="str">
        <f>IF(Sheet3!A1216="","",Sheet3!A1216)</f>
        <v/>
      </c>
      <c r="D1245" s="80"/>
      <c r="E1245" s="45"/>
      <c r="F1245" s="46"/>
    </row>
    <row r="1246" spans="2:6" s="53" customFormat="1" ht="17.25" customHeight="1" x14ac:dyDescent="0.25">
      <c r="B1246" s="91"/>
      <c r="C1246" s="35" t="str">
        <f>IF(Sheet3!A1217="","",Sheet3!A1217)</f>
        <v/>
      </c>
      <c r="D1246" s="80"/>
      <c r="E1246" s="45"/>
      <c r="F1246" s="46"/>
    </row>
    <row r="1247" spans="2:6" s="53" customFormat="1" ht="17.25" customHeight="1" x14ac:dyDescent="0.25">
      <c r="B1247" s="91"/>
      <c r="C1247" s="35" t="str">
        <f>IF(Sheet3!A1218="","",Sheet3!A1218)</f>
        <v/>
      </c>
      <c r="D1247" s="80"/>
      <c r="E1247" s="45"/>
      <c r="F1247" s="46"/>
    </row>
    <row r="1248" spans="2:6" s="53" customFormat="1" ht="17.25" customHeight="1" x14ac:dyDescent="0.25">
      <c r="B1248" s="91"/>
      <c r="C1248" s="35" t="str">
        <f>IF(Sheet3!A1219="","",Sheet3!A1219)</f>
        <v/>
      </c>
      <c r="D1248" s="80"/>
      <c r="E1248" s="45"/>
      <c r="F1248" s="46"/>
    </row>
    <row r="1249" spans="2:6" s="53" customFormat="1" ht="17.25" customHeight="1" x14ac:dyDescent="0.25">
      <c r="B1249" s="91"/>
      <c r="C1249" s="35" t="str">
        <f>IF(Sheet3!A1220="","",Sheet3!A1220)</f>
        <v/>
      </c>
      <c r="D1249" s="80"/>
      <c r="E1249" s="45"/>
      <c r="F1249" s="46"/>
    </row>
    <row r="1250" spans="2:6" s="53" customFormat="1" ht="17.25" customHeight="1" x14ac:dyDescent="0.25">
      <c r="B1250" s="91"/>
      <c r="C1250" s="35" t="str">
        <f>IF(Sheet3!A1221="","",Sheet3!A1221)</f>
        <v/>
      </c>
      <c r="D1250" s="80"/>
      <c r="E1250" s="45"/>
      <c r="F1250" s="46"/>
    </row>
    <row r="1251" spans="2:6" s="53" customFormat="1" ht="17.25" customHeight="1" x14ac:dyDescent="0.25">
      <c r="B1251" s="91"/>
      <c r="C1251" s="35" t="str">
        <f>IF(Sheet3!A1222="","",Sheet3!A1222)</f>
        <v/>
      </c>
      <c r="D1251" s="80"/>
      <c r="E1251" s="45"/>
      <c r="F1251" s="46"/>
    </row>
    <row r="1252" spans="2:6" s="53" customFormat="1" ht="17.25" customHeight="1" x14ac:dyDescent="0.25">
      <c r="B1252" s="91"/>
      <c r="C1252" s="35" t="str">
        <f>IF(Sheet3!A1223="","",Sheet3!A1223)</f>
        <v/>
      </c>
      <c r="D1252" s="80"/>
      <c r="E1252" s="45"/>
      <c r="F1252" s="46"/>
    </row>
    <row r="1253" spans="2:6" s="53" customFormat="1" ht="17.25" customHeight="1" x14ac:dyDescent="0.25">
      <c r="B1253" s="91"/>
      <c r="C1253" s="35" t="str">
        <f>IF(Sheet3!A1224="","",Sheet3!A1224)</f>
        <v/>
      </c>
      <c r="D1253" s="80"/>
      <c r="E1253" s="45"/>
      <c r="F1253" s="46"/>
    </row>
    <row r="1254" spans="2:6" s="53" customFormat="1" ht="17.25" customHeight="1" x14ac:dyDescent="0.25">
      <c r="B1254" s="91"/>
      <c r="C1254" s="35" t="str">
        <f>IF(Sheet3!A1225="","",Sheet3!A1225)</f>
        <v/>
      </c>
      <c r="D1254" s="80"/>
      <c r="E1254" s="45"/>
      <c r="F1254" s="46"/>
    </row>
    <row r="1255" spans="2:6" s="53" customFormat="1" ht="17.25" customHeight="1" x14ac:dyDescent="0.25">
      <c r="B1255" s="91"/>
      <c r="C1255" s="35" t="str">
        <f>IF(Sheet3!A1226="","",Sheet3!A1226)</f>
        <v/>
      </c>
      <c r="D1255" s="80"/>
      <c r="E1255" s="45"/>
      <c r="F1255" s="46"/>
    </row>
    <row r="1256" spans="2:6" s="53" customFormat="1" ht="17.25" customHeight="1" x14ac:dyDescent="0.25">
      <c r="B1256" s="91"/>
      <c r="C1256" s="35" t="str">
        <f>IF(Sheet3!A1227="","",Sheet3!A1227)</f>
        <v/>
      </c>
      <c r="D1256" s="80"/>
      <c r="E1256" s="45"/>
      <c r="F1256" s="46"/>
    </row>
    <row r="1257" spans="2:6" s="53" customFormat="1" ht="17.25" customHeight="1" x14ac:dyDescent="0.25">
      <c r="B1257" s="91"/>
      <c r="C1257" s="35" t="str">
        <f>IF(Sheet3!A1228="","",Sheet3!A1228)</f>
        <v/>
      </c>
      <c r="D1257" s="80"/>
      <c r="E1257" s="45"/>
      <c r="F1257" s="46"/>
    </row>
    <row r="1258" spans="2:6" s="53" customFormat="1" ht="17.25" customHeight="1" x14ac:dyDescent="0.25">
      <c r="B1258" s="91"/>
      <c r="C1258" s="35" t="str">
        <f>IF(Sheet3!A1229="","",Sheet3!A1229)</f>
        <v/>
      </c>
      <c r="D1258" s="80"/>
      <c r="E1258" s="45"/>
      <c r="F1258" s="46"/>
    </row>
    <row r="1259" spans="2:6" s="53" customFormat="1" ht="17.25" customHeight="1" x14ac:dyDescent="0.25">
      <c r="B1259" s="91"/>
      <c r="C1259" s="35" t="str">
        <f>IF(Sheet3!A1230="","",Sheet3!A1230)</f>
        <v/>
      </c>
      <c r="D1259" s="80"/>
      <c r="E1259" s="45"/>
      <c r="F1259" s="46"/>
    </row>
    <row r="1260" spans="2:6" s="53" customFormat="1" ht="17.25" customHeight="1" x14ac:dyDescent="0.25">
      <c r="B1260" s="91"/>
      <c r="C1260" s="35" t="str">
        <f>IF(Sheet3!A1231="","",Sheet3!A1231)</f>
        <v/>
      </c>
      <c r="D1260" s="80"/>
      <c r="E1260" s="45"/>
      <c r="F1260" s="46"/>
    </row>
    <row r="1261" spans="2:6" s="53" customFormat="1" ht="17.25" customHeight="1" x14ac:dyDescent="0.25">
      <c r="B1261" s="91"/>
      <c r="C1261" s="35" t="str">
        <f>IF(Sheet3!A1232="","",Sheet3!A1232)</f>
        <v/>
      </c>
      <c r="D1261" s="80"/>
      <c r="E1261" s="45"/>
      <c r="F1261" s="46"/>
    </row>
    <row r="1262" spans="2:6" s="53" customFormat="1" ht="17.25" customHeight="1" x14ac:dyDescent="0.25">
      <c r="B1262" s="91"/>
      <c r="C1262" s="35" t="str">
        <f>IF(Sheet3!A1233="","",Sheet3!A1233)</f>
        <v/>
      </c>
      <c r="D1262" s="80"/>
      <c r="E1262" s="45"/>
      <c r="F1262" s="46"/>
    </row>
    <row r="1263" spans="2:6" s="53" customFormat="1" ht="17.25" customHeight="1" x14ac:dyDescent="0.25">
      <c r="B1263" s="91"/>
      <c r="C1263" s="35" t="str">
        <f>IF(Sheet3!A1234="","",Sheet3!A1234)</f>
        <v/>
      </c>
      <c r="D1263" s="80"/>
      <c r="E1263" s="45"/>
      <c r="F1263" s="46"/>
    </row>
    <row r="1264" spans="2:6" s="53" customFormat="1" ht="17.25" customHeight="1" x14ac:dyDescent="0.25">
      <c r="B1264" s="91"/>
      <c r="C1264" s="35" t="str">
        <f>IF(Sheet3!A1235="","",Sheet3!A1235)</f>
        <v/>
      </c>
      <c r="D1264" s="80"/>
      <c r="E1264" s="45"/>
      <c r="F1264" s="46"/>
    </row>
    <row r="1265" spans="2:6" s="53" customFormat="1" ht="17.25" customHeight="1" x14ac:dyDescent="0.25">
      <c r="B1265" s="91"/>
      <c r="C1265" s="35" t="str">
        <f>IF(Sheet3!A1236="","",Sheet3!A1236)</f>
        <v/>
      </c>
      <c r="D1265" s="80"/>
      <c r="E1265" s="45"/>
      <c r="F1265" s="46"/>
    </row>
    <row r="1266" spans="2:6" s="53" customFormat="1" ht="17.25" customHeight="1" x14ac:dyDescent="0.25">
      <c r="B1266" s="91"/>
      <c r="C1266" s="35" t="str">
        <f>IF(Sheet3!A1237="","",Sheet3!A1237)</f>
        <v/>
      </c>
      <c r="D1266" s="80"/>
      <c r="E1266" s="45"/>
      <c r="F1266" s="46"/>
    </row>
    <row r="1267" spans="2:6" s="53" customFormat="1" ht="17.25" customHeight="1" x14ac:dyDescent="0.25">
      <c r="B1267" s="91"/>
      <c r="C1267" s="35" t="str">
        <f>IF(Sheet3!A1238="","",Sheet3!A1238)</f>
        <v/>
      </c>
      <c r="D1267" s="80"/>
      <c r="E1267" s="45"/>
      <c r="F1267" s="46"/>
    </row>
    <row r="1268" spans="2:6" s="53" customFormat="1" ht="17.25" customHeight="1" x14ac:dyDescent="0.25">
      <c r="B1268" s="91"/>
      <c r="C1268" s="35" t="str">
        <f>IF(Sheet3!A1239="","",Sheet3!A1239)</f>
        <v/>
      </c>
      <c r="D1268" s="80"/>
      <c r="E1268" s="45"/>
      <c r="F1268" s="46"/>
    </row>
    <row r="1269" spans="2:6" s="53" customFormat="1" ht="17.25" customHeight="1" x14ac:dyDescent="0.25">
      <c r="B1269" s="91"/>
      <c r="C1269" s="35" t="str">
        <f>IF(Sheet3!A1240="","",Sheet3!A1240)</f>
        <v/>
      </c>
      <c r="D1269" s="80"/>
      <c r="E1269" s="45"/>
      <c r="F1269" s="46"/>
    </row>
    <row r="1270" spans="2:6" s="53" customFormat="1" ht="17.25" customHeight="1" x14ac:dyDescent="0.25">
      <c r="B1270" s="91"/>
      <c r="C1270" s="35" t="str">
        <f>IF(Sheet3!A1241="","",Sheet3!A1241)</f>
        <v/>
      </c>
      <c r="D1270" s="80"/>
      <c r="E1270" s="45"/>
      <c r="F1270" s="46"/>
    </row>
    <row r="1271" spans="2:6" s="53" customFormat="1" ht="17.25" customHeight="1" x14ac:dyDescent="0.25">
      <c r="B1271" s="91"/>
      <c r="C1271" s="35" t="str">
        <f>IF(Sheet3!A1242="","",Sheet3!A1242)</f>
        <v/>
      </c>
      <c r="D1271" s="80"/>
      <c r="E1271" s="45"/>
      <c r="F1271" s="46"/>
    </row>
    <row r="1272" spans="2:6" s="53" customFormat="1" ht="17.25" customHeight="1" x14ac:dyDescent="0.25">
      <c r="B1272" s="91"/>
      <c r="C1272" s="35" t="str">
        <f>IF(Sheet3!A1243="","",Sheet3!A1243)</f>
        <v/>
      </c>
      <c r="D1272" s="80"/>
      <c r="E1272" s="45"/>
      <c r="F1272" s="46"/>
    </row>
    <row r="1273" spans="2:6" s="53" customFormat="1" ht="17.25" customHeight="1" x14ac:dyDescent="0.25">
      <c r="B1273" s="91"/>
      <c r="C1273" s="35" t="str">
        <f>IF(Sheet3!A1244="","",Sheet3!A1244)</f>
        <v/>
      </c>
      <c r="D1273" s="80"/>
      <c r="E1273" s="45"/>
      <c r="F1273" s="46"/>
    </row>
    <row r="1274" spans="2:6" s="53" customFormat="1" ht="17.25" customHeight="1" x14ac:dyDescent="0.25">
      <c r="B1274" s="91"/>
      <c r="C1274" s="35" t="str">
        <f>IF(Sheet3!A1245="","",Sheet3!A1245)</f>
        <v/>
      </c>
      <c r="D1274" s="80"/>
      <c r="E1274" s="45"/>
      <c r="F1274" s="46"/>
    </row>
    <row r="1275" spans="2:6" s="53" customFormat="1" ht="17.25" customHeight="1" x14ac:dyDescent="0.25">
      <c r="B1275" s="91"/>
      <c r="C1275" s="35" t="str">
        <f>IF(Sheet3!A1246="","",Sheet3!A1246)</f>
        <v/>
      </c>
      <c r="D1275" s="80"/>
      <c r="E1275" s="45"/>
      <c r="F1275" s="46"/>
    </row>
    <row r="1276" spans="2:6" s="53" customFormat="1" ht="17.25" customHeight="1" x14ac:dyDescent="0.25">
      <c r="B1276" s="91"/>
      <c r="C1276" s="35" t="str">
        <f>IF(Sheet3!A1247="","",Sheet3!A1247)</f>
        <v/>
      </c>
      <c r="D1276" s="80"/>
      <c r="E1276" s="45"/>
      <c r="F1276" s="46"/>
    </row>
    <row r="1277" spans="2:6" s="53" customFormat="1" ht="17.25" customHeight="1" x14ac:dyDescent="0.25">
      <c r="B1277" s="91"/>
      <c r="C1277" s="35" t="str">
        <f>IF(Sheet3!A1248="","",Sheet3!A1248)</f>
        <v/>
      </c>
      <c r="D1277" s="80"/>
      <c r="E1277" s="45"/>
      <c r="F1277" s="46"/>
    </row>
    <row r="1278" spans="2:6" s="53" customFormat="1" ht="17.25" customHeight="1" x14ac:dyDescent="0.25">
      <c r="B1278" s="91"/>
      <c r="C1278" s="35" t="str">
        <f>IF(Sheet3!A1249="","",Sheet3!A1249)</f>
        <v/>
      </c>
      <c r="D1278" s="80"/>
      <c r="E1278" s="45"/>
      <c r="F1278" s="46"/>
    </row>
    <row r="1279" spans="2:6" s="53" customFormat="1" ht="17.25" customHeight="1" x14ac:dyDescent="0.25">
      <c r="B1279" s="91"/>
      <c r="C1279" s="35" t="str">
        <f>IF(Sheet3!A1250="","",Sheet3!A1250)</f>
        <v/>
      </c>
      <c r="D1279" s="80"/>
      <c r="E1279" s="45"/>
      <c r="F1279" s="46"/>
    </row>
    <row r="1280" spans="2:6" s="53" customFormat="1" ht="17.25" customHeight="1" x14ac:dyDescent="0.25">
      <c r="B1280" s="91"/>
      <c r="C1280" s="35" t="str">
        <f>IF(Sheet3!A1251="","",Sheet3!A1251)</f>
        <v/>
      </c>
      <c r="D1280" s="80"/>
      <c r="E1280" s="45"/>
      <c r="F1280" s="46"/>
    </row>
    <row r="1281" spans="2:6" s="53" customFormat="1" ht="17.25" customHeight="1" x14ac:dyDescent="0.25">
      <c r="B1281" s="91"/>
      <c r="C1281" s="35" t="str">
        <f>IF(Sheet3!A1252="","",Sheet3!A1252)</f>
        <v/>
      </c>
      <c r="D1281" s="80"/>
      <c r="E1281" s="45"/>
      <c r="F1281" s="46"/>
    </row>
    <row r="1282" spans="2:6" s="53" customFormat="1" ht="17.25" customHeight="1" x14ac:dyDescent="0.25">
      <c r="B1282" s="91"/>
      <c r="C1282" s="35" t="str">
        <f>IF(Sheet3!A1253="","",Sheet3!A1253)</f>
        <v/>
      </c>
      <c r="D1282" s="80"/>
      <c r="E1282" s="45"/>
      <c r="F1282" s="46"/>
    </row>
    <row r="1283" spans="2:6" s="53" customFormat="1" ht="17.25" customHeight="1" x14ac:dyDescent="0.25">
      <c r="B1283" s="91"/>
      <c r="C1283" s="35" t="str">
        <f>IF(Sheet3!A1254="","",Sheet3!A1254)</f>
        <v/>
      </c>
      <c r="D1283" s="80"/>
      <c r="E1283" s="45"/>
      <c r="F1283" s="46"/>
    </row>
    <row r="1284" spans="2:6" s="53" customFormat="1" ht="17.25" customHeight="1" x14ac:dyDescent="0.25">
      <c r="B1284" s="91"/>
      <c r="C1284" s="35" t="str">
        <f>IF(Sheet3!A1255="","",Sheet3!A1255)</f>
        <v/>
      </c>
      <c r="D1284" s="80"/>
      <c r="E1284" s="45"/>
      <c r="F1284" s="46"/>
    </row>
    <row r="1285" spans="2:6" s="53" customFormat="1" ht="17.25" customHeight="1" x14ac:dyDescent="0.25">
      <c r="B1285" s="91"/>
      <c r="C1285" s="35" t="str">
        <f>IF(Sheet3!A1256="","",Sheet3!A1256)</f>
        <v/>
      </c>
      <c r="D1285" s="80"/>
      <c r="E1285" s="45"/>
      <c r="F1285" s="46"/>
    </row>
    <row r="1286" spans="2:6" s="53" customFormat="1" ht="17.25" customHeight="1" x14ac:dyDescent="0.25">
      <c r="B1286" s="91"/>
      <c r="C1286" s="35" t="str">
        <f>IF(Sheet3!A1257="","",Sheet3!A1257)</f>
        <v/>
      </c>
      <c r="D1286" s="80"/>
      <c r="E1286" s="45"/>
      <c r="F1286" s="46"/>
    </row>
    <row r="1287" spans="2:6" s="53" customFormat="1" ht="17.25" customHeight="1" x14ac:dyDescent="0.25">
      <c r="B1287" s="91"/>
      <c r="C1287" s="35" t="str">
        <f>IF(Sheet3!A1258="","",Sheet3!A1258)</f>
        <v/>
      </c>
      <c r="D1287" s="80"/>
      <c r="E1287" s="45"/>
      <c r="F1287" s="46"/>
    </row>
    <row r="1288" spans="2:6" s="53" customFormat="1" ht="17.25" customHeight="1" x14ac:dyDescent="0.25">
      <c r="B1288" s="91"/>
      <c r="C1288" s="35" t="str">
        <f>IF(Sheet3!A1259="","",Sheet3!A1259)</f>
        <v/>
      </c>
      <c r="D1288" s="80"/>
      <c r="E1288" s="45"/>
      <c r="F1288" s="46"/>
    </row>
    <row r="1289" spans="2:6" s="53" customFormat="1" ht="17.25" customHeight="1" x14ac:dyDescent="0.25">
      <c r="B1289" s="91"/>
      <c r="C1289" s="35" t="str">
        <f>IF(Sheet3!A1260="","",Sheet3!A1260)</f>
        <v/>
      </c>
      <c r="D1289" s="80"/>
      <c r="E1289" s="45"/>
      <c r="F1289" s="46"/>
    </row>
    <row r="1290" spans="2:6" s="53" customFormat="1" ht="17.25" customHeight="1" x14ac:dyDescent="0.25">
      <c r="B1290" s="91"/>
      <c r="C1290" s="35" t="str">
        <f>IF(Sheet3!A1261="","",Sheet3!A1261)</f>
        <v/>
      </c>
      <c r="D1290" s="80"/>
      <c r="E1290" s="45"/>
      <c r="F1290" s="46"/>
    </row>
    <row r="1291" spans="2:6" s="53" customFormat="1" ht="17.25" customHeight="1" x14ac:dyDescent="0.25">
      <c r="B1291" s="91"/>
      <c r="C1291" s="35" t="str">
        <f>IF(Sheet3!A1262="","",Sheet3!A1262)</f>
        <v/>
      </c>
      <c r="D1291" s="80"/>
      <c r="E1291" s="45"/>
      <c r="F1291" s="46"/>
    </row>
    <row r="1292" spans="2:6" s="53" customFormat="1" ht="17.25" customHeight="1" x14ac:dyDescent="0.25">
      <c r="B1292" s="91"/>
      <c r="C1292" s="35" t="str">
        <f>IF(Sheet3!A1263="","",Sheet3!A1263)</f>
        <v/>
      </c>
      <c r="D1292" s="80"/>
      <c r="E1292" s="45"/>
      <c r="F1292" s="46"/>
    </row>
    <row r="1293" spans="2:6" s="53" customFormat="1" ht="17.25" customHeight="1" x14ac:dyDescent="0.25">
      <c r="B1293" s="91"/>
      <c r="C1293" s="35" t="str">
        <f>IF(Sheet3!A1264="","",Sheet3!A1264)</f>
        <v/>
      </c>
      <c r="D1293" s="80"/>
      <c r="E1293" s="45"/>
      <c r="F1293" s="46"/>
    </row>
    <row r="1294" spans="2:6" s="53" customFormat="1" ht="17.25" customHeight="1" x14ac:dyDescent="0.25">
      <c r="B1294" s="91"/>
      <c r="C1294" s="35" t="str">
        <f>IF(Sheet3!A1265="","",Sheet3!A1265)</f>
        <v/>
      </c>
      <c r="D1294" s="80"/>
      <c r="E1294" s="45"/>
      <c r="F1294" s="46"/>
    </row>
    <row r="1295" spans="2:6" s="53" customFormat="1" ht="17.25" customHeight="1" x14ac:dyDescent="0.25">
      <c r="B1295" s="91"/>
      <c r="C1295" s="35" t="str">
        <f>IF(Sheet3!A1266="","",Sheet3!A1266)</f>
        <v/>
      </c>
      <c r="D1295" s="80"/>
      <c r="E1295" s="45"/>
      <c r="F1295" s="46"/>
    </row>
    <row r="1296" spans="2:6" s="53" customFormat="1" ht="17.25" customHeight="1" x14ac:dyDescent="0.25">
      <c r="B1296" s="91"/>
      <c r="C1296" s="35" t="str">
        <f>IF(Sheet3!A1267="","",Sheet3!A1267)</f>
        <v/>
      </c>
      <c r="D1296" s="80"/>
      <c r="E1296" s="45"/>
      <c r="F1296" s="46"/>
    </row>
    <row r="1297" spans="2:6" s="53" customFormat="1" ht="17.25" customHeight="1" x14ac:dyDescent="0.25">
      <c r="B1297" s="91"/>
      <c r="C1297" s="35" t="str">
        <f>IF(Sheet3!A1268="","",Sheet3!A1268)</f>
        <v/>
      </c>
      <c r="D1297" s="80"/>
      <c r="E1297" s="45"/>
      <c r="F1297" s="46"/>
    </row>
    <row r="1298" spans="2:6" s="53" customFormat="1" ht="17.25" customHeight="1" x14ac:dyDescent="0.25">
      <c r="B1298" s="91"/>
      <c r="C1298" s="35" t="str">
        <f>IF(Sheet3!A1269="","",Sheet3!A1269)</f>
        <v/>
      </c>
      <c r="D1298" s="80"/>
      <c r="E1298" s="45"/>
      <c r="F1298" s="46"/>
    </row>
    <row r="1299" spans="2:6" s="53" customFormat="1" ht="17.25" customHeight="1" x14ac:dyDescent="0.25">
      <c r="B1299" s="91"/>
      <c r="C1299" s="35" t="str">
        <f>IF(Sheet3!A1270="","",Sheet3!A1270)</f>
        <v/>
      </c>
      <c r="D1299" s="80"/>
      <c r="E1299" s="45"/>
      <c r="F1299" s="46"/>
    </row>
    <row r="1300" spans="2:6" s="53" customFormat="1" ht="17.25" customHeight="1" x14ac:dyDescent="0.25">
      <c r="B1300" s="91"/>
      <c r="C1300" s="35" t="str">
        <f>IF(Sheet3!A1271="","",Sheet3!A1271)</f>
        <v/>
      </c>
      <c r="D1300" s="80"/>
      <c r="E1300" s="45"/>
      <c r="F1300" s="46"/>
    </row>
    <row r="1301" spans="2:6" s="53" customFormat="1" ht="17.25" customHeight="1" x14ac:dyDescent="0.25">
      <c r="B1301" s="91"/>
      <c r="C1301" s="35" t="str">
        <f>IF(Sheet3!A1272="","",Sheet3!A1272)</f>
        <v/>
      </c>
      <c r="D1301" s="80"/>
      <c r="E1301" s="45"/>
      <c r="F1301" s="46"/>
    </row>
    <row r="1302" spans="2:6" s="53" customFormat="1" ht="17.25" customHeight="1" x14ac:dyDescent="0.25">
      <c r="B1302" s="91"/>
      <c r="C1302" s="35" t="str">
        <f>IF(Sheet3!A1273="","",Sheet3!A1273)</f>
        <v/>
      </c>
      <c r="D1302" s="80"/>
      <c r="E1302" s="45"/>
      <c r="F1302" s="46"/>
    </row>
    <row r="1303" spans="2:6" s="53" customFormat="1" ht="17.25" customHeight="1" x14ac:dyDescent="0.25">
      <c r="B1303" s="91"/>
      <c r="C1303" s="35" t="str">
        <f>IF(Sheet3!A1274="","",Sheet3!A1274)</f>
        <v/>
      </c>
      <c r="D1303" s="80"/>
      <c r="E1303" s="45"/>
      <c r="F1303" s="46"/>
    </row>
    <row r="1304" spans="2:6" s="53" customFormat="1" ht="17.25" customHeight="1" x14ac:dyDescent="0.25">
      <c r="B1304" s="91"/>
      <c r="C1304" s="35" t="str">
        <f>IF(Sheet3!A1275="","",Sheet3!A1275)</f>
        <v/>
      </c>
      <c r="D1304" s="80"/>
      <c r="E1304" s="45"/>
      <c r="F1304" s="46"/>
    </row>
    <row r="1305" spans="2:6" s="53" customFormat="1" ht="17.25" customHeight="1" x14ac:dyDescent="0.25">
      <c r="B1305" s="91"/>
      <c r="C1305" s="35" t="str">
        <f>IF(Sheet3!A1276="","",Sheet3!A1276)</f>
        <v/>
      </c>
      <c r="D1305" s="80"/>
      <c r="E1305" s="45"/>
      <c r="F1305" s="46"/>
    </row>
    <row r="1306" spans="2:6" s="53" customFormat="1" ht="17.25" customHeight="1" x14ac:dyDescent="0.25">
      <c r="B1306" s="91"/>
      <c r="C1306" s="35" t="str">
        <f>IF(Sheet3!A1277="","",Sheet3!A1277)</f>
        <v/>
      </c>
      <c r="D1306" s="80"/>
      <c r="E1306" s="45"/>
      <c r="F1306" s="46"/>
    </row>
    <row r="1307" spans="2:6" s="53" customFormat="1" ht="17.25" customHeight="1" x14ac:dyDescent="0.25">
      <c r="B1307" s="91"/>
      <c r="C1307" s="35" t="str">
        <f>IF(Sheet3!A1278="","",Sheet3!A1278)</f>
        <v/>
      </c>
      <c r="D1307" s="80"/>
      <c r="E1307" s="45"/>
      <c r="F1307" s="46"/>
    </row>
    <row r="1308" spans="2:6" s="53" customFormat="1" ht="17.25" customHeight="1" x14ac:dyDescent="0.25">
      <c r="B1308" s="91"/>
      <c r="C1308" s="35" t="str">
        <f>IF(Sheet3!A1279="","",Sheet3!A1279)</f>
        <v/>
      </c>
      <c r="D1308" s="80"/>
      <c r="E1308" s="45"/>
      <c r="F1308" s="46"/>
    </row>
    <row r="1309" spans="2:6" s="53" customFormat="1" ht="17.25" customHeight="1" x14ac:dyDescent="0.25">
      <c r="B1309" s="91"/>
      <c r="C1309" s="35" t="str">
        <f>IF(Sheet3!A1280="","",Sheet3!A1280)</f>
        <v/>
      </c>
      <c r="D1309" s="80"/>
      <c r="E1309" s="45"/>
      <c r="F1309" s="46"/>
    </row>
    <row r="1310" spans="2:6" s="53" customFormat="1" ht="17.25" customHeight="1" x14ac:dyDescent="0.25">
      <c r="B1310" s="91"/>
      <c r="C1310" s="35" t="str">
        <f>IF(Sheet3!A1281="","",Sheet3!A1281)</f>
        <v/>
      </c>
      <c r="D1310" s="80"/>
      <c r="E1310" s="45"/>
      <c r="F1310" s="46"/>
    </row>
    <row r="1311" spans="2:6" s="53" customFormat="1" ht="17.25" customHeight="1" x14ac:dyDescent="0.25">
      <c r="B1311" s="91"/>
      <c r="C1311" s="35" t="str">
        <f>IF(Sheet3!A1282="","",Sheet3!A1282)</f>
        <v/>
      </c>
      <c r="D1311" s="80"/>
      <c r="E1311" s="45"/>
      <c r="F1311" s="46"/>
    </row>
    <row r="1312" spans="2:6" s="53" customFormat="1" ht="17.25" customHeight="1" x14ac:dyDescent="0.25">
      <c r="B1312" s="91"/>
      <c r="C1312" s="35" t="str">
        <f>IF(Sheet3!A1283="","",Sheet3!A1283)</f>
        <v/>
      </c>
      <c r="D1312" s="80"/>
      <c r="E1312" s="45"/>
      <c r="F1312" s="46"/>
    </row>
    <row r="1313" spans="2:6" s="53" customFormat="1" ht="17.25" customHeight="1" x14ac:dyDescent="0.25">
      <c r="B1313" s="91"/>
      <c r="C1313" s="35" t="str">
        <f>IF(Sheet3!A1284="","",Sheet3!A1284)</f>
        <v/>
      </c>
      <c r="D1313" s="80"/>
      <c r="E1313" s="45"/>
      <c r="F1313" s="46"/>
    </row>
    <row r="1314" spans="2:6" s="53" customFormat="1" ht="17.25" customHeight="1" x14ac:dyDescent="0.25">
      <c r="B1314" s="91"/>
      <c r="C1314" s="35" t="str">
        <f>IF(Sheet3!A1285="","",Sheet3!A1285)</f>
        <v/>
      </c>
      <c r="D1314" s="80"/>
      <c r="E1314" s="45"/>
      <c r="F1314" s="46"/>
    </row>
    <row r="1315" spans="2:6" s="53" customFormat="1" ht="17.25" customHeight="1" x14ac:dyDescent="0.25">
      <c r="B1315" s="91"/>
      <c r="C1315" s="35" t="str">
        <f>IF(Sheet3!A1286="","",Sheet3!A1286)</f>
        <v/>
      </c>
      <c r="D1315" s="80"/>
      <c r="E1315" s="45"/>
      <c r="F1315" s="46"/>
    </row>
    <row r="1316" spans="2:6" s="53" customFormat="1" ht="17.25" customHeight="1" x14ac:dyDescent="0.25">
      <c r="B1316" s="91"/>
      <c r="C1316" s="35" t="str">
        <f>IF(Sheet3!A1287="","",Sheet3!A1287)</f>
        <v/>
      </c>
      <c r="D1316" s="80"/>
      <c r="E1316" s="45"/>
      <c r="F1316" s="46"/>
    </row>
    <row r="1317" spans="2:6" s="53" customFormat="1" ht="17.25" customHeight="1" x14ac:dyDescent="0.25">
      <c r="B1317" s="91"/>
      <c r="C1317" s="35" t="str">
        <f>IF(Sheet3!A1288="","",Sheet3!A1288)</f>
        <v/>
      </c>
      <c r="D1317" s="80"/>
      <c r="E1317" s="45"/>
      <c r="F1317" s="46"/>
    </row>
    <row r="1318" spans="2:6" s="53" customFormat="1" ht="17.25" customHeight="1" x14ac:dyDescent="0.25">
      <c r="B1318" s="91"/>
      <c r="C1318" s="35" t="str">
        <f>IF(Sheet3!A1289="","",Sheet3!A1289)</f>
        <v/>
      </c>
      <c r="D1318" s="80"/>
      <c r="E1318" s="45"/>
      <c r="F1318" s="46"/>
    </row>
    <row r="1319" spans="2:6" s="53" customFormat="1" ht="17.25" customHeight="1" x14ac:dyDescent="0.25">
      <c r="B1319" s="91"/>
      <c r="C1319" s="35" t="str">
        <f>IF(Sheet3!A1290="","",Sheet3!A1290)</f>
        <v/>
      </c>
      <c r="D1319" s="80"/>
      <c r="E1319" s="45"/>
      <c r="F1319" s="46"/>
    </row>
    <row r="1320" spans="2:6" s="53" customFormat="1" ht="17.25" customHeight="1" x14ac:dyDescent="0.25">
      <c r="B1320" s="91"/>
      <c r="C1320" s="35" t="str">
        <f>IF(Sheet3!A1291="","",Sheet3!A1291)</f>
        <v/>
      </c>
      <c r="D1320" s="80"/>
      <c r="E1320" s="45"/>
      <c r="F1320" s="46"/>
    </row>
    <row r="1321" spans="2:6" s="53" customFormat="1" ht="17.25" customHeight="1" x14ac:dyDescent="0.25">
      <c r="B1321" s="91"/>
      <c r="C1321" s="35" t="str">
        <f>IF(Sheet3!A1292="","",Sheet3!A1292)</f>
        <v/>
      </c>
      <c r="D1321" s="80"/>
      <c r="E1321" s="45"/>
      <c r="F1321" s="46"/>
    </row>
    <row r="1322" spans="2:6" s="53" customFormat="1" ht="17.25" customHeight="1" x14ac:dyDescent="0.25">
      <c r="B1322" s="91"/>
      <c r="C1322" s="35" t="str">
        <f>IF(Sheet3!A1293="","",Sheet3!A1293)</f>
        <v/>
      </c>
      <c r="D1322" s="80"/>
      <c r="E1322" s="45"/>
      <c r="F1322" s="46"/>
    </row>
    <row r="1323" spans="2:6" s="53" customFormat="1" ht="17.25" customHeight="1" x14ac:dyDescent="0.25">
      <c r="B1323" s="91"/>
      <c r="C1323" s="35" t="str">
        <f>IF(Sheet3!A1294="","",Sheet3!A1294)</f>
        <v/>
      </c>
      <c r="D1323" s="80"/>
      <c r="E1323" s="45"/>
      <c r="F1323" s="46"/>
    </row>
    <row r="1324" spans="2:6" s="53" customFormat="1" ht="17.25" customHeight="1" x14ac:dyDescent="0.25">
      <c r="B1324" s="91"/>
      <c r="C1324" s="35" t="str">
        <f>IF(Sheet3!A1295="","",Sheet3!A1295)</f>
        <v/>
      </c>
      <c r="D1324" s="80"/>
      <c r="E1324" s="45"/>
      <c r="F1324" s="46"/>
    </row>
    <row r="1325" spans="2:6" s="53" customFormat="1" ht="17.25" customHeight="1" x14ac:dyDescent="0.25">
      <c r="B1325" s="91"/>
      <c r="C1325" s="35" t="str">
        <f>IF(Sheet3!A1296="","",Sheet3!A1296)</f>
        <v/>
      </c>
      <c r="D1325" s="80"/>
      <c r="E1325" s="45"/>
      <c r="F1325" s="46"/>
    </row>
    <row r="1326" spans="2:6" s="53" customFormat="1" ht="17.25" customHeight="1" x14ac:dyDescent="0.25">
      <c r="B1326" s="91"/>
      <c r="C1326" s="35" t="str">
        <f>IF(Sheet3!A1297="","",Sheet3!A1297)</f>
        <v/>
      </c>
      <c r="D1326" s="80"/>
      <c r="E1326" s="45"/>
      <c r="F1326" s="46"/>
    </row>
    <row r="1327" spans="2:6" s="53" customFormat="1" ht="17.25" customHeight="1" x14ac:dyDescent="0.25">
      <c r="B1327" s="91"/>
      <c r="C1327" s="35" t="str">
        <f>IF(Sheet3!A1298="","",Sheet3!A1298)</f>
        <v/>
      </c>
      <c r="D1327" s="80"/>
      <c r="E1327" s="45"/>
      <c r="F1327" s="46"/>
    </row>
    <row r="1328" spans="2:6" s="53" customFormat="1" ht="17.25" customHeight="1" x14ac:dyDescent="0.25">
      <c r="B1328" s="91"/>
      <c r="C1328" s="35" t="str">
        <f>IF(Sheet3!A1299="","",Sheet3!A1299)</f>
        <v/>
      </c>
      <c r="D1328" s="80"/>
      <c r="E1328" s="45"/>
      <c r="F1328" s="46"/>
    </row>
    <row r="1329" spans="2:6" s="53" customFormat="1" ht="17.25" customHeight="1" x14ac:dyDescent="0.25">
      <c r="B1329" s="91"/>
      <c r="C1329" s="35" t="str">
        <f>IF(Sheet3!A1300="","",Sheet3!A1300)</f>
        <v/>
      </c>
      <c r="D1329" s="80"/>
      <c r="E1329" s="45"/>
      <c r="F1329" s="46"/>
    </row>
    <row r="1330" spans="2:6" s="53" customFormat="1" ht="17.25" customHeight="1" x14ac:dyDescent="0.25">
      <c r="B1330" s="91"/>
      <c r="C1330" s="35" t="str">
        <f>IF(Sheet3!A1301="","",Sheet3!A1301)</f>
        <v/>
      </c>
      <c r="D1330" s="80"/>
      <c r="E1330" s="45"/>
      <c r="F1330" s="46"/>
    </row>
    <row r="1331" spans="2:6" s="53" customFormat="1" ht="17.25" customHeight="1" x14ac:dyDescent="0.25">
      <c r="B1331" s="91"/>
      <c r="C1331" s="35" t="str">
        <f>IF(Sheet3!A1302="","",Sheet3!A1302)</f>
        <v/>
      </c>
      <c r="D1331" s="80"/>
      <c r="E1331" s="45"/>
      <c r="F1331" s="46"/>
    </row>
    <row r="1332" spans="2:6" s="53" customFormat="1" ht="17.25" customHeight="1" x14ac:dyDescent="0.25">
      <c r="B1332" s="91"/>
      <c r="C1332" s="35" t="str">
        <f>IF(Sheet3!A1303="","",Sheet3!A1303)</f>
        <v/>
      </c>
      <c r="D1332" s="80"/>
      <c r="E1332" s="45"/>
      <c r="F1332" s="46"/>
    </row>
    <row r="1333" spans="2:6" s="53" customFormat="1" ht="17.25" customHeight="1" x14ac:dyDescent="0.25">
      <c r="B1333" s="91"/>
      <c r="C1333" s="35" t="str">
        <f>IF(Sheet3!A1304="","",Sheet3!A1304)</f>
        <v/>
      </c>
      <c r="D1333" s="80"/>
      <c r="E1333" s="45"/>
      <c r="F1333" s="46"/>
    </row>
    <row r="1334" spans="2:6" s="53" customFormat="1" ht="17.25" customHeight="1" x14ac:dyDescent="0.25">
      <c r="B1334" s="91"/>
      <c r="C1334" s="35" t="str">
        <f>IF(Sheet3!A1305="","",Sheet3!A1305)</f>
        <v/>
      </c>
      <c r="D1334" s="80"/>
      <c r="E1334" s="45"/>
      <c r="F1334" s="46"/>
    </row>
    <row r="1335" spans="2:6" s="53" customFormat="1" ht="17.25" customHeight="1" x14ac:dyDescent="0.25">
      <c r="B1335" s="91"/>
      <c r="C1335" s="35" t="str">
        <f>IF(Sheet3!A1306="","",Sheet3!A1306)</f>
        <v/>
      </c>
      <c r="D1335" s="80"/>
      <c r="E1335" s="45"/>
      <c r="F1335" s="46"/>
    </row>
    <row r="1336" spans="2:6" s="53" customFormat="1" ht="17.25" customHeight="1" x14ac:dyDescent="0.25">
      <c r="B1336" s="91"/>
      <c r="C1336" s="35" t="str">
        <f>IF(Sheet3!A1307="","",Sheet3!A1307)</f>
        <v/>
      </c>
      <c r="D1336" s="80"/>
      <c r="E1336" s="45"/>
      <c r="F1336" s="46"/>
    </row>
    <row r="1337" spans="2:6" s="53" customFormat="1" ht="17.25" customHeight="1" x14ac:dyDescent="0.25">
      <c r="B1337" s="91"/>
      <c r="C1337" s="35" t="str">
        <f>IF(Sheet3!A1308="","",Sheet3!A1308)</f>
        <v/>
      </c>
      <c r="D1337" s="80"/>
      <c r="E1337" s="45"/>
      <c r="F1337" s="46"/>
    </row>
    <row r="1338" spans="2:6" s="53" customFormat="1" ht="17.25" customHeight="1" x14ac:dyDescent="0.25">
      <c r="B1338" s="91"/>
      <c r="C1338" s="35" t="str">
        <f>IF(Sheet3!A1309="","",Sheet3!A1309)</f>
        <v/>
      </c>
      <c r="D1338" s="80"/>
      <c r="E1338" s="45"/>
      <c r="F1338" s="46"/>
    </row>
    <row r="1339" spans="2:6" s="53" customFormat="1" ht="17.25" customHeight="1" x14ac:dyDescent="0.25">
      <c r="B1339" s="91"/>
      <c r="C1339" s="35" t="str">
        <f>IF(Sheet3!A1310="","",Sheet3!A1310)</f>
        <v/>
      </c>
      <c r="D1339" s="80"/>
      <c r="E1339" s="45"/>
      <c r="F1339" s="46"/>
    </row>
    <row r="1340" spans="2:6" s="53" customFormat="1" ht="17.25" customHeight="1" x14ac:dyDescent="0.25">
      <c r="B1340" s="91"/>
      <c r="C1340" s="35" t="str">
        <f>IF(Sheet3!A1311="","",Sheet3!A1311)</f>
        <v/>
      </c>
      <c r="D1340" s="80"/>
      <c r="E1340" s="45"/>
      <c r="F1340" s="46"/>
    </row>
    <row r="1341" spans="2:6" s="53" customFormat="1" ht="17.25" customHeight="1" x14ac:dyDescent="0.25">
      <c r="B1341" s="91"/>
      <c r="C1341" s="35" t="str">
        <f>IF(Sheet3!A1312="","",Sheet3!A1312)</f>
        <v/>
      </c>
      <c r="D1341" s="80"/>
      <c r="E1341" s="45"/>
      <c r="F1341" s="46"/>
    </row>
    <row r="1342" spans="2:6" s="53" customFormat="1" ht="17.25" customHeight="1" x14ac:dyDescent="0.25">
      <c r="B1342" s="91"/>
      <c r="C1342" s="35" t="str">
        <f>IF(Sheet3!A1313="","",Sheet3!A1313)</f>
        <v/>
      </c>
      <c r="D1342" s="80"/>
      <c r="E1342" s="45"/>
      <c r="F1342" s="46"/>
    </row>
    <row r="1343" spans="2:6" s="53" customFormat="1" ht="17.25" customHeight="1" x14ac:dyDescent="0.25">
      <c r="B1343" s="91"/>
      <c r="C1343" s="35" t="str">
        <f>IF(Sheet3!A1314="","",Sheet3!A1314)</f>
        <v/>
      </c>
      <c r="D1343" s="80"/>
      <c r="E1343" s="45"/>
      <c r="F1343" s="46"/>
    </row>
    <row r="1344" spans="2:6" s="53" customFormat="1" ht="17.25" customHeight="1" x14ac:dyDescent="0.25">
      <c r="B1344" s="91"/>
      <c r="C1344" s="35" t="str">
        <f>IF(Sheet3!A1315="","",Sheet3!A1315)</f>
        <v/>
      </c>
      <c r="D1344" s="80"/>
      <c r="E1344" s="45"/>
      <c r="F1344" s="46"/>
    </row>
    <row r="1345" spans="2:6" s="53" customFormat="1" ht="17.25" customHeight="1" x14ac:dyDescent="0.25">
      <c r="B1345" s="91"/>
      <c r="C1345" s="35" t="str">
        <f>IF(Sheet3!A1316="","",Sheet3!A1316)</f>
        <v/>
      </c>
      <c r="D1345" s="80"/>
      <c r="E1345" s="45"/>
      <c r="F1345" s="46"/>
    </row>
    <row r="1346" spans="2:6" s="53" customFormat="1" ht="17.25" customHeight="1" x14ac:dyDescent="0.25">
      <c r="B1346" s="91"/>
      <c r="C1346" s="35" t="str">
        <f>IF(Sheet3!A1317="","",Sheet3!A1317)</f>
        <v/>
      </c>
      <c r="D1346" s="80"/>
      <c r="E1346" s="45"/>
      <c r="F1346" s="46"/>
    </row>
    <row r="1347" spans="2:6" s="53" customFormat="1" ht="17.25" customHeight="1" x14ac:dyDescent="0.25">
      <c r="B1347" s="91"/>
      <c r="C1347" s="35" t="str">
        <f>IF(Sheet3!A1318="","",Sheet3!A1318)</f>
        <v/>
      </c>
      <c r="D1347" s="80"/>
      <c r="E1347" s="45"/>
      <c r="F1347" s="46"/>
    </row>
    <row r="1348" spans="2:6" s="53" customFormat="1" ht="17.25" customHeight="1" x14ac:dyDescent="0.25">
      <c r="B1348" s="91"/>
      <c r="C1348" s="35" t="str">
        <f>IF(Sheet3!A1319="","",Sheet3!A1319)</f>
        <v/>
      </c>
      <c r="D1348" s="80"/>
      <c r="E1348" s="45"/>
      <c r="F1348" s="46"/>
    </row>
    <row r="1349" spans="2:6" s="53" customFormat="1" ht="17.25" customHeight="1" x14ac:dyDescent="0.25">
      <c r="B1349" s="91"/>
      <c r="C1349" s="35" t="str">
        <f>IF(Sheet3!A1320="","",Sheet3!A1320)</f>
        <v/>
      </c>
      <c r="D1349" s="80"/>
      <c r="E1349" s="45"/>
      <c r="F1349" s="46"/>
    </row>
    <row r="1350" spans="2:6" s="53" customFormat="1" ht="17.25" customHeight="1" x14ac:dyDescent="0.25">
      <c r="B1350" s="91"/>
      <c r="C1350" s="35" t="str">
        <f>IF(Sheet3!A1321="","",Sheet3!A1321)</f>
        <v/>
      </c>
      <c r="D1350" s="80"/>
      <c r="E1350" s="45"/>
      <c r="F1350" s="46"/>
    </row>
    <row r="1351" spans="2:6" s="53" customFormat="1" ht="17.25" customHeight="1" x14ac:dyDescent="0.25">
      <c r="B1351" s="91"/>
      <c r="C1351" s="35" t="str">
        <f>IF(Sheet3!A1322="","",Sheet3!A1322)</f>
        <v/>
      </c>
      <c r="D1351" s="80"/>
      <c r="E1351" s="45"/>
      <c r="F1351" s="46"/>
    </row>
    <row r="1352" spans="2:6" s="53" customFormat="1" ht="17.25" customHeight="1" x14ac:dyDescent="0.25">
      <c r="B1352" s="91"/>
      <c r="C1352" s="35" t="str">
        <f>IF(Sheet3!A1323="","",Sheet3!A1323)</f>
        <v/>
      </c>
      <c r="D1352" s="80"/>
      <c r="E1352" s="45"/>
      <c r="F1352" s="46"/>
    </row>
    <row r="1353" spans="2:6" s="53" customFormat="1" ht="17.25" customHeight="1" x14ac:dyDescent="0.25">
      <c r="B1353" s="91"/>
      <c r="C1353" s="35" t="str">
        <f>IF(Sheet3!A1324="","",Sheet3!A1324)</f>
        <v/>
      </c>
      <c r="D1353" s="80"/>
      <c r="E1353" s="45"/>
      <c r="F1353" s="46"/>
    </row>
    <row r="1354" spans="2:6" s="53" customFormat="1" ht="17.25" customHeight="1" x14ac:dyDescent="0.25">
      <c r="B1354" s="91"/>
      <c r="C1354" s="35" t="str">
        <f>IF(Sheet3!A1325="","",Sheet3!A1325)</f>
        <v/>
      </c>
      <c r="D1354" s="80"/>
      <c r="E1354" s="45"/>
      <c r="F1354" s="46"/>
    </row>
    <row r="1355" spans="2:6" s="53" customFormat="1" ht="17.25" customHeight="1" x14ac:dyDescent="0.25">
      <c r="B1355" s="91"/>
      <c r="C1355" s="35" t="str">
        <f>IF(Sheet3!A1326="","",Sheet3!A1326)</f>
        <v/>
      </c>
      <c r="D1355" s="80"/>
      <c r="E1355" s="45"/>
      <c r="F1355" s="46"/>
    </row>
    <row r="1356" spans="2:6" s="53" customFormat="1" ht="17.25" customHeight="1" x14ac:dyDescent="0.25">
      <c r="B1356" s="91"/>
      <c r="C1356" s="35" t="str">
        <f>IF(Sheet3!A1327="","",Sheet3!A1327)</f>
        <v/>
      </c>
      <c r="D1356" s="80"/>
      <c r="E1356" s="45"/>
      <c r="F1356" s="46"/>
    </row>
    <row r="1357" spans="2:6" s="53" customFormat="1" ht="17.25" customHeight="1" x14ac:dyDescent="0.25">
      <c r="B1357" s="91"/>
      <c r="C1357" s="35" t="str">
        <f>IF(Sheet3!A1328="","",Sheet3!A1328)</f>
        <v/>
      </c>
      <c r="D1357" s="80"/>
      <c r="E1357" s="45"/>
      <c r="F1357" s="46"/>
    </row>
    <row r="1358" spans="2:6" s="53" customFormat="1" ht="17.25" customHeight="1" x14ac:dyDescent="0.25">
      <c r="B1358" s="91"/>
      <c r="C1358" s="35" t="str">
        <f>IF(Sheet3!A1329="","",Sheet3!A1329)</f>
        <v/>
      </c>
      <c r="D1358" s="80"/>
      <c r="E1358" s="45"/>
      <c r="F1358" s="46"/>
    </row>
    <row r="1359" spans="2:6" s="53" customFormat="1" ht="17.25" customHeight="1" x14ac:dyDescent="0.25">
      <c r="B1359" s="91"/>
      <c r="C1359" s="35" t="str">
        <f>IF(Sheet3!A1330="","",Sheet3!A1330)</f>
        <v/>
      </c>
      <c r="D1359" s="80"/>
      <c r="E1359" s="45"/>
      <c r="F1359" s="46"/>
    </row>
    <row r="1360" spans="2:6" s="53" customFormat="1" ht="17.25" customHeight="1" x14ac:dyDescent="0.25">
      <c r="B1360" s="91"/>
      <c r="C1360" s="35" t="str">
        <f>IF(Sheet3!A1331="","",Sheet3!A1331)</f>
        <v/>
      </c>
      <c r="D1360" s="80"/>
      <c r="E1360" s="45"/>
      <c r="F1360" s="46"/>
    </row>
    <row r="1361" spans="2:6" s="53" customFormat="1" ht="17.25" customHeight="1" x14ac:dyDescent="0.25">
      <c r="B1361" s="91"/>
      <c r="C1361" s="35" t="str">
        <f>IF(Sheet3!A1332="","",Sheet3!A1332)</f>
        <v/>
      </c>
      <c r="D1361" s="80"/>
      <c r="E1361" s="45"/>
      <c r="F1361" s="46"/>
    </row>
    <row r="1362" spans="2:6" s="53" customFormat="1" ht="17.25" customHeight="1" x14ac:dyDescent="0.25">
      <c r="B1362" s="91"/>
      <c r="C1362" s="35" t="str">
        <f>IF(Sheet3!A1333="","",Sheet3!A1333)</f>
        <v/>
      </c>
      <c r="D1362" s="80"/>
      <c r="E1362" s="45"/>
      <c r="F1362" s="46"/>
    </row>
    <row r="1363" spans="2:6" s="53" customFormat="1" ht="17.25" customHeight="1" x14ac:dyDescent="0.25">
      <c r="B1363" s="91"/>
      <c r="C1363" s="35" t="str">
        <f>IF(Sheet3!A1334="","",Sheet3!A1334)</f>
        <v/>
      </c>
      <c r="D1363" s="80"/>
      <c r="E1363" s="45"/>
      <c r="F1363" s="46"/>
    </row>
    <row r="1364" spans="2:6" s="53" customFormat="1" ht="17.25" customHeight="1" x14ac:dyDescent="0.25">
      <c r="B1364" s="91"/>
      <c r="C1364" s="35" t="str">
        <f>IF(Sheet3!A1335="","",Sheet3!A1335)</f>
        <v/>
      </c>
      <c r="D1364" s="80"/>
      <c r="E1364" s="45"/>
      <c r="F1364" s="46"/>
    </row>
    <row r="1365" spans="2:6" s="53" customFormat="1" ht="17.25" customHeight="1" x14ac:dyDescent="0.25">
      <c r="B1365" s="91"/>
      <c r="C1365" s="35" t="str">
        <f>IF(Sheet3!A1336="","",Sheet3!A1336)</f>
        <v/>
      </c>
      <c r="D1365" s="80"/>
      <c r="E1365" s="45"/>
      <c r="F1365" s="46"/>
    </row>
    <row r="1366" spans="2:6" s="53" customFormat="1" ht="17.25" customHeight="1" x14ac:dyDescent="0.25">
      <c r="B1366" s="91"/>
      <c r="C1366" s="35" t="str">
        <f>IF(Sheet3!A1337="","",Sheet3!A1337)</f>
        <v/>
      </c>
      <c r="D1366" s="80"/>
      <c r="E1366" s="45"/>
      <c r="F1366" s="46"/>
    </row>
    <row r="1367" spans="2:6" s="53" customFormat="1" ht="17.25" customHeight="1" x14ac:dyDescent="0.25">
      <c r="B1367" s="91"/>
      <c r="C1367" s="35" t="str">
        <f>IF(Sheet3!A1338="","",Sheet3!A1338)</f>
        <v/>
      </c>
      <c r="D1367" s="80"/>
      <c r="E1367" s="45"/>
      <c r="F1367" s="46"/>
    </row>
    <row r="1368" spans="2:6" s="53" customFormat="1" ht="17.25" customHeight="1" x14ac:dyDescent="0.25">
      <c r="B1368" s="91"/>
      <c r="C1368" s="35" t="str">
        <f>IF(Sheet3!A1339="","",Sheet3!A1339)</f>
        <v/>
      </c>
      <c r="D1368" s="80"/>
      <c r="E1368" s="45"/>
      <c r="F1368" s="46"/>
    </row>
    <row r="1369" spans="2:6" s="53" customFormat="1" ht="17.25" customHeight="1" x14ac:dyDescent="0.25">
      <c r="B1369" s="91"/>
      <c r="C1369" s="35" t="str">
        <f>IF(Sheet3!A1340="","",Sheet3!A1340)</f>
        <v/>
      </c>
      <c r="D1369" s="80"/>
      <c r="E1369" s="45"/>
      <c r="F1369" s="46"/>
    </row>
    <row r="1370" spans="2:6" s="53" customFormat="1" ht="17.25" customHeight="1" x14ac:dyDescent="0.25">
      <c r="B1370" s="91"/>
      <c r="C1370" s="35" t="str">
        <f>IF(Sheet3!A1341="","",Sheet3!A1341)</f>
        <v/>
      </c>
      <c r="D1370" s="80"/>
      <c r="E1370" s="45"/>
      <c r="F1370" s="46"/>
    </row>
    <row r="1371" spans="2:6" s="53" customFormat="1" ht="17.25" customHeight="1" x14ac:dyDescent="0.25">
      <c r="B1371" s="91"/>
      <c r="C1371" s="35" t="str">
        <f>IF(Sheet3!A1342="","",Sheet3!A1342)</f>
        <v/>
      </c>
      <c r="D1371" s="80"/>
      <c r="E1371" s="45"/>
      <c r="F1371" s="46"/>
    </row>
    <row r="1372" spans="2:6" s="53" customFormat="1" ht="17.25" customHeight="1" x14ac:dyDescent="0.25">
      <c r="B1372" s="91"/>
      <c r="C1372" s="35" t="str">
        <f>IF(Sheet3!A1343="","",Sheet3!A1343)</f>
        <v/>
      </c>
      <c r="D1372" s="80"/>
      <c r="E1372" s="45"/>
      <c r="F1372" s="46"/>
    </row>
    <row r="1373" spans="2:6" s="53" customFormat="1" ht="17.25" customHeight="1" x14ac:dyDescent="0.25">
      <c r="B1373" s="91"/>
      <c r="C1373" s="35" t="str">
        <f>IF(Sheet3!A1344="","",Sheet3!A1344)</f>
        <v/>
      </c>
      <c r="D1373" s="80"/>
      <c r="E1373" s="45"/>
      <c r="F1373" s="46"/>
    </row>
    <row r="1374" spans="2:6" s="53" customFormat="1" ht="17.25" customHeight="1" x14ac:dyDescent="0.25">
      <c r="B1374" s="91"/>
      <c r="C1374" s="35" t="str">
        <f>IF(Sheet3!A1345="","",Sheet3!A1345)</f>
        <v/>
      </c>
      <c r="D1374" s="80"/>
      <c r="E1374" s="45"/>
      <c r="F1374" s="46"/>
    </row>
    <row r="1375" spans="2:6" s="53" customFormat="1" ht="17.25" customHeight="1" x14ac:dyDescent="0.25">
      <c r="B1375" s="91"/>
      <c r="C1375" s="35" t="str">
        <f>IF(Sheet3!A1346="","",Sheet3!A1346)</f>
        <v/>
      </c>
      <c r="D1375" s="80"/>
      <c r="E1375" s="45"/>
      <c r="F1375" s="46"/>
    </row>
    <row r="1376" spans="2:6" s="53" customFormat="1" ht="17.25" customHeight="1" x14ac:dyDescent="0.25">
      <c r="B1376" s="91"/>
      <c r="C1376" s="35" t="str">
        <f>IF(Sheet3!A1347="","",Sheet3!A1347)</f>
        <v/>
      </c>
      <c r="D1376" s="80"/>
      <c r="E1376" s="45"/>
      <c r="F1376" s="46"/>
    </row>
    <row r="1377" spans="2:6" s="53" customFormat="1" ht="17.25" customHeight="1" x14ac:dyDescent="0.25">
      <c r="B1377" s="91"/>
      <c r="C1377" s="35" t="str">
        <f>IF(Sheet3!A1348="","",Sheet3!A1348)</f>
        <v/>
      </c>
      <c r="D1377" s="80"/>
      <c r="E1377" s="45"/>
      <c r="F1377" s="46"/>
    </row>
    <row r="1378" spans="2:6" s="53" customFormat="1" ht="17.25" customHeight="1" x14ac:dyDescent="0.25">
      <c r="B1378" s="91"/>
      <c r="C1378" s="35" t="str">
        <f>IF(Sheet3!A1349="","",Sheet3!A1349)</f>
        <v/>
      </c>
      <c r="D1378" s="80"/>
      <c r="E1378" s="45"/>
      <c r="F1378" s="46"/>
    </row>
    <row r="1379" spans="2:6" s="53" customFormat="1" ht="17.25" customHeight="1" x14ac:dyDescent="0.25">
      <c r="B1379" s="91"/>
      <c r="C1379" s="35" t="str">
        <f>IF(Sheet3!A1350="","",Sheet3!A1350)</f>
        <v/>
      </c>
      <c r="D1379" s="80"/>
      <c r="E1379" s="45"/>
      <c r="F1379" s="46"/>
    </row>
    <row r="1380" spans="2:6" s="53" customFormat="1" ht="17.25" customHeight="1" x14ac:dyDescent="0.25">
      <c r="B1380" s="91"/>
      <c r="C1380" s="35" t="str">
        <f>IF(Sheet3!A1351="","",Sheet3!A1351)</f>
        <v/>
      </c>
      <c r="D1380" s="80"/>
      <c r="E1380" s="45"/>
      <c r="F1380" s="46"/>
    </row>
    <row r="1381" spans="2:6" s="53" customFormat="1" ht="17.25" customHeight="1" x14ac:dyDescent="0.25">
      <c r="B1381" s="91"/>
      <c r="C1381" s="35" t="str">
        <f>IF(Sheet3!A1352="","",Sheet3!A1352)</f>
        <v/>
      </c>
      <c r="D1381" s="80"/>
      <c r="E1381" s="45"/>
      <c r="F1381" s="46"/>
    </row>
    <row r="1382" spans="2:6" s="53" customFormat="1" ht="17.25" customHeight="1" x14ac:dyDescent="0.25">
      <c r="B1382" s="91"/>
      <c r="C1382" s="35" t="str">
        <f>IF(Sheet3!A1353="","",Sheet3!A1353)</f>
        <v/>
      </c>
      <c r="D1382" s="80"/>
      <c r="E1382" s="45"/>
      <c r="F1382" s="46"/>
    </row>
    <row r="1383" spans="2:6" s="53" customFormat="1" ht="17.25" customHeight="1" x14ac:dyDescent="0.25">
      <c r="B1383" s="91"/>
      <c r="C1383" s="35" t="str">
        <f>IF(Sheet3!A1354="","",Sheet3!A1354)</f>
        <v/>
      </c>
      <c r="D1383" s="80"/>
      <c r="E1383" s="45"/>
      <c r="F1383" s="46"/>
    </row>
    <row r="1384" spans="2:6" s="53" customFormat="1" ht="17.25" customHeight="1" x14ac:dyDescent="0.25">
      <c r="B1384" s="91"/>
      <c r="C1384" s="35" t="str">
        <f>IF(Sheet3!A1355="","",Sheet3!A1355)</f>
        <v/>
      </c>
      <c r="D1384" s="80"/>
      <c r="E1384" s="45"/>
      <c r="F1384" s="46"/>
    </row>
    <row r="1385" spans="2:6" s="53" customFormat="1" ht="17.25" customHeight="1" x14ac:dyDescent="0.25">
      <c r="B1385" s="91"/>
      <c r="C1385" s="35" t="str">
        <f>IF(Sheet3!A1356="","",Sheet3!A1356)</f>
        <v/>
      </c>
      <c r="D1385" s="80"/>
      <c r="E1385" s="45"/>
      <c r="F1385" s="46"/>
    </row>
    <row r="1386" spans="2:6" s="53" customFormat="1" ht="17.25" customHeight="1" x14ac:dyDescent="0.25">
      <c r="B1386" s="91"/>
      <c r="C1386" s="35" t="str">
        <f>IF(Sheet3!A1357="","",Sheet3!A1357)</f>
        <v/>
      </c>
      <c r="D1386" s="80"/>
      <c r="E1386" s="45"/>
      <c r="F1386" s="46"/>
    </row>
    <row r="1387" spans="2:6" s="53" customFormat="1" ht="17.25" customHeight="1" x14ac:dyDescent="0.25">
      <c r="B1387" s="91"/>
      <c r="C1387" s="35" t="str">
        <f>IF(Sheet3!A1358="","",Sheet3!A1358)</f>
        <v/>
      </c>
      <c r="D1387" s="80"/>
      <c r="E1387" s="45"/>
      <c r="F1387" s="46"/>
    </row>
    <row r="1388" spans="2:6" s="53" customFormat="1" ht="17.25" customHeight="1" x14ac:dyDescent="0.25">
      <c r="B1388" s="91"/>
      <c r="C1388" s="35" t="str">
        <f>IF(Sheet3!A1359="","",Sheet3!A1359)</f>
        <v/>
      </c>
      <c r="D1388" s="80"/>
      <c r="E1388" s="45"/>
      <c r="F1388" s="46"/>
    </row>
    <row r="1389" spans="2:6" s="53" customFormat="1" ht="17.25" customHeight="1" x14ac:dyDescent="0.25">
      <c r="B1389" s="91"/>
      <c r="C1389" s="35" t="str">
        <f>IF(Sheet3!A1360="","",Sheet3!A1360)</f>
        <v/>
      </c>
      <c r="D1389" s="80"/>
      <c r="E1389" s="45"/>
      <c r="F1389" s="46"/>
    </row>
    <row r="1390" spans="2:6" s="53" customFormat="1" ht="17.25" customHeight="1" x14ac:dyDescent="0.25">
      <c r="B1390" s="91"/>
      <c r="C1390" s="35" t="str">
        <f>IF(Sheet3!A1361="","",Sheet3!A1361)</f>
        <v/>
      </c>
      <c r="D1390" s="80"/>
      <c r="E1390" s="45"/>
      <c r="F1390" s="46"/>
    </row>
    <row r="1391" spans="2:6" s="53" customFormat="1" ht="17.25" customHeight="1" x14ac:dyDescent="0.25">
      <c r="B1391" s="91"/>
      <c r="C1391" s="35" t="str">
        <f>IF(Sheet3!A1362="","",Sheet3!A1362)</f>
        <v/>
      </c>
      <c r="D1391" s="80"/>
      <c r="E1391" s="45"/>
      <c r="F1391" s="46"/>
    </row>
    <row r="1392" spans="2:6" s="53" customFormat="1" ht="17.25" customHeight="1" x14ac:dyDescent="0.25">
      <c r="B1392" s="91"/>
      <c r="C1392" s="35" t="str">
        <f>IF(Sheet3!A1363="","",Sheet3!A1363)</f>
        <v/>
      </c>
      <c r="D1392" s="80"/>
      <c r="E1392" s="45"/>
      <c r="F1392" s="46"/>
    </row>
    <row r="1393" spans="2:6" s="53" customFormat="1" ht="17.25" customHeight="1" x14ac:dyDescent="0.25">
      <c r="B1393" s="91"/>
      <c r="C1393" s="35" t="str">
        <f>IF(Sheet3!A1364="","",Sheet3!A1364)</f>
        <v/>
      </c>
      <c r="D1393" s="80"/>
      <c r="E1393" s="45"/>
      <c r="F1393" s="46"/>
    </row>
    <row r="1394" spans="2:6" s="53" customFormat="1" ht="17.25" customHeight="1" x14ac:dyDescent="0.25">
      <c r="B1394" s="91"/>
      <c r="C1394" s="35" t="str">
        <f>IF(Sheet3!A1365="","",Sheet3!A1365)</f>
        <v/>
      </c>
      <c r="D1394" s="80"/>
      <c r="E1394" s="45"/>
      <c r="F1394" s="46"/>
    </row>
    <row r="1395" spans="2:6" s="53" customFormat="1" ht="17.25" customHeight="1" x14ac:dyDescent="0.25">
      <c r="B1395" s="91"/>
      <c r="C1395" s="35" t="str">
        <f>IF(Sheet3!A1366="","",Sheet3!A1366)</f>
        <v/>
      </c>
      <c r="D1395" s="80"/>
      <c r="E1395" s="45"/>
      <c r="F1395" s="46"/>
    </row>
    <row r="1396" spans="2:6" s="53" customFormat="1" ht="17.25" customHeight="1" x14ac:dyDescent="0.25">
      <c r="B1396" s="91"/>
      <c r="C1396" s="35" t="str">
        <f>IF(Sheet3!A1367="","",Sheet3!A1367)</f>
        <v/>
      </c>
      <c r="D1396" s="80"/>
      <c r="E1396" s="45"/>
      <c r="F1396" s="46"/>
    </row>
    <row r="1397" spans="2:6" s="53" customFormat="1" ht="17.25" customHeight="1" x14ac:dyDescent="0.25">
      <c r="B1397" s="91"/>
      <c r="C1397" s="35" t="str">
        <f>IF(Sheet3!A1368="","",Sheet3!A1368)</f>
        <v/>
      </c>
      <c r="D1397" s="80"/>
      <c r="E1397" s="45"/>
      <c r="F1397" s="46"/>
    </row>
    <row r="1398" spans="2:6" s="53" customFormat="1" ht="17.25" customHeight="1" x14ac:dyDescent="0.25">
      <c r="B1398" s="91"/>
      <c r="C1398" s="35" t="str">
        <f>IF(Sheet3!A1369="","",Sheet3!A1369)</f>
        <v/>
      </c>
      <c r="D1398" s="80"/>
      <c r="E1398" s="45"/>
      <c r="F1398" s="46"/>
    </row>
    <row r="1399" spans="2:6" s="53" customFormat="1" ht="17.25" customHeight="1" x14ac:dyDescent="0.25">
      <c r="B1399" s="91"/>
      <c r="C1399" s="35" t="str">
        <f>IF(Sheet3!A1370="","",Sheet3!A1370)</f>
        <v/>
      </c>
      <c r="D1399" s="80"/>
      <c r="E1399" s="45"/>
      <c r="F1399" s="46"/>
    </row>
    <row r="1400" spans="2:6" s="53" customFormat="1" ht="17.25" customHeight="1" x14ac:dyDescent="0.25">
      <c r="B1400" s="91"/>
      <c r="C1400" s="35" t="str">
        <f>IF(Sheet3!A1371="","",Sheet3!A1371)</f>
        <v/>
      </c>
      <c r="D1400" s="80"/>
      <c r="E1400" s="45"/>
      <c r="F1400" s="46"/>
    </row>
    <row r="1401" spans="2:6" s="53" customFormat="1" ht="17.25" customHeight="1" x14ac:dyDescent="0.25">
      <c r="B1401" s="91"/>
      <c r="C1401" s="35" t="str">
        <f>IF(Sheet3!A1372="","",Sheet3!A1372)</f>
        <v/>
      </c>
      <c r="D1401" s="80"/>
      <c r="E1401" s="45"/>
      <c r="F1401" s="46"/>
    </row>
    <row r="1402" spans="2:6" s="53" customFormat="1" ht="17.25" customHeight="1" x14ac:dyDescent="0.25">
      <c r="B1402" s="91"/>
      <c r="C1402" s="35" t="str">
        <f>IF(Sheet3!A1373="","",Sheet3!A1373)</f>
        <v/>
      </c>
      <c r="D1402" s="80"/>
      <c r="E1402" s="45"/>
      <c r="F1402" s="46"/>
    </row>
    <row r="1403" spans="2:6" s="53" customFormat="1" ht="17.25" customHeight="1" x14ac:dyDescent="0.25">
      <c r="B1403" s="91"/>
      <c r="C1403" s="35" t="str">
        <f>IF(Sheet3!A1374="","",Sheet3!A1374)</f>
        <v/>
      </c>
      <c r="D1403" s="80"/>
      <c r="E1403" s="45"/>
      <c r="F1403" s="46"/>
    </row>
    <row r="1404" spans="2:6" s="53" customFormat="1" ht="17.25" customHeight="1" x14ac:dyDescent="0.25">
      <c r="B1404" s="91"/>
      <c r="C1404" s="35" t="str">
        <f>IF(Sheet3!A1375="","",Sheet3!A1375)</f>
        <v/>
      </c>
      <c r="D1404" s="80"/>
      <c r="E1404" s="45"/>
      <c r="F1404" s="46"/>
    </row>
    <row r="1405" spans="2:6" s="53" customFormat="1" ht="17.25" customHeight="1" x14ac:dyDescent="0.25">
      <c r="B1405" s="91"/>
      <c r="C1405" s="35" t="str">
        <f>IF(Sheet3!A1376="","",Sheet3!A1376)</f>
        <v/>
      </c>
      <c r="D1405" s="80"/>
      <c r="E1405" s="45"/>
      <c r="F1405" s="46"/>
    </row>
    <row r="1406" spans="2:6" s="53" customFormat="1" ht="17.25" customHeight="1" x14ac:dyDescent="0.25">
      <c r="B1406" s="91"/>
      <c r="C1406" s="35" t="str">
        <f>IF(Sheet3!A1377="","",Sheet3!A1377)</f>
        <v/>
      </c>
      <c r="D1406" s="80"/>
      <c r="E1406" s="45"/>
      <c r="F1406" s="46"/>
    </row>
    <row r="1407" spans="2:6" s="53" customFormat="1" ht="17.25" customHeight="1" x14ac:dyDescent="0.25">
      <c r="B1407" s="91"/>
      <c r="C1407" s="35" t="str">
        <f>IF(Sheet3!A1378="","",Sheet3!A1378)</f>
        <v/>
      </c>
      <c r="D1407" s="80"/>
      <c r="E1407" s="45"/>
      <c r="F1407" s="46"/>
    </row>
    <row r="1408" spans="2:6" s="53" customFormat="1" ht="17.25" customHeight="1" x14ac:dyDescent="0.25">
      <c r="B1408" s="91"/>
      <c r="C1408" s="35" t="str">
        <f>IF(Sheet3!A1379="","",Sheet3!A1379)</f>
        <v/>
      </c>
      <c r="D1408" s="80"/>
      <c r="E1408" s="45"/>
      <c r="F1408" s="46"/>
    </row>
    <row r="1409" spans="2:6" s="53" customFormat="1" ht="17.25" customHeight="1" x14ac:dyDescent="0.25">
      <c r="B1409" s="91"/>
      <c r="C1409" s="35" t="str">
        <f>IF(Sheet3!A1380="","",Sheet3!A1380)</f>
        <v/>
      </c>
      <c r="D1409" s="80"/>
      <c r="E1409" s="45"/>
      <c r="F1409" s="46"/>
    </row>
    <row r="1410" spans="2:6" s="53" customFormat="1" ht="17.25" customHeight="1" x14ac:dyDescent="0.25">
      <c r="B1410" s="91"/>
      <c r="C1410" s="35" t="str">
        <f>IF(Sheet3!A1381="","",Sheet3!A1381)</f>
        <v/>
      </c>
      <c r="D1410" s="80"/>
      <c r="E1410" s="45"/>
      <c r="F1410" s="46"/>
    </row>
    <row r="1411" spans="2:6" s="53" customFormat="1" ht="17.25" customHeight="1" x14ac:dyDescent="0.25">
      <c r="B1411" s="91"/>
      <c r="C1411" s="35" t="str">
        <f>IF(Sheet3!A1382="","",Sheet3!A1382)</f>
        <v/>
      </c>
      <c r="D1411" s="80"/>
      <c r="E1411" s="45"/>
      <c r="F1411" s="46"/>
    </row>
    <row r="1412" spans="2:6" s="53" customFormat="1" ht="17.25" customHeight="1" x14ac:dyDescent="0.25">
      <c r="B1412" s="91"/>
      <c r="C1412" s="35" t="str">
        <f>IF(Sheet3!A1383="","",Sheet3!A1383)</f>
        <v/>
      </c>
      <c r="D1412" s="80"/>
      <c r="E1412" s="45"/>
      <c r="F1412" s="46"/>
    </row>
    <row r="1413" spans="2:6" s="53" customFormat="1" ht="17.25" customHeight="1" x14ac:dyDescent="0.25">
      <c r="B1413" s="91"/>
      <c r="C1413" s="35" t="str">
        <f>IF(Sheet3!A1384="","",Sheet3!A1384)</f>
        <v/>
      </c>
      <c r="D1413" s="80"/>
      <c r="E1413" s="45"/>
      <c r="F1413" s="46"/>
    </row>
    <row r="1414" spans="2:6" s="53" customFormat="1" ht="17.25" customHeight="1" x14ac:dyDescent="0.25">
      <c r="B1414" s="91"/>
      <c r="C1414" s="35" t="str">
        <f>IF(Sheet3!A1385="","",Sheet3!A1385)</f>
        <v/>
      </c>
      <c r="D1414" s="80"/>
      <c r="E1414" s="45"/>
      <c r="F1414" s="46"/>
    </row>
    <row r="1415" spans="2:6" s="53" customFormat="1" ht="17.25" customHeight="1" x14ac:dyDescent="0.25">
      <c r="B1415" s="91"/>
      <c r="C1415" s="35" t="str">
        <f>IF(Sheet3!A1386="","",Sheet3!A1386)</f>
        <v/>
      </c>
      <c r="D1415" s="80"/>
      <c r="E1415" s="45"/>
      <c r="F1415" s="46"/>
    </row>
    <row r="1416" spans="2:6" s="53" customFormat="1" ht="17.25" customHeight="1" x14ac:dyDescent="0.25">
      <c r="B1416" s="91"/>
      <c r="C1416" s="35" t="str">
        <f>IF(Sheet3!A1387="","",Sheet3!A1387)</f>
        <v/>
      </c>
      <c r="D1416" s="80"/>
      <c r="E1416" s="45"/>
      <c r="F1416" s="46"/>
    </row>
    <row r="1417" spans="2:6" s="53" customFormat="1" ht="17.25" customHeight="1" x14ac:dyDescent="0.25">
      <c r="B1417" s="91"/>
      <c r="C1417" s="35" t="str">
        <f>IF(Sheet3!A1388="","",Sheet3!A1388)</f>
        <v/>
      </c>
      <c r="D1417" s="80"/>
      <c r="E1417" s="45"/>
      <c r="F1417" s="46"/>
    </row>
    <row r="1418" spans="2:6" s="53" customFormat="1" ht="17.25" customHeight="1" x14ac:dyDescent="0.25">
      <c r="B1418" s="91"/>
      <c r="C1418" s="35" t="str">
        <f>IF(Sheet3!A1389="","",Sheet3!A1389)</f>
        <v/>
      </c>
      <c r="D1418" s="80"/>
      <c r="E1418" s="45"/>
      <c r="F1418" s="46"/>
    </row>
    <row r="1419" spans="2:6" s="53" customFormat="1" ht="17.25" customHeight="1" x14ac:dyDescent="0.25">
      <c r="B1419" s="91"/>
      <c r="C1419" s="35" t="str">
        <f>IF(Sheet3!A1390="","",Sheet3!A1390)</f>
        <v/>
      </c>
      <c r="D1419" s="80"/>
      <c r="E1419" s="45"/>
      <c r="F1419" s="46"/>
    </row>
    <row r="1420" spans="2:6" s="53" customFormat="1" ht="17.25" customHeight="1" x14ac:dyDescent="0.25">
      <c r="B1420" s="91"/>
      <c r="C1420" s="35" t="str">
        <f>IF(Sheet3!A1391="","",Sheet3!A1391)</f>
        <v/>
      </c>
      <c r="D1420" s="80"/>
      <c r="E1420" s="45"/>
      <c r="F1420" s="46"/>
    </row>
    <row r="1421" spans="2:6" s="53" customFormat="1" ht="17.25" customHeight="1" x14ac:dyDescent="0.25">
      <c r="B1421" s="91"/>
      <c r="C1421" s="35" t="str">
        <f>IF(Sheet3!A1392="","",Sheet3!A1392)</f>
        <v/>
      </c>
      <c r="D1421" s="80"/>
      <c r="E1421" s="45"/>
      <c r="F1421" s="46"/>
    </row>
    <row r="1422" spans="2:6" s="53" customFormat="1" ht="17.25" customHeight="1" x14ac:dyDescent="0.25">
      <c r="B1422" s="91"/>
      <c r="C1422" s="35" t="str">
        <f>IF(Sheet3!A1393="","",Sheet3!A1393)</f>
        <v/>
      </c>
      <c r="D1422" s="80"/>
      <c r="E1422" s="45"/>
      <c r="F1422" s="46"/>
    </row>
    <row r="1423" spans="2:6" s="53" customFormat="1" ht="17.25" customHeight="1" x14ac:dyDescent="0.25">
      <c r="B1423" s="91"/>
      <c r="C1423" s="35" t="str">
        <f>IF(Sheet3!A1394="","",Sheet3!A1394)</f>
        <v/>
      </c>
      <c r="D1423" s="80"/>
      <c r="E1423" s="45"/>
      <c r="F1423" s="46"/>
    </row>
    <row r="1424" spans="2:6" s="53" customFormat="1" ht="17.25" customHeight="1" x14ac:dyDescent="0.25">
      <c r="B1424" s="91"/>
      <c r="C1424" s="35" t="str">
        <f>IF(Sheet3!A1395="","",Sheet3!A1395)</f>
        <v/>
      </c>
      <c r="D1424" s="80"/>
      <c r="E1424" s="45"/>
      <c r="F1424" s="46"/>
    </row>
    <row r="1425" spans="2:6" s="53" customFormat="1" ht="17.25" customHeight="1" x14ac:dyDescent="0.25">
      <c r="B1425" s="91"/>
      <c r="C1425" s="35" t="str">
        <f>IF(Sheet3!A1396="","",Sheet3!A1396)</f>
        <v/>
      </c>
      <c r="D1425" s="80"/>
      <c r="E1425" s="45"/>
      <c r="F1425" s="46"/>
    </row>
    <row r="1426" spans="2:6" s="53" customFormat="1" ht="17.25" customHeight="1" x14ac:dyDescent="0.25">
      <c r="B1426" s="91"/>
      <c r="C1426" s="35" t="str">
        <f>IF(Sheet3!A1397="","",Sheet3!A1397)</f>
        <v/>
      </c>
      <c r="D1426" s="80"/>
      <c r="E1426" s="45"/>
      <c r="F1426" s="46"/>
    </row>
    <row r="1427" spans="2:6" s="53" customFormat="1" ht="17.25" customHeight="1" x14ac:dyDescent="0.25">
      <c r="B1427" s="91"/>
      <c r="C1427" s="35" t="str">
        <f>IF(Sheet3!A1398="","",Sheet3!A1398)</f>
        <v/>
      </c>
      <c r="D1427" s="80"/>
      <c r="E1427" s="45"/>
      <c r="F1427" s="46"/>
    </row>
    <row r="1428" spans="2:6" s="53" customFormat="1" ht="17.25" customHeight="1" x14ac:dyDescent="0.25">
      <c r="B1428" s="91"/>
      <c r="C1428" s="35" t="str">
        <f>IF(Sheet3!A1399="","",Sheet3!A1399)</f>
        <v/>
      </c>
      <c r="D1428" s="80"/>
      <c r="E1428" s="45"/>
      <c r="F1428" s="46"/>
    </row>
    <row r="1429" spans="2:6" s="53" customFormat="1" ht="17.25" customHeight="1" x14ac:dyDescent="0.25">
      <c r="B1429" s="91"/>
      <c r="C1429" s="35" t="str">
        <f>IF(Sheet3!A1400="","",Sheet3!A1400)</f>
        <v/>
      </c>
      <c r="D1429" s="80"/>
      <c r="E1429" s="45"/>
      <c r="F1429" s="46"/>
    </row>
    <row r="1430" spans="2:6" s="53" customFormat="1" ht="17.25" customHeight="1" x14ac:dyDescent="0.25">
      <c r="B1430" s="91"/>
      <c r="C1430" s="35" t="str">
        <f>IF(Sheet3!A1401="","",Sheet3!A1401)</f>
        <v/>
      </c>
      <c r="D1430" s="80"/>
      <c r="E1430" s="45"/>
      <c r="F1430" s="46"/>
    </row>
    <row r="1431" spans="2:6" s="53" customFormat="1" ht="17.25" customHeight="1" x14ac:dyDescent="0.25">
      <c r="B1431" s="91"/>
      <c r="C1431" s="35" t="str">
        <f>IF(Sheet3!A1402="","",Sheet3!A1402)</f>
        <v/>
      </c>
      <c r="D1431" s="80"/>
      <c r="E1431" s="45"/>
      <c r="F1431" s="46"/>
    </row>
    <row r="1432" spans="2:6" s="53" customFormat="1" ht="17.25" customHeight="1" x14ac:dyDescent="0.25">
      <c r="B1432" s="91"/>
      <c r="C1432" s="35" t="str">
        <f>IF(Sheet3!A1403="","",Sheet3!A1403)</f>
        <v/>
      </c>
      <c r="D1432" s="80"/>
      <c r="E1432" s="45"/>
      <c r="F1432" s="46"/>
    </row>
    <row r="1433" spans="2:6" s="53" customFormat="1" ht="17.25" customHeight="1" x14ac:dyDescent="0.25">
      <c r="B1433" s="91"/>
      <c r="C1433" s="35" t="str">
        <f>IF(Sheet3!A1404="","",Sheet3!A1404)</f>
        <v/>
      </c>
      <c r="D1433" s="80"/>
      <c r="E1433" s="45"/>
      <c r="F1433" s="46"/>
    </row>
    <row r="1434" spans="2:6" s="53" customFormat="1" ht="17.25" customHeight="1" x14ac:dyDescent="0.25">
      <c r="B1434" s="91"/>
      <c r="C1434" s="35" t="str">
        <f>IF(Sheet3!A1405="","",Sheet3!A1405)</f>
        <v/>
      </c>
      <c r="D1434" s="80"/>
      <c r="E1434" s="45"/>
      <c r="F1434" s="46"/>
    </row>
    <row r="1435" spans="2:6" s="53" customFormat="1" ht="17.25" customHeight="1" x14ac:dyDescent="0.25">
      <c r="B1435" s="91"/>
      <c r="C1435" s="35" t="str">
        <f>IF(Sheet3!A1406="","",Sheet3!A1406)</f>
        <v/>
      </c>
      <c r="D1435" s="80"/>
      <c r="E1435" s="45"/>
      <c r="F1435" s="46"/>
    </row>
    <row r="1436" spans="2:6" s="53" customFormat="1" ht="17.25" customHeight="1" x14ac:dyDescent="0.25">
      <c r="B1436" s="91"/>
      <c r="C1436" s="35" t="str">
        <f>IF(Sheet3!A1407="","",Sheet3!A1407)</f>
        <v/>
      </c>
      <c r="D1436" s="80"/>
      <c r="E1436" s="45"/>
      <c r="F1436" s="46"/>
    </row>
    <row r="1437" spans="2:6" s="53" customFormat="1" ht="17.25" customHeight="1" x14ac:dyDescent="0.25">
      <c r="B1437" s="91"/>
      <c r="C1437" s="35" t="str">
        <f>IF(Sheet3!A1408="","",Sheet3!A1408)</f>
        <v/>
      </c>
      <c r="D1437" s="80"/>
      <c r="E1437" s="45"/>
      <c r="F1437" s="46"/>
    </row>
    <row r="1438" spans="2:6" s="53" customFormat="1" ht="17.25" customHeight="1" x14ac:dyDescent="0.25">
      <c r="B1438" s="91"/>
      <c r="C1438" s="35" t="str">
        <f>IF(Sheet3!A1409="","",Sheet3!A1409)</f>
        <v/>
      </c>
      <c r="D1438" s="80"/>
      <c r="E1438" s="45"/>
      <c r="F1438" s="46"/>
    </row>
    <row r="1439" spans="2:6" s="53" customFormat="1" ht="17.25" customHeight="1" x14ac:dyDescent="0.25">
      <c r="B1439" s="91"/>
      <c r="C1439" s="35" t="str">
        <f>IF(Sheet3!A1410="","",Sheet3!A1410)</f>
        <v/>
      </c>
      <c r="D1439" s="80"/>
      <c r="E1439" s="45"/>
      <c r="F1439" s="46"/>
    </row>
    <row r="1440" spans="2:6" s="53" customFormat="1" ht="17.25" customHeight="1" x14ac:dyDescent="0.25">
      <c r="B1440" s="91"/>
      <c r="C1440" s="35" t="str">
        <f>IF(Sheet3!A1411="","",Sheet3!A1411)</f>
        <v/>
      </c>
      <c r="D1440" s="80"/>
      <c r="E1440" s="45"/>
      <c r="F1440" s="46"/>
    </row>
    <row r="1441" spans="2:6" s="53" customFormat="1" ht="17.25" customHeight="1" x14ac:dyDescent="0.25">
      <c r="B1441" s="91"/>
      <c r="C1441" s="35" t="str">
        <f>IF(Sheet3!A1412="","",Sheet3!A1412)</f>
        <v/>
      </c>
      <c r="D1441" s="80"/>
      <c r="E1441" s="45"/>
      <c r="F1441" s="46"/>
    </row>
    <row r="1442" spans="2:6" s="53" customFormat="1" ht="17.25" customHeight="1" x14ac:dyDescent="0.25">
      <c r="B1442" s="91"/>
      <c r="C1442" s="35" t="str">
        <f>IF(Sheet3!A1413="","",Sheet3!A1413)</f>
        <v/>
      </c>
      <c r="D1442" s="80"/>
      <c r="E1442" s="45"/>
      <c r="F1442" s="46"/>
    </row>
    <row r="1443" spans="2:6" s="53" customFormat="1" ht="17.25" customHeight="1" x14ac:dyDescent="0.25">
      <c r="B1443" s="91"/>
      <c r="C1443" s="35" t="str">
        <f>IF(Sheet3!A1414="","",Sheet3!A1414)</f>
        <v/>
      </c>
      <c r="D1443" s="80"/>
      <c r="E1443" s="45"/>
      <c r="F1443" s="46"/>
    </row>
    <row r="1444" spans="2:6" s="53" customFormat="1" ht="17.25" customHeight="1" x14ac:dyDescent="0.25">
      <c r="B1444" s="91"/>
      <c r="C1444" s="35" t="str">
        <f>IF(Sheet3!A1415="","",Sheet3!A1415)</f>
        <v/>
      </c>
      <c r="D1444" s="80"/>
      <c r="E1444" s="45"/>
      <c r="F1444" s="46"/>
    </row>
    <row r="1445" spans="2:6" s="53" customFormat="1" ht="17.25" customHeight="1" x14ac:dyDescent="0.25">
      <c r="B1445" s="91"/>
      <c r="C1445" s="35" t="str">
        <f>IF(Sheet3!A1416="","",Sheet3!A1416)</f>
        <v/>
      </c>
      <c r="D1445" s="80"/>
      <c r="E1445" s="45"/>
      <c r="F1445" s="46"/>
    </row>
    <row r="1446" spans="2:6" s="53" customFormat="1" ht="17.25" customHeight="1" x14ac:dyDescent="0.25">
      <c r="B1446" s="91"/>
      <c r="C1446" s="35" t="str">
        <f>IF(Sheet3!A1417="","",Sheet3!A1417)</f>
        <v/>
      </c>
      <c r="D1446" s="80"/>
      <c r="E1446" s="45"/>
      <c r="F1446" s="46"/>
    </row>
    <row r="1447" spans="2:6" s="53" customFormat="1" ht="17.25" customHeight="1" x14ac:dyDescent="0.25">
      <c r="B1447" s="91"/>
      <c r="C1447" s="35" t="str">
        <f>IF(Sheet3!A1418="","",Sheet3!A1418)</f>
        <v/>
      </c>
      <c r="D1447" s="80"/>
      <c r="E1447" s="45"/>
      <c r="F1447" s="46"/>
    </row>
    <row r="1448" spans="2:6" s="53" customFormat="1" ht="17.25" customHeight="1" x14ac:dyDescent="0.25">
      <c r="B1448" s="91"/>
      <c r="C1448" s="35" t="str">
        <f>IF(Sheet3!A1419="","",Sheet3!A1419)</f>
        <v/>
      </c>
      <c r="D1448" s="80"/>
      <c r="E1448" s="45"/>
      <c r="F1448" s="46"/>
    </row>
    <row r="1449" spans="2:6" s="53" customFormat="1" ht="17.25" customHeight="1" x14ac:dyDescent="0.25">
      <c r="B1449" s="91"/>
      <c r="C1449" s="35" t="str">
        <f>IF(Sheet3!A1420="","",Sheet3!A1420)</f>
        <v/>
      </c>
      <c r="D1449" s="80"/>
      <c r="E1449" s="45"/>
      <c r="F1449" s="46"/>
    </row>
    <row r="1450" spans="2:6" s="53" customFormat="1" ht="17.25" customHeight="1" x14ac:dyDescent="0.25">
      <c r="B1450" s="91"/>
      <c r="C1450" s="35" t="str">
        <f>IF(Sheet3!A1421="","",Sheet3!A1421)</f>
        <v/>
      </c>
      <c r="D1450" s="80"/>
      <c r="E1450" s="45"/>
      <c r="F1450" s="46"/>
    </row>
    <row r="1451" spans="2:6" s="53" customFormat="1" ht="17.25" customHeight="1" x14ac:dyDescent="0.25">
      <c r="B1451" s="91"/>
      <c r="C1451" s="35" t="str">
        <f>IF(Sheet3!A1422="","",Sheet3!A1422)</f>
        <v/>
      </c>
      <c r="D1451" s="80"/>
      <c r="E1451" s="45"/>
      <c r="F1451" s="46"/>
    </row>
    <row r="1452" spans="2:6" s="53" customFormat="1" ht="17.25" customHeight="1" x14ac:dyDescent="0.25">
      <c r="B1452" s="91"/>
      <c r="C1452" s="35" t="str">
        <f>IF(Sheet3!A1423="","",Sheet3!A1423)</f>
        <v/>
      </c>
      <c r="D1452" s="80"/>
      <c r="E1452" s="45"/>
      <c r="F1452" s="46"/>
    </row>
    <row r="1453" spans="2:6" s="53" customFormat="1" ht="17.25" customHeight="1" x14ac:dyDescent="0.25">
      <c r="B1453" s="91"/>
      <c r="C1453" s="35" t="str">
        <f>IF(Sheet3!A1424="","",Sheet3!A1424)</f>
        <v/>
      </c>
      <c r="D1453" s="80"/>
      <c r="E1453" s="45"/>
      <c r="F1453" s="46"/>
    </row>
    <row r="1454" spans="2:6" s="53" customFormat="1" ht="17.25" customHeight="1" x14ac:dyDescent="0.25">
      <c r="B1454" s="91"/>
      <c r="C1454" s="35" t="str">
        <f>IF(Sheet3!A1425="","",Sheet3!A1425)</f>
        <v/>
      </c>
      <c r="D1454" s="80"/>
      <c r="E1454" s="45"/>
      <c r="F1454" s="46"/>
    </row>
    <row r="1455" spans="2:6" s="53" customFormat="1" ht="17.25" customHeight="1" x14ac:dyDescent="0.25">
      <c r="B1455" s="91"/>
      <c r="C1455" s="35" t="str">
        <f>IF(Sheet3!A1426="","",Sheet3!A1426)</f>
        <v/>
      </c>
      <c r="D1455" s="80"/>
      <c r="E1455" s="45"/>
      <c r="F1455" s="46"/>
    </row>
    <row r="1456" spans="2:6" s="53" customFormat="1" ht="17.25" customHeight="1" x14ac:dyDescent="0.25">
      <c r="B1456" s="91"/>
      <c r="C1456" s="35" t="str">
        <f>IF(Sheet3!A1427="","",Sheet3!A1427)</f>
        <v/>
      </c>
      <c r="D1456" s="80"/>
      <c r="E1456" s="45"/>
      <c r="F1456" s="46"/>
    </row>
    <row r="1457" spans="2:6" s="53" customFormat="1" ht="17.25" customHeight="1" x14ac:dyDescent="0.25">
      <c r="B1457" s="91"/>
      <c r="C1457" s="35" t="str">
        <f>IF(Sheet3!A1428="","",Sheet3!A1428)</f>
        <v/>
      </c>
      <c r="D1457" s="80"/>
      <c r="E1457" s="45"/>
      <c r="F1457" s="46"/>
    </row>
    <row r="1458" spans="2:6" s="53" customFormat="1" ht="17.25" customHeight="1" x14ac:dyDescent="0.25">
      <c r="B1458" s="91"/>
      <c r="C1458" s="35" t="str">
        <f>IF(Sheet3!A1429="","",Sheet3!A1429)</f>
        <v/>
      </c>
      <c r="D1458" s="80"/>
      <c r="E1458" s="45"/>
      <c r="F1458" s="46"/>
    </row>
    <row r="1459" spans="2:6" s="53" customFormat="1" ht="17.25" customHeight="1" x14ac:dyDescent="0.25">
      <c r="B1459" s="91"/>
      <c r="C1459" s="35" t="str">
        <f>IF(Sheet3!A1430="","",Sheet3!A1430)</f>
        <v/>
      </c>
      <c r="D1459" s="80"/>
      <c r="E1459" s="45"/>
      <c r="F1459" s="46"/>
    </row>
    <row r="1460" spans="2:6" s="53" customFormat="1" ht="17.25" customHeight="1" x14ac:dyDescent="0.25">
      <c r="B1460" s="91"/>
      <c r="C1460" s="35" t="str">
        <f>IF(Sheet3!A1431="","",Sheet3!A1431)</f>
        <v/>
      </c>
      <c r="D1460" s="80"/>
      <c r="E1460" s="45"/>
      <c r="F1460" s="46"/>
    </row>
    <row r="1461" spans="2:6" s="53" customFormat="1" ht="17.25" customHeight="1" x14ac:dyDescent="0.25">
      <c r="B1461" s="91"/>
      <c r="C1461" s="35" t="str">
        <f>IF(Sheet3!A1432="","",Sheet3!A1432)</f>
        <v/>
      </c>
      <c r="D1461" s="80"/>
      <c r="E1461" s="45"/>
      <c r="F1461" s="46"/>
    </row>
    <row r="1462" spans="2:6" s="53" customFormat="1" ht="17.25" customHeight="1" x14ac:dyDescent="0.25">
      <c r="B1462" s="91"/>
      <c r="C1462" s="35" t="str">
        <f>IF(Sheet3!A1433="","",Sheet3!A1433)</f>
        <v/>
      </c>
      <c r="D1462" s="80"/>
      <c r="E1462" s="45"/>
      <c r="F1462" s="46"/>
    </row>
    <row r="1463" spans="2:6" s="53" customFormat="1" ht="17.25" customHeight="1" x14ac:dyDescent="0.25">
      <c r="B1463" s="91"/>
      <c r="C1463" s="35" t="str">
        <f>IF(Sheet3!A1434="","",Sheet3!A1434)</f>
        <v/>
      </c>
      <c r="D1463" s="80"/>
      <c r="E1463" s="45"/>
      <c r="F1463" s="46"/>
    </row>
    <row r="1464" spans="2:6" s="53" customFormat="1" ht="17.25" customHeight="1" x14ac:dyDescent="0.25">
      <c r="B1464" s="91"/>
      <c r="C1464" s="35" t="str">
        <f>IF(Sheet3!A1435="","",Sheet3!A1435)</f>
        <v/>
      </c>
      <c r="D1464" s="80"/>
      <c r="E1464" s="45"/>
      <c r="F1464" s="46"/>
    </row>
    <row r="1465" spans="2:6" s="53" customFormat="1" ht="17.25" customHeight="1" x14ac:dyDescent="0.25">
      <c r="B1465" s="91"/>
      <c r="C1465" s="35" t="str">
        <f>IF(Sheet3!A1436="","",Sheet3!A1436)</f>
        <v/>
      </c>
      <c r="D1465" s="80"/>
      <c r="E1465" s="45"/>
      <c r="F1465" s="46"/>
    </row>
    <row r="1466" spans="2:6" s="53" customFormat="1" ht="17.25" customHeight="1" x14ac:dyDescent="0.25">
      <c r="B1466" s="91"/>
      <c r="C1466" s="35" t="str">
        <f>IF(Sheet3!A1437="","",Sheet3!A1437)</f>
        <v/>
      </c>
      <c r="D1466" s="80"/>
      <c r="E1466" s="45"/>
      <c r="F1466" s="46"/>
    </row>
    <row r="1467" spans="2:6" s="53" customFormat="1" ht="17.25" customHeight="1" x14ac:dyDescent="0.25">
      <c r="B1467" s="91"/>
      <c r="C1467" s="35" t="str">
        <f>IF(Sheet3!A1438="","",Sheet3!A1438)</f>
        <v/>
      </c>
      <c r="D1467" s="80"/>
      <c r="E1467" s="45"/>
      <c r="F1467" s="46"/>
    </row>
    <row r="1468" spans="2:6" s="53" customFormat="1" ht="17.25" customHeight="1" x14ac:dyDescent="0.25">
      <c r="B1468" s="91"/>
      <c r="C1468" s="35" t="str">
        <f>IF(Sheet3!A1439="","",Sheet3!A1439)</f>
        <v/>
      </c>
      <c r="D1468" s="80"/>
      <c r="E1468" s="45"/>
      <c r="F1468" s="46"/>
    </row>
    <row r="1469" spans="2:6" s="53" customFormat="1" ht="17.25" customHeight="1" x14ac:dyDescent="0.25">
      <c r="B1469" s="91"/>
      <c r="C1469" s="35" t="str">
        <f>IF(Sheet3!A1440="","",Sheet3!A1440)</f>
        <v/>
      </c>
      <c r="D1469" s="80"/>
      <c r="E1469" s="45"/>
      <c r="F1469" s="46"/>
    </row>
    <row r="1470" spans="2:6" s="53" customFormat="1" ht="17.25" customHeight="1" x14ac:dyDescent="0.25">
      <c r="B1470" s="91"/>
      <c r="C1470" s="35" t="str">
        <f>IF(Sheet3!A1441="","",Sheet3!A1441)</f>
        <v/>
      </c>
      <c r="D1470" s="80"/>
      <c r="E1470" s="45"/>
      <c r="F1470" s="46"/>
    </row>
    <row r="1471" spans="2:6" s="53" customFormat="1" ht="17.25" customHeight="1" x14ac:dyDescent="0.25">
      <c r="B1471" s="91"/>
      <c r="C1471" s="35" t="str">
        <f>IF(Sheet3!A1442="","",Sheet3!A1442)</f>
        <v/>
      </c>
      <c r="D1471" s="80"/>
      <c r="E1471" s="45"/>
      <c r="F1471" s="46"/>
    </row>
    <row r="1472" spans="2:6" s="53" customFormat="1" ht="17.25" customHeight="1" x14ac:dyDescent="0.25">
      <c r="B1472" s="91"/>
      <c r="C1472" s="35" t="str">
        <f>IF(Sheet3!A1443="","",Sheet3!A1443)</f>
        <v/>
      </c>
      <c r="D1472" s="80"/>
      <c r="E1472" s="45"/>
      <c r="F1472" s="46"/>
    </row>
    <row r="1473" spans="2:6" s="53" customFormat="1" ht="17.25" customHeight="1" x14ac:dyDescent="0.25">
      <c r="B1473" s="91"/>
      <c r="C1473" s="35" t="str">
        <f>IF(Sheet3!A1444="","",Sheet3!A1444)</f>
        <v/>
      </c>
      <c r="D1473" s="80"/>
      <c r="E1473" s="45"/>
      <c r="F1473" s="46"/>
    </row>
    <row r="1474" spans="2:6" s="53" customFormat="1" ht="17.25" customHeight="1" x14ac:dyDescent="0.25">
      <c r="B1474" s="91"/>
      <c r="C1474" s="35" t="str">
        <f>IF(Sheet3!A1445="","",Sheet3!A1445)</f>
        <v/>
      </c>
      <c r="D1474" s="80"/>
      <c r="E1474" s="45"/>
      <c r="F1474" s="46"/>
    </row>
    <row r="1475" spans="2:6" s="53" customFormat="1" ht="17.25" customHeight="1" x14ac:dyDescent="0.25">
      <c r="B1475" s="91"/>
      <c r="C1475" s="35" t="str">
        <f>IF(Sheet3!A1446="","",Sheet3!A1446)</f>
        <v/>
      </c>
      <c r="D1475" s="80"/>
      <c r="E1475" s="45"/>
      <c r="F1475" s="46"/>
    </row>
    <row r="1476" spans="2:6" s="53" customFormat="1" ht="17.25" customHeight="1" x14ac:dyDescent="0.25">
      <c r="B1476" s="91"/>
      <c r="C1476" s="35" t="str">
        <f>IF(Sheet3!A1447="","",Sheet3!A1447)</f>
        <v/>
      </c>
      <c r="D1476" s="80"/>
      <c r="E1476" s="45"/>
      <c r="F1476" s="46"/>
    </row>
    <row r="1477" spans="2:6" s="53" customFormat="1" ht="17.25" customHeight="1" x14ac:dyDescent="0.25">
      <c r="B1477" s="91"/>
      <c r="C1477" s="35" t="str">
        <f>IF(Sheet3!A1448="","",Sheet3!A1448)</f>
        <v/>
      </c>
      <c r="D1477" s="80"/>
      <c r="E1477" s="45"/>
      <c r="F1477" s="46"/>
    </row>
    <row r="1478" spans="2:6" s="53" customFormat="1" ht="17.25" customHeight="1" x14ac:dyDescent="0.25">
      <c r="B1478" s="91"/>
      <c r="C1478" s="35" t="str">
        <f>IF(Sheet3!A1449="","",Sheet3!A1449)</f>
        <v/>
      </c>
      <c r="D1478" s="80"/>
      <c r="E1478" s="45"/>
      <c r="F1478" s="46"/>
    </row>
    <row r="1479" spans="2:6" s="53" customFormat="1" ht="17.25" customHeight="1" x14ac:dyDescent="0.25">
      <c r="B1479" s="91"/>
      <c r="C1479" s="35" t="str">
        <f>IF(Sheet3!A1450="","",Sheet3!A1450)</f>
        <v/>
      </c>
      <c r="D1479" s="80"/>
      <c r="E1479" s="45"/>
      <c r="F1479" s="46"/>
    </row>
    <row r="1480" spans="2:6" s="53" customFormat="1" ht="17.25" customHeight="1" x14ac:dyDescent="0.25">
      <c r="B1480" s="91"/>
      <c r="C1480" s="35" t="str">
        <f>IF(Sheet3!A1451="","",Sheet3!A1451)</f>
        <v/>
      </c>
      <c r="D1480" s="80"/>
      <c r="E1480" s="45"/>
      <c r="F1480" s="46"/>
    </row>
    <row r="1481" spans="2:6" s="53" customFormat="1" ht="17.25" customHeight="1" x14ac:dyDescent="0.25">
      <c r="B1481" s="91"/>
      <c r="C1481" s="35" t="str">
        <f>IF(Sheet3!A1452="","",Sheet3!A1452)</f>
        <v/>
      </c>
      <c r="D1481" s="80"/>
      <c r="E1481" s="45"/>
      <c r="F1481" s="46"/>
    </row>
    <row r="1482" spans="2:6" s="53" customFormat="1" ht="17.25" customHeight="1" x14ac:dyDescent="0.25">
      <c r="B1482" s="91"/>
      <c r="C1482" s="35" t="str">
        <f>IF(Sheet3!A1453="","",Sheet3!A1453)</f>
        <v/>
      </c>
      <c r="D1482" s="80"/>
      <c r="E1482" s="45"/>
      <c r="F1482" s="46"/>
    </row>
    <row r="1483" spans="2:6" s="53" customFormat="1" ht="17.25" customHeight="1" x14ac:dyDescent="0.25">
      <c r="B1483" s="91"/>
      <c r="C1483" s="35" t="str">
        <f>IF(Sheet3!A1454="","",Sheet3!A1454)</f>
        <v/>
      </c>
      <c r="D1483" s="80"/>
      <c r="E1483" s="45"/>
      <c r="F1483" s="46"/>
    </row>
    <row r="1484" spans="2:6" s="53" customFormat="1" ht="17.25" customHeight="1" x14ac:dyDescent="0.25">
      <c r="B1484" s="91"/>
      <c r="C1484" s="35" t="str">
        <f>IF(Sheet3!A1455="","",Sheet3!A1455)</f>
        <v/>
      </c>
      <c r="D1484" s="80"/>
      <c r="E1484" s="45"/>
      <c r="F1484" s="46"/>
    </row>
    <row r="1485" spans="2:6" s="53" customFormat="1" ht="17.25" customHeight="1" x14ac:dyDescent="0.25">
      <c r="B1485" s="91"/>
      <c r="C1485" s="35" t="str">
        <f>IF(Sheet3!A1456="","",Sheet3!A1456)</f>
        <v/>
      </c>
      <c r="D1485" s="80"/>
      <c r="E1485" s="45"/>
      <c r="F1485" s="46"/>
    </row>
    <row r="1486" spans="2:6" s="53" customFormat="1" ht="17.25" customHeight="1" x14ac:dyDescent="0.25">
      <c r="B1486" s="91"/>
      <c r="C1486" s="35" t="str">
        <f>IF(Sheet3!A1457="","",Sheet3!A1457)</f>
        <v/>
      </c>
      <c r="D1486" s="80"/>
      <c r="E1486" s="45"/>
      <c r="F1486" s="46"/>
    </row>
    <row r="1487" spans="2:6" s="53" customFormat="1" ht="17.25" customHeight="1" x14ac:dyDescent="0.25">
      <c r="B1487" s="91"/>
      <c r="C1487" s="35" t="str">
        <f>IF(Sheet3!A1458="","",Sheet3!A1458)</f>
        <v/>
      </c>
      <c r="D1487" s="80"/>
      <c r="E1487" s="45"/>
      <c r="F1487" s="46"/>
    </row>
    <row r="1488" spans="2:6" s="53" customFormat="1" ht="17.25" customHeight="1" x14ac:dyDescent="0.25">
      <c r="B1488" s="91"/>
      <c r="C1488" s="35" t="str">
        <f>IF(Sheet3!A1459="","",Sheet3!A1459)</f>
        <v/>
      </c>
      <c r="D1488" s="80"/>
      <c r="E1488" s="45"/>
      <c r="F1488" s="46"/>
    </row>
    <row r="1489" spans="2:6" s="53" customFormat="1" ht="17.25" customHeight="1" x14ac:dyDescent="0.25">
      <c r="B1489" s="91"/>
      <c r="C1489" s="35" t="str">
        <f>IF(Sheet3!A1460="","",Sheet3!A1460)</f>
        <v/>
      </c>
      <c r="D1489" s="80"/>
      <c r="E1489" s="45"/>
      <c r="F1489" s="46"/>
    </row>
    <row r="1490" spans="2:6" s="53" customFormat="1" ht="17.25" customHeight="1" x14ac:dyDescent="0.25">
      <c r="B1490" s="91"/>
      <c r="C1490" s="35" t="str">
        <f>IF(Sheet3!A1461="","",Sheet3!A1461)</f>
        <v/>
      </c>
      <c r="D1490" s="80"/>
      <c r="E1490" s="45"/>
      <c r="F1490" s="46"/>
    </row>
    <row r="1491" spans="2:6" s="53" customFormat="1" ht="17.25" customHeight="1" x14ac:dyDescent="0.25">
      <c r="B1491" s="91"/>
      <c r="C1491" s="35" t="str">
        <f>IF(Sheet3!A1462="","",Sheet3!A1462)</f>
        <v/>
      </c>
      <c r="D1491" s="80"/>
      <c r="E1491" s="45"/>
      <c r="F1491" s="46"/>
    </row>
    <row r="1492" spans="2:6" s="53" customFormat="1" ht="17.25" customHeight="1" x14ac:dyDescent="0.25">
      <c r="B1492" s="91"/>
      <c r="C1492" s="35" t="str">
        <f>IF(Sheet3!A1463="","",Sheet3!A1463)</f>
        <v/>
      </c>
      <c r="D1492" s="80"/>
      <c r="E1492" s="45"/>
      <c r="F1492" s="46"/>
    </row>
    <row r="1493" spans="2:6" s="53" customFormat="1" ht="17.25" customHeight="1" x14ac:dyDescent="0.25">
      <c r="B1493" s="91"/>
      <c r="C1493" s="35" t="str">
        <f>IF(Sheet3!A1464="","",Sheet3!A1464)</f>
        <v/>
      </c>
      <c r="D1493" s="80"/>
      <c r="E1493" s="45"/>
      <c r="F1493" s="46"/>
    </row>
    <row r="1494" spans="2:6" s="53" customFormat="1" ht="17.25" customHeight="1" x14ac:dyDescent="0.25">
      <c r="B1494" s="91"/>
      <c r="C1494" s="35" t="str">
        <f>IF(Sheet3!A1465="","",Sheet3!A1465)</f>
        <v/>
      </c>
      <c r="D1494" s="80"/>
      <c r="E1494" s="45"/>
      <c r="F1494" s="46"/>
    </row>
    <row r="1495" spans="2:6" s="53" customFormat="1" ht="17.25" customHeight="1" x14ac:dyDescent="0.25">
      <c r="B1495" s="91"/>
      <c r="C1495" s="35" t="str">
        <f>IF(Sheet3!A1466="","",Sheet3!A1466)</f>
        <v/>
      </c>
      <c r="D1495" s="80"/>
      <c r="E1495" s="45"/>
      <c r="F1495" s="46"/>
    </row>
    <row r="1496" spans="2:6" s="53" customFormat="1" ht="17.25" customHeight="1" x14ac:dyDescent="0.25">
      <c r="B1496" s="91"/>
      <c r="C1496" s="35" t="str">
        <f>IF(Sheet3!A1467="","",Sheet3!A1467)</f>
        <v/>
      </c>
      <c r="D1496" s="80"/>
      <c r="E1496" s="45"/>
      <c r="F1496" s="46"/>
    </row>
    <row r="1497" spans="2:6" s="53" customFormat="1" ht="17.25" customHeight="1" x14ac:dyDescent="0.25">
      <c r="B1497" s="91"/>
      <c r="C1497" s="35" t="str">
        <f>IF(Sheet3!A1468="","",Sheet3!A1468)</f>
        <v/>
      </c>
      <c r="D1497" s="80"/>
      <c r="E1497" s="45"/>
      <c r="F1497" s="46"/>
    </row>
    <row r="1498" spans="2:6" s="53" customFormat="1" ht="17.25" customHeight="1" x14ac:dyDescent="0.25">
      <c r="B1498" s="91"/>
      <c r="C1498" s="35" t="str">
        <f>IF(Sheet3!A1469="","",Sheet3!A1469)</f>
        <v/>
      </c>
      <c r="D1498" s="80"/>
      <c r="E1498" s="45"/>
      <c r="F1498" s="46"/>
    </row>
    <row r="1499" spans="2:6" s="53" customFormat="1" ht="17.25" customHeight="1" x14ac:dyDescent="0.25">
      <c r="B1499" s="91"/>
      <c r="C1499" s="35" t="str">
        <f>IF(Sheet3!A1470="","",Sheet3!A1470)</f>
        <v/>
      </c>
      <c r="D1499" s="80"/>
      <c r="E1499" s="45"/>
      <c r="F1499" s="46"/>
    </row>
    <row r="1500" spans="2:6" s="53" customFormat="1" ht="17.25" customHeight="1" x14ac:dyDescent="0.25">
      <c r="B1500" s="91"/>
      <c r="C1500" s="35" t="str">
        <f>IF(Sheet3!A1471="","",Sheet3!A1471)</f>
        <v/>
      </c>
      <c r="D1500" s="80"/>
      <c r="E1500" s="45"/>
      <c r="F1500" s="46"/>
    </row>
    <row r="1501" spans="2:6" s="53" customFormat="1" ht="17.25" customHeight="1" x14ac:dyDescent="0.25">
      <c r="B1501" s="91"/>
      <c r="C1501" s="35" t="str">
        <f>IF(Sheet3!A1472="","",Sheet3!A1472)</f>
        <v/>
      </c>
      <c r="D1501" s="80"/>
      <c r="E1501" s="45"/>
      <c r="F1501" s="46"/>
    </row>
    <row r="1502" spans="2:6" s="53" customFormat="1" ht="17.25" customHeight="1" x14ac:dyDescent="0.25">
      <c r="B1502" s="91"/>
      <c r="C1502" s="35" t="str">
        <f>IF(Sheet3!A1473="","",Sheet3!A1473)</f>
        <v/>
      </c>
      <c r="D1502" s="80"/>
      <c r="E1502" s="45"/>
      <c r="F1502" s="46"/>
    </row>
    <row r="1503" spans="2:6" s="53" customFormat="1" ht="17.25" customHeight="1" x14ac:dyDescent="0.25">
      <c r="B1503" s="91"/>
      <c r="C1503" s="35" t="str">
        <f>IF(Sheet3!A1474="","",Sheet3!A1474)</f>
        <v/>
      </c>
      <c r="D1503" s="80"/>
      <c r="E1503" s="45"/>
      <c r="F1503" s="46"/>
    </row>
    <row r="1504" spans="2:6" s="53" customFormat="1" ht="17.25" customHeight="1" x14ac:dyDescent="0.25">
      <c r="B1504" s="91"/>
      <c r="C1504" s="35" t="str">
        <f>IF(Sheet3!A1475="","",Sheet3!A1475)</f>
        <v/>
      </c>
      <c r="D1504" s="80"/>
      <c r="E1504" s="45"/>
      <c r="F1504" s="46"/>
    </row>
    <row r="1505" spans="2:6" s="53" customFormat="1" ht="17.25" customHeight="1" x14ac:dyDescent="0.25">
      <c r="B1505" s="91"/>
      <c r="C1505" s="35" t="str">
        <f>IF(Sheet3!A1476="","",Sheet3!A1476)</f>
        <v/>
      </c>
      <c r="D1505" s="80"/>
      <c r="E1505" s="45"/>
      <c r="F1505" s="46"/>
    </row>
    <row r="1506" spans="2:6" s="53" customFormat="1" ht="17.25" customHeight="1" x14ac:dyDescent="0.25">
      <c r="B1506" s="91"/>
      <c r="C1506" s="35" t="str">
        <f>IF(Sheet3!A1477="","",Sheet3!A1477)</f>
        <v/>
      </c>
      <c r="D1506" s="80"/>
      <c r="E1506" s="45"/>
      <c r="F1506" s="46"/>
    </row>
    <row r="1507" spans="2:6" s="53" customFormat="1" ht="17.25" customHeight="1" x14ac:dyDescent="0.25">
      <c r="B1507" s="91"/>
      <c r="C1507" s="35" t="str">
        <f>IF(Sheet3!A1478="","",Sheet3!A1478)</f>
        <v/>
      </c>
      <c r="D1507" s="80"/>
      <c r="E1507" s="45"/>
      <c r="F1507" s="46"/>
    </row>
    <row r="1508" spans="2:6" s="53" customFormat="1" ht="17.25" customHeight="1" x14ac:dyDescent="0.25">
      <c r="B1508" s="91"/>
      <c r="C1508" s="35" t="str">
        <f>IF(Sheet3!A1479="","",Sheet3!A1479)</f>
        <v/>
      </c>
      <c r="D1508" s="80"/>
      <c r="E1508" s="45"/>
      <c r="F1508" s="46"/>
    </row>
    <row r="1509" spans="2:6" s="53" customFormat="1" ht="17.25" customHeight="1" x14ac:dyDescent="0.25">
      <c r="B1509" s="91"/>
      <c r="C1509" s="35" t="str">
        <f>IF(Sheet3!A1480="","",Sheet3!A1480)</f>
        <v/>
      </c>
      <c r="D1509" s="80"/>
      <c r="E1509" s="45"/>
      <c r="F1509" s="46"/>
    </row>
    <row r="1510" spans="2:6" s="53" customFormat="1" ht="17.25" customHeight="1" x14ac:dyDescent="0.25">
      <c r="B1510" s="91"/>
      <c r="C1510" s="35" t="str">
        <f>IF(Sheet3!A1481="","",Sheet3!A1481)</f>
        <v/>
      </c>
      <c r="D1510" s="80"/>
      <c r="E1510" s="45"/>
      <c r="F1510" s="46"/>
    </row>
    <row r="1511" spans="2:6" s="53" customFormat="1" ht="17.25" customHeight="1" x14ac:dyDescent="0.25">
      <c r="B1511" s="91"/>
      <c r="C1511" s="35" t="str">
        <f>IF(Sheet3!A1482="","",Sheet3!A1482)</f>
        <v/>
      </c>
      <c r="D1511" s="80"/>
      <c r="E1511" s="45"/>
      <c r="F1511" s="46"/>
    </row>
    <row r="1512" spans="2:6" s="53" customFormat="1" ht="17.25" customHeight="1" x14ac:dyDescent="0.25">
      <c r="B1512" s="91"/>
      <c r="C1512" s="35" t="str">
        <f>IF(Sheet3!A1483="","",Sheet3!A1483)</f>
        <v/>
      </c>
      <c r="D1512" s="80"/>
      <c r="E1512" s="45"/>
      <c r="F1512" s="46"/>
    </row>
    <row r="1513" spans="2:6" s="53" customFormat="1" ht="17.25" customHeight="1" x14ac:dyDescent="0.25">
      <c r="B1513" s="91"/>
      <c r="C1513" s="35" t="str">
        <f>IF(Sheet3!A1484="","",Sheet3!A1484)</f>
        <v/>
      </c>
      <c r="D1513" s="80"/>
      <c r="E1513" s="45"/>
      <c r="F1513" s="46"/>
    </row>
    <row r="1514" spans="2:6" s="53" customFormat="1" ht="17.25" customHeight="1" x14ac:dyDescent="0.25">
      <c r="B1514" s="91"/>
      <c r="C1514" s="35" t="str">
        <f>IF(Sheet3!A1485="","",Sheet3!A1485)</f>
        <v/>
      </c>
      <c r="D1514" s="80"/>
      <c r="E1514" s="45"/>
      <c r="F1514" s="46"/>
    </row>
    <row r="1515" spans="2:6" s="53" customFormat="1" ht="17.25" customHeight="1" x14ac:dyDescent="0.25">
      <c r="B1515" s="91"/>
      <c r="C1515" s="35" t="str">
        <f>IF(Sheet3!A1486="","",Sheet3!A1486)</f>
        <v/>
      </c>
      <c r="D1515" s="80"/>
      <c r="E1515" s="45"/>
      <c r="F1515" s="46"/>
    </row>
    <row r="1516" spans="2:6" s="53" customFormat="1" ht="17.25" customHeight="1" x14ac:dyDescent="0.25">
      <c r="B1516" s="91"/>
      <c r="C1516" s="35" t="str">
        <f>IF(Sheet3!A1487="","",Sheet3!A1487)</f>
        <v/>
      </c>
      <c r="D1516" s="80"/>
      <c r="E1516" s="45"/>
      <c r="F1516" s="46"/>
    </row>
    <row r="1517" spans="2:6" s="53" customFormat="1" ht="17.25" customHeight="1" x14ac:dyDescent="0.25">
      <c r="B1517" s="91"/>
      <c r="C1517" s="35" t="str">
        <f>IF(Sheet3!A1488="","",Sheet3!A1488)</f>
        <v/>
      </c>
      <c r="D1517" s="80"/>
      <c r="E1517" s="45"/>
      <c r="F1517" s="46"/>
    </row>
    <row r="1518" spans="2:6" s="53" customFormat="1" ht="17.25" customHeight="1" x14ac:dyDescent="0.25">
      <c r="B1518" s="91"/>
      <c r="C1518" s="35" t="str">
        <f>IF(Sheet3!A1489="","",Sheet3!A1489)</f>
        <v/>
      </c>
      <c r="D1518" s="80"/>
      <c r="E1518" s="45"/>
      <c r="F1518" s="46"/>
    </row>
    <row r="1519" spans="2:6" s="53" customFormat="1" ht="17.25" customHeight="1" x14ac:dyDescent="0.25">
      <c r="B1519" s="91"/>
      <c r="C1519" s="35" t="str">
        <f>IF(Sheet3!A1490="","",Sheet3!A1490)</f>
        <v/>
      </c>
      <c r="D1519" s="80"/>
      <c r="E1519" s="45"/>
      <c r="F1519" s="46"/>
    </row>
    <row r="1520" spans="2:6" s="53" customFormat="1" ht="17.25" customHeight="1" x14ac:dyDescent="0.25">
      <c r="B1520" s="91"/>
      <c r="C1520" s="35" t="str">
        <f>IF(Sheet3!A1491="","",Sheet3!A1491)</f>
        <v/>
      </c>
      <c r="D1520" s="80"/>
      <c r="E1520" s="45"/>
      <c r="F1520" s="46"/>
    </row>
    <row r="1521" spans="2:6" s="53" customFormat="1" ht="17.25" customHeight="1" x14ac:dyDescent="0.25">
      <c r="B1521" s="91"/>
      <c r="C1521" s="35" t="str">
        <f>IF(Sheet3!A1492="","",Sheet3!A1492)</f>
        <v/>
      </c>
      <c r="D1521" s="80"/>
      <c r="E1521" s="45"/>
      <c r="F1521" s="46"/>
    </row>
    <row r="1522" spans="2:6" s="53" customFormat="1" ht="17.25" customHeight="1" x14ac:dyDescent="0.25">
      <c r="B1522" s="91"/>
      <c r="C1522" s="35" t="str">
        <f>IF(Sheet3!A1493="","",Sheet3!A1493)</f>
        <v/>
      </c>
      <c r="D1522" s="80"/>
      <c r="E1522" s="45"/>
      <c r="F1522" s="46"/>
    </row>
    <row r="1523" spans="2:6" s="53" customFormat="1" ht="17.25" customHeight="1" x14ac:dyDescent="0.25">
      <c r="B1523" s="91"/>
      <c r="C1523" s="35" t="str">
        <f>IF(Sheet3!A1494="","",Sheet3!A1494)</f>
        <v/>
      </c>
      <c r="D1523" s="80"/>
      <c r="E1523" s="45"/>
      <c r="F1523" s="46"/>
    </row>
    <row r="1524" spans="2:6" s="53" customFormat="1" ht="17.25" customHeight="1" x14ac:dyDescent="0.25">
      <c r="B1524" s="91"/>
      <c r="C1524" s="35" t="str">
        <f>IF(Sheet3!A1495="","",Sheet3!A1495)</f>
        <v/>
      </c>
      <c r="D1524" s="80"/>
      <c r="E1524" s="45"/>
      <c r="F1524" s="46"/>
    </row>
    <row r="1525" spans="2:6" s="53" customFormat="1" ht="17.25" customHeight="1" x14ac:dyDescent="0.25">
      <c r="B1525" s="91"/>
      <c r="C1525" s="35" t="str">
        <f>IF(Sheet3!A1496="","",Sheet3!A1496)</f>
        <v/>
      </c>
      <c r="D1525" s="80"/>
      <c r="E1525" s="45"/>
      <c r="F1525" s="46"/>
    </row>
    <row r="1526" spans="2:6" s="53" customFormat="1" ht="17.25" customHeight="1" x14ac:dyDescent="0.25">
      <c r="B1526" s="91"/>
      <c r="C1526" s="35" t="str">
        <f>IF(Sheet3!A1497="","",Sheet3!A1497)</f>
        <v/>
      </c>
      <c r="D1526" s="80"/>
      <c r="E1526" s="45"/>
      <c r="F1526" s="46"/>
    </row>
    <row r="1527" spans="2:6" s="53" customFormat="1" ht="17.25" customHeight="1" x14ac:dyDescent="0.25">
      <c r="B1527" s="91"/>
      <c r="C1527" s="35" t="str">
        <f>IF(Sheet3!A1498="","",Sheet3!A1498)</f>
        <v/>
      </c>
      <c r="D1527" s="80"/>
      <c r="E1527" s="45"/>
      <c r="F1527" s="46"/>
    </row>
    <row r="1528" spans="2:6" s="53" customFormat="1" ht="17.25" customHeight="1" x14ac:dyDescent="0.25">
      <c r="B1528" s="91"/>
      <c r="C1528" s="35" t="str">
        <f>IF(Sheet3!A1499="","",Sheet3!A1499)</f>
        <v/>
      </c>
      <c r="D1528" s="80"/>
      <c r="E1528" s="45"/>
      <c r="F1528" s="46"/>
    </row>
    <row r="1529" spans="2:6" s="53" customFormat="1" ht="17.25" customHeight="1" x14ac:dyDescent="0.25">
      <c r="B1529" s="91"/>
      <c r="C1529" s="35" t="str">
        <f>IF(Sheet3!A1500="","",Sheet3!A1500)</f>
        <v/>
      </c>
      <c r="D1529" s="80"/>
      <c r="E1529" s="45"/>
      <c r="F1529" s="46"/>
    </row>
    <row r="1530" spans="2:6" s="53" customFormat="1" ht="17.25" customHeight="1" x14ac:dyDescent="0.25">
      <c r="B1530" s="91"/>
      <c r="C1530" s="35" t="str">
        <f>IF(Sheet3!A1501="","",Sheet3!A1501)</f>
        <v/>
      </c>
      <c r="D1530" s="80"/>
      <c r="E1530" s="45"/>
      <c r="F1530" s="46"/>
    </row>
    <row r="1531" spans="2:6" s="53" customFormat="1" ht="17.25" customHeight="1" x14ac:dyDescent="0.25">
      <c r="B1531" s="91"/>
      <c r="C1531" s="35" t="str">
        <f>IF(Sheet3!A1502="","",Sheet3!A1502)</f>
        <v/>
      </c>
      <c r="D1531" s="80"/>
      <c r="E1531" s="45"/>
      <c r="F1531" s="46"/>
    </row>
    <row r="1532" spans="2:6" s="53" customFormat="1" ht="17.25" customHeight="1" x14ac:dyDescent="0.25">
      <c r="B1532" s="91"/>
      <c r="C1532" s="35" t="str">
        <f>IF(Sheet3!A1503="","",Sheet3!A1503)</f>
        <v/>
      </c>
      <c r="D1532" s="80"/>
      <c r="E1532" s="45"/>
      <c r="F1532" s="46"/>
    </row>
    <row r="1533" spans="2:6" s="53" customFormat="1" ht="17.25" customHeight="1" x14ac:dyDescent="0.25">
      <c r="B1533" s="91"/>
      <c r="C1533" s="35" t="str">
        <f>IF(Sheet3!A1504="","",Sheet3!A1504)</f>
        <v/>
      </c>
      <c r="D1533" s="80"/>
      <c r="E1533" s="45"/>
      <c r="F1533" s="46"/>
    </row>
    <row r="1534" spans="2:6" s="53" customFormat="1" ht="17.25" customHeight="1" x14ac:dyDescent="0.25">
      <c r="B1534" s="91"/>
      <c r="C1534" s="35" t="str">
        <f>IF(Sheet3!A1505="","",Sheet3!A1505)</f>
        <v/>
      </c>
      <c r="D1534" s="80"/>
      <c r="E1534" s="45"/>
      <c r="F1534" s="46"/>
    </row>
    <row r="1535" spans="2:6" s="53" customFormat="1" ht="17.25" customHeight="1" x14ac:dyDescent="0.25">
      <c r="B1535" s="91"/>
      <c r="C1535" s="35" t="str">
        <f>IF(Sheet3!A1506="","",Sheet3!A1506)</f>
        <v/>
      </c>
      <c r="D1535" s="80"/>
      <c r="E1535" s="45"/>
      <c r="F1535" s="46"/>
    </row>
    <row r="1536" spans="2:6" s="53" customFormat="1" ht="17.25" customHeight="1" x14ac:dyDescent="0.25">
      <c r="B1536" s="91"/>
      <c r="C1536" s="35" t="str">
        <f>IF(Sheet3!A1507="","",Sheet3!A1507)</f>
        <v/>
      </c>
      <c r="D1536" s="80"/>
      <c r="E1536" s="45"/>
      <c r="F1536" s="46"/>
    </row>
    <row r="1537" spans="2:6" s="53" customFormat="1" ht="17.25" customHeight="1" x14ac:dyDescent="0.25">
      <c r="B1537" s="91"/>
      <c r="C1537" s="35" t="str">
        <f>IF(Sheet3!A1508="","",Sheet3!A1508)</f>
        <v/>
      </c>
      <c r="D1537" s="80"/>
      <c r="E1537" s="45"/>
      <c r="F1537" s="46"/>
    </row>
    <row r="1538" spans="2:6" s="53" customFormat="1" ht="17.25" customHeight="1" x14ac:dyDescent="0.25">
      <c r="B1538" s="91"/>
      <c r="C1538" s="35" t="str">
        <f>IF(Sheet3!A1509="","",Sheet3!A1509)</f>
        <v/>
      </c>
      <c r="D1538" s="80"/>
      <c r="E1538" s="45"/>
      <c r="F1538" s="46"/>
    </row>
    <row r="1539" spans="2:6" s="53" customFormat="1" ht="17.25" customHeight="1" x14ac:dyDescent="0.25">
      <c r="B1539" s="91"/>
      <c r="C1539" s="35" t="str">
        <f>IF(Sheet3!A1510="","",Sheet3!A1510)</f>
        <v/>
      </c>
      <c r="D1539" s="80"/>
      <c r="E1539" s="45"/>
      <c r="F1539" s="46"/>
    </row>
    <row r="1540" spans="2:6" s="53" customFormat="1" ht="17.25" customHeight="1" x14ac:dyDescent="0.25">
      <c r="B1540" s="91"/>
      <c r="C1540" s="35" t="str">
        <f>IF(Sheet3!A1511="","",Sheet3!A1511)</f>
        <v/>
      </c>
      <c r="D1540" s="80"/>
      <c r="E1540" s="45"/>
      <c r="F1540" s="46"/>
    </row>
    <row r="1541" spans="2:6" s="53" customFormat="1" ht="17.25" customHeight="1" x14ac:dyDescent="0.25">
      <c r="B1541" s="91"/>
      <c r="C1541" s="35" t="str">
        <f>IF(Sheet3!A1512="","",Sheet3!A1512)</f>
        <v/>
      </c>
      <c r="D1541" s="80"/>
      <c r="E1541" s="45"/>
      <c r="F1541" s="46"/>
    </row>
    <row r="1542" spans="2:6" s="53" customFormat="1" ht="17.25" customHeight="1" x14ac:dyDescent="0.25">
      <c r="B1542" s="91"/>
      <c r="C1542" s="35" t="str">
        <f>IF(Sheet3!A1513="","",Sheet3!A1513)</f>
        <v/>
      </c>
      <c r="D1542" s="80"/>
      <c r="E1542" s="45"/>
      <c r="F1542" s="46"/>
    </row>
    <row r="1543" spans="2:6" s="53" customFormat="1" ht="17.25" customHeight="1" x14ac:dyDescent="0.25">
      <c r="B1543" s="91"/>
      <c r="C1543" s="35" t="str">
        <f>IF(Sheet3!A1514="","",Sheet3!A1514)</f>
        <v/>
      </c>
      <c r="D1543" s="80"/>
      <c r="E1543" s="45"/>
      <c r="F1543" s="46"/>
    </row>
    <row r="1544" spans="2:6" s="53" customFormat="1" ht="17.25" customHeight="1" x14ac:dyDescent="0.25">
      <c r="B1544" s="91"/>
      <c r="C1544" s="35" t="str">
        <f>IF(Sheet3!A1515="","",Sheet3!A1515)</f>
        <v/>
      </c>
      <c r="D1544" s="80"/>
      <c r="E1544" s="45"/>
      <c r="F1544" s="46"/>
    </row>
    <row r="1545" spans="2:6" s="53" customFormat="1" ht="17.25" customHeight="1" x14ac:dyDescent="0.25">
      <c r="B1545" s="91"/>
      <c r="C1545" s="35" t="str">
        <f>IF(Sheet3!A1516="","",Sheet3!A1516)</f>
        <v/>
      </c>
      <c r="D1545" s="80"/>
      <c r="E1545" s="45"/>
      <c r="F1545" s="46"/>
    </row>
    <row r="1546" spans="2:6" s="53" customFormat="1" ht="17.25" customHeight="1" x14ac:dyDescent="0.25">
      <c r="B1546" s="91"/>
      <c r="C1546" s="35" t="str">
        <f>IF(Sheet3!A1517="","",Sheet3!A1517)</f>
        <v/>
      </c>
      <c r="D1546" s="80"/>
      <c r="E1546" s="45"/>
      <c r="F1546" s="46"/>
    </row>
    <row r="1547" spans="2:6" s="53" customFormat="1" ht="17.25" customHeight="1" x14ac:dyDescent="0.25">
      <c r="B1547" s="91"/>
      <c r="C1547" s="35" t="str">
        <f>IF(Sheet3!A1518="","",Sheet3!A1518)</f>
        <v/>
      </c>
      <c r="D1547" s="80"/>
      <c r="E1547" s="45"/>
      <c r="F1547" s="46"/>
    </row>
    <row r="1548" spans="2:6" s="53" customFormat="1" ht="17.25" customHeight="1" x14ac:dyDescent="0.25">
      <c r="B1548" s="91"/>
      <c r="C1548" s="35" t="str">
        <f>IF(Sheet3!A1519="","",Sheet3!A1519)</f>
        <v/>
      </c>
      <c r="D1548" s="80"/>
      <c r="E1548" s="45"/>
      <c r="F1548" s="46"/>
    </row>
    <row r="1549" spans="2:6" s="53" customFormat="1" ht="17.25" customHeight="1" x14ac:dyDescent="0.25">
      <c r="B1549" s="91"/>
      <c r="C1549" s="35" t="str">
        <f>IF(Sheet3!A1520="","",Sheet3!A1520)</f>
        <v/>
      </c>
      <c r="D1549" s="80"/>
      <c r="E1549" s="45"/>
      <c r="F1549" s="46"/>
    </row>
    <row r="1550" spans="2:6" s="53" customFormat="1" ht="17.25" customHeight="1" x14ac:dyDescent="0.25">
      <c r="B1550" s="91"/>
      <c r="C1550" s="35" t="str">
        <f>IF(Sheet3!A1521="","",Sheet3!A1521)</f>
        <v/>
      </c>
      <c r="D1550" s="80"/>
      <c r="E1550" s="45"/>
      <c r="F1550" s="46"/>
    </row>
    <row r="1551" spans="2:6" s="53" customFormat="1" ht="17.25" customHeight="1" x14ac:dyDescent="0.25">
      <c r="B1551" s="91"/>
      <c r="C1551" s="35" t="str">
        <f>IF(Sheet3!A1522="","",Sheet3!A1522)</f>
        <v/>
      </c>
      <c r="D1551" s="80"/>
      <c r="E1551" s="45"/>
      <c r="F1551" s="46"/>
    </row>
    <row r="1552" spans="2:6" s="53" customFormat="1" ht="17.25" customHeight="1" x14ac:dyDescent="0.25">
      <c r="B1552" s="91"/>
      <c r="C1552" s="35" t="str">
        <f>IF(Sheet3!A1523="","",Sheet3!A1523)</f>
        <v/>
      </c>
      <c r="D1552" s="80"/>
      <c r="E1552" s="45"/>
      <c r="F1552" s="46"/>
    </row>
    <row r="1553" spans="2:6" s="53" customFormat="1" ht="17.25" customHeight="1" x14ac:dyDescent="0.25">
      <c r="B1553" s="91"/>
      <c r="C1553" s="35" t="str">
        <f>IF(Sheet3!A1524="","",Sheet3!A1524)</f>
        <v/>
      </c>
      <c r="D1553" s="80"/>
      <c r="E1553" s="45"/>
      <c r="F1553" s="46"/>
    </row>
    <row r="1554" spans="2:6" s="53" customFormat="1" ht="17.25" customHeight="1" x14ac:dyDescent="0.25">
      <c r="B1554" s="91"/>
      <c r="C1554" s="35" t="str">
        <f>IF(Sheet3!A1525="","",Sheet3!A1525)</f>
        <v/>
      </c>
      <c r="D1554" s="80"/>
      <c r="E1554" s="45"/>
      <c r="F1554" s="46"/>
    </row>
    <row r="1555" spans="2:6" s="53" customFormat="1" ht="17.25" customHeight="1" x14ac:dyDescent="0.25">
      <c r="B1555" s="91"/>
      <c r="C1555" s="35" t="str">
        <f>IF(Sheet3!A1526="","",Sheet3!A1526)</f>
        <v/>
      </c>
      <c r="D1555" s="80"/>
      <c r="E1555" s="45"/>
      <c r="F1555" s="46"/>
    </row>
    <row r="1556" spans="2:6" s="53" customFormat="1" ht="17.25" customHeight="1" x14ac:dyDescent="0.25">
      <c r="B1556" s="91"/>
      <c r="C1556" s="35" t="str">
        <f>IF(Sheet3!A1527="","",Sheet3!A1527)</f>
        <v/>
      </c>
      <c r="D1556" s="80"/>
      <c r="E1556" s="45"/>
      <c r="F1556" s="46"/>
    </row>
    <row r="1557" spans="2:6" s="53" customFormat="1" ht="17.25" customHeight="1" x14ac:dyDescent="0.25">
      <c r="B1557" s="91"/>
      <c r="C1557" s="35" t="str">
        <f>IF(Sheet3!A1528="","",Sheet3!A1528)</f>
        <v/>
      </c>
      <c r="D1557" s="80"/>
      <c r="E1557" s="45"/>
      <c r="F1557" s="46"/>
    </row>
    <row r="1558" spans="2:6" s="53" customFormat="1" ht="17.25" customHeight="1" x14ac:dyDescent="0.25">
      <c r="B1558" s="91"/>
      <c r="C1558" s="35" t="str">
        <f>IF(Sheet3!A1529="","",Sheet3!A1529)</f>
        <v/>
      </c>
      <c r="D1558" s="80"/>
      <c r="E1558" s="45"/>
      <c r="F1558" s="46"/>
    </row>
    <row r="1559" spans="2:6" s="53" customFormat="1" ht="17.25" customHeight="1" x14ac:dyDescent="0.25">
      <c r="B1559" s="91"/>
      <c r="C1559" s="35" t="str">
        <f>IF(Sheet3!A1530="","",Sheet3!A1530)</f>
        <v/>
      </c>
      <c r="D1559" s="80"/>
      <c r="E1559" s="45"/>
      <c r="F1559" s="46"/>
    </row>
    <row r="1560" spans="2:6" s="53" customFormat="1" ht="17.25" customHeight="1" x14ac:dyDescent="0.25">
      <c r="B1560" s="91"/>
      <c r="C1560" s="35" t="str">
        <f>IF(Sheet3!A1531="","",Sheet3!A1531)</f>
        <v/>
      </c>
      <c r="D1560" s="80"/>
      <c r="E1560" s="45"/>
      <c r="F1560" s="46"/>
    </row>
    <row r="1561" spans="2:6" s="53" customFormat="1" ht="17.25" customHeight="1" x14ac:dyDescent="0.25">
      <c r="B1561" s="91"/>
      <c r="C1561" s="35" t="str">
        <f>IF(Sheet3!A1532="","",Sheet3!A1532)</f>
        <v/>
      </c>
      <c r="D1561" s="80"/>
      <c r="E1561" s="45"/>
      <c r="F1561" s="46"/>
    </row>
    <row r="1562" spans="2:6" s="53" customFormat="1" ht="17.25" customHeight="1" x14ac:dyDescent="0.25">
      <c r="B1562" s="91"/>
      <c r="C1562" s="35" t="str">
        <f>IF(Sheet3!A1533="","",Sheet3!A1533)</f>
        <v/>
      </c>
      <c r="D1562" s="80"/>
      <c r="E1562" s="45"/>
      <c r="F1562" s="46"/>
    </row>
    <row r="1563" spans="2:6" s="53" customFormat="1" ht="17.25" customHeight="1" x14ac:dyDescent="0.25">
      <c r="B1563" s="91"/>
      <c r="C1563" s="35" t="str">
        <f>IF(Sheet3!A1534="","",Sheet3!A1534)</f>
        <v/>
      </c>
      <c r="D1563" s="80"/>
      <c r="E1563" s="45"/>
      <c r="F1563" s="46"/>
    </row>
    <row r="1564" spans="2:6" s="53" customFormat="1" ht="17.25" customHeight="1" x14ac:dyDescent="0.25">
      <c r="B1564" s="91"/>
      <c r="C1564" s="35" t="str">
        <f>IF(Sheet3!A1535="","",Sheet3!A1535)</f>
        <v/>
      </c>
      <c r="D1564" s="80"/>
      <c r="E1564" s="45"/>
      <c r="F1564" s="46"/>
    </row>
    <row r="1565" spans="2:6" s="53" customFormat="1" ht="17.25" customHeight="1" x14ac:dyDescent="0.25">
      <c r="B1565" s="91"/>
      <c r="C1565" s="35" t="str">
        <f>IF(Sheet3!A1536="","",Sheet3!A1536)</f>
        <v/>
      </c>
      <c r="D1565" s="80"/>
      <c r="E1565" s="45"/>
      <c r="F1565" s="46"/>
    </row>
    <row r="1566" spans="2:6" s="53" customFormat="1" ht="17.25" customHeight="1" x14ac:dyDescent="0.25">
      <c r="B1566" s="91"/>
      <c r="C1566" s="35" t="str">
        <f>IF(Sheet3!A1537="","",Sheet3!A1537)</f>
        <v/>
      </c>
      <c r="D1566" s="80"/>
      <c r="E1566" s="45"/>
      <c r="F1566" s="46"/>
    </row>
    <row r="1567" spans="2:6" s="53" customFormat="1" ht="17.25" customHeight="1" x14ac:dyDescent="0.25">
      <c r="B1567" s="91"/>
      <c r="C1567" s="35" t="str">
        <f>IF(Sheet3!A1538="","",Sheet3!A1538)</f>
        <v/>
      </c>
      <c r="D1567" s="80"/>
      <c r="E1567" s="45"/>
      <c r="F1567" s="46"/>
    </row>
    <row r="1568" spans="2:6" s="53" customFormat="1" ht="17.25" customHeight="1" x14ac:dyDescent="0.25">
      <c r="B1568" s="91"/>
      <c r="C1568" s="35" t="str">
        <f>IF(Sheet3!A1539="","",Sheet3!A1539)</f>
        <v/>
      </c>
      <c r="D1568" s="80"/>
      <c r="E1568" s="45"/>
      <c r="F1568" s="46"/>
    </row>
    <row r="1569" spans="2:6" s="53" customFormat="1" ht="17.25" customHeight="1" x14ac:dyDescent="0.25">
      <c r="B1569" s="91"/>
      <c r="C1569" s="35" t="str">
        <f>IF(Sheet3!A1540="","",Sheet3!A1540)</f>
        <v/>
      </c>
      <c r="D1569" s="80"/>
      <c r="E1569" s="45"/>
      <c r="F1569" s="46"/>
    </row>
    <row r="1570" spans="2:6" s="53" customFormat="1" ht="17.25" customHeight="1" x14ac:dyDescent="0.25">
      <c r="B1570" s="91"/>
      <c r="C1570" s="35" t="str">
        <f>IF(Sheet3!A1541="","",Sheet3!A1541)</f>
        <v/>
      </c>
      <c r="D1570" s="80"/>
      <c r="E1570" s="45"/>
      <c r="F1570" s="46"/>
    </row>
    <row r="1571" spans="2:6" s="53" customFormat="1" ht="17.25" customHeight="1" x14ac:dyDescent="0.25">
      <c r="B1571" s="91"/>
      <c r="C1571" s="35" t="str">
        <f>IF(Sheet3!A1542="","",Sheet3!A1542)</f>
        <v/>
      </c>
      <c r="D1571" s="80"/>
      <c r="E1571" s="45"/>
      <c r="F1571" s="46"/>
    </row>
    <row r="1572" spans="2:6" s="53" customFormat="1" ht="17.25" customHeight="1" x14ac:dyDescent="0.25">
      <c r="B1572" s="91"/>
      <c r="C1572" s="35" t="str">
        <f>IF(Sheet3!A1543="","",Sheet3!A1543)</f>
        <v/>
      </c>
      <c r="D1572" s="80"/>
      <c r="E1572" s="45"/>
      <c r="F1572" s="46"/>
    </row>
    <row r="1573" spans="2:6" s="53" customFormat="1" ht="17.25" customHeight="1" x14ac:dyDescent="0.25">
      <c r="B1573" s="91"/>
      <c r="C1573" s="35" t="str">
        <f>IF(Sheet3!A1544="","",Sheet3!A1544)</f>
        <v/>
      </c>
      <c r="D1573" s="80"/>
      <c r="E1573" s="45"/>
      <c r="F1573" s="46"/>
    </row>
    <row r="1574" spans="2:6" s="53" customFormat="1" ht="17.25" customHeight="1" x14ac:dyDescent="0.25">
      <c r="B1574" s="91"/>
      <c r="C1574" s="35" t="str">
        <f>IF(Sheet3!A1545="","",Sheet3!A1545)</f>
        <v/>
      </c>
      <c r="D1574" s="80"/>
      <c r="E1574" s="45"/>
      <c r="F1574" s="46"/>
    </row>
    <row r="1575" spans="2:6" s="53" customFormat="1" ht="17.25" customHeight="1" x14ac:dyDescent="0.25">
      <c r="B1575" s="91"/>
      <c r="C1575" s="35" t="str">
        <f>IF(Sheet3!A1546="","",Sheet3!A1546)</f>
        <v/>
      </c>
      <c r="D1575" s="80"/>
      <c r="E1575" s="45"/>
      <c r="F1575" s="46"/>
    </row>
    <row r="1576" spans="2:6" s="53" customFormat="1" ht="17.25" customHeight="1" x14ac:dyDescent="0.25">
      <c r="B1576" s="91"/>
      <c r="C1576" s="35" t="str">
        <f>IF(Sheet3!A1547="","",Sheet3!A1547)</f>
        <v/>
      </c>
      <c r="D1576" s="80"/>
      <c r="E1576" s="45"/>
      <c r="F1576" s="46"/>
    </row>
    <row r="1577" spans="2:6" s="53" customFormat="1" ht="17.25" customHeight="1" x14ac:dyDescent="0.25">
      <c r="B1577" s="91"/>
      <c r="C1577" s="35" t="str">
        <f>IF(Sheet3!A1548="","",Sheet3!A1548)</f>
        <v/>
      </c>
      <c r="D1577" s="80"/>
      <c r="E1577" s="45"/>
      <c r="F1577" s="46"/>
    </row>
    <row r="1578" spans="2:6" s="53" customFormat="1" ht="17.25" customHeight="1" x14ac:dyDescent="0.25">
      <c r="B1578" s="91"/>
      <c r="C1578" s="35" t="str">
        <f>IF(Sheet3!A1549="","",Sheet3!A1549)</f>
        <v/>
      </c>
      <c r="D1578" s="80"/>
      <c r="E1578" s="45"/>
      <c r="F1578" s="46"/>
    </row>
    <row r="1579" spans="2:6" s="53" customFormat="1" ht="17.25" customHeight="1" x14ac:dyDescent="0.25">
      <c r="B1579" s="91"/>
      <c r="C1579" s="35" t="str">
        <f>IF(Sheet3!A1550="","",Sheet3!A1550)</f>
        <v/>
      </c>
      <c r="D1579" s="80"/>
      <c r="E1579" s="45"/>
      <c r="F1579" s="46"/>
    </row>
    <row r="1580" spans="2:6" s="53" customFormat="1" ht="17.25" customHeight="1" x14ac:dyDescent="0.25">
      <c r="B1580" s="91"/>
      <c r="C1580" s="35" t="str">
        <f>IF(Sheet3!A1551="","",Sheet3!A1551)</f>
        <v/>
      </c>
      <c r="D1580" s="80"/>
      <c r="E1580" s="45"/>
      <c r="F1580" s="46"/>
    </row>
    <row r="1581" spans="2:6" s="53" customFormat="1" ht="17.25" customHeight="1" x14ac:dyDescent="0.25">
      <c r="B1581" s="91"/>
      <c r="C1581" s="35" t="str">
        <f>IF(Sheet3!A1552="","",Sheet3!A1552)</f>
        <v/>
      </c>
      <c r="D1581" s="80"/>
      <c r="E1581" s="45"/>
      <c r="F1581" s="46"/>
    </row>
    <row r="1582" spans="2:6" s="53" customFormat="1" ht="17.25" customHeight="1" x14ac:dyDescent="0.25">
      <c r="B1582" s="91"/>
      <c r="C1582" s="35" t="str">
        <f>IF(Sheet3!A1553="","",Sheet3!A1553)</f>
        <v/>
      </c>
      <c r="D1582" s="80"/>
      <c r="E1582" s="45"/>
      <c r="F1582" s="46"/>
    </row>
    <row r="1583" spans="2:6" s="53" customFormat="1" ht="17.25" customHeight="1" x14ac:dyDescent="0.25">
      <c r="B1583" s="91"/>
      <c r="C1583" s="35" t="str">
        <f>IF(Sheet3!A1554="","",Sheet3!A1554)</f>
        <v/>
      </c>
      <c r="D1583" s="80"/>
      <c r="E1583" s="45"/>
      <c r="F1583" s="46"/>
    </row>
    <row r="1584" spans="2:6" s="53" customFormat="1" ht="17.25" customHeight="1" x14ac:dyDescent="0.25">
      <c r="B1584" s="91"/>
      <c r="C1584" s="35" t="str">
        <f>IF(Sheet3!A1555="","",Sheet3!A1555)</f>
        <v/>
      </c>
      <c r="D1584" s="80"/>
      <c r="E1584" s="45"/>
      <c r="F1584" s="46"/>
    </row>
    <row r="1585" spans="2:6" s="53" customFormat="1" ht="17.25" customHeight="1" x14ac:dyDescent="0.25">
      <c r="B1585" s="91"/>
      <c r="C1585" s="35" t="str">
        <f>IF(Sheet3!A1556="","",Sheet3!A1556)</f>
        <v/>
      </c>
      <c r="D1585" s="80"/>
      <c r="E1585" s="45"/>
      <c r="F1585" s="46"/>
    </row>
    <row r="1586" spans="2:6" s="53" customFormat="1" ht="17.25" customHeight="1" x14ac:dyDescent="0.25">
      <c r="B1586" s="91"/>
      <c r="C1586" s="35" t="str">
        <f>IF(Sheet3!A1557="","",Sheet3!A1557)</f>
        <v/>
      </c>
      <c r="D1586" s="80"/>
      <c r="E1586" s="45"/>
      <c r="F1586" s="46"/>
    </row>
    <row r="1587" spans="2:6" s="53" customFormat="1" ht="17.25" customHeight="1" x14ac:dyDescent="0.25">
      <c r="B1587" s="91"/>
      <c r="C1587" s="35" t="str">
        <f>IF(Sheet3!A1558="","",Sheet3!A1558)</f>
        <v/>
      </c>
      <c r="D1587" s="80"/>
      <c r="E1587" s="45"/>
      <c r="F1587" s="46"/>
    </row>
    <row r="1588" spans="2:6" s="53" customFormat="1" ht="17.25" customHeight="1" x14ac:dyDescent="0.25">
      <c r="B1588" s="91"/>
      <c r="C1588" s="35" t="str">
        <f>IF(Sheet3!A1559="","",Sheet3!A1559)</f>
        <v/>
      </c>
      <c r="D1588" s="80"/>
      <c r="E1588" s="45"/>
      <c r="F1588" s="46"/>
    </row>
    <row r="1589" spans="2:6" s="53" customFormat="1" ht="17.25" customHeight="1" x14ac:dyDescent="0.25">
      <c r="B1589" s="91"/>
      <c r="C1589" s="35" t="str">
        <f>IF(Sheet3!A1560="","",Sheet3!A1560)</f>
        <v/>
      </c>
      <c r="D1589" s="80"/>
      <c r="E1589" s="45"/>
      <c r="F1589" s="46"/>
    </row>
    <row r="1590" spans="2:6" s="53" customFormat="1" ht="17.25" customHeight="1" x14ac:dyDescent="0.25">
      <c r="B1590" s="91"/>
      <c r="C1590" s="35" t="str">
        <f>IF(Sheet3!A1561="","",Sheet3!A1561)</f>
        <v/>
      </c>
      <c r="D1590" s="80"/>
      <c r="E1590" s="45"/>
      <c r="F1590" s="46"/>
    </row>
    <row r="1591" spans="2:6" s="53" customFormat="1" ht="17.25" customHeight="1" x14ac:dyDescent="0.25">
      <c r="B1591" s="91"/>
      <c r="C1591" s="35" t="str">
        <f>IF(Sheet3!A1562="","",Sheet3!A1562)</f>
        <v/>
      </c>
      <c r="D1591" s="80"/>
      <c r="E1591" s="45"/>
      <c r="F1591" s="46"/>
    </row>
    <row r="1592" spans="2:6" s="53" customFormat="1" ht="17.25" customHeight="1" x14ac:dyDescent="0.25">
      <c r="B1592" s="91"/>
      <c r="C1592" s="35" t="str">
        <f>IF(Sheet3!A1563="","",Sheet3!A1563)</f>
        <v/>
      </c>
      <c r="D1592" s="80"/>
      <c r="E1592" s="45"/>
      <c r="F1592" s="46"/>
    </row>
    <row r="1593" spans="2:6" s="53" customFormat="1" ht="17.25" customHeight="1" x14ac:dyDescent="0.25">
      <c r="B1593" s="91"/>
      <c r="C1593" s="35" t="str">
        <f>IF(Sheet3!A1564="","",Sheet3!A1564)</f>
        <v/>
      </c>
      <c r="D1593" s="80"/>
      <c r="E1593" s="45"/>
      <c r="F1593" s="46"/>
    </row>
    <row r="1594" spans="2:6" s="53" customFormat="1" ht="17.25" customHeight="1" x14ac:dyDescent="0.25">
      <c r="B1594" s="91"/>
      <c r="C1594" s="35" t="str">
        <f>IF(Sheet3!A1565="","",Sheet3!A1565)</f>
        <v/>
      </c>
      <c r="D1594" s="80"/>
      <c r="E1594" s="45"/>
      <c r="F1594" s="46"/>
    </row>
    <row r="1595" spans="2:6" s="53" customFormat="1" ht="17.25" customHeight="1" x14ac:dyDescent="0.25">
      <c r="B1595" s="91"/>
      <c r="C1595" s="35" t="str">
        <f>IF(Sheet3!A1566="","",Sheet3!A1566)</f>
        <v/>
      </c>
      <c r="D1595" s="80"/>
      <c r="E1595" s="45"/>
      <c r="F1595" s="46"/>
    </row>
    <row r="1596" spans="2:6" s="53" customFormat="1" ht="17.25" customHeight="1" x14ac:dyDescent="0.25">
      <c r="B1596" s="91"/>
      <c r="C1596" s="35" t="str">
        <f>IF(Sheet3!A1567="","",Sheet3!A1567)</f>
        <v/>
      </c>
      <c r="D1596" s="80"/>
      <c r="E1596" s="45"/>
      <c r="F1596" s="46"/>
    </row>
    <row r="1597" spans="2:6" s="53" customFormat="1" ht="17.25" customHeight="1" x14ac:dyDescent="0.25">
      <c r="B1597" s="91"/>
      <c r="C1597" s="35" t="str">
        <f>IF(Sheet3!A1568="","",Sheet3!A1568)</f>
        <v/>
      </c>
      <c r="D1597" s="80"/>
      <c r="E1597" s="45"/>
      <c r="F1597" s="46"/>
    </row>
    <row r="1598" spans="2:6" s="53" customFormat="1" ht="17.25" customHeight="1" x14ac:dyDescent="0.25">
      <c r="B1598" s="91"/>
      <c r="C1598" s="35" t="str">
        <f>IF(Sheet3!A1569="","",Sheet3!A1569)</f>
        <v/>
      </c>
      <c r="D1598" s="80"/>
      <c r="E1598" s="45"/>
      <c r="F1598" s="46"/>
    </row>
    <row r="1599" spans="2:6" s="53" customFormat="1" ht="17.25" customHeight="1" x14ac:dyDescent="0.25">
      <c r="B1599" s="91"/>
      <c r="C1599" s="35" t="str">
        <f>IF(Sheet3!A1570="","",Sheet3!A1570)</f>
        <v/>
      </c>
      <c r="D1599" s="80"/>
      <c r="E1599" s="45"/>
      <c r="F1599" s="46"/>
    </row>
    <row r="1600" spans="2:6" s="53" customFormat="1" ht="17.25" customHeight="1" x14ac:dyDescent="0.25">
      <c r="B1600" s="91"/>
      <c r="C1600" s="35" t="str">
        <f>IF(Sheet3!A1571="","",Sheet3!A1571)</f>
        <v/>
      </c>
      <c r="D1600" s="80"/>
      <c r="E1600" s="45"/>
      <c r="F1600" s="46"/>
    </row>
    <row r="1601" spans="2:6" s="53" customFormat="1" ht="17.25" customHeight="1" x14ac:dyDescent="0.25">
      <c r="B1601" s="91"/>
      <c r="C1601" s="35" t="str">
        <f>IF(Sheet3!A1572="","",Sheet3!A1572)</f>
        <v/>
      </c>
      <c r="D1601" s="80"/>
      <c r="E1601" s="45"/>
      <c r="F1601" s="46"/>
    </row>
    <row r="1602" spans="2:6" s="53" customFormat="1" ht="17.25" customHeight="1" x14ac:dyDescent="0.25">
      <c r="B1602" s="91"/>
      <c r="C1602" s="35" t="str">
        <f>IF(Sheet3!A1573="","",Sheet3!A1573)</f>
        <v/>
      </c>
      <c r="D1602" s="80"/>
      <c r="E1602" s="45"/>
      <c r="F1602" s="46"/>
    </row>
    <row r="1603" spans="2:6" s="53" customFormat="1" ht="17.25" customHeight="1" x14ac:dyDescent="0.25">
      <c r="B1603" s="91"/>
      <c r="C1603" s="35" t="str">
        <f>IF(Sheet3!A1574="","",Sheet3!A1574)</f>
        <v/>
      </c>
      <c r="D1603" s="80"/>
      <c r="E1603" s="45"/>
      <c r="F1603" s="46"/>
    </row>
    <row r="1604" spans="2:6" s="53" customFormat="1" ht="17.25" customHeight="1" x14ac:dyDescent="0.25">
      <c r="B1604" s="91"/>
      <c r="C1604" s="35" t="str">
        <f>IF(Sheet3!A1575="","",Sheet3!A1575)</f>
        <v/>
      </c>
      <c r="D1604" s="80"/>
      <c r="E1604" s="45"/>
      <c r="F1604" s="46"/>
    </row>
    <row r="1605" spans="2:6" s="53" customFormat="1" ht="17.25" customHeight="1" x14ac:dyDescent="0.25">
      <c r="B1605" s="91"/>
      <c r="C1605" s="35" t="str">
        <f>IF(Sheet3!A1576="","",Sheet3!A1576)</f>
        <v/>
      </c>
      <c r="D1605" s="80"/>
      <c r="E1605" s="45"/>
      <c r="F1605" s="46"/>
    </row>
    <row r="1606" spans="2:6" s="53" customFormat="1" ht="17.25" customHeight="1" x14ac:dyDescent="0.25">
      <c r="B1606" s="91"/>
      <c r="C1606" s="35" t="str">
        <f>IF(Sheet3!A1577="","",Sheet3!A1577)</f>
        <v/>
      </c>
      <c r="D1606" s="80"/>
      <c r="E1606" s="45"/>
      <c r="F1606" s="46"/>
    </row>
    <row r="1607" spans="2:6" s="53" customFormat="1" ht="17.25" customHeight="1" x14ac:dyDescent="0.25">
      <c r="B1607" s="91"/>
      <c r="C1607" s="35" t="str">
        <f>IF(Sheet3!A1578="","",Sheet3!A1578)</f>
        <v/>
      </c>
      <c r="D1607" s="80"/>
      <c r="E1607" s="45"/>
      <c r="F1607" s="46"/>
    </row>
    <row r="1608" spans="2:6" s="53" customFormat="1" ht="17.25" customHeight="1" x14ac:dyDescent="0.25">
      <c r="B1608" s="91"/>
      <c r="C1608" s="35" t="str">
        <f>IF(Sheet3!A1579="","",Sheet3!A1579)</f>
        <v/>
      </c>
      <c r="D1608" s="80"/>
      <c r="E1608" s="45"/>
      <c r="F1608" s="46"/>
    </row>
    <row r="1609" spans="2:6" s="53" customFormat="1" ht="17.25" customHeight="1" x14ac:dyDescent="0.25">
      <c r="B1609" s="91"/>
      <c r="C1609" s="35" t="str">
        <f>IF(Sheet3!A1580="","",Sheet3!A1580)</f>
        <v/>
      </c>
      <c r="D1609" s="80"/>
      <c r="E1609" s="45"/>
      <c r="F1609" s="46"/>
    </row>
    <row r="1610" spans="2:6" s="53" customFormat="1" ht="17.25" customHeight="1" x14ac:dyDescent="0.25">
      <c r="B1610" s="91"/>
      <c r="C1610" s="35" t="str">
        <f>IF(Sheet3!A1581="","",Sheet3!A1581)</f>
        <v/>
      </c>
      <c r="D1610" s="80"/>
      <c r="E1610" s="45"/>
      <c r="F1610" s="46"/>
    </row>
    <row r="1611" spans="2:6" s="53" customFormat="1" ht="17.25" customHeight="1" x14ac:dyDescent="0.25">
      <c r="B1611" s="91"/>
      <c r="C1611" s="35" t="str">
        <f>IF(Sheet3!A1582="","",Sheet3!A1582)</f>
        <v/>
      </c>
      <c r="D1611" s="80"/>
      <c r="E1611" s="45"/>
      <c r="F1611" s="46"/>
    </row>
    <row r="1612" spans="2:6" s="53" customFormat="1" ht="17.25" customHeight="1" x14ac:dyDescent="0.25">
      <c r="B1612" s="91"/>
      <c r="C1612" s="35" t="str">
        <f>IF(Sheet3!A1583="","",Sheet3!A1583)</f>
        <v/>
      </c>
      <c r="D1612" s="80"/>
      <c r="E1612" s="45"/>
      <c r="F1612" s="46"/>
    </row>
    <row r="1613" spans="2:6" s="53" customFormat="1" ht="17.25" customHeight="1" x14ac:dyDescent="0.25">
      <c r="B1613" s="91"/>
      <c r="C1613" s="35" t="str">
        <f>IF(Sheet3!A1584="","",Sheet3!A1584)</f>
        <v/>
      </c>
      <c r="D1613" s="80"/>
      <c r="E1613" s="45"/>
      <c r="F1613" s="46"/>
    </row>
    <row r="1614" spans="2:6" s="53" customFormat="1" ht="17.25" customHeight="1" x14ac:dyDescent="0.25">
      <c r="B1614" s="91"/>
      <c r="C1614" s="35" t="str">
        <f>IF(Sheet3!A1585="","",Sheet3!A1585)</f>
        <v/>
      </c>
      <c r="D1614" s="80"/>
      <c r="E1614" s="45"/>
      <c r="F1614" s="46"/>
    </row>
    <row r="1615" spans="2:6" s="53" customFormat="1" ht="17.25" customHeight="1" x14ac:dyDescent="0.25">
      <c r="B1615" s="91"/>
      <c r="C1615" s="35" t="str">
        <f>IF(Sheet3!A1586="","",Sheet3!A1586)</f>
        <v/>
      </c>
      <c r="D1615" s="80"/>
      <c r="E1615" s="45"/>
      <c r="F1615" s="46"/>
    </row>
    <row r="1616" spans="2:6" s="53" customFormat="1" ht="17.25" customHeight="1" x14ac:dyDescent="0.25">
      <c r="B1616" s="91"/>
      <c r="C1616" s="35" t="str">
        <f>IF(Sheet3!A1587="","",Sheet3!A1587)</f>
        <v/>
      </c>
      <c r="D1616" s="80"/>
      <c r="E1616" s="45"/>
      <c r="F1616" s="46"/>
    </row>
    <row r="1617" spans="2:6" s="53" customFormat="1" ht="17.25" customHeight="1" x14ac:dyDescent="0.25">
      <c r="B1617" s="91"/>
      <c r="C1617" s="35" t="str">
        <f>IF(Sheet3!A1588="","",Sheet3!A1588)</f>
        <v/>
      </c>
      <c r="D1617" s="80"/>
      <c r="E1617" s="45"/>
      <c r="F1617" s="46"/>
    </row>
    <row r="1618" spans="2:6" s="53" customFormat="1" ht="17.25" customHeight="1" x14ac:dyDescent="0.25">
      <c r="B1618" s="91"/>
      <c r="C1618" s="35" t="str">
        <f>IF(Sheet3!A1589="","",Sheet3!A1589)</f>
        <v/>
      </c>
      <c r="D1618" s="80"/>
      <c r="E1618" s="45"/>
      <c r="F1618" s="46"/>
    </row>
    <row r="1619" spans="2:6" s="53" customFormat="1" ht="17.25" customHeight="1" x14ac:dyDescent="0.25">
      <c r="B1619" s="91"/>
      <c r="C1619" s="35" t="str">
        <f>IF(Sheet3!A1590="","",Sheet3!A1590)</f>
        <v/>
      </c>
      <c r="D1619" s="80"/>
      <c r="E1619" s="45"/>
      <c r="F1619" s="46"/>
    </row>
    <row r="1620" spans="2:6" s="53" customFormat="1" ht="17.25" customHeight="1" x14ac:dyDescent="0.25">
      <c r="B1620" s="91"/>
      <c r="C1620" s="35" t="str">
        <f>IF(Sheet3!A1591="","",Sheet3!A1591)</f>
        <v/>
      </c>
      <c r="D1620" s="80"/>
      <c r="E1620" s="45"/>
      <c r="F1620" s="46"/>
    </row>
    <row r="1621" spans="2:6" s="53" customFormat="1" ht="17.25" customHeight="1" x14ac:dyDescent="0.25">
      <c r="B1621" s="91"/>
      <c r="C1621" s="35" t="str">
        <f>IF(Sheet3!A1592="","",Sheet3!A1592)</f>
        <v/>
      </c>
      <c r="D1621" s="80"/>
      <c r="E1621" s="45"/>
      <c r="F1621" s="46"/>
    </row>
    <row r="1622" spans="2:6" s="53" customFormat="1" ht="17.25" customHeight="1" x14ac:dyDescent="0.25">
      <c r="B1622" s="91"/>
      <c r="C1622" s="35" t="str">
        <f>IF(Sheet3!A1593="","",Sheet3!A1593)</f>
        <v/>
      </c>
      <c r="D1622" s="80"/>
      <c r="E1622" s="45"/>
      <c r="F1622" s="46"/>
    </row>
    <row r="1623" spans="2:6" s="53" customFormat="1" ht="17.25" customHeight="1" x14ac:dyDescent="0.25">
      <c r="B1623" s="91"/>
      <c r="C1623" s="35" t="str">
        <f>IF(Sheet3!A1594="","",Sheet3!A1594)</f>
        <v/>
      </c>
      <c r="D1623" s="80"/>
      <c r="E1623" s="45"/>
      <c r="F1623" s="46"/>
    </row>
    <row r="1624" spans="2:6" s="53" customFormat="1" ht="17.25" customHeight="1" x14ac:dyDescent="0.25">
      <c r="B1624" s="91"/>
      <c r="C1624" s="35" t="str">
        <f>IF(Sheet3!A1595="","",Sheet3!A1595)</f>
        <v/>
      </c>
      <c r="D1624" s="80"/>
      <c r="E1624" s="45"/>
      <c r="F1624" s="46"/>
    </row>
    <row r="1625" spans="2:6" s="53" customFormat="1" ht="17.25" customHeight="1" x14ac:dyDescent="0.25">
      <c r="B1625" s="91"/>
      <c r="C1625" s="35" t="str">
        <f>IF(Sheet3!A1596="","",Sheet3!A1596)</f>
        <v/>
      </c>
      <c r="D1625" s="80"/>
      <c r="E1625" s="45"/>
      <c r="F1625" s="46"/>
    </row>
    <row r="1626" spans="2:6" s="53" customFormat="1" ht="17.25" customHeight="1" x14ac:dyDescent="0.25">
      <c r="B1626" s="91"/>
      <c r="C1626" s="35" t="str">
        <f>IF(Sheet3!A1597="","",Sheet3!A1597)</f>
        <v/>
      </c>
      <c r="D1626" s="80"/>
      <c r="E1626" s="45"/>
      <c r="F1626" s="46"/>
    </row>
    <row r="1627" spans="2:6" s="53" customFormat="1" ht="17.25" customHeight="1" x14ac:dyDescent="0.25">
      <c r="B1627" s="91"/>
      <c r="C1627" s="35" t="str">
        <f>IF(Sheet3!A1598="","",Sheet3!A1598)</f>
        <v/>
      </c>
      <c r="D1627" s="80"/>
      <c r="E1627" s="45"/>
      <c r="F1627" s="46"/>
    </row>
    <row r="1628" spans="2:6" s="53" customFormat="1" ht="17.25" customHeight="1" x14ac:dyDescent="0.25">
      <c r="B1628" s="91"/>
      <c r="C1628" s="35" t="str">
        <f>IF(Sheet3!A1599="","",Sheet3!A1599)</f>
        <v/>
      </c>
      <c r="D1628" s="80"/>
      <c r="E1628" s="45"/>
      <c r="F1628" s="46"/>
    </row>
    <row r="1629" spans="2:6" s="53" customFormat="1" ht="17.25" customHeight="1" x14ac:dyDescent="0.25">
      <c r="B1629" s="91"/>
      <c r="C1629" s="35" t="str">
        <f>IF(Sheet3!A1600="","",Sheet3!A1600)</f>
        <v/>
      </c>
      <c r="D1629" s="80"/>
      <c r="E1629" s="45"/>
      <c r="F1629" s="46"/>
    </row>
    <row r="1630" spans="2:6" s="53" customFormat="1" ht="17.25" customHeight="1" x14ac:dyDescent="0.25">
      <c r="B1630" s="91"/>
      <c r="C1630" s="35" t="str">
        <f>IF(Sheet3!A1601="","",Sheet3!A1601)</f>
        <v/>
      </c>
      <c r="D1630" s="80"/>
      <c r="E1630" s="45"/>
      <c r="F1630" s="46"/>
    </row>
    <row r="1631" spans="2:6" s="53" customFormat="1" ht="17.25" customHeight="1" x14ac:dyDescent="0.25">
      <c r="B1631" s="91"/>
      <c r="C1631" s="35" t="str">
        <f>IF(Sheet3!A1602="","",Sheet3!A1602)</f>
        <v/>
      </c>
      <c r="D1631" s="80"/>
      <c r="E1631" s="45"/>
      <c r="F1631" s="46"/>
    </row>
    <row r="1632" spans="2:6" s="53" customFormat="1" ht="17.25" customHeight="1" x14ac:dyDescent="0.25">
      <c r="B1632" s="91"/>
      <c r="C1632" s="35" t="str">
        <f>IF(Sheet3!A1603="","",Sheet3!A1603)</f>
        <v/>
      </c>
      <c r="D1632" s="80"/>
      <c r="E1632" s="45"/>
      <c r="F1632" s="46"/>
    </row>
    <row r="1633" spans="2:6" s="53" customFormat="1" ht="17.25" customHeight="1" x14ac:dyDescent="0.25">
      <c r="B1633" s="91"/>
      <c r="C1633" s="35" t="str">
        <f>IF(Sheet3!A1604="","",Sheet3!A1604)</f>
        <v/>
      </c>
      <c r="D1633" s="80"/>
      <c r="E1633" s="45"/>
      <c r="F1633" s="46"/>
    </row>
    <row r="1634" spans="2:6" s="53" customFormat="1" ht="17.25" customHeight="1" x14ac:dyDescent="0.25">
      <c r="B1634" s="91"/>
      <c r="C1634" s="35" t="str">
        <f>IF(Sheet3!A1605="","",Sheet3!A1605)</f>
        <v/>
      </c>
      <c r="D1634" s="80"/>
      <c r="E1634" s="45"/>
      <c r="F1634" s="46"/>
    </row>
    <row r="1635" spans="2:6" s="53" customFormat="1" ht="17.25" customHeight="1" x14ac:dyDescent="0.25">
      <c r="B1635" s="91"/>
      <c r="C1635" s="35" t="str">
        <f>IF(Sheet3!A1606="","",Sheet3!A1606)</f>
        <v/>
      </c>
      <c r="D1635" s="80"/>
      <c r="E1635" s="45"/>
      <c r="F1635" s="46"/>
    </row>
    <row r="1636" spans="2:6" s="53" customFormat="1" ht="17.25" customHeight="1" x14ac:dyDescent="0.25">
      <c r="B1636" s="91"/>
      <c r="C1636" s="35" t="str">
        <f>IF(Sheet3!A1607="","",Sheet3!A1607)</f>
        <v/>
      </c>
      <c r="D1636" s="80"/>
      <c r="E1636" s="45"/>
      <c r="F1636" s="46"/>
    </row>
    <row r="1637" spans="2:6" s="53" customFormat="1" ht="17.25" customHeight="1" x14ac:dyDescent="0.25">
      <c r="B1637" s="91"/>
      <c r="C1637" s="35" t="str">
        <f>IF(Sheet3!A1608="","",Sheet3!A1608)</f>
        <v/>
      </c>
      <c r="D1637" s="80"/>
      <c r="E1637" s="45"/>
      <c r="F1637" s="46"/>
    </row>
    <row r="1638" spans="2:6" s="53" customFormat="1" ht="17.25" customHeight="1" x14ac:dyDescent="0.25">
      <c r="B1638" s="91"/>
      <c r="C1638" s="35" t="str">
        <f>IF(Sheet3!A1609="","",Sheet3!A1609)</f>
        <v/>
      </c>
      <c r="D1638" s="80"/>
      <c r="E1638" s="45"/>
      <c r="F1638" s="46"/>
    </row>
    <row r="1639" spans="2:6" s="53" customFormat="1" ht="17.25" customHeight="1" x14ac:dyDescent="0.25">
      <c r="B1639" s="91"/>
      <c r="C1639" s="35" t="str">
        <f>IF(Sheet3!A1610="","",Sheet3!A1610)</f>
        <v/>
      </c>
      <c r="D1639" s="80"/>
      <c r="E1639" s="45"/>
      <c r="F1639" s="46"/>
    </row>
    <row r="1640" spans="2:6" s="53" customFormat="1" ht="17.25" customHeight="1" x14ac:dyDescent="0.25">
      <c r="B1640" s="91"/>
      <c r="C1640" s="35" t="str">
        <f>IF(Sheet3!A1611="","",Sheet3!A1611)</f>
        <v/>
      </c>
      <c r="D1640" s="80"/>
      <c r="E1640" s="45"/>
      <c r="F1640" s="46"/>
    </row>
    <row r="1641" spans="2:6" s="53" customFormat="1" ht="17.25" customHeight="1" x14ac:dyDescent="0.25">
      <c r="B1641" s="91"/>
      <c r="C1641" s="35" t="str">
        <f>IF(Sheet3!A1612="","",Sheet3!A1612)</f>
        <v/>
      </c>
      <c r="D1641" s="80"/>
      <c r="E1641" s="45"/>
      <c r="F1641" s="46"/>
    </row>
    <row r="1642" spans="2:6" s="53" customFormat="1" ht="17.25" customHeight="1" x14ac:dyDescent="0.25">
      <c r="B1642" s="91"/>
      <c r="C1642" s="35" t="str">
        <f>IF(Sheet3!A1613="","",Sheet3!A1613)</f>
        <v/>
      </c>
      <c r="D1642" s="80"/>
      <c r="E1642" s="45"/>
      <c r="F1642" s="46"/>
    </row>
    <row r="1643" spans="2:6" s="53" customFormat="1" ht="17.25" customHeight="1" x14ac:dyDescent="0.25">
      <c r="B1643" s="91"/>
      <c r="C1643" s="35" t="str">
        <f>IF(Sheet3!A1614="","",Sheet3!A1614)</f>
        <v/>
      </c>
      <c r="D1643" s="80"/>
      <c r="E1643" s="45"/>
      <c r="F1643" s="46"/>
    </row>
    <row r="1644" spans="2:6" s="53" customFormat="1" ht="17.25" customHeight="1" x14ac:dyDescent="0.25">
      <c r="B1644" s="91"/>
      <c r="C1644" s="35" t="str">
        <f>IF(Sheet3!A1615="","",Sheet3!A1615)</f>
        <v/>
      </c>
      <c r="D1644" s="80"/>
      <c r="E1644" s="45"/>
      <c r="F1644" s="46"/>
    </row>
    <row r="1645" spans="2:6" s="53" customFormat="1" ht="17.25" customHeight="1" x14ac:dyDescent="0.25">
      <c r="B1645" s="91"/>
      <c r="C1645" s="35" t="str">
        <f>IF(Sheet3!A1616="","",Sheet3!A1616)</f>
        <v/>
      </c>
      <c r="D1645" s="80"/>
      <c r="E1645" s="45"/>
      <c r="F1645" s="46"/>
    </row>
    <row r="1646" spans="2:6" s="53" customFormat="1" ht="17.25" customHeight="1" x14ac:dyDescent="0.25">
      <c r="B1646" s="91"/>
      <c r="C1646" s="35" t="str">
        <f>IF(Sheet3!A1617="","",Sheet3!A1617)</f>
        <v/>
      </c>
      <c r="D1646" s="80"/>
      <c r="E1646" s="45"/>
      <c r="F1646" s="46"/>
    </row>
    <row r="1647" spans="2:6" s="53" customFormat="1" ht="17.25" customHeight="1" x14ac:dyDescent="0.25">
      <c r="B1647" s="91"/>
      <c r="C1647" s="35" t="str">
        <f>IF(Sheet3!A1618="","",Sheet3!A1618)</f>
        <v/>
      </c>
      <c r="D1647" s="80"/>
      <c r="E1647" s="45"/>
      <c r="F1647" s="46"/>
    </row>
    <row r="1648" spans="2:6" s="53" customFormat="1" ht="17.25" customHeight="1" x14ac:dyDescent="0.25">
      <c r="B1648" s="91"/>
      <c r="C1648" s="35" t="str">
        <f>IF(Sheet3!A1619="","",Sheet3!A1619)</f>
        <v/>
      </c>
      <c r="D1648" s="80"/>
      <c r="E1648" s="45"/>
      <c r="F1648" s="46"/>
    </row>
    <row r="1649" spans="2:6" s="53" customFormat="1" ht="17.25" customHeight="1" x14ac:dyDescent="0.25">
      <c r="B1649" s="91"/>
      <c r="C1649" s="35" t="str">
        <f>IF(Sheet3!A1620="","",Sheet3!A1620)</f>
        <v/>
      </c>
      <c r="D1649" s="80"/>
      <c r="E1649" s="45"/>
      <c r="F1649" s="46"/>
    </row>
    <row r="1650" spans="2:6" s="53" customFormat="1" ht="17.25" customHeight="1" x14ac:dyDescent="0.25">
      <c r="B1650" s="91"/>
      <c r="C1650" s="35" t="str">
        <f>IF(Sheet3!A1621="","",Sheet3!A1621)</f>
        <v/>
      </c>
      <c r="D1650" s="80"/>
      <c r="E1650" s="45"/>
      <c r="F1650" s="46"/>
    </row>
    <row r="1651" spans="2:6" s="53" customFormat="1" ht="17.25" customHeight="1" x14ac:dyDescent="0.25">
      <c r="B1651" s="91"/>
      <c r="C1651" s="35" t="str">
        <f>IF(Sheet3!A1622="","",Sheet3!A1622)</f>
        <v/>
      </c>
      <c r="D1651" s="80"/>
      <c r="E1651" s="45"/>
      <c r="F1651" s="46"/>
    </row>
    <row r="1652" spans="2:6" s="53" customFormat="1" ht="17.25" customHeight="1" x14ac:dyDescent="0.25">
      <c r="B1652" s="91"/>
      <c r="C1652" s="35" t="str">
        <f>IF(Sheet3!A1623="","",Sheet3!A1623)</f>
        <v/>
      </c>
      <c r="D1652" s="80"/>
      <c r="E1652" s="45"/>
      <c r="F1652" s="46"/>
    </row>
    <row r="1653" spans="2:6" s="53" customFormat="1" ht="17.25" customHeight="1" x14ac:dyDescent="0.25">
      <c r="B1653" s="91"/>
      <c r="C1653" s="35" t="str">
        <f>IF(Sheet3!A1624="","",Sheet3!A1624)</f>
        <v/>
      </c>
      <c r="D1653" s="80"/>
      <c r="E1653" s="45"/>
      <c r="F1653" s="46"/>
    </row>
    <row r="1654" spans="2:6" s="53" customFormat="1" ht="17.25" customHeight="1" x14ac:dyDescent="0.25">
      <c r="B1654" s="91"/>
      <c r="C1654" s="35" t="str">
        <f>IF(Sheet3!A1625="","",Sheet3!A1625)</f>
        <v/>
      </c>
      <c r="D1654" s="80"/>
      <c r="E1654" s="45"/>
      <c r="F1654" s="46"/>
    </row>
    <row r="1655" spans="2:6" s="53" customFormat="1" ht="17.25" customHeight="1" x14ac:dyDescent="0.25">
      <c r="B1655" s="91"/>
      <c r="C1655" s="35" t="str">
        <f>IF(Sheet3!A1626="","",Sheet3!A1626)</f>
        <v/>
      </c>
      <c r="D1655" s="80"/>
      <c r="E1655" s="45"/>
      <c r="F1655" s="46"/>
    </row>
    <row r="1656" spans="2:6" s="53" customFormat="1" ht="17.25" customHeight="1" x14ac:dyDescent="0.25">
      <c r="B1656" s="91"/>
      <c r="C1656" s="35" t="str">
        <f>IF(Sheet3!A1627="","",Sheet3!A1627)</f>
        <v/>
      </c>
      <c r="D1656" s="80"/>
      <c r="E1656" s="45"/>
      <c r="F1656" s="46"/>
    </row>
    <row r="1657" spans="2:6" s="53" customFormat="1" ht="17.25" customHeight="1" x14ac:dyDescent="0.25">
      <c r="B1657" s="91"/>
      <c r="C1657" s="35" t="str">
        <f>IF(Sheet3!A1628="","",Sheet3!A1628)</f>
        <v/>
      </c>
      <c r="D1657" s="80"/>
      <c r="E1657" s="45"/>
      <c r="F1657" s="46"/>
    </row>
    <row r="1658" spans="2:6" s="53" customFormat="1" ht="17.25" customHeight="1" x14ac:dyDescent="0.25">
      <c r="B1658" s="91"/>
      <c r="C1658" s="35" t="str">
        <f>IF(Sheet3!A1629="","",Sheet3!A1629)</f>
        <v/>
      </c>
      <c r="D1658" s="80"/>
      <c r="E1658" s="45"/>
      <c r="F1658" s="46"/>
    </row>
    <row r="1659" spans="2:6" s="53" customFormat="1" ht="17.25" customHeight="1" x14ac:dyDescent="0.25">
      <c r="B1659" s="91"/>
      <c r="C1659" s="35" t="str">
        <f>IF(Sheet3!A1630="","",Sheet3!A1630)</f>
        <v/>
      </c>
      <c r="D1659" s="80"/>
      <c r="E1659" s="45"/>
      <c r="F1659" s="46"/>
    </row>
    <row r="1660" spans="2:6" s="53" customFormat="1" ht="17.25" customHeight="1" x14ac:dyDescent="0.25">
      <c r="B1660" s="91"/>
      <c r="C1660" s="35" t="str">
        <f>IF(Sheet3!A1631="","",Sheet3!A1631)</f>
        <v/>
      </c>
      <c r="D1660" s="80"/>
      <c r="E1660" s="45"/>
      <c r="F1660" s="46"/>
    </row>
    <row r="1661" spans="2:6" s="53" customFormat="1" ht="17.25" customHeight="1" x14ac:dyDescent="0.25">
      <c r="B1661" s="91"/>
      <c r="C1661" s="35" t="str">
        <f>IF(Sheet3!A1632="","",Sheet3!A1632)</f>
        <v/>
      </c>
      <c r="D1661" s="80"/>
      <c r="E1661" s="45"/>
      <c r="F1661" s="46"/>
    </row>
    <row r="1662" spans="2:6" s="53" customFormat="1" ht="17.25" customHeight="1" x14ac:dyDescent="0.25">
      <c r="B1662" s="91"/>
      <c r="C1662" s="35" t="str">
        <f>IF(Sheet3!A1633="","",Sheet3!A1633)</f>
        <v/>
      </c>
      <c r="D1662" s="80"/>
      <c r="E1662" s="45"/>
      <c r="F1662" s="46"/>
    </row>
    <row r="1663" spans="2:6" s="53" customFormat="1" ht="17.25" customHeight="1" x14ac:dyDescent="0.25">
      <c r="B1663" s="91"/>
      <c r="C1663" s="35" t="str">
        <f>IF(Sheet3!A1634="","",Sheet3!A1634)</f>
        <v/>
      </c>
      <c r="D1663" s="80"/>
      <c r="E1663" s="45"/>
      <c r="F1663" s="46"/>
    </row>
    <row r="1664" spans="2:6" s="53" customFormat="1" ht="17.25" customHeight="1" x14ac:dyDescent="0.25">
      <c r="B1664" s="91"/>
      <c r="C1664" s="35" t="str">
        <f>IF(Sheet3!A1635="","",Sheet3!A1635)</f>
        <v/>
      </c>
      <c r="D1664" s="80"/>
      <c r="E1664" s="45"/>
      <c r="F1664" s="46"/>
    </row>
    <row r="1665" spans="2:6" s="53" customFormat="1" ht="17.25" customHeight="1" x14ac:dyDescent="0.25">
      <c r="B1665" s="91"/>
      <c r="C1665" s="35" t="str">
        <f>IF(Sheet3!A1636="","",Sheet3!A1636)</f>
        <v/>
      </c>
      <c r="D1665" s="80"/>
      <c r="E1665" s="45"/>
      <c r="F1665" s="46"/>
    </row>
    <row r="1666" spans="2:6" s="53" customFormat="1" ht="17.25" customHeight="1" x14ac:dyDescent="0.25">
      <c r="B1666" s="91"/>
      <c r="C1666" s="35" t="str">
        <f>IF(Sheet3!A1637="","",Sheet3!A1637)</f>
        <v/>
      </c>
      <c r="D1666" s="80"/>
      <c r="E1666" s="45"/>
      <c r="F1666" s="46"/>
    </row>
    <row r="1667" spans="2:6" s="53" customFormat="1" ht="17.25" customHeight="1" x14ac:dyDescent="0.25">
      <c r="B1667" s="91"/>
      <c r="C1667" s="35" t="str">
        <f>IF(Sheet3!A1638="","",Sheet3!A1638)</f>
        <v/>
      </c>
      <c r="D1667" s="80"/>
      <c r="E1667" s="45"/>
      <c r="F1667" s="46"/>
    </row>
    <row r="1668" spans="2:6" s="53" customFormat="1" ht="17.25" customHeight="1" x14ac:dyDescent="0.25">
      <c r="B1668" s="91"/>
      <c r="C1668" s="35" t="str">
        <f>IF(Sheet3!A1639="","",Sheet3!A1639)</f>
        <v/>
      </c>
      <c r="D1668" s="80"/>
      <c r="E1668" s="45"/>
      <c r="F1668" s="46"/>
    </row>
    <row r="1669" spans="2:6" s="53" customFormat="1" ht="17.25" customHeight="1" x14ac:dyDescent="0.25">
      <c r="B1669" s="91"/>
      <c r="C1669" s="35" t="str">
        <f>IF(Sheet3!A1640="","",Sheet3!A1640)</f>
        <v/>
      </c>
      <c r="D1669" s="80"/>
      <c r="E1669" s="45"/>
      <c r="F1669" s="46"/>
    </row>
    <row r="1670" spans="2:6" s="53" customFormat="1" ht="17.25" customHeight="1" x14ac:dyDescent="0.25">
      <c r="B1670" s="91"/>
      <c r="C1670" s="35" t="str">
        <f>IF(Sheet3!A1641="","",Sheet3!A1641)</f>
        <v/>
      </c>
      <c r="D1670" s="80"/>
      <c r="E1670" s="45"/>
      <c r="F1670" s="46"/>
    </row>
    <row r="1671" spans="2:6" s="53" customFormat="1" ht="17.25" customHeight="1" x14ac:dyDescent="0.25">
      <c r="B1671" s="91"/>
      <c r="C1671" s="35" t="str">
        <f>IF(Sheet3!A1642="","",Sheet3!A1642)</f>
        <v/>
      </c>
      <c r="D1671" s="80"/>
      <c r="E1671" s="45"/>
      <c r="F1671" s="46"/>
    </row>
    <row r="1672" spans="2:6" s="53" customFormat="1" ht="17.25" customHeight="1" x14ac:dyDescent="0.25">
      <c r="B1672" s="91"/>
      <c r="C1672" s="35" t="str">
        <f>IF(Sheet3!A1643="","",Sheet3!A1643)</f>
        <v/>
      </c>
      <c r="D1672" s="80"/>
      <c r="E1672" s="45"/>
      <c r="F1672" s="46"/>
    </row>
    <row r="1673" spans="2:6" s="53" customFormat="1" ht="17.25" customHeight="1" x14ac:dyDescent="0.25">
      <c r="B1673" s="91"/>
      <c r="C1673" s="35" t="str">
        <f>IF(Sheet3!A1644="","",Sheet3!A1644)</f>
        <v/>
      </c>
      <c r="D1673" s="80"/>
      <c r="E1673" s="45"/>
      <c r="F1673" s="46"/>
    </row>
    <row r="1674" spans="2:6" s="53" customFormat="1" ht="17.25" customHeight="1" x14ac:dyDescent="0.25">
      <c r="B1674" s="91"/>
      <c r="C1674" s="35" t="str">
        <f>IF(Sheet3!A1645="","",Sheet3!A1645)</f>
        <v/>
      </c>
      <c r="D1674" s="80"/>
      <c r="E1674" s="45"/>
      <c r="F1674" s="46"/>
    </row>
    <row r="1675" spans="2:6" s="53" customFormat="1" ht="17.25" customHeight="1" x14ac:dyDescent="0.25">
      <c r="B1675" s="91"/>
      <c r="C1675" s="35" t="str">
        <f>IF(Sheet3!A1646="","",Sheet3!A1646)</f>
        <v/>
      </c>
      <c r="D1675" s="80"/>
      <c r="E1675" s="45"/>
      <c r="F1675" s="46"/>
    </row>
    <row r="1676" spans="2:6" s="53" customFormat="1" ht="17.25" customHeight="1" x14ac:dyDescent="0.25">
      <c r="B1676" s="91"/>
      <c r="C1676" s="35" t="str">
        <f>IF(Sheet3!A1647="","",Sheet3!A1647)</f>
        <v/>
      </c>
      <c r="D1676" s="80"/>
      <c r="E1676" s="45"/>
      <c r="F1676" s="46"/>
    </row>
    <row r="1677" spans="2:6" s="53" customFormat="1" ht="17.25" customHeight="1" x14ac:dyDescent="0.25">
      <c r="B1677" s="91"/>
      <c r="C1677" s="35" t="str">
        <f>IF(Sheet3!A1648="","",Sheet3!A1648)</f>
        <v/>
      </c>
      <c r="D1677" s="80"/>
      <c r="E1677" s="45"/>
      <c r="F1677" s="46"/>
    </row>
    <row r="1678" spans="2:6" s="53" customFormat="1" ht="17.25" customHeight="1" x14ac:dyDescent="0.25">
      <c r="B1678" s="91"/>
      <c r="C1678" s="35" t="str">
        <f>IF(Sheet3!A1649="","",Sheet3!A1649)</f>
        <v/>
      </c>
      <c r="D1678" s="80"/>
      <c r="E1678" s="45"/>
      <c r="F1678" s="46"/>
    </row>
    <row r="1679" spans="2:6" s="53" customFormat="1" ht="17.25" customHeight="1" x14ac:dyDescent="0.25">
      <c r="B1679" s="91"/>
      <c r="C1679" s="35" t="str">
        <f>IF(Sheet3!A1650="","",Sheet3!A1650)</f>
        <v/>
      </c>
      <c r="D1679" s="80"/>
      <c r="E1679" s="45"/>
      <c r="F1679" s="46"/>
    </row>
    <row r="1680" spans="2:6" s="53" customFormat="1" ht="17.25" customHeight="1" x14ac:dyDescent="0.25">
      <c r="B1680" s="91"/>
      <c r="C1680" s="35" t="str">
        <f>IF(Sheet3!A1651="","",Sheet3!A1651)</f>
        <v/>
      </c>
      <c r="D1680" s="80"/>
      <c r="E1680" s="45"/>
      <c r="F1680" s="46"/>
    </row>
    <row r="1681" spans="2:6" s="53" customFormat="1" ht="17.25" customHeight="1" x14ac:dyDescent="0.25">
      <c r="B1681" s="91"/>
      <c r="C1681" s="35" t="str">
        <f>IF(Sheet3!A1652="","",Sheet3!A1652)</f>
        <v/>
      </c>
      <c r="D1681" s="80"/>
      <c r="E1681" s="45"/>
      <c r="F1681" s="46"/>
    </row>
    <row r="1682" spans="2:6" s="53" customFormat="1" ht="17.25" customHeight="1" x14ac:dyDescent="0.25">
      <c r="B1682" s="91"/>
      <c r="C1682" s="35" t="str">
        <f>IF(Sheet3!A1653="","",Sheet3!A1653)</f>
        <v/>
      </c>
      <c r="D1682" s="80"/>
      <c r="E1682" s="45"/>
      <c r="F1682" s="46"/>
    </row>
    <row r="1683" spans="2:6" s="53" customFormat="1" ht="17.25" customHeight="1" x14ac:dyDescent="0.25">
      <c r="B1683" s="91"/>
      <c r="C1683" s="35" t="str">
        <f>IF(Sheet3!A1654="","",Sheet3!A1654)</f>
        <v/>
      </c>
      <c r="D1683" s="80"/>
      <c r="E1683" s="45"/>
      <c r="F1683" s="46"/>
    </row>
    <row r="1684" spans="2:6" s="53" customFormat="1" ht="17.25" customHeight="1" x14ac:dyDescent="0.25">
      <c r="B1684" s="91"/>
      <c r="C1684" s="35" t="str">
        <f>IF(Sheet3!A1655="","",Sheet3!A1655)</f>
        <v/>
      </c>
      <c r="D1684" s="80"/>
      <c r="E1684" s="45"/>
      <c r="F1684" s="46"/>
    </row>
    <row r="1685" spans="2:6" s="53" customFormat="1" ht="17.25" customHeight="1" x14ac:dyDescent="0.25">
      <c r="B1685" s="91"/>
      <c r="C1685" s="35" t="str">
        <f>IF(Sheet3!A1656="","",Sheet3!A1656)</f>
        <v/>
      </c>
      <c r="D1685" s="80"/>
      <c r="E1685" s="45"/>
      <c r="F1685" s="46"/>
    </row>
    <row r="1686" spans="2:6" s="53" customFormat="1" ht="17.25" customHeight="1" x14ac:dyDescent="0.25">
      <c r="B1686" s="91"/>
      <c r="C1686" s="35" t="str">
        <f>IF(Sheet3!A1657="","",Sheet3!A1657)</f>
        <v/>
      </c>
      <c r="D1686" s="80"/>
      <c r="E1686" s="45"/>
      <c r="F1686" s="46"/>
    </row>
    <row r="1687" spans="2:6" s="53" customFormat="1" ht="17.25" customHeight="1" x14ac:dyDescent="0.25">
      <c r="B1687" s="91"/>
      <c r="C1687" s="35" t="str">
        <f>IF(Sheet3!A1658="","",Sheet3!A1658)</f>
        <v/>
      </c>
      <c r="D1687" s="80"/>
      <c r="E1687" s="45"/>
      <c r="F1687" s="46"/>
    </row>
    <row r="1688" spans="2:6" s="53" customFormat="1" ht="17.25" customHeight="1" x14ac:dyDescent="0.25">
      <c r="B1688" s="91"/>
      <c r="C1688" s="35" t="str">
        <f>IF(Sheet3!A1659="","",Sheet3!A1659)</f>
        <v/>
      </c>
      <c r="D1688" s="80"/>
      <c r="E1688" s="45"/>
      <c r="F1688" s="46"/>
    </row>
    <row r="1689" spans="2:6" s="53" customFormat="1" ht="17.25" customHeight="1" x14ac:dyDescent="0.25">
      <c r="B1689" s="91"/>
      <c r="C1689" s="35" t="str">
        <f>IF(Sheet3!A1660="","",Sheet3!A1660)</f>
        <v/>
      </c>
      <c r="D1689" s="80"/>
      <c r="E1689" s="45"/>
      <c r="F1689" s="46"/>
    </row>
    <row r="1690" spans="2:6" s="53" customFormat="1" ht="17.25" customHeight="1" x14ac:dyDescent="0.25">
      <c r="B1690" s="91"/>
      <c r="C1690" s="35" t="str">
        <f>IF(Sheet3!A1661="","",Sheet3!A1661)</f>
        <v/>
      </c>
      <c r="D1690" s="80"/>
      <c r="E1690" s="45"/>
      <c r="F1690" s="46"/>
    </row>
    <row r="1691" spans="2:6" s="53" customFormat="1" ht="17.25" customHeight="1" x14ac:dyDescent="0.25">
      <c r="B1691" s="91"/>
      <c r="C1691" s="35" t="str">
        <f>IF(Sheet3!A1662="","",Sheet3!A1662)</f>
        <v/>
      </c>
      <c r="D1691" s="80"/>
      <c r="E1691" s="45"/>
      <c r="F1691" s="46"/>
    </row>
    <row r="1692" spans="2:6" s="53" customFormat="1" ht="17.25" customHeight="1" x14ac:dyDescent="0.25">
      <c r="B1692" s="91"/>
      <c r="C1692" s="35" t="str">
        <f>IF(Sheet3!A1663="","",Sheet3!A1663)</f>
        <v/>
      </c>
      <c r="D1692" s="80"/>
      <c r="E1692" s="45"/>
      <c r="F1692" s="46"/>
    </row>
    <row r="1693" spans="2:6" s="53" customFormat="1" ht="17.25" customHeight="1" x14ac:dyDescent="0.25">
      <c r="B1693" s="91"/>
      <c r="C1693" s="35" t="str">
        <f>IF(Sheet3!A1664="","",Sheet3!A1664)</f>
        <v/>
      </c>
      <c r="D1693" s="80"/>
      <c r="E1693" s="45"/>
      <c r="F1693" s="46"/>
    </row>
    <row r="1694" spans="2:6" s="53" customFormat="1" ht="17.25" customHeight="1" x14ac:dyDescent="0.25">
      <c r="B1694" s="91"/>
      <c r="C1694" s="35" t="str">
        <f>IF(Sheet3!A1665="","",Sheet3!A1665)</f>
        <v/>
      </c>
      <c r="D1694" s="80"/>
      <c r="E1694" s="45"/>
      <c r="F1694" s="46"/>
    </row>
    <row r="1695" spans="2:6" s="53" customFormat="1" ht="17.25" customHeight="1" x14ac:dyDescent="0.25">
      <c r="B1695" s="91"/>
      <c r="C1695" s="35" t="str">
        <f>IF(Sheet3!A1666="","",Sheet3!A1666)</f>
        <v/>
      </c>
      <c r="D1695" s="80"/>
      <c r="E1695" s="45"/>
      <c r="F1695" s="46"/>
    </row>
    <row r="1696" spans="2:6" s="53" customFormat="1" ht="17.25" customHeight="1" x14ac:dyDescent="0.25">
      <c r="B1696" s="91"/>
      <c r="C1696" s="35" t="str">
        <f>IF(Sheet3!A1667="","",Sheet3!A1667)</f>
        <v/>
      </c>
      <c r="D1696" s="80"/>
      <c r="E1696" s="45"/>
      <c r="F1696" s="46"/>
    </row>
    <row r="1697" spans="2:6" s="53" customFormat="1" ht="17.25" customHeight="1" x14ac:dyDescent="0.25">
      <c r="B1697" s="91"/>
      <c r="C1697" s="35" t="str">
        <f>IF(Sheet3!A1668="","",Sheet3!A1668)</f>
        <v/>
      </c>
      <c r="D1697" s="80"/>
      <c r="E1697" s="45"/>
      <c r="F1697" s="46"/>
    </row>
    <row r="1698" spans="2:6" s="53" customFormat="1" ht="17.25" customHeight="1" x14ac:dyDescent="0.25">
      <c r="B1698" s="91"/>
      <c r="C1698" s="35" t="str">
        <f>IF(Sheet3!A1669="","",Sheet3!A1669)</f>
        <v/>
      </c>
      <c r="D1698" s="80"/>
      <c r="E1698" s="45"/>
      <c r="F1698" s="46"/>
    </row>
    <row r="1699" spans="2:6" s="53" customFormat="1" ht="17.25" customHeight="1" x14ac:dyDescent="0.25">
      <c r="B1699" s="91"/>
      <c r="C1699" s="35" t="str">
        <f>IF(Sheet3!A1670="","",Sheet3!A1670)</f>
        <v/>
      </c>
      <c r="D1699" s="80"/>
      <c r="E1699" s="45"/>
      <c r="F1699" s="46"/>
    </row>
    <row r="1700" spans="2:6" s="53" customFormat="1" ht="17.25" customHeight="1" x14ac:dyDescent="0.25">
      <c r="B1700" s="91"/>
      <c r="C1700" s="35" t="str">
        <f>IF(Sheet3!A1671="","",Sheet3!A1671)</f>
        <v/>
      </c>
      <c r="D1700" s="80"/>
      <c r="E1700" s="45"/>
      <c r="F1700" s="46"/>
    </row>
    <row r="1701" spans="2:6" s="53" customFormat="1" ht="17.25" customHeight="1" x14ac:dyDescent="0.25">
      <c r="B1701" s="91"/>
      <c r="C1701" s="35" t="str">
        <f>IF(Sheet3!A1672="","",Sheet3!A1672)</f>
        <v/>
      </c>
      <c r="D1701" s="80"/>
      <c r="E1701" s="45"/>
      <c r="F1701" s="46"/>
    </row>
    <row r="1702" spans="2:6" s="53" customFormat="1" ht="17.25" customHeight="1" x14ac:dyDescent="0.25">
      <c r="B1702" s="91"/>
      <c r="C1702" s="35" t="str">
        <f>IF(Sheet3!A1673="","",Sheet3!A1673)</f>
        <v/>
      </c>
      <c r="D1702" s="80"/>
      <c r="E1702" s="45"/>
      <c r="F1702" s="46"/>
    </row>
    <row r="1703" spans="2:6" s="53" customFormat="1" ht="17.25" customHeight="1" x14ac:dyDescent="0.25">
      <c r="B1703" s="91"/>
      <c r="C1703" s="35" t="str">
        <f>IF(Sheet3!A1674="","",Sheet3!A1674)</f>
        <v/>
      </c>
      <c r="D1703" s="80"/>
      <c r="E1703" s="45"/>
      <c r="F1703" s="46"/>
    </row>
    <row r="1704" spans="2:6" s="53" customFormat="1" ht="17.25" customHeight="1" x14ac:dyDescent="0.25">
      <c r="B1704" s="91"/>
      <c r="C1704" s="35" t="str">
        <f>IF(Sheet3!A1675="","",Sheet3!A1675)</f>
        <v/>
      </c>
      <c r="D1704" s="80"/>
      <c r="E1704" s="45"/>
      <c r="F1704" s="46"/>
    </row>
    <row r="1705" spans="2:6" s="53" customFormat="1" ht="17.25" customHeight="1" x14ac:dyDescent="0.25">
      <c r="B1705" s="91"/>
      <c r="C1705" s="35" t="str">
        <f>IF(Sheet3!A1676="","",Sheet3!A1676)</f>
        <v/>
      </c>
      <c r="D1705" s="80"/>
      <c r="E1705" s="45"/>
      <c r="F1705" s="46"/>
    </row>
    <row r="1706" spans="2:6" s="53" customFormat="1" ht="17.25" customHeight="1" x14ac:dyDescent="0.25">
      <c r="B1706" s="91"/>
      <c r="C1706" s="35" t="str">
        <f>IF(Sheet3!A1677="","",Sheet3!A1677)</f>
        <v/>
      </c>
      <c r="D1706" s="80"/>
      <c r="E1706" s="45"/>
      <c r="F1706" s="46"/>
    </row>
    <row r="1707" spans="2:6" s="53" customFormat="1" ht="17.25" customHeight="1" x14ac:dyDescent="0.25">
      <c r="B1707" s="91"/>
      <c r="C1707" s="35" t="str">
        <f>IF(Sheet3!A1678="","",Sheet3!A1678)</f>
        <v/>
      </c>
      <c r="D1707" s="80"/>
      <c r="E1707" s="45"/>
      <c r="F1707" s="46"/>
    </row>
    <row r="1708" spans="2:6" s="53" customFormat="1" ht="17.25" customHeight="1" x14ac:dyDescent="0.25">
      <c r="B1708" s="91"/>
      <c r="C1708" s="35" t="str">
        <f>IF(Sheet3!A1679="","",Sheet3!A1679)</f>
        <v/>
      </c>
      <c r="D1708" s="80"/>
      <c r="E1708" s="45"/>
      <c r="F1708" s="46"/>
    </row>
    <row r="1709" spans="2:6" s="53" customFormat="1" ht="17.25" customHeight="1" x14ac:dyDescent="0.25">
      <c r="B1709" s="91"/>
      <c r="C1709" s="35" t="str">
        <f>IF(Sheet3!A1680="","",Sheet3!A1680)</f>
        <v/>
      </c>
      <c r="D1709" s="80"/>
      <c r="E1709" s="45"/>
      <c r="F1709" s="46"/>
    </row>
    <row r="1710" spans="2:6" s="53" customFormat="1" ht="17.25" customHeight="1" x14ac:dyDescent="0.25">
      <c r="B1710" s="91"/>
      <c r="C1710" s="35" t="str">
        <f>IF(Sheet3!A1681="","",Sheet3!A1681)</f>
        <v/>
      </c>
      <c r="D1710" s="80"/>
      <c r="E1710" s="45"/>
      <c r="F1710" s="46"/>
    </row>
    <row r="1711" spans="2:6" s="53" customFormat="1" ht="17.25" customHeight="1" x14ac:dyDescent="0.25">
      <c r="B1711" s="91"/>
      <c r="C1711" s="35" t="str">
        <f>IF(Sheet3!A1682="","",Sheet3!A1682)</f>
        <v/>
      </c>
      <c r="D1711" s="80"/>
      <c r="E1711" s="45"/>
      <c r="F1711" s="46"/>
    </row>
    <row r="1712" spans="2:6" s="53" customFormat="1" ht="17.25" customHeight="1" x14ac:dyDescent="0.25">
      <c r="B1712" s="91"/>
      <c r="C1712" s="35" t="str">
        <f>IF(Sheet3!A1683="","",Sheet3!A1683)</f>
        <v/>
      </c>
      <c r="D1712" s="80"/>
      <c r="E1712" s="45"/>
      <c r="F1712" s="46"/>
    </row>
    <row r="1713" spans="2:6" s="53" customFormat="1" ht="17.25" customHeight="1" x14ac:dyDescent="0.25">
      <c r="B1713" s="91"/>
      <c r="C1713" s="35" t="str">
        <f>IF(Sheet3!A1684="","",Sheet3!A1684)</f>
        <v/>
      </c>
      <c r="D1713" s="80"/>
      <c r="E1713" s="45"/>
      <c r="F1713" s="46"/>
    </row>
    <row r="1714" spans="2:6" s="53" customFormat="1" ht="17.25" customHeight="1" x14ac:dyDescent="0.25">
      <c r="B1714" s="91"/>
      <c r="C1714" s="35" t="str">
        <f>IF(Sheet3!A1685="","",Sheet3!A1685)</f>
        <v/>
      </c>
      <c r="D1714" s="80"/>
      <c r="E1714" s="45"/>
      <c r="F1714" s="46"/>
    </row>
    <row r="1715" spans="2:6" s="53" customFormat="1" ht="17.25" customHeight="1" x14ac:dyDescent="0.25">
      <c r="B1715" s="91"/>
      <c r="C1715" s="35" t="str">
        <f>IF(Sheet3!A1686="","",Sheet3!A1686)</f>
        <v/>
      </c>
      <c r="D1715" s="80"/>
      <c r="E1715" s="45"/>
      <c r="F1715" s="46"/>
    </row>
    <row r="1716" spans="2:6" s="53" customFormat="1" ht="17.25" customHeight="1" x14ac:dyDescent="0.25">
      <c r="B1716" s="91"/>
      <c r="C1716" s="35" t="str">
        <f>IF(Sheet3!A1687="","",Sheet3!A1687)</f>
        <v/>
      </c>
      <c r="D1716" s="80"/>
      <c r="E1716" s="45"/>
      <c r="F1716" s="46"/>
    </row>
    <row r="1717" spans="2:6" s="53" customFormat="1" ht="17.25" customHeight="1" x14ac:dyDescent="0.25">
      <c r="B1717" s="91"/>
      <c r="C1717" s="35" t="str">
        <f>IF(Sheet3!A1688="","",Sheet3!A1688)</f>
        <v/>
      </c>
      <c r="D1717" s="80"/>
      <c r="E1717" s="45"/>
      <c r="F1717" s="46"/>
    </row>
    <row r="1718" spans="2:6" s="53" customFormat="1" ht="17.25" customHeight="1" x14ac:dyDescent="0.25">
      <c r="B1718" s="91"/>
      <c r="C1718" s="35" t="str">
        <f>IF(Sheet3!A1689="","",Sheet3!A1689)</f>
        <v/>
      </c>
      <c r="D1718" s="80"/>
      <c r="E1718" s="45"/>
      <c r="F1718" s="46"/>
    </row>
    <row r="1719" spans="2:6" s="53" customFormat="1" ht="17.25" customHeight="1" x14ac:dyDescent="0.25">
      <c r="B1719" s="91"/>
      <c r="C1719" s="35" t="str">
        <f>IF(Sheet3!A1690="","",Sheet3!A1690)</f>
        <v/>
      </c>
      <c r="D1719" s="80"/>
      <c r="E1719" s="45"/>
      <c r="F1719" s="46"/>
    </row>
    <row r="1720" spans="2:6" s="53" customFormat="1" ht="17.25" customHeight="1" x14ac:dyDescent="0.25">
      <c r="B1720" s="91"/>
      <c r="C1720" s="35" t="str">
        <f>IF(Sheet3!A1691="","",Sheet3!A1691)</f>
        <v/>
      </c>
      <c r="D1720" s="80"/>
      <c r="E1720" s="45"/>
      <c r="F1720" s="46"/>
    </row>
    <row r="1721" spans="2:6" s="53" customFormat="1" ht="17.25" customHeight="1" x14ac:dyDescent="0.25">
      <c r="B1721" s="91"/>
      <c r="C1721" s="35" t="str">
        <f>IF(Sheet3!A1692="","",Sheet3!A1692)</f>
        <v/>
      </c>
      <c r="D1721" s="80"/>
      <c r="E1721" s="45"/>
      <c r="F1721" s="46"/>
    </row>
    <row r="1722" spans="2:6" s="53" customFormat="1" ht="17.25" customHeight="1" x14ac:dyDescent="0.25">
      <c r="B1722" s="91"/>
      <c r="C1722" s="35" t="str">
        <f>IF(Sheet3!A1693="","",Sheet3!A1693)</f>
        <v/>
      </c>
      <c r="D1722" s="80"/>
      <c r="E1722" s="45"/>
      <c r="F1722" s="46"/>
    </row>
    <row r="1723" spans="2:6" s="53" customFormat="1" ht="17.25" customHeight="1" x14ac:dyDescent="0.25">
      <c r="B1723" s="91"/>
      <c r="C1723" s="35" t="str">
        <f>IF(Sheet3!A1694="","",Sheet3!A1694)</f>
        <v/>
      </c>
      <c r="D1723" s="80"/>
      <c r="E1723" s="45"/>
      <c r="F1723" s="46"/>
    </row>
    <row r="1724" spans="2:6" s="53" customFormat="1" ht="17.25" customHeight="1" x14ac:dyDescent="0.25">
      <c r="B1724" s="91"/>
      <c r="C1724" s="35" t="str">
        <f>IF(Sheet3!A1695="","",Sheet3!A1695)</f>
        <v/>
      </c>
      <c r="D1724" s="80"/>
      <c r="E1724" s="45"/>
      <c r="F1724" s="46"/>
    </row>
    <row r="1725" spans="2:6" s="53" customFormat="1" ht="17.25" customHeight="1" x14ac:dyDescent="0.25">
      <c r="B1725" s="91"/>
      <c r="C1725" s="35" t="str">
        <f>IF(Sheet3!A1696="","",Sheet3!A1696)</f>
        <v/>
      </c>
      <c r="D1725" s="80"/>
      <c r="E1725" s="45"/>
      <c r="F1725" s="46"/>
    </row>
    <row r="1726" spans="2:6" s="53" customFormat="1" ht="17.25" customHeight="1" x14ac:dyDescent="0.25">
      <c r="B1726" s="91"/>
      <c r="C1726" s="35" t="str">
        <f>IF(Sheet3!A1697="","",Sheet3!A1697)</f>
        <v/>
      </c>
      <c r="D1726" s="80"/>
      <c r="E1726" s="45"/>
      <c r="F1726" s="46"/>
    </row>
    <row r="1727" spans="2:6" s="53" customFormat="1" ht="17.25" customHeight="1" x14ac:dyDescent="0.25">
      <c r="B1727" s="91"/>
      <c r="C1727" s="35" t="str">
        <f>IF(Sheet3!A1698="","",Sheet3!A1698)</f>
        <v/>
      </c>
      <c r="D1727" s="80"/>
      <c r="E1727" s="45"/>
      <c r="F1727" s="46"/>
    </row>
    <row r="1728" spans="2:6" s="53" customFormat="1" ht="17.25" customHeight="1" x14ac:dyDescent="0.25">
      <c r="B1728" s="91"/>
      <c r="C1728" s="35" t="str">
        <f>IF(Sheet3!A1699="","",Sheet3!A1699)</f>
        <v/>
      </c>
      <c r="D1728" s="80"/>
      <c r="E1728" s="45"/>
      <c r="F1728" s="46"/>
    </row>
    <row r="1729" spans="2:6" s="53" customFormat="1" ht="17.25" customHeight="1" x14ac:dyDescent="0.25">
      <c r="B1729" s="91"/>
      <c r="C1729" s="35" t="str">
        <f>IF(Sheet3!A1700="","",Sheet3!A1700)</f>
        <v/>
      </c>
      <c r="D1729" s="80"/>
      <c r="E1729" s="45"/>
      <c r="F1729" s="46"/>
    </row>
    <row r="1730" spans="2:6" s="53" customFormat="1" ht="17.25" customHeight="1" x14ac:dyDescent="0.25">
      <c r="B1730" s="91"/>
      <c r="C1730" s="35" t="str">
        <f>IF(Sheet3!A1701="","",Sheet3!A1701)</f>
        <v/>
      </c>
      <c r="D1730" s="80"/>
      <c r="E1730" s="45"/>
      <c r="F1730" s="46"/>
    </row>
    <row r="1731" spans="2:6" s="53" customFormat="1" ht="17.25" customHeight="1" x14ac:dyDescent="0.25">
      <c r="B1731" s="91"/>
      <c r="C1731" s="35" t="str">
        <f>IF(Sheet3!A1702="","",Sheet3!A1702)</f>
        <v/>
      </c>
      <c r="D1731" s="80"/>
      <c r="E1731" s="45"/>
      <c r="F1731" s="46"/>
    </row>
    <row r="1732" spans="2:6" s="53" customFormat="1" ht="17.25" customHeight="1" x14ac:dyDescent="0.25">
      <c r="B1732" s="91"/>
      <c r="C1732" s="35" t="str">
        <f>IF(Sheet3!A1703="","",Sheet3!A1703)</f>
        <v/>
      </c>
      <c r="D1732" s="80"/>
      <c r="E1732" s="45"/>
      <c r="F1732" s="46"/>
    </row>
    <row r="1733" spans="2:6" s="53" customFormat="1" ht="17.25" customHeight="1" x14ac:dyDescent="0.25">
      <c r="B1733" s="91"/>
      <c r="C1733" s="35" t="str">
        <f>IF(Sheet3!A1704="","",Sheet3!A1704)</f>
        <v/>
      </c>
      <c r="D1733" s="80"/>
      <c r="E1733" s="45"/>
      <c r="F1733" s="46"/>
    </row>
    <row r="1734" spans="2:6" s="53" customFormat="1" ht="17.25" customHeight="1" x14ac:dyDescent="0.25">
      <c r="B1734" s="91"/>
      <c r="C1734" s="35" t="str">
        <f>IF(Sheet3!A1705="","",Sheet3!A1705)</f>
        <v/>
      </c>
      <c r="D1734" s="80"/>
      <c r="E1734" s="45"/>
      <c r="F1734" s="46"/>
    </row>
    <row r="1735" spans="2:6" s="53" customFormat="1" ht="17.25" customHeight="1" x14ac:dyDescent="0.25">
      <c r="B1735" s="91"/>
      <c r="C1735" s="35" t="str">
        <f>IF(Sheet3!A1706="","",Sheet3!A1706)</f>
        <v/>
      </c>
      <c r="D1735" s="80"/>
      <c r="E1735" s="45"/>
      <c r="F1735" s="46"/>
    </row>
    <row r="1736" spans="2:6" s="53" customFormat="1" ht="17.25" customHeight="1" x14ac:dyDescent="0.25">
      <c r="B1736" s="91"/>
      <c r="C1736" s="35" t="str">
        <f>IF(Sheet3!A1707="","",Sheet3!A1707)</f>
        <v/>
      </c>
      <c r="D1736" s="80"/>
      <c r="E1736" s="45"/>
      <c r="F1736" s="46"/>
    </row>
    <row r="1737" spans="2:6" s="53" customFormat="1" ht="17.25" customHeight="1" x14ac:dyDescent="0.25">
      <c r="B1737" s="91"/>
      <c r="C1737" s="35" t="str">
        <f>IF(Sheet3!A1708="","",Sheet3!A1708)</f>
        <v/>
      </c>
      <c r="D1737" s="80"/>
      <c r="E1737" s="45"/>
      <c r="F1737" s="46"/>
    </row>
    <row r="1738" spans="2:6" s="53" customFormat="1" ht="17.25" customHeight="1" x14ac:dyDescent="0.25">
      <c r="B1738" s="91"/>
      <c r="C1738" s="35" t="str">
        <f>IF(Sheet3!A1709="","",Sheet3!A1709)</f>
        <v/>
      </c>
      <c r="D1738" s="80"/>
      <c r="E1738" s="45"/>
      <c r="F1738" s="46"/>
    </row>
    <row r="1739" spans="2:6" s="53" customFormat="1" ht="17.25" customHeight="1" x14ac:dyDescent="0.25">
      <c r="B1739" s="91"/>
      <c r="C1739" s="35" t="str">
        <f>IF(Sheet3!A1710="","",Sheet3!A1710)</f>
        <v/>
      </c>
      <c r="D1739" s="80"/>
      <c r="E1739" s="45"/>
      <c r="F1739" s="46"/>
    </row>
    <row r="1740" spans="2:6" s="53" customFormat="1" ht="17.25" customHeight="1" x14ac:dyDescent="0.25">
      <c r="B1740" s="91"/>
      <c r="C1740" s="35" t="str">
        <f>IF(Sheet3!A1711="","",Sheet3!A1711)</f>
        <v/>
      </c>
      <c r="D1740" s="80"/>
      <c r="E1740" s="45"/>
      <c r="F1740" s="46"/>
    </row>
    <row r="1741" spans="2:6" s="53" customFormat="1" ht="17.25" customHeight="1" x14ac:dyDescent="0.25">
      <c r="B1741" s="91"/>
      <c r="C1741" s="35" t="str">
        <f>IF(Sheet3!A1712="","",Sheet3!A1712)</f>
        <v/>
      </c>
      <c r="D1741" s="80"/>
      <c r="E1741" s="45"/>
      <c r="F1741" s="46"/>
    </row>
    <row r="1742" spans="2:6" s="53" customFormat="1" ht="17.25" customHeight="1" x14ac:dyDescent="0.25">
      <c r="B1742" s="91"/>
      <c r="C1742" s="35" t="str">
        <f>IF(Sheet3!A1713="","",Sheet3!A1713)</f>
        <v/>
      </c>
      <c r="D1742" s="80"/>
      <c r="E1742" s="45"/>
      <c r="F1742" s="46"/>
    </row>
    <row r="1743" spans="2:6" s="53" customFormat="1" ht="17.25" customHeight="1" x14ac:dyDescent="0.25">
      <c r="B1743" s="91"/>
      <c r="C1743" s="35" t="str">
        <f>IF(Sheet3!A1714="","",Sheet3!A1714)</f>
        <v/>
      </c>
      <c r="D1743" s="80"/>
      <c r="E1743" s="45"/>
      <c r="F1743" s="46"/>
    </row>
    <row r="1744" spans="2:6" s="53" customFormat="1" ht="17.25" customHeight="1" x14ac:dyDescent="0.25">
      <c r="B1744" s="91"/>
      <c r="C1744" s="35" t="str">
        <f>IF(Sheet3!A1715="","",Sheet3!A1715)</f>
        <v/>
      </c>
      <c r="D1744" s="80"/>
      <c r="E1744" s="45"/>
      <c r="F1744" s="46"/>
    </row>
    <row r="1745" spans="2:6" s="53" customFormat="1" ht="17.25" customHeight="1" x14ac:dyDescent="0.25">
      <c r="B1745" s="91"/>
      <c r="C1745" s="35" t="str">
        <f>IF(Sheet3!A1716="","",Sheet3!A1716)</f>
        <v/>
      </c>
      <c r="D1745" s="80"/>
      <c r="E1745" s="45"/>
      <c r="F1745" s="46"/>
    </row>
    <row r="1746" spans="2:6" s="53" customFormat="1" ht="17.25" customHeight="1" x14ac:dyDescent="0.25">
      <c r="B1746" s="91"/>
      <c r="C1746" s="35" t="str">
        <f>IF(Sheet3!A1717="","",Sheet3!A1717)</f>
        <v/>
      </c>
      <c r="D1746" s="80"/>
      <c r="E1746" s="45"/>
      <c r="F1746" s="46"/>
    </row>
    <row r="1747" spans="2:6" s="53" customFormat="1" ht="17.25" customHeight="1" x14ac:dyDescent="0.25">
      <c r="B1747" s="91"/>
      <c r="C1747" s="35" t="str">
        <f>IF(Sheet3!A1718="","",Sheet3!A1718)</f>
        <v/>
      </c>
      <c r="D1747" s="80"/>
      <c r="E1747" s="45"/>
      <c r="F1747" s="46"/>
    </row>
    <row r="1748" spans="2:6" s="53" customFormat="1" ht="17.25" customHeight="1" x14ac:dyDescent="0.25">
      <c r="B1748" s="91"/>
      <c r="C1748" s="35" t="str">
        <f>IF(Sheet3!A1719="","",Sheet3!A1719)</f>
        <v/>
      </c>
      <c r="D1748" s="80"/>
      <c r="E1748" s="45"/>
      <c r="F1748" s="46"/>
    </row>
    <row r="1749" spans="2:6" s="53" customFormat="1" ht="17.25" customHeight="1" x14ac:dyDescent="0.25">
      <c r="B1749" s="91"/>
      <c r="C1749" s="35" t="str">
        <f>IF(Sheet3!A1720="","",Sheet3!A1720)</f>
        <v/>
      </c>
      <c r="D1749" s="80"/>
      <c r="E1749" s="45"/>
      <c r="F1749" s="46"/>
    </row>
    <row r="1750" spans="2:6" s="53" customFormat="1" ht="17.25" customHeight="1" x14ac:dyDescent="0.25">
      <c r="B1750" s="91"/>
      <c r="C1750" s="35" t="str">
        <f>IF(Sheet3!A1721="","",Sheet3!A1721)</f>
        <v/>
      </c>
      <c r="D1750" s="80"/>
      <c r="E1750" s="45"/>
      <c r="F1750" s="46"/>
    </row>
    <row r="1751" spans="2:6" s="53" customFormat="1" ht="17.25" customHeight="1" x14ac:dyDescent="0.25">
      <c r="B1751" s="91"/>
      <c r="C1751" s="35" t="str">
        <f>IF(Sheet3!A1722="","",Sheet3!A1722)</f>
        <v/>
      </c>
      <c r="D1751" s="80"/>
      <c r="E1751" s="45"/>
      <c r="F1751" s="46"/>
    </row>
    <row r="1752" spans="2:6" s="53" customFormat="1" ht="17.25" customHeight="1" x14ac:dyDescent="0.25">
      <c r="B1752" s="91"/>
      <c r="C1752" s="35" t="str">
        <f>IF(Sheet3!A1723="","",Sheet3!A1723)</f>
        <v/>
      </c>
      <c r="D1752" s="80"/>
      <c r="E1752" s="45"/>
      <c r="F1752" s="46"/>
    </row>
    <row r="1753" spans="2:6" s="53" customFormat="1" ht="17.25" customHeight="1" x14ac:dyDescent="0.25">
      <c r="B1753" s="91"/>
      <c r="C1753" s="35" t="str">
        <f>IF(Sheet3!A1724="","",Sheet3!A1724)</f>
        <v/>
      </c>
      <c r="D1753" s="80"/>
      <c r="E1753" s="45"/>
      <c r="F1753" s="46"/>
    </row>
    <row r="1754" spans="2:6" s="53" customFormat="1" ht="17.25" customHeight="1" x14ac:dyDescent="0.25">
      <c r="B1754" s="91"/>
      <c r="C1754" s="35" t="str">
        <f>IF(Sheet3!A1725="","",Sheet3!A1725)</f>
        <v/>
      </c>
      <c r="D1754" s="80"/>
      <c r="E1754" s="45"/>
      <c r="F1754" s="46"/>
    </row>
    <row r="1755" spans="2:6" s="53" customFormat="1" ht="17.25" customHeight="1" x14ac:dyDescent="0.25">
      <c r="B1755" s="91"/>
      <c r="C1755" s="35" t="str">
        <f>IF(Sheet3!A1726="","",Sheet3!A1726)</f>
        <v/>
      </c>
      <c r="D1755" s="80"/>
      <c r="E1755" s="45"/>
      <c r="F1755" s="46"/>
    </row>
    <row r="1756" spans="2:6" s="53" customFormat="1" ht="17.25" customHeight="1" x14ac:dyDescent="0.25">
      <c r="B1756" s="91"/>
      <c r="C1756" s="35" t="str">
        <f>IF(Sheet3!A1727="","",Sheet3!A1727)</f>
        <v/>
      </c>
      <c r="D1756" s="80"/>
      <c r="E1756" s="45"/>
      <c r="F1756" s="46"/>
    </row>
    <row r="1757" spans="2:6" s="53" customFormat="1" ht="17.25" customHeight="1" x14ac:dyDescent="0.25">
      <c r="B1757" s="91"/>
      <c r="C1757" s="35" t="str">
        <f>IF(Sheet3!A1728="","",Sheet3!A1728)</f>
        <v/>
      </c>
      <c r="D1757" s="80"/>
      <c r="E1757" s="45"/>
      <c r="F1757" s="46"/>
    </row>
    <row r="1758" spans="2:6" s="53" customFormat="1" ht="17.25" customHeight="1" x14ac:dyDescent="0.25">
      <c r="B1758" s="91"/>
      <c r="C1758" s="35" t="str">
        <f>IF(Sheet3!A1729="","",Sheet3!A1729)</f>
        <v/>
      </c>
      <c r="D1758" s="80"/>
      <c r="E1758" s="45"/>
      <c r="F1758" s="46"/>
    </row>
    <row r="1759" spans="2:6" s="53" customFormat="1" ht="17.25" customHeight="1" x14ac:dyDescent="0.25">
      <c r="B1759" s="91"/>
      <c r="C1759" s="35" t="str">
        <f>IF(Sheet3!A1730="","",Sheet3!A1730)</f>
        <v/>
      </c>
      <c r="D1759" s="80"/>
      <c r="E1759" s="45"/>
      <c r="F1759" s="46"/>
    </row>
    <row r="1760" spans="2:6" s="53" customFormat="1" ht="17.25" customHeight="1" x14ac:dyDescent="0.25">
      <c r="B1760" s="91"/>
      <c r="C1760" s="35" t="str">
        <f>IF(Sheet3!A1731="","",Sheet3!A1731)</f>
        <v/>
      </c>
      <c r="D1760" s="80"/>
      <c r="E1760" s="45"/>
      <c r="F1760" s="46"/>
    </row>
    <row r="1761" spans="2:6" s="53" customFormat="1" ht="17.25" customHeight="1" x14ac:dyDescent="0.25">
      <c r="B1761" s="91"/>
      <c r="C1761" s="35" t="str">
        <f>IF(Sheet3!A1732="","",Sheet3!A1732)</f>
        <v/>
      </c>
      <c r="D1761" s="80"/>
      <c r="E1761" s="45"/>
      <c r="F1761" s="46"/>
    </row>
    <row r="1762" spans="2:6" s="53" customFormat="1" ht="17.25" customHeight="1" x14ac:dyDescent="0.25">
      <c r="B1762" s="91"/>
      <c r="C1762" s="35" t="str">
        <f>IF(Sheet3!A1733="","",Sheet3!A1733)</f>
        <v/>
      </c>
      <c r="D1762" s="80"/>
      <c r="E1762" s="45"/>
      <c r="F1762" s="46"/>
    </row>
    <row r="1763" spans="2:6" s="53" customFormat="1" ht="17.25" customHeight="1" x14ac:dyDescent="0.25">
      <c r="B1763" s="91"/>
      <c r="C1763" s="35" t="str">
        <f>IF(Sheet3!A1734="","",Sheet3!A1734)</f>
        <v/>
      </c>
      <c r="D1763" s="80"/>
      <c r="E1763" s="45"/>
      <c r="F1763" s="46"/>
    </row>
    <row r="1764" spans="2:6" s="53" customFormat="1" ht="17.25" customHeight="1" x14ac:dyDescent="0.25">
      <c r="B1764" s="91"/>
      <c r="C1764" s="35" t="str">
        <f>IF(Sheet3!A1735="","",Sheet3!A1735)</f>
        <v/>
      </c>
      <c r="D1764" s="80"/>
      <c r="E1764" s="45"/>
      <c r="F1764" s="46"/>
    </row>
    <row r="1765" spans="2:6" s="53" customFormat="1" ht="17.25" customHeight="1" x14ac:dyDescent="0.25">
      <c r="B1765" s="91"/>
      <c r="C1765" s="35" t="str">
        <f>IF(Sheet3!A1736="","",Sheet3!A1736)</f>
        <v/>
      </c>
      <c r="D1765" s="80"/>
      <c r="E1765" s="45"/>
      <c r="F1765" s="46"/>
    </row>
    <row r="1766" spans="2:6" s="53" customFormat="1" ht="17.25" customHeight="1" x14ac:dyDescent="0.25">
      <c r="B1766" s="91"/>
      <c r="C1766" s="35" t="str">
        <f>IF(Sheet3!A1737="","",Sheet3!A1737)</f>
        <v/>
      </c>
      <c r="D1766" s="80"/>
      <c r="E1766" s="45"/>
      <c r="F1766" s="46"/>
    </row>
    <row r="1767" spans="2:6" s="53" customFormat="1" ht="17.25" customHeight="1" x14ac:dyDescent="0.25">
      <c r="B1767" s="91"/>
      <c r="C1767" s="35" t="str">
        <f>IF(Sheet3!A1738="","",Sheet3!A1738)</f>
        <v/>
      </c>
      <c r="D1767" s="80"/>
      <c r="E1767" s="45"/>
      <c r="F1767" s="46"/>
    </row>
    <row r="1768" spans="2:6" s="53" customFormat="1" ht="17.25" customHeight="1" x14ac:dyDescent="0.25">
      <c r="B1768" s="91"/>
      <c r="C1768" s="35" t="str">
        <f>IF(Sheet3!A1739="","",Sheet3!A1739)</f>
        <v/>
      </c>
      <c r="D1768" s="80"/>
      <c r="E1768" s="45"/>
      <c r="F1768" s="46"/>
    </row>
    <row r="1769" spans="2:6" s="53" customFormat="1" ht="17.25" customHeight="1" x14ac:dyDescent="0.25">
      <c r="B1769" s="91"/>
      <c r="C1769" s="35" t="str">
        <f>IF(Sheet3!A1740="","",Sheet3!A1740)</f>
        <v/>
      </c>
      <c r="D1769" s="80"/>
      <c r="E1769" s="45"/>
      <c r="F1769" s="46"/>
    </row>
    <row r="1770" spans="2:6" s="53" customFormat="1" ht="17.25" customHeight="1" x14ac:dyDescent="0.25">
      <c r="B1770" s="91"/>
      <c r="C1770" s="35" t="str">
        <f>IF(Sheet3!A1741="","",Sheet3!A1741)</f>
        <v/>
      </c>
      <c r="D1770" s="80"/>
      <c r="E1770" s="45"/>
      <c r="F1770" s="46"/>
    </row>
    <row r="1771" spans="2:6" s="53" customFormat="1" ht="17.25" customHeight="1" x14ac:dyDescent="0.25">
      <c r="B1771" s="91"/>
      <c r="C1771" s="35" t="str">
        <f>IF(Sheet3!A1742="","",Sheet3!A1742)</f>
        <v/>
      </c>
      <c r="D1771" s="80"/>
      <c r="E1771" s="45"/>
      <c r="F1771" s="46"/>
    </row>
    <row r="1772" spans="2:6" s="53" customFormat="1" ht="17.25" customHeight="1" x14ac:dyDescent="0.25">
      <c r="B1772" s="91"/>
      <c r="C1772" s="35" t="str">
        <f>IF(Sheet3!A1743="","",Sheet3!A1743)</f>
        <v/>
      </c>
      <c r="D1772" s="80"/>
      <c r="E1772" s="45"/>
      <c r="F1772" s="46"/>
    </row>
    <row r="1773" spans="2:6" s="53" customFormat="1" ht="17.25" customHeight="1" x14ac:dyDescent="0.25">
      <c r="B1773" s="91"/>
      <c r="C1773" s="35" t="str">
        <f>IF(Sheet3!A1744="","",Sheet3!A1744)</f>
        <v/>
      </c>
      <c r="D1773" s="80"/>
      <c r="E1773" s="45"/>
      <c r="F1773" s="46"/>
    </row>
    <row r="1774" spans="2:6" s="53" customFormat="1" ht="17.25" customHeight="1" x14ac:dyDescent="0.25">
      <c r="B1774" s="91"/>
      <c r="C1774" s="35" t="str">
        <f>IF(Sheet3!A1745="","",Sheet3!A1745)</f>
        <v/>
      </c>
      <c r="D1774" s="80"/>
      <c r="E1774" s="45"/>
      <c r="F1774" s="46"/>
    </row>
    <row r="1775" spans="2:6" s="53" customFormat="1" ht="17.25" customHeight="1" x14ac:dyDescent="0.25">
      <c r="B1775" s="91"/>
      <c r="C1775" s="35" t="str">
        <f>IF(Sheet3!A1746="","",Sheet3!A1746)</f>
        <v/>
      </c>
      <c r="D1775" s="80"/>
      <c r="E1775" s="45"/>
      <c r="F1775" s="46"/>
    </row>
    <row r="1776" spans="2:6" s="53" customFormat="1" ht="17.25" customHeight="1" x14ac:dyDescent="0.25">
      <c r="B1776" s="91"/>
      <c r="C1776" s="35" t="str">
        <f>IF(Sheet3!A1747="","",Sheet3!A1747)</f>
        <v/>
      </c>
      <c r="D1776" s="80"/>
      <c r="E1776" s="45"/>
      <c r="F1776" s="46"/>
    </row>
    <row r="1777" spans="2:6" s="53" customFormat="1" ht="17.25" customHeight="1" x14ac:dyDescent="0.25">
      <c r="B1777" s="91"/>
      <c r="C1777" s="35" t="str">
        <f>IF(Sheet3!A1748="","",Sheet3!A1748)</f>
        <v/>
      </c>
      <c r="D1777" s="80"/>
      <c r="E1777" s="45"/>
      <c r="F1777" s="46"/>
    </row>
    <row r="1778" spans="2:6" s="53" customFormat="1" ht="17.25" customHeight="1" x14ac:dyDescent="0.25">
      <c r="B1778" s="91"/>
      <c r="C1778" s="35" t="str">
        <f>IF(Sheet3!A1749="","",Sheet3!A1749)</f>
        <v/>
      </c>
      <c r="D1778" s="80"/>
      <c r="E1778" s="45"/>
      <c r="F1778" s="46"/>
    </row>
    <row r="1779" spans="2:6" s="53" customFormat="1" ht="17.25" customHeight="1" x14ac:dyDescent="0.25">
      <c r="B1779" s="91"/>
      <c r="C1779" s="35" t="str">
        <f>IF(Sheet3!A1750="","",Sheet3!A1750)</f>
        <v/>
      </c>
      <c r="D1779" s="80"/>
      <c r="E1779" s="45"/>
      <c r="F1779" s="46"/>
    </row>
    <row r="1780" spans="2:6" s="53" customFormat="1" ht="17.25" customHeight="1" x14ac:dyDescent="0.25">
      <c r="B1780" s="91"/>
      <c r="C1780" s="35" t="str">
        <f>IF(Sheet3!A1751="","",Sheet3!A1751)</f>
        <v/>
      </c>
      <c r="D1780" s="80"/>
      <c r="E1780" s="45"/>
      <c r="F1780" s="46"/>
    </row>
    <row r="1781" spans="2:6" s="53" customFormat="1" ht="17.25" customHeight="1" x14ac:dyDescent="0.25">
      <c r="B1781" s="91"/>
      <c r="C1781" s="35" t="str">
        <f>IF(Sheet3!A1752="","",Sheet3!A1752)</f>
        <v/>
      </c>
      <c r="D1781" s="80"/>
      <c r="E1781" s="45"/>
      <c r="F1781" s="46"/>
    </row>
    <row r="1782" spans="2:6" s="53" customFormat="1" ht="17.25" customHeight="1" x14ac:dyDescent="0.25">
      <c r="B1782" s="91"/>
      <c r="C1782" s="35" t="str">
        <f>IF(Sheet3!A1753="","",Sheet3!A1753)</f>
        <v/>
      </c>
      <c r="D1782" s="80"/>
      <c r="E1782" s="45"/>
      <c r="F1782" s="46"/>
    </row>
    <row r="1783" spans="2:6" s="53" customFormat="1" ht="17.25" customHeight="1" x14ac:dyDescent="0.25">
      <c r="B1783" s="91"/>
      <c r="C1783" s="35" t="str">
        <f>IF(Sheet3!A1754="","",Sheet3!A1754)</f>
        <v/>
      </c>
      <c r="D1783" s="80"/>
      <c r="E1783" s="45"/>
      <c r="F1783" s="46"/>
    </row>
    <row r="1784" spans="2:6" s="53" customFormat="1" ht="17.25" customHeight="1" x14ac:dyDescent="0.25">
      <c r="B1784" s="91"/>
      <c r="C1784" s="35" t="str">
        <f>IF(Sheet3!A1755="","",Sheet3!A1755)</f>
        <v/>
      </c>
      <c r="D1784" s="80"/>
      <c r="E1784" s="45"/>
      <c r="F1784" s="46"/>
    </row>
    <row r="1785" spans="2:6" s="53" customFormat="1" ht="17.25" customHeight="1" x14ac:dyDescent="0.25">
      <c r="B1785" s="91"/>
      <c r="C1785" s="35" t="str">
        <f>IF(Sheet3!A1756="","",Sheet3!A1756)</f>
        <v/>
      </c>
      <c r="D1785" s="80"/>
      <c r="E1785" s="45"/>
      <c r="F1785" s="46"/>
    </row>
    <row r="1786" spans="2:6" s="53" customFormat="1" ht="17.25" customHeight="1" x14ac:dyDescent="0.25">
      <c r="B1786" s="91"/>
      <c r="C1786" s="35" t="str">
        <f>IF(Sheet3!A1757="","",Sheet3!A1757)</f>
        <v/>
      </c>
      <c r="D1786" s="80"/>
      <c r="E1786" s="45"/>
      <c r="F1786" s="46"/>
    </row>
    <row r="1787" spans="2:6" s="53" customFormat="1" ht="17.25" customHeight="1" x14ac:dyDescent="0.25">
      <c r="B1787" s="91"/>
      <c r="C1787" s="35" t="str">
        <f>IF(Sheet3!A1758="","",Sheet3!A1758)</f>
        <v/>
      </c>
      <c r="D1787" s="80"/>
      <c r="E1787" s="45"/>
      <c r="F1787" s="46"/>
    </row>
    <row r="1788" spans="2:6" s="53" customFormat="1" ht="17.25" customHeight="1" x14ac:dyDescent="0.25">
      <c r="B1788" s="91"/>
      <c r="C1788" s="35" t="str">
        <f>IF(Sheet3!A1759="","",Sheet3!A1759)</f>
        <v/>
      </c>
      <c r="D1788" s="80"/>
      <c r="E1788" s="45"/>
      <c r="F1788" s="46"/>
    </row>
    <row r="1789" spans="2:6" s="53" customFormat="1" ht="17.25" customHeight="1" x14ac:dyDescent="0.25">
      <c r="B1789" s="91"/>
      <c r="C1789" s="35" t="str">
        <f>IF(Sheet3!A1760="","",Sheet3!A1760)</f>
        <v/>
      </c>
      <c r="D1789" s="80"/>
      <c r="E1789" s="45"/>
      <c r="F1789" s="46"/>
    </row>
    <row r="1790" spans="2:6" s="53" customFormat="1" ht="17.25" customHeight="1" x14ac:dyDescent="0.25">
      <c r="B1790" s="91"/>
      <c r="C1790" s="35" t="str">
        <f>IF(Sheet3!A1761="","",Sheet3!A1761)</f>
        <v/>
      </c>
      <c r="D1790" s="80"/>
      <c r="E1790" s="45"/>
      <c r="F1790" s="46"/>
    </row>
    <row r="1791" spans="2:6" s="53" customFormat="1" ht="17.25" customHeight="1" x14ac:dyDescent="0.25">
      <c r="B1791" s="91"/>
      <c r="C1791" s="35" t="str">
        <f>IF(Sheet3!A1762="","",Sheet3!A1762)</f>
        <v/>
      </c>
      <c r="D1791" s="80"/>
      <c r="E1791" s="45"/>
      <c r="F1791" s="46"/>
    </row>
    <row r="1792" spans="2:6" s="53" customFormat="1" ht="17.25" customHeight="1" x14ac:dyDescent="0.25">
      <c r="B1792" s="91"/>
      <c r="C1792" s="35" t="str">
        <f>IF(Sheet3!A1763="","",Sheet3!A1763)</f>
        <v/>
      </c>
      <c r="D1792" s="80"/>
      <c r="E1792" s="45"/>
      <c r="F1792" s="46"/>
    </row>
    <row r="1793" spans="2:6" s="53" customFormat="1" ht="17.25" customHeight="1" x14ac:dyDescent="0.25">
      <c r="B1793" s="91"/>
      <c r="C1793" s="35" t="str">
        <f>IF(Sheet3!A1764="","",Sheet3!A1764)</f>
        <v/>
      </c>
      <c r="D1793" s="80"/>
      <c r="E1793" s="45"/>
      <c r="F1793" s="46"/>
    </row>
    <row r="1794" spans="2:6" s="53" customFormat="1" ht="17.25" customHeight="1" x14ac:dyDescent="0.25">
      <c r="B1794" s="91"/>
      <c r="C1794" s="35" t="str">
        <f>IF(Sheet3!A1765="","",Sheet3!A1765)</f>
        <v/>
      </c>
      <c r="D1794" s="80"/>
      <c r="E1794" s="45"/>
      <c r="F1794" s="46"/>
    </row>
    <row r="1795" spans="2:6" s="53" customFormat="1" ht="17.25" customHeight="1" x14ac:dyDescent="0.25">
      <c r="B1795" s="91"/>
      <c r="C1795" s="35" t="str">
        <f>IF(Sheet3!A1766="","",Sheet3!A1766)</f>
        <v/>
      </c>
      <c r="D1795" s="80"/>
      <c r="E1795" s="45"/>
      <c r="F1795" s="46"/>
    </row>
    <row r="1796" spans="2:6" s="53" customFormat="1" ht="17.25" customHeight="1" x14ac:dyDescent="0.25">
      <c r="B1796" s="91"/>
      <c r="C1796" s="35" t="str">
        <f>IF(Sheet3!A1767="","",Sheet3!A1767)</f>
        <v/>
      </c>
      <c r="D1796" s="80"/>
      <c r="E1796" s="45"/>
      <c r="F1796" s="46"/>
    </row>
    <row r="1797" spans="2:6" s="53" customFormat="1" ht="17.25" customHeight="1" x14ac:dyDescent="0.25">
      <c r="B1797" s="91"/>
      <c r="C1797" s="35" t="str">
        <f>IF(Sheet3!A1768="","",Sheet3!A1768)</f>
        <v/>
      </c>
      <c r="D1797" s="80"/>
      <c r="E1797" s="45"/>
      <c r="F1797" s="46"/>
    </row>
    <row r="1798" spans="2:6" s="53" customFormat="1" ht="17.25" customHeight="1" x14ac:dyDescent="0.25">
      <c r="B1798" s="91"/>
      <c r="C1798" s="35" t="str">
        <f>IF(Sheet3!A1769="","",Sheet3!A1769)</f>
        <v/>
      </c>
      <c r="D1798" s="80"/>
      <c r="E1798" s="45"/>
      <c r="F1798" s="46"/>
    </row>
    <row r="1799" spans="2:6" s="53" customFormat="1" ht="17.25" customHeight="1" x14ac:dyDescent="0.25">
      <c r="B1799" s="91"/>
      <c r="C1799" s="35" t="str">
        <f>IF(Sheet3!A1770="","",Sheet3!A1770)</f>
        <v/>
      </c>
      <c r="D1799" s="80"/>
      <c r="E1799" s="45"/>
      <c r="F1799" s="46"/>
    </row>
    <row r="1800" spans="2:6" s="53" customFormat="1" ht="17.25" customHeight="1" x14ac:dyDescent="0.25">
      <c r="B1800" s="91"/>
      <c r="C1800" s="35" t="str">
        <f>IF(Sheet3!A1771="","",Sheet3!A1771)</f>
        <v/>
      </c>
      <c r="D1800" s="80"/>
      <c r="E1800" s="45"/>
      <c r="F1800" s="46"/>
    </row>
    <row r="1801" spans="2:6" s="53" customFormat="1" ht="17.25" customHeight="1" x14ac:dyDescent="0.25">
      <c r="B1801" s="91"/>
      <c r="C1801" s="35" t="str">
        <f>IF(Sheet3!A1772="","",Sheet3!A1772)</f>
        <v/>
      </c>
      <c r="D1801" s="80"/>
      <c r="E1801" s="45"/>
      <c r="F1801" s="46"/>
    </row>
    <row r="1802" spans="2:6" s="53" customFormat="1" ht="17.25" customHeight="1" x14ac:dyDescent="0.25">
      <c r="B1802" s="91"/>
      <c r="C1802" s="35" t="str">
        <f>IF(Sheet3!A1773="","",Sheet3!A1773)</f>
        <v/>
      </c>
      <c r="D1802" s="80"/>
      <c r="E1802" s="45"/>
      <c r="F1802" s="46"/>
    </row>
    <row r="1803" spans="2:6" s="53" customFormat="1" ht="17.25" customHeight="1" x14ac:dyDescent="0.25">
      <c r="B1803" s="91"/>
      <c r="C1803" s="35" t="str">
        <f>IF(Sheet3!A1774="","",Sheet3!A1774)</f>
        <v/>
      </c>
      <c r="D1803" s="80"/>
      <c r="E1803" s="45"/>
      <c r="F1803" s="46"/>
    </row>
    <row r="1804" spans="2:6" s="53" customFormat="1" ht="17.25" customHeight="1" x14ac:dyDescent="0.25">
      <c r="B1804" s="91"/>
      <c r="C1804" s="35" t="str">
        <f>IF(Sheet3!A1775="","",Sheet3!A1775)</f>
        <v/>
      </c>
      <c r="D1804" s="80"/>
      <c r="E1804" s="45"/>
      <c r="F1804" s="46"/>
    </row>
    <row r="1805" spans="2:6" s="53" customFormat="1" ht="17.25" customHeight="1" x14ac:dyDescent="0.25">
      <c r="B1805" s="91"/>
      <c r="C1805" s="35" t="str">
        <f>IF(Sheet3!A1776="","",Sheet3!A1776)</f>
        <v/>
      </c>
      <c r="D1805" s="80"/>
      <c r="E1805" s="45"/>
      <c r="F1805" s="46"/>
    </row>
    <row r="1806" spans="2:6" s="53" customFormat="1" ht="17.25" customHeight="1" x14ac:dyDescent="0.25">
      <c r="B1806" s="91"/>
      <c r="C1806" s="35" t="str">
        <f>IF(Sheet3!A1777="","",Sheet3!A1777)</f>
        <v/>
      </c>
      <c r="D1806" s="80"/>
      <c r="E1806" s="45"/>
      <c r="F1806" s="46"/>
    </row>
    <row r="1807" spans="2:6" s="53" customFormat="1" ht="17.25" customHeight="1" x14ac:dyDescent="0.25">
      <c r="B1807" s="91"/>
      <c r="C1807" s="35" t="str">
        <f>IF(Sheet3!A1778="","",Sheet3!A1778)</f>
        <v/>
      </c>
      <c r="D1807" s="80"/>
      <c r="E1807" s="45"/>
      <c r="F1807" s="46"/>
    </row>
    <row r="1808" spans="2:6" s="53" customFormat="1" ht="17.25" customHeight="1" x14ac:dyDescent="0.25">
      <c r="B1808" s="91"/>
      <c r="C1808" s="35" t="str">
        <f>IF(Sheet3!A1779="","",Sheet3!A1779)</f>
        <v/>
      </c>
      <c r="D1808" s="80"/>
      <c r="E1808" s="45"/>
      <c r="F1808" s="46"/>
    </row>
    <row r="1809" spans="2:6" s="53" customFormat="1" ht="17.25" customHeight="1" x14ac:dyDescent="0.25">
      <c r="B1809" s="91"/>
      <c r="C1809" s="35" t="str">
        <f>IF(Sheet3!A1780="","",Sheet3!A1780)</f>
        <v/>
      </c>
      <c r="D1809" s="80"/>
      <c r="E1809" s="45"/>
      <c r="F1809" s="46"/>
    </row>
    <row r="1810" spans="2:6" s="53" customFormat="1" ht="17.25" customHeight="1" x14ac:dyDescent="0.25">
      <c r="B1810" s="91"/>
      <c r="C1810" s="35" t="str">
        <f>IF(Sheet3!A1781="","",Sheet3!A1781)</f>
        <v/>
      </c>
      <c r="D1810" s="80"/>
      <c r="E1810" s="45"/>
      <c r="F1810" s="46"/>
    </row>
    <row r="1811" spans="2:6" s="53" customFormat="1" ht="17.25" customHeight="1" x14ac:dyDescent="0.25">
      <c r="B1811" s="91"/>
      <c r="C1811" s="35" t="str">
        <f>IF(Sheet3!A1782="","",Sheet3!A1782)</f>
        <v/>
      </c>
      <c r="D1811" s="80"/>
      <c r="E1811" s="45"/>
      <c r="F1811" s="46"/>
    </row>
    <row r="1812" spans="2:6" s="53" customFormat="1" ht="17.25" customHeight="1" x14ac:dyDescent="0.25">
      <c r="B1812" s="91"/>
      <c r="C1812" s="35" t="str">
        <f>IF(Sheet3!A1783="","",Sheet3!A1783)</f>
        <v/>
      </c>
      <c r="D1812" s="80"/>
      <c r="E1812" s="45"/>
      <c r="F1812" s="46"/>
    </row>
    <row r="1813" spans="2:6" s="53" customFormat="1" ht="17.25" customHeight="1" x14ac:dyDescent="0.25">
      <c r="B1813" s="91"/>
      <c r="C1813" s="35" t="str">
        <f>IF(Sheet3!A1784="","",Sheet3!A1784)</f>
        <v/>
      </c>
      <c r="D1813" s="80"/>
      <c r="E1813" s="45"/>
      <c r="F1813" s="46"/>
    </row>
    <row r="1814" spans="2:6" s="53" customFormat="1" ht="17.25" customHeight="1" x14ac:dyDescent="0.25">
      <c r="B1814" s="91"/>
      <c r="C1814" s="35" t="str">
        <f>IF(Sheet3!A1785="","",Sheet3!A1785)</f>
        <v/>
      </c>
      <c r="D1814" s="80"/>
      <c r="E1814" s="45"/>
      <c r="F1814" s="46"/>
    </row>
    <row r="1815" spans="2:6" s="53" customFormat="1" ht="17.25" customHeight="1" x14ac:dyDescent="0.25">
      <c r="B1815" s="91"/>
      <c r="C1815" s="35" t="str">
        <f>IF(Sheet3!A1786="","",Sheet3!A1786)</f>
        <v/>
      </c>
      <c r="D1815" s="80"/>
      <c r="E1815" s="45"/>
      <c r="F1815" s="46"/>
    </row>
    <row r="1816" spans="2:6" s="53" customFormat="1" ht="17.25" customHeight="1" x14ac:dyDescent="0.25">
      <c r="B1816" s="91"/>
      <c r="C1816" s="35" t="str">
        <f>IF(Sheet3!A1787="","",Sheet3!A1787)</f>
        <v/>
      </c>
      <c r="D1816" s="80"/>
      <c r="E1816" s="45"/>
      <c r="F1816" s="46"/>
    </row>
    <row r="1817" spans="2:6" s="53" customFormat="1" ht="17.25" customHeight="1" x14ac:dyDescent="0.25">
      <c r="B1817" s="91"/>
      <c r="C1817" s="35" t="str">
        <f>IF(Sheet3!A1788="","",Sheet3!A1788)</f>
        <v/>
      </c>
      <c r="D1817" s="80"/>
      <c r="E1817" s="45"/>
      <c r="F1817" s="46"/>
    </row>
    <row r="1818" spans="2:6" s="53" customFormat="1" ht="17.25" customHeight="1" x14ac:dyDescent="0.25">
      <c r="B1818" s="91"/>
      <c r="C1818" s="35" t="str">
        <f>IF(Sheet3!A1789="","",Sheet3!A1789)</f>
        <v/>
      </c>
      <c r="D1818" s="80"/>
      <c r="E1818" s="45"/>
      <c r="F1818" s="46"/>
    </row>
    <row r="1819" spans="2:6" s="53" customFormat="1" ht="17.25" customHeight="1" x14ac:dyDescent="0.25">
      <c r="B1819" s="91"/>
      <c r="C1819" s="35" t="str">
        <f>IF(Sheet3!A1790="","",Sheet3!A1790)</f>
        <v/>
      </c>
      <c r="D1819" s="80"/>
      <c r="E1819" s="45"/>
      <c r="F1819" s="46"/>
    </row>
    <row r="1820" spans="2:6" s="53" customFormat="1" ht="17.25" customHeight="1" x14ac:dyDescent="0.25">
      <c r="B1820" s="91"/>
      <c r="C1820" s="35" t="str">
        <f>IF(Sheet3!A1791="","",Sheet3!A1791)</f>
        <v/>
      </c>
      <c r="D1820" s="80"/>
      <c r="E1820" s="45"/>
      <c r="F1820" s="46"/>
    </row>
    <row r="1821" spans="2:6" s="53" customFormat="1" ht="17.25" customHeight="1" x14ac:dyDescent="0.25">
      <c r="B1821" s="91"/>
      <c r="C1821" s="35" t="str">
        <f>IF(Sheet3!A1792="","",Sheet3!A1792)</f>
        <v/>
      </c>
      <c r="D1821" s="80"/>
      <c r="E1821" s="45"/>
      <c r="F1821" s="46"/>
    </row>
    <row r="1822" spans="2:6" s="53" customFormat="1" ht="17.25" customHeight="1" x14ac:dyDescent="0.25">
      <c r="B1822" s="91"/>
      <c r="C1822" s="35" t="str">
        <f>IF(Sheet3!A1793="","",Sheet3!A1793)</f>
        <v/>
      </c>
      <c r="D1822" s="80"/>
      <c r="E1822" s="45"/>
      <c r="F1822" s="46"/>
    </row>
    <row r="1823" spans="2:6" s="53" customFormat="1" ht="17.25" customHeight="1" x14ac:dyDescent="0.25">
      <c r="B1823" s="91"/>
      <c r="C1823" s="35" t="str">
        <f>IF(Sheet3!A1794="","",Sheet3!A1794)</f>
        <v/>
      </c>
      <c r="D1823" s="80"/>
      <c r="E1823" s="45"/>
      <c r="F1823" s="46"/>
    </row>
    <row r="1824" spans="2:6" s="53" customFormat="1" ht="17.25" customHeight="1" x14ac:dyDescent="0.25">
      <c r="B1824" s="91"/>
      <c r="C1824" s="35" t="str">
        <f>IF(Sheet3!A1795="","",Sheet3!A1795)</f>
        <v/>
      </c>
      <c r="D1824" s="80"/>
      <c r="E1824" s="45"/>
      <c r="F1824" s="46"/>
    </row>
    <row r="1825" spans="2:6" s="53" customFormat="1" ht="17.25" customHeight="1" x14ac:dyDescent="0.25">
      <c r="B1825" s="91"/>
      <c r="C1825" s="35" t="str">
        <f>IF(Sheet3!A1796="","",Sheet3!A1796)</f>
        <v/>
      </c>
      <c r="D1825" s="80"/>
      <c r="E1825" s="45"/>
      <c r="F1825" s="46"/>
    </row>
    <row r="1826" spans="2:6" s="53" customFormat="1" ht="17.25" customHeight="1" x14ac:dyDescent="0.25">
      <c r="B1826" s="91"/>
      <c r="C1826" s="35" t="str">
        <f>IF(Sheet3!A1797="","",Sheet3!A1797)</f>
        <v/>
      </c>
      <c r="D1826" s="80"/>
      <c r="E1826" s="45"/>
      <c r="F1826" s="46"/>
    </row>
    <row r="1827" spans="2:6" s="53" customFormat="1" ht="17.25" customHeight="1" x14ac:dyDescent="0.25">
      <c r="B1827" s="91"/>
      <c r="C1827" s="35" t="str">
        <f>IF(Sheet3!A1798="","",Sheet3!A1798)</f>
        <v/>
      </c>
      <c r="D1827" s="80"/>
      <c r="E1827" s="45"/>
      <c r="F1827" s="46"/>
    </row>
    <row r="1828" spans="2:6" s="53" customFormat="1" ht="17.25" customHeight="1" x14ac:dyDescent="0.25">
      <c r="B1828" s="91"/>
      <c r="C1828" s="35" t="str">
        <f>IF(Sheet3!A1799="","",Sheet3!A1799)</f>
        <v/>
      </c>
      <c r="D1828" s="80"/>
      <c r="E1828" s="45"/>
      <c r="F1828" s="46"/>
    </row>
    <row r="1829" spans="2:6" s="53" customFormat="1" ht="17.25" customHeight="1" x14ac:dyDescent="0.25">
      <c r="B1829" s="91"/>
      <c r="C1829" s="35" t="str">
        <f>IF(Sheet3!A1800="","",Sheet3!A1800)</f>
        <v/>
      </c>
      <c r="D1829" s="80"/>
      <c r="E1829" s="45"/>
      <c r="F1829" s="46"/>
    </row>
    <row r="1830" spans="2:6" s="53" customFormat="1" ht="17.25" customHeight="1" x14ac:dyDescent="0.25">
      <c r="B1830" s="91"/>
      <c r="C1830" s="35" t="str">
        <f>IF(Sheet3!A1801="","",Sheet3!A1801)</f>
        <v/>
      </c>
      <c r="D1830" s="80"/>
      <c r="E1830" s="45"/>
      <c r="F1830" s="46"/>
    </row>
    <row r="1831" spans="2:6" s="53" customFormat="1" ht="17.25" customHeight="1" x14ac:dyDescent="0.25">
      <c r="B1831" s="91"/>
      <c r="C1831" s="35" t="str">
        <f>IF(Sheet3!A1802="","",Sheet3!A1802)</f>
        <v/>
      </c>
      <c r="D1831" s="80"/>
      <c r="E1831" s="45"/>
      <c r="F1831" s="46"/>
    </row>
    <row r="1832" spans="2:6" s="53" customFormat="1" ht="17.25" customHeight="1" x14ac:dyDescent="0.25">
      <c r="B1832" s="91"/>
      <c r="C1832" s="35" t="str">
        <f>IF(Sheet3!A1803="","",Sheet3!A1803)</f>
        <v/>
      </c>
      <c r="D1832" s="80"/>
      <c r="E1832" s="45"/>
      <c r="F1832" s="46"/>
    </row>
    <row r="1833" spans="2:6" s="53" customFormat="1" ht="17.25" customHeight="1" x14ac:dyDescent="0.25">
      <c r="B1833" s="91"/>
      <c r="C1833" s="35" t="str">
        <f>IF(Sheet3!A1804="","",Sheet3!A1804)</f>
        <v/>
      </c>
      <c r="D1833" s="80"/>
      <c r="E1833" s="45"/>
      <c r="F1833" s="46"/>
    </row>
    <row r="1834" spans="2:6" s="53" customFormat="1" ht="17.25" customHeight="1" x14ac:dyDescent="0.25">
      <c r="B1834" s="91"/>
      <c r="C1834" s="35" t="str">
        <f>IF(Sheet3!A1805="","",Sheet3!A1805)</f>
        <v/>
      </c>
      <c r="D1834" s="80"/>
      <c r="E1834" s="45"/>
      <c r="F1834" s="46"/>
    </row>
    <row r="1835" spans="2:6" s="53" customFormat="1" ht="17.25" customHeight="1" x14ac:dyDescent="0.25">
      <c r="B1835" s="91"/>
      <c r="C1835" s="35" t="str">
        <f>IF(Sheet3!A1806="","",Sheet3!A1806)</f>
        <v/>
      </c>
      <c r="D1835" s="80"/>
      <c r="E1835" s="45"/>
      <c r="F1835" s="46"/>
    </row>
    <row r="1836" spans="2:6" s="53" customFormat="1" ht="17.25" customHeight="1" x14ac:dyDescent="0.25">
      <c r="B1836" s="91"/>
      <c r="C1836" s="35" t="str">
        <f>IF(Sheet3!A1807="","",Sheet3!A1807)</f>
        <v/>
      </c>
      <c r="D1836" s="80"/>
      <c r="E1836" s="45"/>
      <c r="F1836" s="46"/>
    </row>
    <row r="1837" spans="2:6" s="53" customFormat="1" ht="17.25" customHeight="1" x14ac:dyDescent="0.25">
      <c r="B1837" s="91"/>
      <c r="C1837" s="35" t="str">
        <f>IF(Sheet3!A1808="","",Sheet3!A1808)</f>
        <v/>
      </c>
      <c r="D1837" s="80"/>
      <c r="E1837" s="45"/>
      <c r="F1837" s="46"/>
    </row>
    <row r="1838" spans="2:6" s="53" customFormat="1" ht="17.25" customHeight="1" x14ac:dyDescent="0.25">
      <c r="B1838" s="91"/>
      <c r="C1838" s="35" t="str">
        <f>IF(Sheet3!A1809="","",Sheet3!A1809)</f>
        <v/>
      </c>
      <c r="D1838" s="80"/>
      <c r="E1838" s="45"/>
      <c r="F1838" s="46"/>
    </row>
    <row r="1839" spans="2:6" s="53" customFormat="1" ht="17.25" customHeight="1" x14ac:dyDescent="0.25">
      <c r="B1839" s="91"/>
      <c r="C1839" s="35" t="str">
        <f>IF(Sheet3!A1810="","",Sheet3!A1810)</f>
        <v/>
      </c>
      <c r="D1839" s="80"/>
      <c r="E1839" s="45"/>
      <c r="F1839" s="46"/>
    </row>
    <row r="1840" spans="2:6" s="53" customFormat="1" ht="17.25" customHeight="1" x14ac:dyDescent="0.25">
      <c r="B1840" s="91"/>
      <c r="C1840" s="35" t="str">
        <f>IF(Sheet3!A1811="","",Sheet3!A1811)</f>
        <v/>
      </c>
      <c r="D1840" s="80"/>
      <c r="E1840" s="45"/>
      <c r="F1840" s="46"/>
    </row>
    <row r="1841" spans="2:6" s="53" customFormat="1" ht="17.25" customHeight="1" x14ac:dyDescent="0.25">
      <c r="B1841" s="91"/>
      <c r="C1841" s="35" t="str">
        <f>IF(Sheet3!A1812="","",Sheet3!A1812)</f>
        <v/>
      </c>
      <c r="D1841" s="80"/>
      <c r="E1841" s="45"/>
      <c r="F1841" s="46"/>
    </row>
    <row r="1842" spans="2:6" s="53" customFormat="1" ht="17.25" customHeight="1" x14ac:dyDescent="0.25">
      <c r="B1842" s="91"/>
      <c r="C1842" s="35" t="str">
        <f>IF(Sheet3!A1813="","",Sheet3!A1813)</f>
        <v/>
      </c>
      <c r="D1842" s="80"/>
      <c r="E1842" s="45"/>
      <c r="F1842" s="46"/>
    </row>
    <row r="1843" spans="2:6" s="53" customFormat="1" ht="17.25" customHeight="1" x14ac:dyDescent="0.25">
      <c r="B1843" s="91"/>
      <c r="C1843" s="35" t="str">
        <f>IF(Sheet3!A1814="","",Sheet3!A1814)</f>
        <v/>
      </c>
      <c r="D1843" s="80"/>
      <c r="E1843" s="45"/>
      <c r="F1843" s="46"/>
    </row>
    <row r="1844" spans="2:6" s="53" customFormat="1" ht="17.25" customHeight="1" x14ac:dyDescent="0.25">
      <c r="B1844" s="91"/>
      <c r="C1844" s="35" t="str">
        <f>IF(Sheet3!A1815="","",Sheet3!A1815)</f>
        <v/>
      </c>
      <c r="D1844" s="80"/>
      <c r="E1844" s="45"/>
      <c r="F1844" s="46"/>
    </row>
    <row r="1845" spans="2:6" s="53" customFormat="1" ht="17.25" customHeight="1" x14ac:dyDescent="0.25">
      <c r="B1845" s="91"/>
      <c r="C1845" s="35" t="str">
        <f>IF(Sheet3!A1816="","",Sheet3!A1816)</f>
        <v/>
      </c>
      <c r="D1845" s="80"/>
      <c r="E1845" s="45"/>
      <c r="F1845" s="46"/>
    </row>
    <row r="1846" spans="2:6" s="53" customFormat="1" ht="17.25" customHeight="1" x14ac:dyDescent="0.25">
      <c r="B1846" s="91"/>
      <c r="C1846" s="35" t="str">
        <f>IF(Sheet3!A1817="","",Sheet3!A1817)</f>
        <v/>
      </c>
      <c r="D1846" s="80"/>
      <c r="E1846" s="45"/>
      <c r="F1846" s="46"/>
    </row>
    <row r="1847" spans="2:6" s="53" customFormat="1" ht="17.25" customHeight="1" x14ac:dyDescent="0.25">
      <c r="B1847" s="91"/>
      <c r="C1847" s="35" t="str">
        <f>IF(Sheet3!A1818="","",Sheet3!A1818)</f>
        <v/>
      </c>
      <c r="D1847" s="80"/>
      <c r="E1847" s="45"/>
      <c r="F1847" s="46"/>
    </row>
    <row r="1848" spans="2:6" s="53" customFormat="1" ht="17.25" customHeight="1" x14ac:dyDescent="0.25">
      <c r="B1848" s="91"/>
      <c r="C1848" s="35" t="str">
        <f>IF(Sheet3!A1819="","",Sheet3!A1819)</f>
        <v/>
      </c>
      <c r="D1848" s="80"/>
      <c r="E1848" s="45"/>
      <c r="F1848" s="46"/>
    </row>
    <row r="1849" spans="2:6" s="53" customFormat="1" ht="17.25" customHeight="1" x14ac:dyDescent="0.25">
      <c r="B1849" s="91"/>
      <c r="C1849" s="35" t="str">
        <f>IF(Sheet3!A1820="","",Sheet3!A1820)</f>
        <v/>
      </c>
      <c r="D1849" s="80"/>
      <c r="E1849" s="45"/>
      <c r="F1849" s="46"/>
    </row>
    <row r="1850" spans="2:6" s="53" customFormat="1" ht="17.25" customHeight="1" x14ac:dyDescent="0.25">
      <c r="B1850" s="91"/>
      <c r="C1850" s="35" t="str">
        <f>IF(Sheet3!A1821="","",Sheet3!A1821)</f>
        <v/>
      </c>
      <c r="D1850" s="80"/>
      <c r="E1850" s="45"/>
      <c r="F1850" s="46"/>
    </row>
    <row r="1851" spans="2:6" s="53" customFormat="1" ht="17.25" customHeight="1" x14ac:dyDescent="0.25">
      <c r="B1851" s="91"/>
      <c r="C1851" s="35" t="str">
        <f>IF(Sheet3!A1822="","",Sheet3!A1822)</f>
        <v/>
      </c>
      <c r="D1851" s="80"/>
      <c r="E1851" s="45"/>
      <c r="F1851" s="46"/>
    </row>
    <row r="1852" spans="2:6" s="53" customFormat="1" ht="17.25" customHeight="1" x14ac:dyDescent="0.25">
      <c r="B1852" s="91"/>
      <c r="C1852" s="35" t="str">
        <f>IF(Sheet3!A1823="","",Sheet3!A1823)</f>
        <v/>
      </c>
      <c r="D1852" s="80"/>
      <c r="E1852" s="45"/>
      <c r="F1852" s="46"/>
    </row>
    <row r="1853" spans="2:6" s="53" customFormat="1" ht="17.25" customHeight="1" x14ac:dyDescent="0.25">
      <c r="B1853" s="91"/>
      <c r="C1853" s="35" t="str">
        <f>IF(Sheet3!A1824="","",Sheet3!A1824)</f>
        <v/>
      </c>
      <c r="D1853" s="80"/>
      <c r="E1853" s="45"/>
      <c r="F1853" s="46"/>
    </row>
    <row r="1854" spans="2:6" s="53" customFormat="1" ht="17.25" customHeight="1" x14ac:dyDescent="0.25">
      <c r="B1854" s="91"/>
      <c r="C1854" s="35" t="str">
        <f>IF(Sheet3!A1825="","",Sheet3!A1825)</f>
        <v/>
      </c>
      <c r="D1854" s="80"/>
      <c r="E1854" s="45"/>
      <c r="F1854" s="46"/>
    </row>
    <row r="1855" spans="2:6" s="53" customFormat="1" ht="17.25" customHeight="1" x14ac:dyDescent="0.25">
      <c r="B1855" s="91"/>
      <c r="C1855" s="35" t="str">
        <f>IF(Sheet3!A1826="","",Sheet3!A1826)</f>
        <v/>
      </c>
      <c r="D1855" s="80"/>
      <c r="E1855" s="45"/>
      <c r="F1855" s="46"/>
    </row>
    <row r="1856" spans="2:6" s="53" customFormat="1" ht="17.25" customHeight="1" x14ac:dyDescent="0.25">
      <c r="B1856" s="91"/>
      <c r="C1856" s="35" t="str">
        <f>IF(Sheet3!A1827="","",Sheet3!A1827)</f>
        <v/>
      </c>
      <c r="D1856" s="80"/>
      <c r="E1856" s="45"/>
      <c r="F1856" s="46"/>
    </row>
    <row r="1857" spans="2:6" s="53" customFormat="1" ht="17.25" customHeight="1" x14ac:dyDescent="0.25">
      <c r="B1857" s="91"/>
      <c r="C1857" s="35" t="str">
        <f>IF(Sheet3!A1828="","",Sheet3!A1828)</f>
        <v/>
      </c>
      <c r="D1857" s="80"/>
      <c r="E1857" s="45"/>
      <c r="F1857" s="46"/>
    </row>
    <row r="1858" spans="2:6" s="53" customFormat="1" ht="17.25" customHeight="1" x14ac:dyDescent="0.25">
      <c r="B1858" s="91"/>
      <c r="C1858" s="35" t="str">
        <f>IF(Sheet3!A1829="","",Sheet3!A1829)</f>
        <v/>
      </c>
      <c r="D1858" s="80"/>
      <c r="E1858" s="45"/>
      <c r="F1858" s="46"/>
    </row>
    <row r="1859" spans="2:6" s="53" customFormat="1" ht="17.25" customHeight="1" x14ac:dyDescent="0.25">
      <c r="B1859" s="91"/>
      <c r="C1859" s="35" t="str">
        <f>IF(Sheet3!A1830="","",Sheet3!A1830)</f>
        <v/>
      </c>
      <c r="D1859" s="80"/>
      <c r="E1859" s="45"/>
      <c r="F1859" s="46"/>
    </row>
    <row r="1860" spans="2:6" s="53" customFormat="1" ht="17.25" customHeight="1" x14ac:dyDescent="0.25">
      <c r="B1860" s="91"/>
      <c r="C1860" s="35" t="str">
        <f>IF(Sheet3!A1831="","",Sheet3!A1831)</f>
        <v/>
      </c>
      <c r="D1860" s="80"/>
      <c r="E1860" s="45"/>
      <c r="F1860" s="46"/>
    </row>
    <row r="1861" spans="2:6" s="53" customFormat="1" ht="17.25" customHeight="1" x14ac:dyDescent="0.25">
      <c r="B1861" s="91"/>
      <c r="C1861" s="35" t="str">
        <f>IF(Sheet3!A1832="","",Sheet3!A1832)</f>
        <v/>
      </c>
      <c r="D1861" s="80"/>
      <c r="E1861" s="45"/>
      <c r="F1861" s="46"/>
    </row>
    <row r="1862" spans="2:6" s="53" customFormat="1" ht="17.25" customHeight="1" x14ac:dyDescent="0.25">
      <c r="B1862" s="91"/>
      <c r="C1862" s="35" t="str">
        <f>IF(Sheet3!A1833="","",Sheet3!A1833)</f>
        <v/>
      </c>
      <c r="D1862" s="80"/>
      <c r="E1862" s="45"/>
      <c r="F1862" s="46"/>
    </row>
    <row r="1863" spans="2:6" s="53" customFormat="1" ht="17.25" customHeight="1" x14ac:dyDescent="0.25">
      <c r="B1863" s="91"/>
      <c r="C1863" s="35" t="str">
        <f>IF(Sheet3!A1834="","",Sheet3!A1834)</f>
        <v/>
      </c>
      <c r="D1863" s="80"/>
      <c r="E1863" s="45"/>
      <c r="F1863" s="46"/>
    </row>
    <row r="1864" spans="2:6" s="53" customFormat="1" ht="17.25" customHeight="1" x14ac:dyDescent="0.25">
      <c r="B1864" s="91"/>
      <c r="C1864" s="35" t="str">
        <f>IF(Sheet3!A1835="","",Sheet3!A1835)</f>
        <v/>
      </c>
      <c r="D1864" s="80"/>
      <c r="E1864" s="45"/>
      <c r="F1864" s="46"/>
    </row>
    <row r="1865" spans="2:6" s="53" customFormat="1" ht="17.25" customHeight="1" x14ac:dyDescent="0.25">
      <c r="B1865" s="91"/>
      <c r="C1865" s="35" t="str">
        <f>IF(Sheet3!A1836="","",Sheet3!A1836)</f>
        <v/>
      </c>
      <c r="D1865" s="80"/>
      <c r="E1865" s="45"/>
      <c r="F1865" s="46"/>
    </row>
    <row r="1866" spans="2:6" s="53" customFormat="1" ht="17.25" customHeight="1" x14ac:dyDescent="0.25">
      <c r="B1866" s="91"/>
      <c r="C1866" s="35" t="str">
        <f>IF(Sheet3!A1837="","",Sheet3!A1837)</f>
        <v/>
      </c>
      <c r="D1866" s="80"/>
      <c r="E1866" s="45"/>
      <c r="F1866" s="46"/>
    </row>
    <row r="1867" spans="2:6" s="53" customFormat="1" ht="17.25" customHeight="1" x14ac:dyDescent="0.25">
      <c r="B1867" s="91"/>
      <c r="C1867" s="35" t="str">
        <f>IF(Sheet3!A1838="","",Sheet3!A1838)</f>
        <v/>
      </c>
      <c r="D1867" s="80"/>
      <c r="E1867" s="45"/>
      <c r="F1867" s="46"/>
    </row>
    <row r="1868" spans="2:6" s="53" customFormat="1" ht="17.25" customHeight="1" x14ac:dyDescent="0.25">
      <c r="B1868" s="91"/>
      <c r="C1868" s="35" t="str">
        <f>IF(Sheet3!A1839="","",Sheet3!A1839)</f>
        <v/>
      </c>
      <c r="D1868" s="80"/>
      <c r="E1868" s="45"/>
      <c r="F1868" s="46"/>
    </row>
    <row r="1869" spans="2:6" s="53" customFormat="1" ht="17.25" customHeight="1" x14ac:dyDescent="0.25">
      <c r="B1869" s="91"/>
      <c r="C1869" s="35" t="str">
        <f>IF(Sheet3!A1840="","",Sheet3!A1840)</f>
        <v/>
      </c>
      <c r="D1869" s="80"/>
      <c r="E1869" s="45"/>
      <c r="F1869" s="46"/>
    </row>
    <row r="1870" spans="2:6" s="53" customFormat="1" ht="17.25" customHeight="1" x14ac:dyDescent="0.25">
      <c r="B1870" s="91"/>
      <c r="C1870" s="35" t="str">
        <f>IF(Sheet3!A1841="","",Sheet3!A1841)</f>
        <v/>
      </c>
      <c r="D1870" s="80"/>
      <c r="E1870" s="45"/>
      <c r="F1870" s="46"/>
    </row>
    <row r="1871" spans="2:6" s="53" customFormat="1" ht="17.25" customHeight="1" x14ac:dyDescent="0.25">
      <c r="B1871" s="91"/>
      <c r="C1871" s="35" t="str">
        <f>IF(Sheet3!A1842="","",Sheet3!A1842)</f>
        <v/>
      </c>
      <c r="D1871" s="80"/>
      <c r="E1871" s="45"/>
      <c r="F1871" s="46"/>
    </row>
    <row r="1872" spans="2:6" s="53" customFormat="1" ht="17.25" customHeight="1" x14ac:dyDescent="0.25">
      <c r="B1872" s="91"/>
      <c r="C1872" s="35" t="str">
        <f>IF(Sheet3!A1843="","",Sheet3!A1843)</f>
        <v/>
      </c>
      <c r="D1872" s="80"/>
      <c r="E1872" s="45"/>
      <c r="F1872" s="46"/>
    </row>
    <row r="1873" spans="2:6" s="53" customFormat="1" ht="17.25" customHeight="1" x14ac:dyDescent="0.25">
      <c r="B1873" s="91"/>
      <c r="C1873" s="35" t="str">
        <f>IF(Sheet3!A1844="","",Sheet3!A1844)</f>
        <v/>
      </c>
      <c r="D1873" s="80"/>
      <c r="E1873" s="45"/>
      <c r="F1873" s="46"/>
    </row>
    <row r="1874" spans="2:6" s="53" customFormat="1" ht="17.25" customHeight="1" x14ac:dyDescent="0.25">
      <c r="B1874" s="91"/>
      <c r="C1874" s="35" t="str">
        <f>IF(Sheet3!A1845="","",Sheet3!A1845)</f>
        <v/>
      </c>
      <c r="D1874" s="80"/>
      <c r="E1874" s="45"/>
      <c r="F1874" s="46"/>
    </row>
    <row r="1875" spans="2:6" s="53" customFormat="1" ht="17.25" customHeight="1" x14ac:dyDescent="0.25">
      <c r="B1875" s="91"/>
      <c r="C1875" s="35" t="str">
        <f>IF(Sheet3!A1846="","",Sheet3!A1846)</f>
        <v/>
      </c>
      <c r="D1875" s="80"/>
      <c r="E1875" s="45"/>
      <c r="F1875" s="46"/>
    </row>
    <row r="1876" spans="2:6" s="53" customFormat="1" ht="17.25" customHeight="1" x14ac:dyDescent="0.25">
      <c r="B1876" s="91"/>
      <c r="C1876" s="35" t="str">
        <f>IF(Sheet3!A1847="","",Sheet3!A1847)</f>
        <v/>
      </c>
      <c r="D1876" s="80"/>
      <c r="E1876" s="45"/>
      <c r="F1876" s="46"/>
    </row>
    <row r="1877" spans="2:6" s="53" customFormat="1" ht="17.25" customHeight="1" x14ac:dyDescent="0.25">
      <c r="B1877" s="91"/>
      <c r="C1877" s="35" t="str">
        <f>IF(Sheet3!A1848="","",Sheet3!A1848)</f>
        <v/>
      </c>
      <c r="D1877" s="80"/>
      <c r="E1877" s="45"/>
      <c r="F1877" s="46"/>
    </row>
    <row r="1878" spans="2:6" s="53" customFormat="1" ht="17.25" customHeight="1" x14ac:dyDescent="0.25">
      <c r="B1878" s="91"/>
      <c r="C1878" s="35" t="str">
        <f>IF(Sheet3!A1849="","",Sheet3!A1849)</f>
        <v/>
      </c>
      <c r="D1878" s="80"/>
      <c r="E1878" s="45"/>
      <c r="F1878" s="46"/>
    </row>
    <row r="1879" spans="2:6" s="53" customFormat="1" ht="17.25" customHeight="1" x14ac:dyDescent="0.25">
      <c r="B1879" s="91"/>
      <c r="C1879" s="35" t="str">
        <f>IF(Sheet3!A1850="","",Sheet3!A1850)</f>
        <v/>
      </c>
      <c r="D1879" s="80"/>
      <c r="E1879" s="45"/>
      <c r="F1879" s="46"/>
    </row>
    <row r="1880" spans="2:6" s="53" customFormat="1" ht="17.25" customHeight="1" x14ac:dyDescent="0.25">
      <c r="B1880" s="91"/>
      <c r="C1880" s="35" t="str">
        <f>IF(Sheet3!A1851="","",Sheet3!A1851)</f>
        <v/>
      </c>
      <c r="D1880" s="80"/>
      <c r="E1880" s="45"/>
      <c r="F1880" s="46"/>
    </row>
    <row r="1881" spans="2:6" s="53" customFormat="1" ht="17.25" customHeight="1" x14ac:dyDescent="0.25">
      <c r="B1881" s="91"/>
      <c r="C1881" s="35" t="str">
        <f>IF(Sheet3!A1852="","",Sheet3!A1852)</f>
        <v/>
      </c>
      <c r="D1881" s="80"/>
      <c r="E1881" s="45"/>
      <c r="F1881" s="46"/>
    </row>
    <row r="1882" spans="2:6" s="53" customFormat="1" ht="17.25" customHeight="1" x14ac:dyDescent="0.25">
      <c r="B1882" s="91"/>
      <c r="C1882" s="35" t="str">
        <f>IF(Sheet3!A1853="","",Sheet3!A1853)</f>
        <v/>
      </c>
      <c r="D1882" s="80"/>
      <c r="E1882" s="45"/>
      <c r="F1882" s="46"/>
    </row>
    <row r="1883" spans="2:6" s="53" customFormat="1" ht="17.25" customHeight="1" x14ac:dyDescent="0.25">
      <c r="B1883" s="91"/>
      <c r="C1883" s="35" t="str">
        <f>IF(Sheet3!A1854="","",Sheet3!A1854)</f>
        <v/>
      </c>
      <c r="D1883" s="80"/>
      <c r="E1883" s="45"/>
      <c r="F1883" s="46"/>
    </row>
    <row r="1884" spans="2:6" s="53" customFormat="1" ht="17.25" customHeight="1" x14ac:dyDescent="0.25">
      <c r="B1884" s="91"/>
      <c r="C1884" s="35" t="str">
        <f>IF(Sheet3!A1855="","",Sheet3!A1855)</f>
        <v/>
      </c>
      <c r="D1884" s="80"/>
      <c r="E1884" s="45"/>
      <c r="F1884" s="46"/>
    </row>
    <row r="1885" spans="2:6" s="53" customFormat="1" ht="17.25" customHeight="1" x14ac:dyDescent="0.25">
      <c r="B1885" s="91"/>
      <c r="C1885" s="35" t="str">
        <f>IF(Sheet3!A1856="","",Sheet3!A1856)</f>
        <v/>
      </c>
      <c r="D1885" s="80"/>
      <c r="E1885" s="45"/>
      <c r="F1885" s="46"/>
    </row>
    <row r="1886" spans="2:6" s="53" customFormat="1" ht="17.25" customHeight="1" x14ac:dyDescent="0.25">
      <c r="B1886" s="91"/>
      <c r="C1886" s="35" t="str">
        <f>IF(Sheet3!A1857="","",Sheet3!A1857)</f>
        <v/>
      </c>
      <c r="D1886" s="80"/>
      <c r="E1886" s="45"/>
      <c r="F1886" s="46"/>
    </row>
    <row r="1887" spans="2:6" s="53" customFormat="1" ht="17.25" customHeight="1" x14ac:dyDescent="0.25">
      <c r="B1887" s="91"/>
      <c r="C1887" s="35" t="str">
        <f>IF(Sheet3!A1858="","",Sheet3!A1858)</f>
        <v/>
      </c>
      <c r="D1887" s="80"/>
      <c r="E1887" s="45"/>
      <c r="F1887" s="46"/>
    </row>
    <row r="1888" spans="2:6" s="53" customFormat="1" ht="17.25" customHeight="1" x14ac:dyDescent="0.25">
      <c r="B1888" s="91"/>
      <c r="C1888" s="35" t="str">
        <f>IF(Sheet3!A1859="","",Sheet3!A1859)</f>
        <v/>
      </c>
      <c r="D1888" s="80"/>
      <c r="E1888" s="45"/>
      <c r="F1888" s="46"/>
    </row>
    <row r="1889" spans="2:6" s="53" customFormat="1" ht="17.25" customHeight="1" x14ac:dyDescent="0.25">
      <c r="B1889" s="91"/>
      <c r="C1889" s="35" t="str">
        <f>IF(Sheet3!A1860="","",Sheet3!A1860)</f>
        <v/>
      </c>
      <c r="D1889" s="80"/>
      <c r="E1889" s="45"/>
      <c r="F1889" s="46"/>
    </row>
    <row r="1890" spans="2:6" s="53" customFormat="1" ht="17.25" customHeight="1" x14ac:dyDescent="0.25">
      <c r="B1890" s="91"/>
      <c r="C1890" s="35" t="str">
        <f>IF(Sheet3!A1861="","",Sheet3!A1861)</f>
        <v/>
      </c>
      <c r="D1890" s="80"/>
      <c r="E1890" s="45"/>
      <c r="F1890" s="46"/>
    </row>
    <row r="1891" spans="2:6" s="53" customFormat="1" ht="17.25" customHeight="1" x14ac:dyDescent="0.25">
      <c r="B1891" s="91"/>
      <c r="C1891" s="35" t="str">
        <f>IF(Sheet3!A1862="","",Sheet3!A1862)</f>
        <v/>
      </c>
      <c r="D1891" s="80"/>
      <c r="E1891" s="45"/>
      <c r="F1891" s="46"/>
    </row>
    <row r="1892" spans="2:6" s="53" customFormat="1" ht="17.25" customHeight="1" x14ac:dyDescent="0.25">
      <c r="B1892" s="91"/>
      <c r="C1892" s="35" t="str">
        <f>IF(Sheet3!A1863="","",Sheet3!A1863)</f>
        <v/>
      </c>
      <c r="D1892" s="80"/>
      <c r="E1892" s="45"/>
      <c r="F1892" s="46"/>
    </row>
    <row r="1893" spans="2:6" s="53" customFormat="1" ht="17.25" customHeight="1" x14ac:dyDescent="0.25">
      <c r="B1893" s="91"/>
      <c r="C1893" s="35" t="str">
        <f>IF(Sheet3!A1864="","",Sheet3!A1864)</f>
        <v/>
      </c>
      <c r="D1893" s="80"/>
      <c r="E1893" s="45"/>
      <c r="F1893" s="46"/>
    </row>
    <row r="1894" spans="2:6" s="53" customFormat="1" ht="17.25" customHeight="1" x14ac:dyDescent="0.25">
      <c r="B1894" s="91"/>
      <c r="C1894" s="35" t="str">
        <f>IF(Sheet3!A1865="","",Sheet3!A1865)</f>
        <v/>
      </c>
      <c r="D1894" s="80"/>
      <c r="E1894" s="45"/>
      <c r="F1894" s="46"/>
    </row>
    <row r="1895" spans="2:6" s="53" customFormat="1" ht="17.25" customHeight="1" x14ac:dyDescent="0.25">
      <c r="B1895" s="91"/>
      <c r="C1895" s="35" t="str">
        <f>IF(Sheet3!A1866="","",Sheet3!A1866)</f>
        <v/>
      </c>
      <c r="D1895" s="80"/>
      <c r="E1895" s="45"/>
      <c r="F1895" s="46"/>
    </row>
    <row r="1896" spans="2:6" s="53" customFormat="1" ht="17.25" customHeight="1" x14ac:dyDescent="0.25">
      <c r="B1896" s="91"/>
      <c r="C1896" s="35" t="str">
        <f>IF(Sheet3!A1867="","",Sheet3!A1867)</f>
        <v/>
      </c>
      <c r="D1896" s="80"/>
      <c r="E1896" s="45"/>
      <c r="F1896" s="46"/>
    </row>
    <row r="1897" spans="2:6" s="53" customFormat="1" ht="17.25" customHeight="1" x14ac:dyDescent="0.25">
      <c r="B1897" s="91"/>
      <c r="C1897" s="35" t="str">
        <f>IF(Sheet3!A1868="","",Sheet3!A1868)</f>
        <v/>
      </c>
      <c r="D1897" s="80"/>
      <c r="E1897" s="45"/>
      <c r="F1897" s="46"/>
    </row>
    <row r="1898" spans="2:6" s="53" customFormat="1" ht="17.25" customHeight="1" x14ac:dyDescent="0.25">
      <c r="B1898" s="91"/>
      <c r="C1898" s="35" t="str">
        <f>IF(Sheet3!A1869="","",Sheet3!A1869)</f>
        <v/>
      </c>
      <c r="D1898" s="80"/>
      <c r="E1898" s="45"/>
      <c r="F1898" s="46"/>
    </row>
    <row r="1899" spans="2:6" s="53" customFormat="1" ht="17.25" customHeight="1" x14ac:dyDescent="0.25">
      <c r="B1899" s="91"/>
      <c r="C1899" s="35" t="str">
        <f>IF(Sheet3!A1870="","",Sheet3!A1870)</f>
        <v/>
      </c>
      <c r="D1899" s="80"/>
      <c r="E1899" s="45"/>
      <c r="F1899" s="46"/>
    </row>
    <row r="1900" spans="2:6" s="53" customFormat="1" ht="17.25" customHeight="1" x14ac:dyDescent="0.25">
      <c r="B1900" s="91"/>
      <c r="C1900" s="35" t="str">
        <f>IF(Sheet3!A1871="","",Sheet3!A1871)</f>
        <v/>
      </c>
      <c r="D1900" s="80"/>
      <c r="E1900" s="45"/>
      <c r="F1900" s="46"/>
    </row>
    <row r="1901" spans="2:6" s="53" customFormat="1" ht="17.25" customHeight="1" x14ac:dyDescent="0.25">
      <c r="B1901" s="91"/>
      <c r="C1901" s="35" t="str">
        <f>IF(Sheet3!A1872="","",Sheet3!A1872)</f>
        <v/>
      </c>
      <c r="D1901" s="80"/>
      <c r="E1901" s="45"/>
      <c r="F1901" s="46"/>
    </row>
    <row r="1902" spans="2:6" s="53" customFormat="1" ht="17.25" customHeight="1" x14ac:dyDescent="0.25">
      <c r="B1902" s="91"/>
      <c r="C1902" s="35" t="str">
        <f>IF(Sheet3!A1873="","",Sheet3!A1873)</f>
        <v/>
      </c>
      <c r="D1902" s="80"/>
      <c r="E1902" s="45"/>
      <c r="F1902" s="46"/>
    </row>
    <row r="1903" spans="2:6" s="53" customFormat="1" ht="17.25" customHeight="1" x14ac:dyDescent="0.25">
      <c r="B1903" s="91"/>
      <c r="C1903" s="35" t="str">
        <f>IF(Sheet3!A1874="","",Sheet3!A1874)</f>
        <v/>
      </c>
      <c r="D1903" s="80"/>
      <c r="E1903" s="45"/>
      <c r="F1903" s="46"/>
    </row>
    <row r="1904" spans="2:6" s="53" customFormat="1" ht="17.25" customHeight="1" x14ac:dyDescent="0.25">
      <c r="B1904" s="91"/>
      <c r="C1904" s="35" t="str">
        <f>IF(Sheet3!A1875="","",Sheet3!A1875)</f>
        <v/>
      </c>
      <c r="D1904" s="80"/>
      <c r="E1904" s="45"/>
      <c r="F1904" s="46"/>
    </row>
    <row r="1905" spans="2:6" s="53" customFormat="1" ht="17.25" customHeight="1" x14ac:dyDescent="0.25">
      <c r="B1905" s="91"/>
      <c r="C1905" s="35" t="str">
        <f>IF(Sheet3!A1876="","",Sheet3!A1876)</f>
        <v/>
      </c>
      <c r="D1905" s="80"/>
      <c r="E1905" s="45"/>
      <c r="F1905" s="46"/>
    </row>
    <row r="1906" spans="2:6" s="53" customFormat="1" ht="17.25" customHeight="1" x14ac:dyDescent="0.25">
      <c r="B1906" s="91"/>
      <c r="C1906" s="35" t="str">
        <f>IF(Sheet3!A1877="","",Sheet3!A1877)</f>
        <v/>
      </c>
      <c r="D1906" s="80"/>
      <c r="E1906" s="45"/>
      <c r="F1906" s="46"/>
    </row>
    <row r="1907" spans="2:6" s="53" customFormat="1" ht="17.25" customHeight="1" x14ac:dyDescent="0.25">
      <c r="B1907" s="91"/>
      <c r="C1907" s="35" t="str">
        <f>IF(Sheet3!A1878="","",Sheet3!A1878)</f>
        <v/>
      </c>
      <c r="D1907" s="80"/>
      <c r="E1907" s="45"/>
      <c r="F1907" s="46"/>
    </row>
    <row r="1908" spans="2:6" s="53" customFormat="1" ht="17.25" customHeight="1" x14ac:dyDescent="0.25">
      <c r="B1908" s="91"/>
      <c r="C1908" s="35" t="str">
        <f>IF(Sheet3!A1879="","",Sheet3!A1879)</f>
        <v/>
      </c>
      <c r="D1908" s="80"/>
      <c r="E1908" s="45"/>
      <c r="F1908" s="46"/>
    </row>
    <row r="1909" spans="2:6" s="53" customFormat="1" ht="17.25" customHeight="1" x14ac:dyDescent="0.25">
      <c r="B1909" s="91"/>
      <c r="C1909" s="35" t="str">
        <f>IF(Sheet3!A1880="","",Sheet3!A1880)</f>
        <v/>
      </c>
      <c r="D1909" s="80"/>
      <c r="E1909" s="45"/>
      <c r="F1909" s="46"/>
    </row>
    <row r="1910" spans="2:6" s="53" customFormat="1" ht="17.25" customHeight="1" x14ac:dyDescent="0.25">
      <c r="B1910" s="91"/>
      <c r="C1910" s="35" t="str">
        <f>IF(Sheet3!A1881="","",Sheet3!A1881)</f>
        <v/>
      </c>
      <c r="D1910" s="80"/>
      <c r="E1910" s="45"/>
      <c r="F1910" s="46"/>
    </row>
    <row r="1911" spans="2:6" s="53" customFormat="1" ht="17.25" customHeight="1" x14ac:dyDescent="0.25">
      <c r="B1911" s="91"/>
      <c r="C1911" s="35" t="str">
        <f>IF(Sheet3!A1882="","",Sheet3!A1882)</f>
        <v/>
      </c>
      <c r="D1911" s="80"/>
      <c r="E1911" s="45"/>
      <c r="F1911" s="46"/>
    </row>
    <row r="1912" spans="2:6" s="53" customFormat="1" ht="17.25" customHeight="1" x14ac:dyDescent="0.25">
      <c r="B1912" s="91"/>
      <c r="C1912" s="35" t="str">
        <f>IF(Sheet3!A1883="","",Sheet3!A1883)</f>
        <v/>
      </c>
      <c r="D1912" s="80"/>
      <c r="E1912" s="45"/>
      <c r="F1912" s="46"/>
    </row>
    <row r="1913" spans="2:6" s="53" customFormat="1" ht="17.25" customHeight="1" x14ac:dyDescent="0.25">
      <c r="B1913" s="91"/>
      <c r="C1913" s="35" t="str">
        <f>IF(Sheet3!A1884="","",Sheet3!A1884)</f>
        <v/>
      </c>
      <c r="D1913" s="80"/>
      <c r="E1913" s="45"/>
      <c r="F1913" s="46"/>
    </row>
    <row r="1914" spans="2:6" s="53" customFormat="1" ht="17.25" customHeight="1" x14ac:dyDescent="0.25">
      <c r="B1914" s="91"/>
      <c r="C1914" s="35" t="str">
        <f>IF(Sheet3!A1885="","",Sheet3!A1885)</f>
        <v/>
      </c>
      <c r="D1914" s="80"/>
      <c r="E1914" s="45"/>
      <c r="F1914" s="46"/>
    </row>
    <row r="1915" spans="2:6" s="53" customFormat="1" ht="17.25" customHeight="1" x14ac:dyDescent="0.25">
      <c r="B1915" s="91"/>
      <c r="C1915" s="35" t="str">
        <f>IF(Sheet3!A1886="","",Sheet3!A1886)</f>
        <v/>
      </c>
      <c r="D1915" s="80"/>
      <c r="E1915" s="45"/>
      <c r="F1915" s="46"/>
    </row>
    <row r="1916" spans="2:6" s="53" customFormat="1" ht="17.25" customHeight="1" x14ac:dyDescent="0.25">
      <c r="B1916" s="91"/>
      <c r="C1916" s="35" t="str">
        <f>IF(Sheet3!A1887="","",Sheet3!A1887)</f>
        <v/>
      </c>
      <c r="D1916" s="80"/>
      <c r="E1916" s="45"/>
      <c r="F1916" s="46"/>
    </row>
    <row r="1917" spans="2:6" s="53" customFormat="1" ht="17.25" customHeight="1" x14ac:dyDescent="0.25">
      <c r="B1917" s="91"/>
      <c r="C1917" s="35" t="str">
        <f>IF(Sheet3!A1888="","",Sheet3!A1888)</f>
        <v/>
      </c>
      <c r="D1917" s="80"/>
      <c r="E1917" s="45"/>
      <c r="F1917" s="46"/>
    </row>
    <row r="1918" spans="2:6" s="53" customFormat="1" ht="17.25" customHeight="1" x14ac:dyDescent="0.25">
      <c r="B1918" s="91"/>
      <c r="C1918" s="35" t="str">
        <f>IF(Sheet3!A1889="","",Sheet3!A1889)</f>
        <v/>
      </c>
      <c r="D1918" s="80"/>
      <c r="E1918" s="45"/>
      <c r="F1918" s="46"/>
    </row>
    <row r="1919" spans="2:6" s="53" customFormat="1" ht="17.25" customHeight="1" x14ac:dyDescent="0.25">
      <c r="B1919" s="91"/>
      <c r="C1919" s="35" t="str">
        <f>IF(Sheet3!A1890="","",Sheet3!A1890)</f>
        <v/>
      </c>
      <c r="D1919" s="80"/>
      <c r="E1919" s="45"/>
      <c r="F1919" s="46"/>
    </row>
    <row r="1920" spans="2:6" s="53" customFormat="1" ht="17.25" customHeight="1" x14ac:dyDescent="0.25">
      <c r="B1920" s="91"/>
      <c r="C1920" s="35" t="str">
        <f>IF(Sheet3!A1891="","",Sheet3!A1891)</f>
        <v/>
      </c>
      <c r="D1920" s="80"/>
      <c r="E1920" s="45"/>
      <c r="F1920" s="46"/>
    </row>
    <row r="1921" spans="2:6" s="53" customFormat="1" ht="17.25" customHeight="1" x14ac:dyDescent="0.25">
      <c r="B1921" s="91"/>
      <c r="C1921" s="35" t="str">
        <f>IF(Sheet3!A1892="","",Sheet3!A1892)</f>
        <v/>
      </c>
      <c r="D1921" s="80"/>
      <c r="E1921" s="45"/>
      <c r="F1921" s="46"/>
    </row>
    <row r="1922" spans="2:6" s="53" customFormat="1" ht="17.25" customHeight="1" x14ac:dyDescent="0.25">
      <c r="B1922" s="91"/>
      <c r="C1922" s="35" t="str">
        <f>IF(Sheet3!A1893="","",Sheet3!A1893)</f>
        <v/>
      </c>
      <c r="D1922" s="80"/>
      <c r="E1922" s="45"/>
      <c r="F1922" s="46"/>
    </row>
    <row r="1923" spans="2:6" s="53" customFormat="1" ht="17.25" customHeight="1" x14ac:dyDescent="0.25">
      <c r="B1923" s="91"/>
      <c r="C1923" s="35" t="str">
        <f>IF(Sheet3!A1894="","",Sheet3!A1894)</f>
        <v/>
      </c>
      <c r="D1923" s="80"/>
      <c r="E1923" s="45"/>
      <c r="F1923" s="46"/>
    </row>
    <row r="1924" spans="2:6" s="53" customFormat="1" ht="17.25" customHeight="1" x14ac:dyDescent="0.25">
      <c r="B1924" s="91"/>
      <c r="C1924" s="35" t="str">
        <f>IF(Sheet3!A1895="","",Sheet3!A1895)</f>
        <v/>
      </c>
      <c r="D1924" s="80"/>
      <c r="E1924" s="45"/>
      <c r="F1924" s="46"/>
    </row>
    <row r="1925" spans="2:6" s="53" customFormat="1" ht="17.25" customHeight="1" x14ac:dyDescent="0.25">
      <c r="B1925" s="91"/>
      <c r="C1925" s="35" t="str">
        <f>IF(Sheet3!A1896="","",Sheet3!A1896)</f>
        <v/>
      </c>
      <c r="D1925" s="80"/>
      <c r="E1925" s="45"/>
      <c r="F1925" s="46"/>
    </row>
    <row r="1926" spans="2:6" s="53" customFormat="1" ht="17.25" customHeight="1" x14ac:dyDescent="0.25">
      <c r="B1926" s="91"/>
      <c r="C1926" s="35" t="str">
        <f>IF(Sheet3!A1897="","",Sheet3!A1897)</f>
        <v/>
      </c>
      <c r="D1926" s="80"/>
      <c r="E1926" s="45"/>
      <c r="F1926" s="46"/>
    </row>
    <row r="1927" spans="2:6" s="53" customFormat="1" ht="17.25" customHeight="1" x14ac:dyDescent="0.25">
      <c r="B1927" s="91"/>
      <c r="C1927" s="35" t="str">
        <f>IF(Sheet3!A1898="","",Sheet3!A1898)</f>
        <v/>
      </c>
      <c r="D1927" s="80"/>
      <c r="E1927" s="45"/>
      <c r="F1927" s="46"/>
    </row>
    <row r="1928" spans="2:6" s="53" customFormat="1" ht="17.25" customHeight="1" x14ac:dyDescent="0.25">
      <c r="B1928" s="91"/>
      <c r="C1928" s="35" t="str">
        <f>IF(Sheet3!A1899="","",Sheet3!A1899)</f>
        <v/>
      </c>
      <c r="D1928" s="80"/>
      <c r="E1928" s="45"/>
      <c r="F1928" s="46"/>
    </row>
    <row r="1929" spans="2:6" s="53" customFormat="1" ht="17.25" customHeight="1" x14ac:dyDescent="0.25">
      <c r="B1929" s="91"/>
      <c r="C1929" s="35" t="str">
        <f>IF(Sheet3!A1900="","",Sheet3!A1900)</f>
        <v/>
      </c>
      <c r="D1929" s="80"/>
      <c r="E1929" s="45"/>
      <c r="F1929" s="46"/>
    </row>
    <row r="1930" spans="2:6" s="53" customFormat="1" ht="17.25" customHeight="1" x14ac:dyDescent="0.25">
      <c r="B1930" s="91"/>
      <c r="C1930" s="35" t="str">
        <f>IF(Sheet3!A1901="","",Sheet3!A1901)</f>
        <v/>
      </c>
      <c r="D1930" s="80"/>
      <c r="E1930" s="45"/>
      <c r="F1930" s="46"/>
    </row>
    <row r="1931" spans="2:6" s="53" customFormat="1" ht="17.25" customHeight="1" x14ac:dyDescent="0.25">
      <c r="B1931" s="91"/>
      <c r="C1931" s="35" t="str">
        <f>IF(Sheet3!A1902="","",Sheet3!A1902)</f>
        <v/>
      </c>
      <c r="D1931" s="80"/>
      <c r="E1931" s="45"/>
      <c r="F1931" s="46"/>
    </row>
    <row r="1932" spans="2:6" s="53" customFormat="1" ht="17.25" customHeight="1" x14ac:dyDescent="0.25">
      <c r="B1932" s="91"/>
      <c r="C1932" s="35" t="str">
        <f>IF(Sheet3!A1903="","",Sheet3!A1903)</f>
        <v/>
      </c>
      <c r="D1932" s="80"/>
      <c r="E1932" s="45"/>
      <c r="F1932" s="46"/>
    </row>
    <row r="1933" spans="2:6" s="53" customFormat="1" ht="17.25" customHeight="1" x14ac:dyDescent="0.25">
      <c r="B1933" s="91"/>
      <c r="C1933" s="35" t="str">
        <f>IF(Sheet3!A1904="","",Sheet3!A1904)</f>
        <v/>
      </c>
      <c r="D1933" s="80"/>
      <c r="E1933" s="45"/>
      <c r="F1933" s="46"/>
    </row>
    <row r="1934" spans="2:6" s="53" customFormat="1" ht="17.25" customHeight="1" x14ac:dyDescent="0.25">
      <c r="B1934" s="91"/>
      <c r="C1934" s="35" t="str">
        <f>IF(Sheet3!A1905="","",Sheet3!A1905)</f>
        <v/>
      </c>
      <c r="D1934" s="80"/>
      <c r="E1934" s="45"/>
      <c r="F1934" s="46"/>
    </row>
    <row r="1935" spans="2:6" s="53" customFormat="1" ht="17.25" customHeight="1" x14ac:dyDescent="0.25">
      <c r="B1935" s="91"/>
      <c r="C1935" s="35" t="str">
        <f>IF(Sheet3!A1906="","",Sheet3!A1906)</f>
        <v/>
      </c>
      <c r="D1935" s="80"/>
      <c r="E1935" s="45"/>
      <c r="F1935" s="46"/>
    </row>
    <row r="1936" spans="2:6" s="53" customFormat="1" ht="17.25" customHeight="1" x14ac:dyDescent="0.25">
      <c r="B1936" s="91"/>
      <c r="C1936" s="35" t="str">
        <f>IF(Sheet3!A1907="","",Sheet3!A1907)</f>
        <v/>
      </c>
      <c r="D1936" s="80"/>
      <c r="E1936" s="45"/>
      <c r="F1936" s="46"/>
    </row>
    <row r="1937" spans="2:6" s="53" customFormat="1" ht="17.25" customHeight="1" x14ac:dyDescent="0.25">
      <c r="B1937" s="91"/>
      <c r="C1937" s="35" t="str">
        <f>IF(Sheet3!A1908="","",Sheet3!A1908)</f>
        <v/>
      </c>
      <c r="D1937" s="80"/>
      <c r="E1937" s="45"/>
      <c r="F1937" s="46"/>
    </row>
    <row r="1938" spans="2:6" s="53" customFormat="1" ht="17.25" customHeight="1" x14ac:dyDescent="0.25">
      <c r="B1938" s="91"/>
      <c r="C1938" s="35" t="str">
        <f>IF(Sheet3!A1909="","",Sheet3!A1909)</f>
        <v/>
      </c>
      <c r="D1938" s="80"/>
      <c r="E1938" s="45"/>
      <c r="F1938" s="46"/>
    </row>
    <row r="1939" spans="2:6" s="53" customFormat="1" ht="17.25" customHeight="1" x14ac:dyDescent="0.25">
      <c r="B1939" s="91"/>
      <c r="C1939" s="35" t="str">
        <f>IF(Sheet3!A1910="","",Sheet3!A1910)</f>
        <v/>
      </c>
      <c r="D1939" s="80"/>
      <c r="E1939" s="45"/>
      <c r="F1939" s="46"/>
    </row>
    <row r="1940" spans="2:6" s="53" customFormat="1" ht="17.25" customHeight="1" x14ac:dyDescent="0.25">
      <c r="B1940" s="91"/>
      <c r="C1940" s="35" t="str">
        <f>IF(Sheet3!A1911="","",Sheet3!A1911)</f>
        <v/>
      </c>
      <c r="D1940" s="80"/>
      <c r="E1940" s="45"/>
      <c r="F1940" s="46"/>
    </row>
    <row r="1941" spans="2:6" s="53" customFormat="1" ht="17.25" customHeight="1" x14ac:dyDescent="0.25">
      <c r="B1941" s="91"/>
      <c r="C1941" s="35" t="str">
        <f>IF(Sheet3!A1912="","",Sheet3!A1912)</f>
        <v/>
      </c>
      <c r="D1941" s="80"/>
      <c r="E1941" s="45"/>
      <c r="F1941" s="46"/>
    </row>
    <row r="1942" spans="2:6" s="53" customFormat="1" ht="17.25" customHeight="1" x14ac:dyDescent="0.25">
      <c r="B1942" s="91"/>
      <c r="C1942" s="35" t="str">
        <f>IF(Sheet3!A1913="","",Sheet3!A1913)</f>
        <v/>
      </c>
      <c r="D1942" s="80"/>
      <c r="E1942" s="45"/>
      <c r="F1942" s="46"/>
    </row>
    <row r="1943" spans="2:6" s="53" customFormat="1" ht="17.25" customHeight="1" x14ac:dyDescent="0.25">
      <c r="B1943" s="91"/>
      <c r="C1943" s="35" t="str">
        <f>IF(Sheet3!A1914="","",Sheet3!A1914)</f>
        <v/>
      </c>
      <c r="D1943" s="80"/>
      <c r="E1943" s="45"/>
      <c r="F1943" s="46"/>
    </row>
    <row r="1944" spans="2:6" s="53" customFormat="1" ht="17.25" customHeight="1" x14ac:dyDescent="0.25">
      <c r="B1944" s="91"/>
      <c r="C1944" s="35" t="str">
        <f>IF(Sheet3!A1915="","",Sheet3!A1915)</f>
        <v/>
      </c>
      <c r="D1944" s="80"/>
      <c r="E1944" s="45"/>
      <c r="F1944" s="46"/>
    </row>
    <row r="1945" spans="2:6" s="53" customFormat="1" ht="17.25" customHeight="1" x14ac:dyDescent="0.25">
      <c r="B1945" s="91"/>
      <c r="C1945" s="35" t="str">
        <f>IF(Sheet3!A1916="","",Sheet3!A1916)</f>
        <v/>
      </c>
      <c r="D1945" s="80"/>
      <c r="E1945" s="45"/>
      <c r="F1945" s="46"/>
    </row>
    <row r="1946" spans="2:6" s="53" customFormat="1" ht="17.25" customHeight="1" x14ac:dyDescent="0.25">
      <c r="B1946" s="91"/>
      <c r="C1946" s="35" t="str">
        <f>IF(Sheet3!A1917="","",Sheet3!A1917)</f>
        <v/>
      </c>
      <c r="D1946" s="80"/>
      <c r="E1946" s="45"/>
      <c r="F1946" s="46"/>
    </row>
    <row r="1947" spans="2:6" s="53" customFormat="1" ht="17.25" customHeight="1" x14ac:dyDescent="0.25">
      <c r="B1947" s="91"/>
      <c r="C1947" s="35" t="str">
        <f>IF(Sheet3!A1918="","",Sheet3!A1918)</f>
        <v/>
      </c>
      <c r="D1947" s="80"/>
      <c r="E1947" s="45"/>
      <c r="F1947" s="46"/>
    </row>
    <row r="1948" spans="2:6" s="53" customFormat="1" ht="17.25" customHeight="1" x14ac:dyDescent="0.25">
      <c r="B1948" s="91"/>
      <c r="C1948" s="35" t="str">
        <f>IF(Sheet3!A1919="","",Sheet3!A1919)</f>
        <v/>
      </c>
      <c r="D1948" s="80"/>
      <c r="E1948" s="45"/>
      <c r="F1948" s="46"/>
    </row>
    <row r="1949" spans="2:6" s="53" customFormat="1" ht="17.25" customHeight="1" x14ac:dyDescent="0.25">
      <c r="B1949" s="91"/>
      <c r="C1949" s="35" t="str">
        <f>IF(Sheet3!A1920="","",Sheet3!A1920)</f>
        <v/>
      </c>
      <c r="D1949" s="80"/>
      <c r="E1949" s="45"/>
      <c r="F1949" s="46"/>
    </row>
    <row r="1950" spans="2:6" s="53" customFormat="1" ht="17.25" customHeight="1" x14ac:dyDescent="0.25">
      <c r="B1950" s="91"/>
      <c r="C1950" s="35" t="str">
        <f>IF(Sheet3!A1921="","",Sheet3!A1921)</f>
        <v/>
      </c>
      <c r="D1950" s="80"/>
      <c r="E1950" s="45"/>
      <c r="F1950" s="46"/>
    </row>
    <row r="1951" spans="2:6" s="53" customFormat="1" ht="17.25" customHeight="1" x14ac:dyDescent="0.25">
      <c r="B1951" s="91"/>
      <c r="C1951" s="35" t="str">
        <f>IF(Sheet3!A1922="","",Sheet3!A1922)</f>
        <v/>
      </c>
      <c r="D1951" s="80"/>
      <c r="E1951" s="45"/>
      <c r="F1951" s="46"/>
    </row>
    <row r="1952" spans="2:6" s="53" customFormat="1" ht="17.25" customHeight="1" x14ac:dyDescent="0.25">
      <c r="B1952" s="91"/>
      <c r="C1952" s="35" t="str">
        <f>IF(Sheet3!A1923="","",Sheet3!A1923)</f>
        <v/>
      </c>
      <c r="D1952" s="80"/>
      <c r="E1952" s="45"/>
      <c r="F1952" s="46"/>
    </row>
    <row r="1953" spans="2:6" s="53" customFormat="1" ht="17.25" customHeight="1" x14ac:dyDescent="0.25">
      <c r="B1953" s="91"/>
      <c r="C1953" s="35" t="str">
        <f>IF(Sheet3!A1924="","",Sheet3!A1924)</f>
        <v/>
      </c>
      <c r="D1953" s="80"/>
      <c r="E1953" s="45"/>
      <c r="F1953" s="46"/>
    </row>
    <row r="1954" spans="2:6" s="53" customFormat="1" ht="17.25" customHeight="1" x14ac:dyDescent="0.25">
      <c r="B1954" s="91"/>
      <c r="C1954" s="35" t="str">
        <f>IF(Sheet3!A1925="","",Sheet3!A1925)</f>
        <v/>
      </c>
      <c r="D1954" s="80"/>
      <c r="E1954" s="45"/>
      <c r="F1954" s="46"/>
    </row>
    <row r="1955" spans="2:6" s="53" customFormat="1" ht="17.25" customHeight="1" x14ac:dyDescent="0.25">
      <c r="B1955" s="91"/>
      <c r="C1955" s="35" t="str">
        <f>IF(Sheet3!A1926="","",Sheet3!A1926)</f>
        <v/>
      </c>
      <c r="D1955" s="80"/>
      <c r="E1955" s="45"/>
      <c r="F1955" s="46"/>
    </row>
    <row r="1956" spans="2:6" s="53" customFormat="1" ht="17.25" customHeight="1" x14ac:dyDescent="0.25">
      <c r="B1956" s="91"/>
      <c r="C1956" s="35" t="str">
        <f>IF(Sheet3!A1927="","",Sheet3!A1927)</f>
        <v/>
      </c>
      <c r="D1956" s="80"/>
      <c r="E1956" s="45"/>
      <c r="F1956" s="46"/>
    </row>
    <row r="1957" spans="2:6" s="53" customFormat="1" ht="17.25" customHeight="1" x14ac:dyDescent="0.25">
      <c r="B1957" s="91"/>
      <c r="C1957" s="35" t="str">
        <f>IF(Sheet3!A1928="","",Sheet3!A1928)</f>
        <v/>
      </c>
      <c r="D1957" s="80"/>
      <c r="E1957" s="45"/>
      <c r="F1957" s="46"/>
    </row>
    <row r="1958" spans="2:6" s="53" customFormat="1" ht="17.25" customHeight="1" x14ac:dyDescent="0.25">
      <c r="B1958" s="91"/>
      <c r="C1958" s="35" t="str">
        <f>IF(Sheet3!A1929="","",Sheet3!A1929)</f>
        <v/>
      </c>
      <c r="D1958" s="80"/>
      <c r="E1958" s="45"/>
      <c r="F1958" s="46"/>
    </row>
    <row r="1959" spans="2:6" s="53" customFormat="1" ht="17.25" customHeight="1" x14ac:dyDescent="0.25">
      <c r="B1959" s="91"/>
      <c r="C1959" s="35" t="str">
        <f>IF(Sheet3!A1930="","",Sheet3!A1930)</f>
        <v/>
      </c>
      <c r="D1959" s="80"/>
      <c r="E1959" s="45"/>
      <c r="F1959" s="46"/>
    </row>
    <row r="1960" spans="2:6" s="53" customFormat="1" ht="17.25" customHeight="1" x14ac:dyDescent="0.25">
      <c r="B1960" s="91"/>
      <c r="C1960" s="35" t="str">
        <f>IF(Sheet3!A1931="","",Sheet3!A1931)</f>
        <v/>
      </c>
      <c r="D1960" s="80"/>
      <c r="E1960" s="45"/>
      <c r="F1960" s="46"/>
    </row>
    <row r="1961" spans="2:6" s="53" customFormat="1" ht="17.25" customHeight="1" x14ac:dyDescent="0.25">
      <c r="B1961" s="91"/>
      <c r="C1961" s="35" t="str">
        <f>IF(Sheet3!A1932="","",Sheet3!A1932)</f>
        <v/>
      </c>
      <c r="D1961" s="80"/>
      <c r="E1961" s="45"/>
      <c r="F1961" s="46"/>
    </row>
    <row r="1962" spans="2:6" s="53" customFormat="1" ht="17.25" customHeight="1" x14ac:dyDescent="0.25">
      <c r="B1962" s="91"/>
      <c r="C1962" s="35" t="str">
        <f>IF(Sheet3!A1933="","",Sheet3!A1933)</f>
        <v/>
      </c>
      <c r="D1962" s="80"/>
      <c r="E1962" s="45"/>
      <c r="F1962" s="46"/>
    </row>
    <row r="1963" spans="2:6" s="53" customFormat="1" ht="17.25" customHeight="1" x14ac:dyDescent="0.25">
      <c r="B1963" s="91"/>
      <c r="C1963" s="35" t="str">
        <f>IF(Sheet3!A1934="","",Sheet3!A1934)</f>
        <v/>
      </c>
      <c r="D1963" s="80"/>
      <c r="E1963" s="45"/>
      <c r="F1963" s="46"/>
    </row>
    <row r="1964" spans="2:6" s="53" customFormat="1" ht="17.25" customHeight="1" x14ac:dyDescent="0.25">
      <c r="B1964" s="91"/>
      <c r="C1964" s="35" t="str">
        <f>IF(Sheet3!A1935="","",Sheet3!A1935)</f>
        <v/>
      </c>
      <c r="D1964" s="80"/>
      <c r="E1964" s="45"/>
      <c r="F1964" s="46"/>
    </row>
    <row r="1965" spans="2:6" s="53" customFormat="1" ht="17.25" customHeight="1" x14ac:dyDescent="0.25">
      <c r="B1965" s="91"/>
      <c r="C1965" s="35" t="str">
        <f>IF(Sheet3!A1936="","",Sheet3!A1936)</f>
        <v/>
      </c>
      <c r="D1965" s="80"/>
      <c r="E1965" s="45"/>
      <c r="F1965" s="46"/>
    </row>
    <row r="1966" spans="2:6" s="53" customFormat="1" ht="17.25" customHeight="1" x14ac:dyDescent="0.25">
      <c r="B1966" s="91"/>
      <c r="C1966" s="35" t="str">
        <f>IF(Sheet3!A1937="","",Sheet3!A1937)</f>
        <v/>
      </c>
      <c r="D1966" s="80"/>
      <c r="E1966" s="45"/>
      <c r="F1966" s="46"/>
    </row>
    <row r="1967" spans="2:6" s="53" customFormat="1" ht="17.25" customHeight="1" x14ac:dyDescent="0.25">
      <c r="B1967" s="91"/>
      <c r="C1967" s="35" t="str">
        <f>IF(Sheet3!A1938="","",Sheet3!A1938)</f>
        <v/>
      </c>
      <c r="D1967" s="80"/>
      <c r="E1967" s="45"/>
      <c r="F1967" s="46"/>
    </row>
    <row r="1968" spans="2:6" s="53" customFormat="1" ht="17.25" customHeight="1" x14ac:dyDescent="0.25">
      <c r="B1968" s="91"/>
      <c r="C1968" s="35" t="str">
        <f>IF(Sheet3!A1939="","",Sheet3!A1939)</f>
        <v/>
      </c>
      <c r="D1968" s="80"/>
      <c r="E1968" s="45"/>
      <c r="F1968" s="46"/>
    </row>
    <row r="1969" spans="2:6" s="53" customFormat="1" ht="17.25" customHeight="1" x14ac:dyDescent="0.25">
      <c r="B1969" s="91"/>
      <c r="C1969" s="35" t="str">
        <f>IF(Sheet3!A1940="","",Sheet3!A1940)</f>
        <v/>
      </c>
      <c r="D1969" s="80"/>
      <c r="E1969" s="45"/>
      <c r="F1969" s="46"/>
    </row>
    <row r="1970" spans="2:6" s="53" customFormat="1" ht="17.25" customHeight="1" x14ac:dyDescent="0.25">
      <c r="B1970" s="91"/>
      <c r="C1970" s="35" t="str">
        <f>IF(Sheet3!A1941="","",Sheet3!A1941)</f>
        <v/>
      </c>
      <c r="D1970" s="80"/>
      <c r="E1970" s="45"/>
      <c r="F1970" s="46"/>
    </row>
    <row r="1971" spans="2:6" s="53" customFormat="1" ht="17.25" customHeight="1" x14ac:dyDescent="0.25">
      <c r="B1971" s="91"/>
      <c r="C1971" s="35" t="str">
        <f>IF(Sheet3!A1942="","",Sheet3!A1942)</f>
        <v/>
      </c>
      <c r="D1971" s="80"/>
      <c r="E1971" s="45"/>
      <c r="F1971" s="46"/>
    </row>
    <row r="1972" spans="2:6" s="53" customFormat="1" ht="17.25" customHeight="1" x14ac:dyDescent="0.25">
      <c r="B1972" s="91"/>
      <c r="C1972" s="35" t="str">
        <f>IF(Sheet3!A1943="","",Sheet3!A1943)</f>
        <v/>
      </c>
      <c r="D1972" s="80"/>
      <c r="E1972" s="45"/>
      <c r="F1972" s="46"/>
    </row>
    <row r="1973" spans="2:6" s="53" customFormat="1" ht="17.25" customHeight="1" x14ac:dyDescent="0.25">
      <c r="B1973" s="91"/>
      <c r="C1973" s="35" t="str">
        <f>IF(Sheet3!A1944="","",Sheet3!A1944)</f>
        <v/>
      </c>
      <c r="D1973" s="80"/>
      <c r="E1973" s="45"/>
      <c r="F1973" s="46"/>
    </row>
    <row r="1974" spans="2:6" s="53" customFormat="1" ht="17.25" customHeight="1" x14ac:dyDescent="0.25">
      <c r="B1974" s="91"/>
      <c r="C1974" s="35" t="str">
        <f>IF(Sheet3!A1945="","",Sheet3!A1945)</f>
        <v/>
      </c>
      <c r="D1974" s="80"/>
      <c r="E1974" s="45"/>
      <c r="F1974" s="46"/>
    </row>
    <row r="1975" spans="2:6" s="53" customFormat="1" ht="17.25" customHeight="1" x14ac:dyDescent="0.25">
      <c r="B1975" s="91"/>
      <c r="C1975" s="35" t="str">
        <f>IF(Sheet3!A1946="","",Sheet3!A1946)</f>
        <v/>
      </c>
      <c r="D1975" s="80"/>
      <c r="E1975" s="45"/>
      <c r="F1975" s="46"/>
    </row>
    <row r="1976" spans="2:6" s="53" customFormat="1" ht="17.25" customHeight="1" x14ac:dyDescent="0.25">
      <c r="B1976" s="91"/>
      <c r="C1976" s="35" t="str">
        <f>IF(Sheet3!A1947="","",Sheet3!A1947)</f>
        <v/>
      </c>
      <c r="D1976" s="80"/>
      <c r="E1976" s="45"/>
      <c r="F1976" s="46"/>
    </row>
    <row r="1977" spans="2:6" s="53" customFormat="1" ht="17.25" customHeight="1" x14ac:dyDescent="0.25">
      <c r="B1977" s="91"/>
      <c r="C1977" s="35" t="str">
        <f>IF(Sheet3!A1948="","",Sheet3!A1948)</f>
        <v/>
      </c>
      <c r="D1977" s="80"/>
      <c r="E1977" s="45"/>
      <c r="F1977" s="46"/>
    </row>
    <row r="1978" spans="2:6" s="53" customFormat="1" ht="17.25" customHeight="1" x14ac:dyDescent="0.25">
      <c r="B1978" s="91"/>
      <c r="C1978" s="35" t="str">
        <f>IF(Sheet3!A1949="","",Sheet3!A1949)</f>
        <v/>
      </c>
      <c r="D1978" s="80"/>
      <c r="E1978" s="45"/>
      <c r="F1978" s="46"/>
    </row>
    <row r="1979" spans="2:6" s="53" customFormat="1" ht="17.25" customHeight="1" x14ac:dyDescent="0.25">
      <c r="B1979" s="91"/>
      <c r="C1979" s="35" t="str">
        <f>IF(Sheet3!A1950="","",Sheet3!A1950)</f>
        <v/>
      </c>
      <c r="D1979" s="80"/>
      <c r="E1979" s="45"/>
      <c r="F1979" s="46"/>
    </row>
    <row r="1980" spans="2:6" s="53" customFormat="1" ht="17.25" customHeight="1" x14ac:dyDescent="0.25">
      <c r="B1980" s="91"/>
      <c r="C1980" s="35" t="str">
        <f>IF(Sheet3!A1951="","",Sheet3!A1951)</f>
        <v/>
      </c>
      <c r="D1980" s="80"/>
      <c r="E1980" s="45"/>
      <c r="F1980" s="46"/>
    </row>
    <row r="1981" spans="2:6" s="53" customFormat="1" ht="17.25" customHeight="1" x14ac:dyDescent="0.25">
      <c r="B1981" s="91"/>
      <c r="C1981" s="35" t="str">
        <f>IF(Sheet3!A1952="","",Sheet3!A1952)</f>
        <v/>
      </c>
      <c r="D1981" s="80"/>
      <c r="E1981" s="45"/>
      <c r="F1981" s="46"/>
    </row>
    <row r="1982" spans="2:6" s="53" customFormat="1" ht="17.25" customHeight="1" x14ac:dyDescent="0.25">
      <c r="B1982" s="91"/>
      <c r="C1982" s="35" t="str">
        <f>IF(Sheet3!A1953="","",Sheet3!A1953)</f>
        <v/>
      </c>
      <c r="D1982" s="80"/>
      <c r="E1982" s="45"/>
      <c r="F1982" s="46"/>
    </row>
    <row r="1983" spans="2:6" s="53" customFormat="1" ht="17.25" customHeight="1" x14ac:dyDescent="0.25">
      <c r="B1983" s="91"/>
      <c r="C1983" s="35" t="str">
        <f>IF(Sheet3!A1954="","",Sheet3!A1954)</f>
        <v/>
      </c>
      <c r="D1983" s="80"/>
      <c r="E1983" s="45"/>
      <c r="F1983" s="46"/>
    </row>
    <row r="1984" spans="2:6" s="53" customFormat="1" ht="17.25" customHeight="1" x14ac:dyDescent="0.25">
      <c r="B1984" s="91"/>
      <c r="C1984" s="35" t="str">
        <f>IF(Sheet3!A1955="","",Sheet3!A1955)</f>
        <v/>
      </c>
      <c r="D1984" s="80"/>
      <c r="E1984" s="45"/>
      <c r="F1984" s="46"/>
    </row>
    <row r="1985" spans="2:6" s="53" customFormat="1" ht="17.25" customHeight="1" x14ac:dyDescent="0.25">
      <c r="B1985" s="91"/>
      <c r="C1985" s="35" t="str">
        <f>IF(Sheet3!A1956="","",Sheet3!A1956)</f>
        <v/>
      </c>
      <c r="D1985" s="80"/>
      <c r="E1985" s="45"/>
      <c r="F1985" s="46"/>
    </row>
    <row r="1986" spans="2:6" s="53" customFormat="1" ht="17.25" customHeight="1" x14ac:dyDescent="0.25">
      <c r="B1986" s="91"/>
      <c r="C1986" s="35" t="str">
        <f>IF(Sheet3!A1957="","",Sheet3!A1957)</f>
        <v/>
      </c>
      <c r="D1986" s="80"/>
      <c r="E1986" s="45"/>
      <c r="F1986" s="46"/>
    </row>
    <row r="1987" spans="2:6" s="53" customFormat="1" ht="17.25" customHeight="1" x14ac:dyDescent="0.25">
      <c r="B1987" s="91"/>
      <c r="C1987" s="35" t="str">
        <f>IF(Sheet3!A1958="","",Sheet3!A1958)</f>
        <v/>
      </c>
      <c r="D1987" s="80"/>
      <c r="E1987" s="45"/>
      <c r="F1987" s="46"/>
    </row>
    <row r="1988" spans="2:6" s="53" customFormat="1" ht="17.25" customHeight="1" x14ac:dyDescent="0.25">
      <c r="B1988" s="91"/>
      <c r="C1988" s="35" t="str">
        <f>IF(Sheet3!A1959="","",Sheet3!A1959)</f>
        <v/>
      </c>
      <c r="D1988" s="80"/>
      <c r="E1988" s="45"/>
      <c r="F1988" s="46"/>
    </row>
    <row r="1989" spans="2:6" s="53" customFormat="1" ht="17.25" customHeight="1" x14ac:dyDescent="0.25">
      <c r="B1989" s="91"/>
      <c r="C1989" s="35" t="str">
        <f>IF(Sheet3!A1960="","",Sheet3!A1960)</f>
        <v/>
      </c>
      <c r="D1989" s="80"/>
      <c r="E1989" s="45"/>
      <c r="F1989" s="46"/>
    </row>
    <row r="1990" spans="2:6" s="53" customFormat="1" ht="17.25" customHeight="1" x14ac:dyDescent="0.25">
      <c r="B1990" s="91"/>
      <c r="C1990" s="35" t="str">
        <f>IF(Sheet3!A1961="","",Sheet3!A1961)</f>
        <v/>
      </c>
      <c r="D1990" s="80"/>
      <c r="E1990" s="45"/>
      <c r="F1990" s="46"/>
    </row>
    <row r="1991" spans="2:6" s="53" customFormat="1" ht="17.25" customHeight="1" x14ac:dyDescent="0.25">
      <c r="B1991" s="91"/>
      <c r="C1991" s="35" t="str">
        <f>IF(Sheet3!A1962="","",Sheet3!A1962)</f>
        <v/>
      </c>
      <c r="D1991" s="80"/>
      <c r="E1991" s="45"/>
      <c r="F1991" s="46"/>
    </row>
    <row r="1992" spans="2:6" s="53" customFormat="1" ht="17.25" customHeight="1" x14ac:dyDescent="0.25">
      <c r="B1992" s="91"/>
      <c r="C1992" s="35" t="str">
        <f>IF(Sheet3!A1963="","",Sheet3!A1963)</f>
        <v/>
      </c>
      <c r="D1992" s="80"/>
      <c r="E1992" s="45"/>
      <c r="F1992" s="46"/>
    </row>
    <row r="1993" spans="2:6" s="53" customFormat="1" ht="17.25" customHeight="1" x14ac:dyDescent="0.25">
      <c r="B1993" s="91"/>
      <c r="C1993" s="35" t="str">
        <f>IF(Sheet3!A1964="","",Sheet3!A1964)</f>
        <v/>
      </c>
      <c r="D1993" s="80"/>
      <c r="E1993" s="45"/>
      <c r="F1993" s="46"/>
    </row>
    <row r="1994" spans="2:6" s="53" customFormat="1" ht="17.25" customHeight="1" x14ac:dyDescent="0.25">
      <c r="B1994" s="91"/>
      <c r="C1994" s="35" t="str">
        <f>IF(Sheet3!A1965="","",Sheet3!A1965)</f>
        <v/>
      </c>
      <c r="D1994" s="80"/>
      <c r="E1994" s="45"/>
      <c r="F1994" s="46"/>
    </row>
    <row r="1995" spans="2:6" s="53" customFormat="1" ht="17.25" customHeight="1" x14ac:dyDescent="0.25">
      <c r="B1995" s="91"/>
      <c r="C1995" s="35" t="str">
        <f>IF(Sheet3!A1966="","",Sheet3!A1966)</f>
        <v/>
      </c>
      <c r="D1995" s="80"/>
      <c r="E1995" s="45"/>
      <c r="F1995" s="46"/>
    </row>
    <row r="1996" spans="2:6" s="53" customFormat="1" ht="17.25" customHeight="1" x14ac:dyDescent="0.25">
      <c r="B1996" s="91"/>
      <c r="C1996" s="35" t="str">
        <f>IF(Sheet3!A1967="","",Sheet3!A1967)</f>
        <v/>
      </c>
      <c r="D1996" s="80"/>
      <c r="E1996" s="45"/>
      <c r="F1996" s="46"/>
    </row>
    <row r="1997" spans="2:6" s="53" customFormat="1" ht="17.25" customHeight="1" x14ac:dyDescent="0.25">
      <c r="B1997" s="91"/>
      <c r="C1997" s="35" t="str">
        <f>IF(Sheet3!A1968="","",Sheet3!A1968)</f>
        <v/>
      </c>
      <c r="D1997" s="80"/>
      <c r="E1997" s="45"/>
      <c r="F1997" s="46"/>
    </row>
    <row r="1998" spans="2:6" s="53" customFormat="1" ht="17.25" customHeight="1" x14ac:dyDescent="0.25">
      <c r="B1998" s="91"/>
      <c r="C1998" s="35" t="str">
        <f>IF(Sheet3!A1969="","",Sheet3!A1969)</f>
        <v/>
      </c>
      <c r="D1998" s="80"/>
      <c r="E1998" s="45"/>
      <c r="F1998" s="46"/>
    </row>
    <row r="1999" spans="2:6" s="53" customFormat="1" ht="17.25" customHeight="1" x14ac:dyDescent="0.25">
      <c r="B1999" s="91"/>
      <c r="C1999" s="35" t="str">
        <f>IF(Sheet3!A1970="","",Sheet3!A1970)</f>
        <v/>
      </c>
      <c r="D1999" s="80"/>
      <c r="E1999" s="45"/>
      <c r="F1999" s="46"/>
    </row>
    <row r="2000" spans="2:6" s="53" customFormat="1" ht="17.25" customHeight="1" x14ac:dyDescent="0.25">
      <c r="B2000" s="91"/>
      <c r="C2000" s="35" t="str">
        <f>IF(Sheet3!A1971="","",Sheet3!A1971)</f>
        <v/>
      </c>
      <c r="D2000" s="80"/>
      <c r="E2000" s="45"/>
      <c r="F2000" s="46"/>
    </row>
  </sheetData>
  <dataConsolidate/>
  <conditionalFormatting sqref="E18 K20">
    <cfRule type="cellIs" dxfId="1" priority="1" operator="greaterThan">
      <formula>0</formula>
    </cfRule>
    <cfRule type="cellIs" dxfId="0" priority="2" operator="lessThan">
      <formula>0</formula>
    </cfRule>
  </conditionalFormatting>
  <pageMargins left="0.7" right="0.7" top="0.75" bottom="0.75" header="0.3" footer="0.3"/>
  <pageSetup orientation="portrait" horizontalDpi="4294967293" verticalDpi="1200"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E13B9DF3-0D71-4501-949E-B49BB9F36A98}">
          <x14:formula1>
            <xm:f>Sheet2!$Q$2:$Q$7</xm:f>
          </x14:formula1>
          <xm:sqref>D4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343CB-D32D-413D-80AE-AA80F7B6D2FC}">
  <sheetPr codeName="Sheet2"/>
  <dimension ref="A1:J900"/>
  <sheetViews>
    <sheetView workbookViewId="0">
      <pane ySplit="1" topLeftCell="A2" activePane="bottomLeft" state="frozen"/>
      <selection activeCell="E20" sqref="E20:E21"/>
      <selection pane="bottomLeft" activeCell="I4" sqref="I4"/>
    </sheetView>
  </sheetViews>
  <sheetFormatPr defaultRowHeight="15" x14ac:dyDescent="0.25"/>
  <cols>
    <col min="1" max="5" width="17.140625" customWidth="1"/>
    <col min="7" max="11" width="17.140625" customWidth="1"/>
    <col min="13" max="17" width="17.140625" customWidth="1"/>
  </cols>
  <sheetData>
    <row r="1" spans="1:10" x14ac:dyDescent="0.25">
      <c r="A1" t="s">
        <v>0</v>
      </c>
      <c r="B1" t="s">
        <v>33</v>
      </c>
      <c r="C1" t="s">
        <v>34</v>
      </c>
      <c r="D1" t="s">
        <v>35</v>
      </c>
      <c r="E1" t="s">
        <v>4</v>
      </c>
      <c r="G1" t="s">
        <v>0</v>
      </c>
      <c r="H1" t="s">
        <v>33</v>
      </c>
      <c r="I1" t="s">
        <v>34</v>
      </c>
      <c r="J1" t="s">
        <v>35</v>
      </c>
    </row>
    <row r="2" spans="1:10" x14ac:dyDescent="0.25">
      <c r="A2" s="9">
        <v>37627</v>
      </c>
      <c r="B2">
        <v>29.969999000000001</v>
      </c>
      <c r="C2">
        <v>31.65</v>
      </c>
      <c r="D2">
        <v>28.549999</v>
      </c>
      <c r="E2">
        <v>28.799999</v>
      </c>
      <c r="G2" s="9">
        <v>37627</v>
      </c>
      <c r="H2">
        <v>29.969999000000001</v>
      </c>
      <c r="I2">
        <v>31.65</v>
      </c>
      <c r="J2">
        <v>28.549999</v>
      </c>
    </row>
    <row r="3" spans="1:10" x14ac:dyDescent="0.25">
      <c r="A3" s="9">
        <v>37634</v>
      </c>
      <c r="B3">
        <v>29.25</v>
      </c>
      <c r="C3">
        <v>29.99</v>
      </c>
      <c r="D3">
        <v>27.059999000000001</v>
      </c>
      <c r="E3">
        <v>27.280000999999999</v>
      </c>
      <c r="G3" s="9">
        <v>37634</v>
      </c>
      <c r="H3">
        <v>29.25</v>
      </c>
      <c r="I3">
        <v>29.99</v>
      </c>
      <c r="J3">
        <v>27.059999000000001</v>
      </c>
    </row>
    <row r="4" spans="1:10" x14ac:dyDescent="0.25">
      <c r="A4" s="9">
        <v>37641</v>
      </c>
      <c r="B4">
        <v>27.549999</v>
      </c>
      <c r="C4">
        <v>27.65</v>
      </c>
      <c r="D4">
        <v>24.25</v>
      </c>
      <c r="E4">
        <v>24.540001</v>
      </c>
      <c r="G4" s="9">
        <v>37641</v>
      </c>
      <c r="H4">
        <v>27.549999</v>
      </c>
      <c r="I4">
        <v>27.65</v>
      </c>
      <c r="J4">
        <v>24.25</v>
      </c>
    </row>
    <row r="5" spans="1:10" x14ac:dyDescent="0.25">
      <c r="A5" s="9">
        <v>37648</v>
      </c>
      <c r="B5">
        <v>24.5</v>
      </c>
      <c r="C5">
        <v>25.379999000000002</v>
      </c>
      <c r="D5">
        <v>23.4</v>
      </c>
      <c r="E5">
        <v>24.440000999999999</v>
      </c>
      <c r="G5" s="9">
        <v>37648</v>
      </c>
      <c r="H5">
        <v>24.5</v>
      </c>
      <c r="I5">
        <v>25.379999000000002</v>
      </c>
      <c r="J5">
        <v>23.4</v>
      </c>
    </row>
    <row r="6" spans="1:10" x14ac:dyDescent="0.25">
      <c r="A6" s="9">
        <v>37655</v>
      </c>
      <c r="B6">
        <v>25.049999</v>
      </c>
      <c r="C6">
        <v>26.299999</v>
      </c>
      <c r="D6">
        <v>24.65</v>
      </c>
      <c r="E6">
        <v>25.18</v>
      </c>
      <c r="G6" s="9">
        <v>37655</v>
      </c>
      <c r="H6">
        <v>25.049999</v>
      </c>
      <c r="I6">
        <v>26.299999</v>
      </c>
      <c r="J6">
        <v>24.65</v>
      </c>
    </row>
    <row r="7" spans="1:10" x14ac:dyDescent="0.25">
      <c r="A7" s="9">
        <v>37662</v>
      </c>
      <c r="B7">
        <v>24.549999</v>
      </c>
      <c r="C7">
        <v>25</v>
      </c>
      <c r="D7">
        <v>22.15</v>
      </c>
      <c r="E7">
        <v>23.35</v>
      </c>
      <c r="G7" s="9">
        <v>37662</v>
      </c>
      <c r="H7">
        <v>24.549999</v>
      </c>
      <c r="I7">
        <v>25</v>
      </c>
      <c r="J7">
        <v>22.15</v>
      </c>
    </row>
    <row r="8" spans="1:10" x14ac:dyDescent="0.25">
      <c r="A8" s="9">
        <v>37669</v>
      </c>
      <c r="B8">
        <v>23.5</v>
      </c>
      <c r="C8">
        <v>23.85</v>
      </c>
      <c r="D8">
        <v>20.200001</v>
      </c>
      <c r="E8">
        <v>20.73</v>
      </c>
      <c r="G8" s="9">
        <v>37669</v>
      </c>
      <c r="H8">
        <v>23.5</v>
      </c>
      <c r="I8">
        <v>23.85</v>
      </c>
      <c r="J8">
        <v>20.200001</v>
      </c>
    </row>
    <row r="9" spans="1:10" x14ac:dyDescent="0.25">
      <c r="A9" s="9">
        <v>37676</v>
      </c>
      <c r="B9">
        <v>20.65</v>
      </c>
      <c r="C9">
        <v>21.450001</v>
      </c>
      <c r="D9">
        <v>20.120000999999998</v>
      </c>
      <c r="E9">
        <v>20.799999</v>
      </c>
      <c r="G9" s="9">
        <v>37676</v>
      </c>
      <c r="H9">
        <v>20.65</v>
      </c>
      <c r="I9">
        <v>21.450001</v>
      </c>
      <c r="J9">
        <v>20.120000999999998</v>
      </c>
    </row>
    <row r="10" spans="1:10" x14ac:dyDescent="0.25">
      <c r="A10" s="9">
        <v>37683</v>
      </c>
      <c r="B10">
        <v>21.200001</v>
      </c>
      <c r="C10">
        <v>21.34</v>
      </c>
      <c r="D10">
        <v>20.120000999999998</v>
      </c>
      <c r="E10">
        <v>20.49</v>
      </c>
      <c r="G10" s="9">
        <v>37683</v>
      </c>
      <c r="H10">
        <v>21.200001</v>
      </c>
      <c r="I10">
        <v>21.34</v>
      </c>
      <c r="J10">
        <v>20.120000999999998</v>
      </c>
    </row>
    <row r="11" spans="1:10" x14ac:dyDescent="0.25">
      <c r="A11" s="9">
        <v>37690</v>
      </c>
      <c r="B11">
        <v>20.149999999999999</v>
      </c>
      <c r="C11">
        <v>21.23</v>
      </c>
      <c r="D11">
        <v>18.850000000000001</v>
      </c>
      <c r="E11">
        <v>20.85</v>
      </c>
      <c r="G11" s="9">
        <v>37690</v>
      </c>
      <c r="H11">
        <v>20.149999999999999</v>
      </c>
      <c r="I11">
        <v>21.23</v>
      </c>
      <c r="J11">
        <v>18.850000000000001</v>
      </c>
    </row>
    <row r="12" spans="1:10" x14ac:dyDescent="0.25">
      <c r="A12" s="9">
        <v>37697</v>
      </c>
      <c r="B12">
        <v>20.85</v>
      </c>
      <c r="C12">
        <v>23.08</v>
      </c>
      <c r="D12">
        <v>20.58</v>
      </c>
      <c r="E12">
        <v>21.639999</v>
      </c>
      <c r="G12" s="9">
        <v>37697</v>
      </c>
      <c r="H12">
        <v>20.85</v>
      </c>
      <c r="I12">
        <v>23.08</v>
      </c>
      <c r="J12">
        <v>20.58</v>
      </c>
    </row>
    <row r="13" spans="1:10" x14ac:dyDescent="0.25">
      <c r="A13" s="9">
        <v>37704</v>
      </c>
      <c r="B13">
        <v>21.6</v>
      </c>
      <c r="C13">
        <v>21.6</v>
      </c>
      <c r="D13">
        <v>20.200001</v>
      </c>
      <c r="E13">
        <v>20.239999999999998</v>
      </c>
      <c r="G13" s="9">
        <v>37704</v>
      </c>
      <c r="H13">
        <v>21.6</v>
      </c>
      <c r="I13">
        <v>21.6</v>
      </c>
      <c r="J13">
        <v>20.200001</v>
      </c>
    </row>
    <row r="14" spans="1:10" x14ac:dyDescent="0.25">
      <c r="A14" s="9">
        <v>37711</v>
      </c>
      <c r="B14">
        <v>19.850000000000001</v>
      </c>
      <c r="C14">
        <v>22.5</v>
      </c>
      <c r="D14">
        <v>19.649999999999999</v>
      </c>
      <c r="E14">
        <v>21.9</v>
      </c>
      <c r="G14" s="9">
        <v>37711</v>
      </c>
      <c r="H14">
        <v>19.850000000000001</v>
      </c>
      <c r="I14">
        <v>22.5</v>
      </c>
      <c r="J14">
        <v>19.649999999999999</v>
      </c>
    </row>
    <row r="15" spans="1:10" x14ac:dyDescent="0.25">
      <c r="A15" s="9">
        <v>37718</v>
      </c>
      <c r="B15">
        <v>22.700001</v>
      </c>
      <c r="C15">
        <v>22.799999</v>
      </c>
      <c r="D15">
        <v>20.57</v>
      </c>
      <c r="E15">
        <v>20.709999</v>
      </c>
      <c r="G15" s="9">
        <v>37718</v>
      </c>
      <c r="H15">
        <v>22.700001</v>
      </c>
      <c r="I15">
        <v>22.799999</v>
      </c>
      <c r="J15">
        <v>20.57</v>
      </c>
    </row>
    <row r="16" spans="1:10" x14ac:dyDescent="0.25">
      <c r="A16" s="9">
        <v>37725</v>
      </c>
      <c r="B16">
        <v>20.549999</v>
      </c>
      <c r="C16">
        <v>21.299999</v>
      </c>
      <c r="D16">
        <v>20</v>
      </c>
      <c r="E16">
        <v>20.6</v>
      </c>
      <c r="G16" s="9">
        <v>37725</v>
      </c>
      <c r="H16">
        <v>20.549999</v>
      </c>
      <c r="I16">
        <v>21.299999</v>
      </c>
      <c r="J16">
        <v>20</v>
      </c>
    </row>
    <row r="17" spans="1:10" x14ac:dyDescent="0.25">
      <c r="A17" s="9">
        <v>37732</v>
      </c>
      <c r="B17">
        <v>20.700001</v>
      </c>
      <c r="C17">
        <v>22.9</v>
      </c>
      <c r="D17">
        <v>19.649999999999999</v>
      </c>
      <c r="E17">
        <v>22.120000999999998</v>
      </c>
      <c r="G17" s="9">
        <v>37732</v>
      </c>
      <c r="H17">
        <v>20.700001</v>
      </c>
      <c r="I17">
        <v>22.9</v>
      </c>
      <c r="J17">
        <v>19.649999999999999</v>
      </c>
    </row>
    <row r="18" spans="1:10" x14ac:dyDescent="0.25">
      <c r="A18" s="9">
        <v>37739</v>
      </c>
      <c r="B18">
        <v>22.35</v>
      </c>
      <c r="C18">
        <v>24.24</v>
      </c>
      <c r="D18">
        <v>22.200001</v>
      </c>
      <c r="E18">
        <v>24.01</v>
      </c>
      <c r="G18" s="9">
        <v>37739</v>
      </c>
      <c r="H18">
        <v>22.35</v>
      </c>
      <c r="I18">
        <v>24.24</v>
      </c>
      <c r="J18">
        <v>22.200001</v>
      </c>
    </row>
    <row r="19" spans="1:10" x14ac:dyDescent="0.25">
      <c r="A19" s="9">
        <v>37746</v>
      </c>
      <c r="B19">
        <v>24.01</v>
      </c>
      <c r="C19">
        <v>24.190000999999999</v>
      </c>
      <c r="D19">
        <v>22.83</v>
      </c>
      <c r="E19">
        <v>23.67</v>
      </c>
      <c r="G19" s="9">
        <v>37746</v>
      </c>
      <c r="H19">
        <v>24.01</v>
      </c>
      <c r="I19">
        <v>24.190000999999999</v>
      </c>
      <c r="J19">
        <v>22.83</v>
      </c>
    </row>
    <row r="20" spans="1:10" x14ac:dyDescent="0.25">
      <c r="A20" s="9">
        <v>37753</v>
      </c>
      <c r="B20">
        <v>24.15</v>
      </c>
      <c r="C20">
        <v>25.08</v>
      </c>
      <c r="D20">
        <v>24.07</v>
      </c>
      <c r="E20">
        <v>24.950001</v>
      </c>
      <c r="G20" s="9">
        <v>37753</v>
      </c>
      <c r="H20">
        <v>24.15</v>
      </c>
      <c r="I20">
        <v>25.08</v>
      </c>
      <c r="J20">
        <v>24.07</v>
      </c>
    </row>
    <row r="21" spans="1:10" x14ac:dyDescent="0.25">
      <c r="A21" s="9">
        <v>37760</v>
      </c>
      <c r="B21">
        <v>24.549999</v>
      </c>
      <c r="C21">
        <v>25.200001</v>
      </c>
      <c r="D21">
        <v>23.610001</v>
      </c>
      <c r="E21">
        <v>25.15</v>
      </c>
      <c r="G21" s="9">
        <v>37760</v>
      </c>
      <c r="H21">
        <v>24.549999</v>
      </c>
      <c r="I21">
        <v>25.200001</v>
      </c>
      <c r="J21">
        <v>23.610001</v>
      </c>
    </row>
    <row r="22" spans="1:10" x14ac:dyDescent="0.25">
      <c r="A22" s="9">
        <v>37767</v>
      </c>
      <c r="B22">
        <v>25.25</v>
      </c>
      <c r="C22">
        <v>25.93</v>
      </c>
      <c r="D22">
        <v>24.9</v>
      </c>
      <c r="E22">
        <v>25.459999</v>
      </c>
      <c r="G22" s="9">
        <v>37767</v>
      </c>
      <c r="H22">
        <v>25.25</v>
      </c>
      <c r="I22">
        <v>25.93</v>
      </c>
      <c r="J22">
        <v>24.9</v>
      </c>
    </row>
    <row r="23" spans="1:10" x14ac:dyDescent="0.25">
      <c r="A23" s="9">
        <v>37774</v>
      </c>
      <c r="B23">
        <v>25.799999</v>
      </c>
      <c r="C23">
        <v>27.16</v>
      </c>
      <c r="D23">
        <v>25.5</v>
      </c>
      <c r="E23">
        <v>26.42</v>
      </c>
      <c r="G23" s="9">
        <v>37774</v>
      </c>
      <c r="H23">
        <v>25.799999</v>
      </c>
      <c r="I23">
        <v>27.16</v>
      </c>
      <c r="J23">
        <v>25.5</v>
      </c>
    </row>
    <row r="24" spans="1:10" x14ac:dyDescent="0.25">
      <c r="A24" s="9">
        <v>37781</v>
      </c>
      <c r="B24">
        <v>26.799999</v>
      </c>
      <c r="C24">
        <v>27.35</v>
      </c>
      <c r="D24">
        <v>25.190000999999999</v>
      </c>
      <c r="E24">
        <v>25.32</v>
      </c>
      <c r="G24" s="9">
        <v>37781</v>
      </c>
      <c r="H24">
        <v>26.799999</v>
      </c>
      <c r="I24">
        <v>27.35</v>
      </c>
      <c r="J24">
        <v>25.190000999999999</v>
      </c>
    </row>
    <row r="25" spans="1:10" x14ac:dyDescent="0.25">
      <c r="A25" s="9">
        <v>37788</v>
      </c>
      <c r="B25">
        <v>25.52</v>
      </c>
      <c r="C25">
        <v>26.18</v>
      </c>
      <c r="D25">
        <v>25.299999</v>
      </c>
      <c r="E25">
        <v>26.1</v>
      </c>
      <c r="G25" s="9">
        <v>37788</v>
      </c>
      <c r="H25">
        <v>25.52</v>
      </c>
      <c r="I25">
        <v>26.18</v>
      </c>
      <c r="J25">
        <v>25.299999</v>
      </c>
    </row>
    <row r="26" spans="1:10" x14ac:dyDescent="0.25">
      <c r="A26" s="9">
        <v>37795</v>
      </c>
      <c r="B26">
        <v>26.08</v>
      </c>
      <c r="C26">
        <v>26.700001</v>
      </c>
      <c r="D26">
        <v>25.360001</v>
      </c>
      <c r="E26">
        <v>25.440000999999999</v>
      </c>
      <c r="G26" s="9">
        <v>37795</v>
      </c>
      <c r="H26">
        <v>26.08</v>
      </c>
      <c r="I26">
        <v>26.700001</v>
      </c>
      <c r="J26">
        <v>25.360001</v>
      </c>
    </row>
    <row r="27" spans="1:10" x14ac:dyDescent="0.25">
      <c r="A27" s="9">
        <v>37802</v>
      </c>
      <c r="B27">
        <v>25.540001</v>
      </c>
      <c r="C27">
        <v>26.809999000000001</v>
      </c>
      <c r="D27">
        <v>25.459999</v>
      </c>
      <c r="E27">
        <v>26.23</v>
      </c>
      <c r="G27" s="9">
        <v>37802</v>
      </c>
      <c r="H27">
        <v>25.540001</v>
      </c>
      <c r="I27">
        <v>26.809999000000001</v>
      </c>
      <c r="J27">
        <v>25.459999</v>
      </c>
    </row>
    <row r="28" spans="1:10" x14ac:dyDescent="0.25">
      <c r="A28" s="9">
        <v>37809</v>
      </c>
      <c r="B28">
        <v>26.24</v>
      </c>
      <c r="C28">
        <v>26.879999000000002</v>
      </c>
      <c r="D28">
        <v>24.82</v>
      </c>
      <c r="E28">
        <v>25.41</v>
      </c>
      <c r="G28" s="9">
        <v>37809</v>
      </c>
      <c r="H28">
        <v>26.24</v>
      </c>
      <c r="I28">
        <v>26.879999000000002</v>
      </c>
      <c r="J28">
        <v>24.82</v>
      </c>
    </row>
    <row r="29" spans="1:10" x14ac:dyDescent="0.25">
      <c r="A29" s="9">
        <v>37816</v>
      </c>
      <c r="B29">
        <v>25.549999</v>
      </c>
      <c r="C29">
        <v>25.77</v>
      </c>
      <c r="D29">
        <v>23.049999</v>
      </c>
      <c r="E29">
        <v>24.18</v>
      </c>
      <c r="G29" s="9">
        <v>37816</v>
      </c>
      <c r="H29">
        <v>25.549999</v>
      </c>
      <c r="I29">
        <v>25.77</v>
      </c>
      <c r="J29">
        <v>23.049999</v>
      </c>
    </row>
    <row r="30" spans="1:10" x14ac:dyDescent="0.25">
      <c r="A30" s="9">
        <v>37823</v>
      </c>
      <c r="B30">
        <v>24.129999000000002</v>
      </c>
      <c r="C30">
        <v>24.360001</v>
      </c>
      <c r="D30">
        <v>22.469999000000001</v>
      </c>
      <c r="E30">
        <v>23.540001</v>
      </c>
      <c r="G30" s="9">
        <v>37823</v>
      </c>
      <c r="H30">
        <v>24.129999000000002</v>
      </c>
      <c r="I30">
        <v>24.360001</v>
      </c>
      <c r="J30">
        <v>22.469999000000001</v>
      </c>
    </row>
    <row r="31" spans="1:10" x14ac:dyDescent="0.25">
      <c r="A31" s="9">
        <v>37830</v>
      </c>
      <c r="B31">
        <v>23.950001</v>
      </c>
      <c r="C31">
        <v>24.200001</v>
      </c>
      <c r="D31">
        <v>23.049999</v>
      </c>
      <c r="E31">
        <v>23.4</v>
      </c>
      <c r="G31" s="9">
        <v>37830</v>
      </c>
      <c r="H31">
        <v>23.950001</v>
      </c>
      <c r="I31">
        <v>24.200001</v>
      </c>
      <c r="J31">
        <v>23.049999</v>
      </c>
    </row>
    <row r="32" spans="1:10" x14ac:dyDescent="0.25">
      <c r="A32" s="9">
        <v>37837</v>
      </c>
      <c r="B32">
        <v>23.6</v>
      </c>
      <c r="C32">
        <v>24</v>
      </c>
      <c r="D32">
        <v>23.110001</v>
      </c>
      <c r="E32">
        <v>23.4</v>
      </c>
      <c r="G32" s="9">
        <v>37837</v>
      </c>
      <c r="H32">
        <v>23.6</v>
      </c>
      <c r="I32">
        <v>24</v>
      </c>
      <c r="J32">
        <v>23.110001</v>
      </c>
    </row>
    <row r="33" spans="1:10" x14ac:dyDescent="0.25">
      <c r="A33" s="9">
        <v>37844</v>
      </c>
      <c r="B33">
        <v>23.49</v>
      </c>
      <c r="C33">
        <v>23.709999</v>
      </c>
      <c r="D33">
        <v>22.91</v>
      </c>
      <c r="E33">
        <v>23.23</v>
      </c>
      <c r="G33" s="9">
        <v>37844</v>
      </c>
      <c r="H33">
        <v>23.49</v>
      </c>
      <c r="I33">
        <v>23.709999</v>
      </c>
      <c r="J33">
        <v>22.91</v>
      </c>
    </row>
    <row r="34" spans="1:10" x14ac:dyDescent="0.25">
      <c r="A34" s="9">
        <v>37851</v>
      </c>
      <c r="B34">
        <v>23.26</v>
      </c>
      <c r="C34">
        <v>24.309999000000001</v>
      </c>
      <c r="D34">
        <v>23.07</v>
      </c>
      <c r="E34">
        <v>23.15</v>
      </c>
      <c r="G34" s="9">
        <v>37851</v>
      </c>
      <c r="H34">
        <v>23.26</v>
      </c>
      <c r="I34">
        <v>24.309999000000001</v>
      </c>
      <c r="J34">
        <v>23.07</v>
      </c>
    </row>
    <row r="35" spans="1:10" x14ac:dyDescent="0.25">
      <c r="A35" s="9">
        <v>37858</v>
      </c>
      <c r="B35">
        <v>23.07</v>
      </c>
      <c r="C35">
        <v>23.9</v>
      </c>
      <c r="D35">
        <v>22.290001</v>
      </c>
      <c r="E35">
        <v>22.459999</v>
      </c>
      <c r="G35" s="9">
        <v>37858</v>
      </c>
      <c r="H35">
        <v>23.07</v>
      </c>
      <c r="I35">
        <v>23.9</v>
      </c>
      <c r="J35">
        <v>22.290001</v>
      </c>
    </row>
    <row r="36" spans="1:10" x14ac:dyDescent="0.25">
      <c r="A36" s="9">
        <v>37865</v>
      </c>
      <c r="B36">
        <v>22.440000999999999</v>
      </c>
      <c r="C36">
        <v>23.34</v>
      </c>
      <c r="D36">
        <v>22.34</v>
      </c>
      <c r="E36">
        <v>23</v>
      </c>
      <c r="G36" s="9">
        <v>37865</v>
      </c>
      <c r="H36">
        <v>22.440000999999999</v>
      </c>
      <c r="I36">
        <v>23.34</v>
      </c>
      <c r="J36">
        <v>22.34</v>
      </c>
    </row>
    <row r="37" spans="1:10" x14ac:dyDescent="0.25">
      <c r="A37" s="9">
        <v>37872</v>
      </c>
      <c r="B37">
        <v>23.049999</v>
      </c>
      <c r="C37">
        <v>23.620000999999998</v>
      </c>
      <c r="D37">
        <v>22.860001</v>
      </c>
      <c r="E37">
        <v>23.43</v>
      </c>
      <c r="G37" s="9">
        <v>37872</v>
      </c>
      <c r="H37">
        <v>23.049999</v>
      </c>
      <c r="I37">
        <v>23.620000999999998</v>
      </c>
      <c r="J37">
        <v>22.860001</v>
      </c>
    </row>
    <row r="38" spans="1:10" x14ac:dyDescent="0.25">
      <c r="A38" s="9">
        <v>37879</v>
      </c>
      <c r="B38">
        <v>23.4</v>
      </c>
      <c r="C38">
        <v>24.059999000000001</v>
      </c>
      <c r="D38">
        <v>22.98</v>
      </c>
      <c r="E38">
        <v>23.860001</v>
      </c>
      <c r="G38" s="9">
        <v>37879</v>
      </c>
      <c r="H38">
        <v>23.4</v>
      </c>
      <c r="I38">
        <v>24.059999000000001</v>
      </c>
      <c r="J38">
        <v>22.98</v>
      </c>
    </row>
    <row r="39" spans="1:10" x14ac:dyDescent="0.25">
      <c r="A39" s="9">
        <v>37886</v>
      </c>
      <c r="B39">
        <v>23.82</v>
      </c>
      <c r="C39">
        <v>23.93</v>
      </c>
      <c r="D39">
        <v>21.700001</v>
      </c>
      <c r="E39">
        <v>21.82</v>
      </c>
      <c r="G39" s="9">
        <v>37886</v>
      </c>
      <c r="H39">
        <v>23.82</v>
      </c>
      <c r="I39">
        <v>23.93</v>
      </c>
      <c r="J39">
        <v>21.700001</v>
      </c>
    </row>
    <row r="40" spans="1:10" x14ac:dyDescent="0.25">
      <c r="A40" s="9">
        <v>37893</v>
      </c>
      <c r="B40">
        <v>21.92</v>
      </c>
      <c r="C40">
        <v>22.969999000000001</v>
      </c>
      <c r="D40">
        <v>21.65</v>
      </c>
      <c r="E40">
        <v>22.610001</v>
      </c>
      <c r="G40" s="9">
        <v>37893</v>
      </c>
      <c r="H40">
        <v>21.92</v>
      </c>
      <c r="I40">
        <v>22.969999000000001</v>
      </c>
      <c r="J40">
        <v>21.65</v>
      </c>
    </row>
    <row r="41" spans="1:10" x14ac:dyDescent="0.25">
      <c r="A41" s="9">
        <v>37900</v>
      </c>
      <c r="B41">
        <v>22.549999</v>
      </c>
      <c r="C41">
        <v>22.950001</v>
      </c>
      <c r="D41">
        <v>21.68</v>
      </c>
      <c r="E41">
        <v>21.950001</v>
      </c>
      <c r="G41" s="9">
        <v>37900</v>
      </c>
      <c r="H41">
        <v>22.549999</v>
      </c>
      <c r="I41">
        <v>22.950001</v>
      </c>
      <c r="J41">
        <v>21.68</v>
      </c>
    </row>
    <row r="42" spans="1:10" x14ac:dyDescent="0.25">
      <c r="A42" s="9">
        <v>37907</v>
      </c>
      <c r="B42">
        <v>21.99</v>
      </c>
      <c r="C42">
        <v>22.200001</v>
      </c>
      <c r="D42">
        <v>21.16</v>
      </c>
      <c r="E42">
        <v>22</v>
      </c>
      <c r="G42" s="9">
        <v>37907</v>
      </c>
      <c r="H42">
        <v>21.99</v>
      </c>
      <c r="I42">
        <v>22.200001</v>
      </c>
      <c r="J42">
        <v>21.16</v>
      </c>
    </row>
    <row r="43" spans="1:10" x14ac:dyDescent="0.25">
      <c r="A43" s="9">
        <v>37914</v>
      </c>
      <c r="B43">
        <v>22.049999</v>
      </c>
      <c r="C43">
        <v>22.969999000000001</v>
      </c>
      <c r="D43">
        <v>21.450001</v>
      </c>
      <c r="E43">
        <v>22.940000999999999</v>
      </c>
      <c r="G43" s="9">
        <v>37914</v>
      </c>
      <c r="H43">
        <v>22.049999</v>
      </c>
      <c r="I43">
        <v>22.969999000000001</v>
      </c>
      <c r="J43">
        <v>21.450001</v>
      </c>
    </row>
    <row r="44" spans="1:10" x14ac:dyDescent="0.25">
      <c r="A44" s="9">
        <v>37921</v>
      </c>
      <c r="B44">
        <v>22.940000999999999</v>
      </c>
      <c r="C44">
        <v>24</v>
      </c>
      <c r="D44">
        <v>22.940000999999999</v>
      </c>
      <c r="E44">
        <v>23.98</v>
      </c>
      <c r="G44" s="9">
        <v>37921</v>
      </c>
      <c r="H44">
        <v>22.940000999999999</v>
      </c>
      <c r="I44">
        <v>24</v>
      </c>
      <c r="J44">
        <v>22.940000999999999</v>
      </c>
    </row>
    <row r="45" spans="1:10" x14ac:dyDescent="0.25">
      <c r="A45" s="9">
        <v>37928</v>
      </c>
      <c r="B45">
        <v>23.98</v>
      </c>
      <c r="C45">
        <v>24.25</v>
      </c>
      <c r="D45">
        <v>22.9</v>
      </c>
      <c r="E45">
        <v>22.959999</v>
      </c>
      <c r="G45" s="9">
        <v>37928</v>
      </c>
      <c r="H45">
        <v>23.98</v>
      </c>
      <c r="I45">
        <v>24.25</v>
      </c>
      <c r="J45">
        <v>22.9</v>
      </c>
    </row>
    <row r="46" spans="1:10" x14ac:dyDescent="0.25">
      <c r="A46" s="9">
        <v>37935</v>
      </c>
      <c r="B46">
        <v>22.959999</v>
      </c>
      <c r="C46">
        <v>23.76</v>
      </c>
      <c r="D46">
        <v>22.860001</v>
      </c>
      <c r="E46">
        <v>23.610001</v>
      </c>
      <c r="G46" s="9">
        <v>37935</v>
      </c>
      <c r="H46">
        <v>22.959999</v>
      </c>
      <c r="I46">
        <v>23.76</v>
      </c>
      <c r="J46">
        <v>22.860001</v>
      </c>
    </row>
    <row r="47" spans="1:10" x14ac:dyDescent="0.25">
      <c r="A47" s="9">
        <v>37942</v>
      </c>
      <c r="B47">
        <v>23.610001</v>
      </c>
      <c r="C47">
        <v>23.860001</v>
      </c>
      <c r="D47">
        <v>22.83</v>
      </c>
      <c r="E47">
        <v>23.030000999999999</v>
      </c>
      <c r="G47" s="9">
        <v>37942</v>
      </c>
      <c r="H47">
        <v>23.610001</v>
      </c>
      <c r="I47">
        <v>23.860001</v>
      </c>
      <c r="J47">
        <v>22.83</v>
      </c>
    </row>
    <row r="48" spans="1:10" x14ac:dyDescent="0.25">
      <c r="A48" s="9">
        <v>37949</v>
      </c>
      <c r="B48">
        <v>23.07</v>
      </c>
      <c r="C48">
        <v>23.5</v>
      </c>
      <c r="D48">
        <v>22.950001</v>
      </c>
      <c r="E48">
        <v>23.280000999999999</v>
      </c>
      <c r="G48" s="9">
        <v>37949</v>
      </c>
      <c r="H48">
        <v>23.07</v>
      </c>
      <c r="I48">
        <v>23.5</v>
      </c>
      <c r="J48">
        <v>22.950001</v>
      </c>
    </row>
    <row r="49" spans="1:10" x14ac:dyDescent="0.25">
      <c r="A49" s="9">
        <v>37956</v>
      </c>
      <c r="B49">
        <v>23.299999</v>
      </c>
      <c r="C49">
        <v>24.549999</v>
      </c>
      <c r="D49">
        <v>22.950001</v>
      </c>
      <c r="E49">
        <v>24.389999</v>
      </c>
      <c r="G49" s="9">
        <v>37956</v>
      </c>
      <c r="H49">
        <v>23.299999</v>
      </c>
      <c r="I49">
        <v>24.549999</v>
      </c>
      <c r="J49">
        <v>22.950001</v>
      </c>
    </row>
    <row r="50" spans="1:10" x14ac:dyDescent="0.25">
      <c r="A50" s="9">
        <v>37963</v>
      </c>
      <c r="B50">
        <v>24.309999000000001</v>
      </c>
      <c r="C50">
        <v>25.01</v>
      </c>
      <c r="D50">
        <v>23.780000999999999</v>
      </c>
      <c r="E50">
        <v>24.559999000000001</v>
      </c>
      <c r="G50" s="9">
        <v>37963</v>
      </c>
      <c r="H50">
        <v>24.309999000000001</v>
      </c>
      <c r="I50">
        <v>25.01</v>
      </c>
      <c r="J50">
        <v>23.780000999999999</v>
      </c>
    </row>
    <row r="51" spans="1:10" x14ac:dyDescent="0.25">
      <c r="A51" s="9">
        <v>37970</v>
      </c>
      <c r="B51">
        <v>24.700001</v>
      </c>
      <c r="C51">
        <v>25.59</v>
      </c>
      <c r="D51">
        <v>24.51</v>
      </c>
      <c r="E51">
        <v>25.24</v>
      </c>
      <c r="G51" s="9">
        <v>37970</v>
      </c>
      <c r="H51">
        <v>24.700001</v>
      </c>
      <c r="I51">
        <v>25.59</v>
      </c>
      <c r="J51">
        <v>24.51</v>
      </c>
    </row>
    <row r="52" spans="1:10" x14ac:dyDescent="0.25">
      <c r="A52" s="9">
        <v>37977</v>
      </c>
      <c r="B52">
        <v>25.200001</v>
      </c>
      <c r="C52">
        <v>25.629999000000002</v>
      </c>
      <c r="D52">
        <v>25.030000999999999</v>
      </c>
      <c r="E52">
        <v>25.209999</v>
      </c>
      <c r="G52" s="9">
        <v>37977</v>
      </c>
      <c r="H52">
        <v>25.200001</v>
      </c>
      <c r="I52">
        <v>25.629999000000002</v>
      </c>
      <c r="J52">
        <v>25.030000999999999</v>
      </c>
    </row>
    <row r="53" spans="1:10" x14ac:dyDescent="0.25">
      <c r="A53" s="9">
        <v>37984</v>
      </c>
      <c r="B53">
        <v>25.219999000000001</v>
      </c>
      <c r="C53">
        <v>26.440000999999999</v>
      </c>
      <c r="D53">
        <v>25.200001</v>
      </c>
      <c r="E53">
        <v>26.139999</v>
      </c>
      <c r="G53" s="9">
        <v>37984</v>
      </c>
      <c r="H53">
        <v>25.219999000000001</v>
      </c>
      <c r="I53">
        <v>26.440000999999999</v>
      </c>
      <c r="J53">
        <v>25.200001</v>
      </c>
    </row>
    <row r="54" spans="1:10" x14ac:dyDescent="0.25">
      <c r="A54" s="9">
        <v>37991</v>
      </c>
      <c r="B54">
        <v>26.450001</v>
      </c>
      <c r="C54">
        <v>27.73</v>
      </c>
      <c r="D54">
        <v>26.1</v>
      </c>
      <c r="E54">
        <v>26.200001</v>
      </c>
      <c r="G54" s="9">
        <v>37991</v>
      </c>
      <c r="H54">
        <v>26.450001</v>
      </c>
      <c r="I54">
        <v>27.73</v>
      </c>
      <c r="J54">
        <v>26.1</v>
      </c>
    </row>
    <row r="55" spans="1:10" x14ac:dyDescent="0.25">
      <c r="A55" s="9">
        <v>37998</v>
      </c>
      <c r="B55">
        <v>25.9</v>
      </c>
      <c r="C55">
        <v>27.01</v>
      </c>
      <c r="D55">
        <v>25.889999</v>
      </c>
      <c r="E55">
        <v>26.469999000000001</v>
      </c>
      <c r="G55" s="9">
        <v>37998</v>
      </c>
      <c r="H55">
        <v>25.9</v>
      </c>
      <c r="I55">
        <v>27.01</v>
      </c>
      <c r="J55">
        <v>25.889999</v>
      </c>
    </row>
    <row r="56" spans="1:10" x14ac:dyDescent="0.25">
      <c r="A56" s="9">
        <v>38005</v>
      </c>
      <c r="B56">
        <v>26.370000999999998</v>
      </c>
      <c r="C56">
        <v>27.09</v>
      </c>
      <c r="D56">
        <v>25.950001</v>
      </c>
      <c r="E56">
        <v>26.42</v>
      </c>
      <c r="G56" s="9">
        <v>38005</v>
      </c>
      <c r="H56">
        <v>26.370000999999998</v>
      </c>
      <c r="I56">
        <v>27.09</v>
      </c>
      <c r="J56">
        <v>25.950001</v>
      </c>
    </row>
    <row r="57" spans="1:10" x14ac:dyDescent="0.25">
      <c r="A57" s="9">
        <v>38012</v>
      </c>
      <c r="B57">
        <v>26.42</v>
      </c>
      <c r="C57">
        <v>26.84</v>
      </c>
      <c r="D57">
        <v>25.09</v>
      </c>
      <c r="E57">
        <v>25.5</v>
      </c>
      <c r="G57" s="9">
        <v>38012</v>
      </c>
      <c r="H57">
        <v>26.42</v>
      </c>
      <c r="I57">
        <v>26.84</v>
      </c>
      <c r="J57">
        <v>25.09</v>
      </c>
    </row>
    <row r="58" spans="1:10" x14ac:dyDescent="0.25">
      <c r="A58" s="9">
        <v>38019</v>
      </c>
      <c r="B58">
        <v>25.6</v>
      </c>
      <c r="C58">
        <v>26.76</v>
      </c>
      <c r="D58">
        <v>24.74</v>
      </c>
      <c r="E58">
        <v>26.02</v>
      </c>
      <c r="G58" s="9">
        <v>38019</v>
      </c>
      <c r="H58">
        <v>25.6</v>
      </c>
      <c r="I58">
        <v>26.76</v>
      </c>
      <c r="J58">
        <v>24.74</v>
      </c>
    </row>
    <row r="59" spans="1:10" x14ac:dyDescent="0.25">
      <c r="A59" s="9">
        <v>38026</v>
      </c>
      <c r="B59">
        <v>25.85</v>
      </c>
      <c r="C59">
        <v>26.1</v>
      </c>
      <c r="D59">
        <v>24.799999</v>
      </c>
      <c r="E59">
        <v>25.049999</v>
      </c>
      <c r="G59" s="9">
        <v>38026</v>
      </c>
      <c r="H59">
        <v>25.85</v>
      </c>
      <c r="I59">
        <v>26.1</v>
      </c>
      <c r="J59">
        <v>24.799999</v>
      </c>
    </row>
    <row r="60" spans="1:10" x14ac:dyDescent="0.25">
      <c r="A60" s="9">
        <v>38033</v>
      </c>
      <c r="B60">
        <v>24.23</v>
      </c>
      <c r="C60">
        <v>24.889999</v>
      </c>
      <c r="D60">
        <v>23.809999000000001</v>
      </c>
      <c r="E60">
        <v>23.879999000000002</v>
      </c>
      <c r="G60" s="9">
        <v>38033</v>
      </c>
      <c r="H60">
        <v>24.23</v>
      </c>
      <c r="I60">
        <v>24.889999</v>
      </c>
      <c r="J60">
        <v>23.809999000000001</v>
      </c>
    </row>
    <row r="61" spans="1:10" x14ac:dyDescent="0.25">
      <c r="A61" s="9">
        <v>38040</v>
      </c>
      <c r="B61">
        <v>23.879999000000002</v>
      </c>
      <c r="C61">
        <v>24.48</v>
      </c>
      <c r="D61">
        <v>23.200001</v>
      </c>
      <c r="E61">
        <v>24.01</v>
      </c>
      <c r="G61" s="9">
        <v>38040</v>
      </c>
      <c r="H61">
        <v>23.879999000000002</v>
      </c>
      <c r="I61">
        <v>24.48</v>
      </c>
      <c r="J61">
        <v>23.200001</v>
      </c>
    </row>
    <row r="62" spans="1:10" x14ac:dyDescent="0.25">
      <c r="A62" s="9">
        <v>38047</v>
      </c>
      <c r="B62">
        <v>24.18</v>
      </c>
      <c r="C62">
        <v>25.75</v>
      </c>
      <c r="D62">
        <v>24.01</v>
      </c>
      <c r="E62">
        <v>25.02</v>
      </c>
      <c r="G62" s="9">
        <v>38047</v>
      </c>
      <c r="H62">
        <v>24.18</v>
      </c>
      <c r="I62">
        <v>25.75</v>
      </c>
      <c r="J62">
        <v>24.01</v>
      </c>
    </row>
    <row r="63" spans="1:10" x14ac:dyDescent="0.25">
      <c r="A63" s="9">
        <v>38054</v>
      </c>
      <c r="B63">
        <v>25.49</v>
      </c>
      <c r="C63">
        <v>25.5</v>
      </c>
      <c r="D63">
        <v>24.01</v>
      </c>
      <c r="E63">
        <v>24.360001</v>
      </c>
      <c r="G63" s="9">
        <v>38054</v>
      </c>
      <c r="H63">
        <v>25.49</v>
      </c>
      <c r="I63">
        <v>25.5</v>
      </c>
      <c r="J63">
        <v>24.01</v>
      </c>
    </row>
    <row r="64" spans="1:10" x14ac:dyDescent="0.25">
      <c r="A64" s="9">
        <v>38061</v>
      </c>
      <c r="B64">
        <v>24.120000999999998</v>
      </c>
      <c r="C64">
        <v>24.92</v>
      </c>
      <c r="D64">
        <v>24.030000999999999</v>
      </c>
      <c r="E64">
        <v>24.620000999999998</v>
      </c>
      <c r="G64" s="9">
        <v>38061</v>
      </c>
      <c r="H64">
        <v>24.120000999999998</v>
      </c>
      <c r="I64">
        <v>24.92</v>
      </c>
      <c r="J64">
        <v>24.030000999999999</v>
      </c>
    </row>
    <row r="65" spans="1:10" x14ac:dyDescent="0.25">
      <c r="A65" s="9">
        <v>38068</v>
      </c>
      <c r="B65">
        <v>24.5</v>
      </c>
      <c r="C65">
        <v>24.5</v>
      </c>
      <c r="D65">
        <v>23.66</v>
      </c>
      <c r="E65">
        <v>23.92</v>
      </c>
      <c r="G65" s="9">
        <v>38068</v>
      </c>
      <c r="H65">
        <v>24.5</v>
      </c>
      <c r="I65">
        <v>24.5</v>
      </c>
      <c r="J65">
        <v>23.66</v>
      </c>
    </row>
    <row r="66" spans="1:10" x14ac:dyDescent="0.25">
      <c r="A66" s="9">
        <v>38075</v>
      </c>
      <c r="B66">
        <v>24.1</v>
      </c>
      <c r="C66">
        <v>25.040001</v>
      </c>
      <c r="D66">
        <v>23.92</v>
      </c>
      <c r="E66">
        <v>24.870000999999998</v>
      </c>
      <c r="G66" s="9">
        <v>38075</v>
      </c>
      <c r="H66">
        <v>24.1</v>
      </c>
      <c r="I66">
        <v>25.040001</v>
      </c>
      <c r="J66">
        <v>23.92</v>
      </c>
    </row>
    <row r="67" spans="1:10" x14ac:dyDescent="0.25">
      <c r="A67" s="9">
        <v>38082</v>
      </c>
      <c r="B67">
        <v>25.030000999999999</v>
      </c>
      <c r="C67">
        <v>25.35</v>
      </c>
      <c r="D67">
        <v>24.34</v>
      </c>
      <c r="E67">
        <v>24.459999</v>
      </c>
      <c r="G67" s="9">
        <v>38082</v>
      </c>
      <c r="H67">
        <v>25.030000999999999</v>
      </c>
      <c r="I67">
        <v>25.35</v>
      </c>
      <c r="J67">
        <v>24.34</v>
      </c>
    </row>
    <row r="68" spans="1:10" x14ac:dyDescent="0.25">
      <c r="A68" s="9">
        <v>38089</v>
      </c>
      <c r="B68">
        <v>24.6</v>
      </c>
      <c r="C68">
        <v>24.709999</v>
      </c>
      <c r="D68">
        <v>24.01</v>
      </c>
      <c r="E68">
        <v>24.17</v>
      </c>
      <c r="G68" s="9">
        <v>38089</v>
      </c>
      <c r="H68">
        <v>24.6</v>
      </c>
      <c r="I68">
        <v>24.709999</v>
      </c>
      <c r="J68">
        <v>24.01</v>
      </c>
    </row>
    <row r="69" spans="1:10" x14ac:dyDescent="0.25">
      <c r="A69" s="9">
        <v>38096</v>
      </c>
      <c r="B69">
        <v>24.049999</v>
      </c>
      <c r="C69">
        <v>25.57</v>
      </c>
      <c r="D69">
        <v>23.969999000000001</v>
      </c>
      <c r="E69">
        <v>25.42</v>
      </c>
      <c r="G69" s="9">
        <v>38096</v>
      </c>
      <c r="H69">
        <v>24.049999</v>
      </c>
      <c r="I69">
        <v>25.57</v>
      </c>
      <c r="J69">
        <v>23.969999000000001</v>
      </c>
    </row>
    <row r="70" spans="1:10" x14ac:dyDescent="0.25">
      <c r="A70" s="9">
        <v>38103</v>
      </c>
      <c r="B70">
        <v>25.450001</v>
      </c>
      <c r="C70">
        <v>25.68</v>
      </c>
      <c r="D70">
        <v>24.860001</v>
      </c>
      <c r="E70">
        <v>24.9</v>
      </c>
      <c r="G70" s="9">
        <v>38103</v>
      </c>
      <c r="H70">
        <v>25.450001</v>
      </c>
      <c r="I70">
        <v>25.68</v>
      </c>
      <c r="J70">
        <v>24.860001</v>
      </c>
    </row>
    <row r="71" spans="1:10" x14ac:dyDescent="0.25">
      <c r="A71" s="9">
        <v>38110</v>
      </c>
      <c r="B71">
        <v>25.25</v>
      </c>
      <c r="C71">
        <v>25.59</v>
      </c>
      <c r="D71">
        <v>24.74</v>
      </c>
      <c r="E71">
        <v>24.74</v>
      </c>
      <c r="G71" s="9">
        <v>38110</v>
      </c>
      <c r="H71">
        <v>25.25</v>
      </c>
      <c r="I71">
        <v>25.59</v>
      </c>
      <c r="J71">
        <v>24.74</v>
      </c>
    </row>
    <row r="72" spans="1:10" x14ac:dyDescent="0.25">
      <c r="A72" s="9">
        <v>38117</v>
      </c>
      <c r="B72">
        <v>24.08</v>
      </c>
      <c r="C72">
        <v>24.940000999999999</v>
      </c>
      <c r="D72">
        <v>24.08</v>
      </c>
      <c r="E72">
        <v>24.5</v>
      </c>
      <c r="G72" s="9">
        <v>38117</v>
      </c>
      <c r="H72">
        <v>24.08</v>
      </c>
      <c r="I72">
        <v>24.940000999999999</v>
      </c>
      <c r="J72">
        <v>24.08</v>
      </c>
    </row>
    <row r="73" spans="1:10" x14ac:dyDescent="0.25">
      <c r="A73" s="9">
        <v>38124</v>
      </c>
      <c r="B73">
        <v>24.120000999999998</v>
      </c>
      <c r="C73">
        <v>24.790001</v>
      </c>
      <c r="D73">
        <v>24.1</v>
      </c>
      <c r="E73">
        <v>24.33</v>
      </c>
      <c r="G73" s="9">
        <v>38124</v>
      </c>
      <c r="H73">
        <v>24.120000999999998</v>
      </c>
      <c r="I73">
        <v>24.790001</v>
      </c>
      <c r="J73">
        <v>24.1</v>
      </c>
    </row>
    <row r="74" spans="1:10" x14ac:dyDescent="0.25">
      <c r="A74" s="9">
        <v>38131</v>
      </c>
      <c r="B74">
        <v>24.34</v>
      </c>
      <c r="C74">
        <v>24.4</v>
      </c>
      <c r="D74">
        <v>23.5</v>
      </c>
      <c r="E74">
        <v>23.700001</v>
      </c>
      <c r="G74" s="9">
        <v>38131</v>
      </c>
      <c r="H74">
        <v>24.34</v>
      </c>
      <c r="I74">
        <v>24.4</v>
      </c>
      <c r="J74">
        <v>23.5</v>
      </c>
    </row>
    <row r="75" spans="1:10" x14ac:dyDescent="0.25">
      <c r="A75" s="9">
        <v>38138</v>
      </c>
      <c r="B75">
        <v>23.73</v>
      </c>
      <c r="C75">
        <v>24.280000999999999</v>
      </c>
      <c r="D75">
        <v>23.549999</v>
      </c>
      <c r="E75">
        <v>23.93</v>
      </c>
      <c r="G75" s="9">
        <v>38138</v>
      </c>
      <c r="H75">
        <v>23.73</v>
      </c>
      <c r="I75">
        <v>24.280000999999999</v>
      </c>
      <c r="J75">
        <v>23.549999</v>
      </c>
    </row>
    <row r="76" spans="1:10" x14ac:dyDescent="0.25">
      <c r="A76" s="9">
        <v>38145</v>
      </c>
      <c r="B76">
        <v>23.940000999999999</v>
      </c>
      <c r="C76">
        <v>25.17</v>
      </c>
      <c r="D76">
        <v>23.870000999999998</v>
      </c>
      <c r="E76">
        <v>24.809999000000001</v>
      </c>
      <c r="G76" s="9">
        <v>38145</v>
      </c>
      <c r="H76">
        <v>23.940000999999999</v>
      </c>
      <c r="I76">
        <v>25.17</v>
      </c>
      <c r="J76">
        <v>23.870000999999998</v>
      </c>
    </row>
    <row r="77" spans="1:10" x14ac:dyDescent="0.25">
      <c r="A77" s="9">
        <v>38152</v>
      </c>
      <c r="B77">
        <v>24.629999000000002</v>
      </c>
      <c r="C77">
        <v>24.82</v>
      </c>
      <c r="D77">
        <v>24.27</v>
      </c>
      <c r="E77">
        <v>24.6</v>
      </c>
      <c r="G77" s="9">
        <v>38152</v>
      </c>
      <c r="H77">
        <v>24.629999000000002</v>
      </c>
      <c r="I77">
        <v>24.82</v>
      </c>
      <c r="J77">
        <v>24.27</v>
      </c>
    </row>
    <row r="78" spans="1:10" x14ac:dyDescent="0.25">
      <c r="A78" s="9">
        <v>38159</v>
      </c>
      <c r="B78">
        <v>24.450001</v>
      </c>
      <c r="C78">
        <v>24.51</v>
      </c>
      <c r="D78">
        <v>23.68</v>
      </c>
      <c r="E78">
        <v>23.799999</v>
      </c>
      <c r="G78" s="9">
        <v>38159</v>
      </c>
      <c r="H78">
        <v>24.450001</v>
      </c>
      <c r="I78">
        <v>24.51</v>
      </c>
      <c r="J78">
        <v>23.68</v>
      </c>
    </row>
    <row r="79" spans="1:10" x14ac:dyDescent="0.25">
      <c r="A79" s="9">
        <v>38166</v>
      </c>
      <c r="B79">
        <v>23.99</v>
      </c>
      <c r="C79">
        <v>24.549999</v>
      </c>
      <c r="D79">
        <v>23.92</v>
      </c>
      <c r="E79">
        <v>24.110001</v>
      </c>
      <c r="G79" s="9">
        <v>38166</v>
      </c>
      <c r="H79">
        <v>23.99</v>
      </c>
      <c r="I79">
        <v>24.549999</v>
      </c>
      <c r="J79">
        <v>23.92</v>
      </c>
    </row>
    <row r="80" spans="1:10" x14ac:dyDescent="0.25">
      <c r="A80" s="9">
        <v>38173</v>
      </c>
      <c r="B80">
        <v>24.07</v>
      </c>
      <c r="C80">
        <v>24.280000999999999</v>
      </c>
      <c r="D80">
        <v>23.290001</v>
      </c>
      <c r="E80">
        <v>23.59</v>
      </c>
      <c r="G80" s="9">
        <v>38173</v>
      </c>
      <c r="H80">
        <v>24.07</v>
      </c>
      <c r="I80">
        <v>24.280000999999999</v>
      </c>
      <c r="J80">
        <v>23.290001</v>
      </c>
    </row>
    <row r="81" spans="1:10" x14ac:dyDescent="0.25">
      <c r="A81" s="9">
        <v>38180</v>
      </c>
      <c r="B81">
        <v>23.58</v>
      </c>
      <c r="C81">
        <v>23.82</v>
      </c>
      <c r="D81">
        <v>22.98</v>
      </c>
      <c r="E81">
        <v>23.1</v>
      </c>
      <c r="G81" s="9">
        <v>38180</v>
      </c>
      <c r="H81">
        <v>23.58</v>
      </c>
      <c r="I81">
        <v>23.82</v>
      </c>
      <c r="J81">
        <v>22.98</v>
      </c>
    </row>
    <row r="82" spans="1:10" x14ac:dyDescent="0.25">
      <c r="A82" s="9">
        <v>38187</v>
      </c>
      <c r="B82">
        <v>23.1</v>
      </c>
      <c r="C82">
        <v>24.549999</v>
      </c>
      <c r="D82">
        <v>23.059999000000001</v>
      </c>
      <c r="E82">
        <v>24.219999000000001</v>
      </c>
      <c r="G82" s="9">
        <v>38187</v>
      </c>
      <c r="H82">
        <v>23.1</v>
      </c>
      <c r="I82">
        <v>24.549999</v>
      </c>
      <c r="J82">
        <v>23.059999000000001</v>
      </c>
    </row>
    <row r="83" spans="1:10" x14ac:dyDescent="0.25">
      <c r="A83" s="9">
        <v>38194</v>
      </c>
      <c r="B83">
        <v>24.57</v>
      </c>
      <c r="C83">
        <v>25.790001</v>
      </c>
      <c r="D83">
        <v>24.48</v>
      </c>
      <c r="E83">
        <v>25.34</v>
      </c>
      <c r="G83" s="9">
        <v>38194</v>
      </c>
      <c r="H83">
        <v>24.57</v>
      </c>
      <c r="I83">
        <v>25.790001</v>
      </c>
      <c r="J83">
        <v>24.48</v>
      </c>
    </row>
    <row r="84" spans="1:10" x14ac:dyDescent="0.25">
      <c r="A84" s="9">
        <v>38201</v>
      </c>
      <c r="B84">
        <v>25.379999000000002</v>
      </c>
      <c r="C84">
        <v>26.01</v>
      </c>
      <c r="D84">
        <v>24.799999</v>
      </c>
      <c r="E84">
        <v>24.85</v>
      </c>
      <c r="G84" s="9">
        <v>38201</v>
      </c>
      <c r="H84">
        <v>25.379999000000002</v>
      </c>
      <c r="I84">
        <v>26.01</v>
      </c>
      <c r="J84">
        <v>24.799999</v>
      </c>
    </row>
    <row r="85" spans="1:10" x14ac:dyDescent="0.25">
      <c r="A85" s="9">
        <v>38208</v>
      </c>
      <c r="B85">
        <v>24.950001</v>
      </c>
      <c r="C85">
        <v>25.389999</v>
      </c>
      <c r="D85">
        <v>24.77</v>
      </c>
      <c r="E85">
        <v>25.059999000000001</v>
      </c>
      <c r="G85" s="9">
        <v>38208</v>
      </c>
      <c r="H85">
        <v>24.950001</v>
      </c>
      <c r="I85">
        <v>25.389999</v>
      </c>
      <c r="J85">
        <v>24.77</v>
      </c>
    </row>
    <row r="86" spans="1:10" x14ac:dyDescent="0.25">
      <c r="A86" s="9">
        <v>38215</v>
      </c>
      <c r="B86">
        <v>25.059999000000001</v>
      </c>
      <c r="C86">
        <v>25.82</v>
      </c>
      <c r="D86">
        <v>25.02</v>
      </c>
      <c r="E86">
        <v>25.57</v>
      </c>
      <c r="G86" s="9">
        <v>38215</v>
      </c>
      <c r="H86">
        <v>25.059999000000001</v>
      </c>
      <c r="I86">
        <v>25.82</v>
      </c>
      <c r="J86">
        <v>25.02</v>
      </c>
    </row>
    <row r="87" spans="1:10" x14ac:dyDescent="0.25">
      <c r="A87" s="9">
        <v>38222</v>
      </c>
      <c r="B87">
        <v>25.9</v>
      </c>
      <c r="C87">
        <v>25.9</v>
      </c>
      <c r="D87">
        <v>25.27</v>
      </c>
      <c r="E87">
        <v>25.84</v>
      </c>
      <c r="G87" s="9">
        <v>38222</v>
      </c>
      <c r="H87">
        <v>25.9</v>
      </c>
      <c r="I87">
        <v>25.9</v>
      </c>
      <c r="J87">
        <v>25.27</v>
      </c>
    </row>
    <row r="88" spans="1:10" x14ac:dyDescent="0.25">
      <c r="A88" s="9">
        <v>38229</v>
      </c>
      <c r="B88">
        <v>25.84</v>
      </c>
      <c r="C88">
        <v>26.549999</v>
      </c>
      <c r="D88">
        <v>25.57</v>
      </c>
      <c r="E88">
        <v>26.200001</v>
      </c>
      <c r="G88" s="9">
        <v>38229</v>
      </c>
      <c r="H88">
        <v>25.84</v>
      </c>
      <c r="I88">
        <v>26.549999</v>
      </c>
      <c r="J88">
        <v>25.57</v>
      </c>
    </row>
    <row r="89" spans="1:10" x14ac:dyDescent="0.25">
      <c r="A89" s="9">
        <v>38236</v>
      </c>
      <c r="B89">
        <v>26.48</v>
      </c>
      <c r="C89">
        <v>26.83</v>
      </c>
      <c r="D89">
        <v>26.15</v>
      </c>
      <c r="E89">
        <v>26.57</v>
      </c>
      <c r="G89" s="9">
        <v>38236</v>
      </c>
      <c r="H89">
        <v>26.48</v>
      </c>
      <c r="I89">
        <v>26.83</v>
      </c>
      <c r="J89">
        <v>26.15</v>
      </c>
    </row>
    <row r="90" spans="1:10" x14ac:dyDescent="0.25">
      <c r="A90" s="9">
        <v>38243</v>
      </c>
      <c r="B90">
        <v>26.52</v>
      </c>
      <c r="C90">
        <v>26.879999000000002</v>
      </c>
      <c r="D90">
        <v>25.9</v>
      </c>
      <c r="E90">
        <v>26.48</v>
      </c>
      <c r="G90" s="9">
        <v>38243</v>
      </c>
      <c r="H90">
        <v>26.52</v>
      </c>
      <c r="I90">
        <v>26.879999000000002</v>
      </c>
      <c r="J90">
        <v>25.9</v>
      </c>
    </row>
    <row r="91" spans="1:10" x14ac:dyDescent="0.25">
      <c r="A91" s="9">
        <v>38250</v>
      </c>
      <c r="B91">
        <v>26.32</v>
      </c>
      <c r="C91">
        <v>26.52</v>
      </c>
      <c r="D91">
        <v>25.85</v>
      </c>
      <c r="E91">
        <v>26.049999</v>
      </c>
      <c r="G91" s="9">
        <v>38250</v>
      </c>
      <c r="H91">
        <v>26.32</v>
      </c>
      <c r="I91">
        <v>26.52</v>
      </c>
      <c r="J91">
        <v>25.85</v>
      </c>
    </row>
    <row r="92" spans="1:10" x14ac:dyDescent="0.25">
      <c r="A92" s="9">
        <v>38257</v>
      </c>
      <c r="B92">
        <v>25.870000999999998</v>
      </c>
      <c r="C92">
        <v>26.4</v>
      </c>
      <c r="D92">
        <v>25.57</v>
      </c>
      <c r="E92">
        <v>26.32</v>
      </c>
      <c r="G92" s="9">
        <v>38257</v>
      </c>
      <c r="H92">
        <v>25.870000999999998</v>
      </c>
      <c r="I92">
        <v>26.4</v>
      </c>
      <c r="J92">
        <v>25.57</v>
      </c>
    </row>
    <row r="93" spans="1:10" x14ac:dyDescent="0.25">
      <c r="A93" s="9">
        <v>38264</v>
      </c>
      <c r="B93">
        <v>26.35</v>
      </c>
      <c r="C93">
        <v>27.290001</v>
      </c>
      <c r="D93">
        <v>26.34</v>
      </c>
      <c r="E93">
        <v>26.83</v>
      </c>
      <c r="G93" s="9">
        <v>38264</v>
      </c>
      <c r="H93">
        <v>26.35</v>
      </c>
      <c r="I93">
        <v>27.290001</v>
      </c>
      <c r="J93">
        <v>26.34</v>
      </c>
    </row>
    <row r="94" spans="1:10" x14ac:dyDescent="0.25">
      <c r="A94" s="9">
        <v>38271</v>
      </c>
      <c r="B94">
        <v>26.860001</v>
      </c>
      <c r="C94">
        <v>27.110001</v>
      </c>
      <c r="D94">
        <v>26.35</v>
      </c>
      <c r="E94">
        <v>26.68</v>
      </c>
      <c r="G94" s="9">
        <v>38271</v>
      </c>
      <c r="H94">
        <v>26.860001</v>
      </c>
      <c r="I94">
        <v>27.110001</v>
      </c>
      <c r="J94">
        <v>26.35</v>
      </c>
    </row>
    <row r="95" spans="1:10" x14ac:dyDescent="0.25">
      <c r="A95" s="9">
        <v>38278</v>
      </c>
      <c r="B95">
        <v>26.75</v>
      </c>
      <c r="C95">
        <v>26.93</v>
      </c>
      <c r="D95">
        <v>25.15</v>
      </c>
      <c r="E95">
        <v>25.24</v>
      </c>
      <c r="G95" s="9">
        <v>38278</v>
      </c>
      <c r="H95">
        <v>26.75</v>
      </c>
      <c r="I95">
        <v>26.93</v>
      </c>
      <c r="J95">
        <v>25.15</v>
      </c>
    </row>
    <row r="96" spans="1:10" x14ac:dyDescent="0.25">
      <c r="A96" s="9">
        <v>38285</v>
      </c>
      <c r="B96">
        <v>24.940000999999999</v>
      </c>
      <c r="C96">
        <v>25.57</v>
      </c>
      <c r="D96">
        <v>24.549999</v>
      </c>
      <c r="E96">
        <v>25.26</v>
      </c>
      <c r="G96" s="9">
        <v>38285</v>
      </c>
      <c r="H96">
        <v>24.940000999999999</v>
      </c>
      <c r="I96">
        <v>25.57</v>
      </c>
      <c r="J96">
        <v>24.549999</v>
      </c>
    </row>
    <row r="97" spans="1:10" x14ac:dyDescent="0.25">
      <c r="A97" s="9">
        <v>38292</v>
      </c>
      <c r="B97">
        <v>25.35</v>
      </c>
      <c r="C97">
        <v>26.379999000000002</v>
      </c>
      <c r="D97">
        <v>25.1</v>
      </c>
      <c r="E97">
        <v>26.25</v>
      </c>
      <c r="G97" s="9">
        <v>38292</v>
      </c>
      <c r="H97">
        <v>25.35</v>
      </c>
      <c r="I97">
        <v>26.379999000000002</v>
      </c>
      <c r="J97">
        <v>25.1</v>
      </c>
    </row>
    <row r="98" spans="1:10" x14ac:dyDescent="0.25">
      <c r="A98" s="9">
        <v>38299</v>
      </c>
      <c r="B98">
        <v>26.34</v>
      </c>
      <c r="C98">
        <v>26.700001</v>
      </c>
      <c r="D98">
        <v>25.860001</v>
      </c>
      <c r="E98">
        <v>26.67</v>
      </c>
      <c r="G98" s="9">
        <v>38299</v>
      </c>
      <c r="H98">
        <v>26.34</v>
      </c>
      <c r="I98">
        <v>26.700001</v>
      </c>
      <c r="J98">
        <v>25.860001</v>
      </c>
    </row>
    <row r="99" spans="1:10" x14ac:dyDescent="0.25">
      <c r="A99" s="9">
        <v>38306</v>
      </c>
      <c r="B99">
        <v>26.530000999999999</v>
      </c>
      <c r="C99">
        <v>26.549999</v>
      </c>
      <c r="D99">
        <v>25.790001</v>
      </c>
      <c r="E99">
        <v>25.889999</v>
      </c>
      <c r="G99" s="9">
        <v>38306</v>
      </c>
      <c r="H99">
        <v>26.530000999999999</v>
      </c>
      <c r="I99">
        <v>26.549999</v>
      </c>
      <c r="J99">
        <v>25.790001</v>
      </c>
    </row>
    <row r="100" spans="1:10" x14ac:dyDescent="0.25">
      <c r="A100" s="9">
        <v>38313</v>
      </c>
      <c r="B100">
        <v>25.959999</v>
      </c>
      <c r="C100">
        <v>26.129999000000002</v>
      </c>
      <c r="D100">
        <v>25.15</v>
      </c>
      <c r="E100">
        <v>25.48</v>
      </c>
      <c r="G100" s="9">
        <v>38313</v>
      </c>
      <c r="H100">
        <v>25.959999</v>
      </c>
      <c r="I100">
        <v>26.129999000000002</v>
      </c>
      <c r="J100">
        <v>25.15</v>
      </c>
    </row>
    <row r="101" spans="1:10" x14ac:dyDescent="0.25">
      <c r="A101" s="9">
        <v>38320</v>
      </c>
      <c r="B101">
        <v>25.48</v>
      </c>
      <c r="C101">
        <v>26.559999000000001</v>
      </c>
      <c r="D101">
        <v>25.059999000000001</v>
      </c>
      <c r="E101">
        <v>25.809999000000001</v>
      </c>
      <c r="G101" s="9">
        <v>38320</v>
      </c>
      <c r="H101">
        <v>25.48</v>
      </c>
      <c r="I101">
        <v>26.559999000000001</v>
      </c>
      <c r="J101">
        <v>25.059999000000001</v>
      </c>
    </row>
    <row r="102" spans="1:10" x14ac:dyDescent="0.25">
      <c r="A102" s="9">
        <v>38327</v>
      </c>
      <c r="B102">
        <v>25.68</v>
      </c>
      <c r="C102">
        <v>25.75</v>
      </c>
      <c r="D102">
        <v>24.950001</v>
      </c>
      <c r="E102">
        <v>25.309999000000001</v>
      </c>
      <c r="G102" s="9">
        <v>38327</v>
      </c>
      <c r="H102">
        <v>25.68</v>
      </c>
      <c r="I102">
        <v>25.75</v>
      </c>
      <c r="J102">
        <v>24.950001</v>
      </c>
    </row>
    <row r="103" spans="1:10" x14ac:dyDescent="0.25">
      <c r="A103" s="9">
        <v>38334</v>
      </c>
      <c r="B103">
        <v>25.57</v>
      </c>
      <c r="C103">
        <v>26</v>
      </c>
      <c r="D103">
        <v>25.370000999999998</v>
      </c>
      <c r="E103">
        <v>25.700001</v>
      </c>
      <c r="G103" s="9">
        <v>38334</v>
      </c>
      <c r="H103">
        <v>25.57</v>
      </c>
      <c r="I103">
        <v>26</v>
      </c>
      <c r="J103">
        <v>25.370000999999998</v>
      </c>
    </row>
    <row r="104" spans="1:10" x14ac:dyDescent="0.25">
      <c r="A104" s="9">
        <v>38341</v>
      </c>
      <c r="B104">
        <v>25.85</v>
      </c>
      <c r="C104">
        <v>26.15</v>
      </c>
      <c r="D104">
        <v>25.76</v>
      </c>
      <c r="E104">
        <v>26.030000999999999</v>
      </c>
      <c r="G104" s="9">
        <v>38341</v>
      </c>
      <c r="H104">
        <v>25.85</v>
      </c>
      <c r="I104">
        <v>26.15</v>
      </c>
      <c r="J104">
        <v>25.76</v>
      </c>
    </row>
    <row r="105" spans="1:10" x14ac:dyDescent="0.25">
      <c r="A105" s="9">
        <v>38348</v>
      </c>
      <c r="B105">
        <v>26</v>
      </c>
      <c r="C105">
        <v>26.17</v>
      </c>
      <c r="D105">
        <v>25.66</v>
      </c>
      <c r="E105">
        <v>25.77</v>
      </c>
      <c r="G105" s="9">
        <v>38348</v>
      </c>
      <c r="H105">
        <v>26</v>
      </c>
      <c r="I105">
        <v>26.17</v>
      </c>
      <c r="J105">
        <v>25.66</v>
      </c>
    </row>
    <row r="106" spans="1:10" x14ac:dyDescent="0.25">
      <c r="A106" s="9">
        <v>38355</v>
      </c>
      <c r="B106">
        <v>25.98</v>
      </c>
      <c r="C106">
        <v>25.98</v>
      </c>
      <c r="D106">
        <v>25.02</v>
      </c>
      <c r="E106">
        <v>25.08</v>
      </c>
      <c r="G106" s="9">
        <v>38355</v>
      </c>
      <c r="H106">
        <v>25.98</v>
      </c>
      <c r="I106">
        <v>25.98</v>
      </c>
      <c r="J106">
        <v>25.02</v>
      </c>
    </row>
    <row r="107" spans="1:10" x14ac:dyDescent="0.25">
      <c r="A107" s="9">
        <v>38362</v>
      </c>
      <c r="B107">
        <v>25.1</v>
      </c>
      <c r="C107">
        <v>25.1</v>
      </c>
      <c r="D107">
        <v>24.209999</v>
      </c>
      <c r="E107">
        <v>24.41</v>
      </c>
      <c r="G107" s="9">
        <v>38362</v>
      </c>
      <c r="H107">
        <v>25.1</v>
      </c>
      <c r="I107">
        <v>25.1</v>
      </c>
      <c r="J107">
        <v>24.209999</v>
      </c>
    </row>
    <row r="108" spans="1:10" x14ac:dyDescent="0.25">
      <c r="A108" s="9">
        <v>38369</v>
      </c>
      <c r="B108">
        <v>24.389999</v>
      </c>
      <c r="C108">
        <v>25.35</v>
      </c>
      <c r="D108">
        <v>24.389999</v>
      </c>
      <c r="E108">
        <v>24.58</v>
      </c>
      <c r="G108" s="9">
        <v>38369</v>
      </c>
      <c r="H108">
        <v>24.389999</v>
      </c>
      <c r="I108">
        <v>25.35</v>
      </c>
      <c r="J108">
        <v>24.389999</v>
      </c>
    </row>
    <row r="109" spans="1:10" x14ac:dyDescent="0.25">
      <c r="A109" s="9">
        <v>38376</v>
      </c>
      <c r="B109">
        <v>24.67</v>
      </c>
      <c r="C109">
        <v>25.01</v>
      </c>
      <c r="D109">
        <v>23.33</v>
      </c>
      <c r="E109">
        <v>23.620000999999998</v>
      </c>
      <c r="G109" s="9">
        <v>38376</v>
      </c>
      <c r="H109">
        <v>24.67</v>
      </c>
      <c r="I109">
        <v>25.01</v>
      </c>
      <c r="J109">
        <v>23.33</v>
      </c>
    </row>
    <row r="110" spans="1:10" x14ac:dyDescent="0.25">
      <c r="A110" s="9">
        <v>38383</v>
      </c>
      <c r="B110">
        <v>23.620000999999998</v>
      </c>
      <c r="C110">
        <v>24.799999</v>
      </c>
      <c r="D110">
        <v>23.299999</v>
      </c>
      <c r="E110">
        <v>24.6</v>
      </c>
      <c r="G110" s="9">
        <v>38383</v>
      </c>
      <c r="H110">
        <v>23.620000999999998</v>
      </c>
      <c r="I110">
        <v>24.799999</v>
      </c>
      <c r="J110">
        <v>23.299999</v>
      </c>
    </row>
    <row r="111" spans="1:10" x14ac:dyDescent="0.25">
      <c r="A111" s="9">
        <v>38390</v>
      </c>
      <c r="B111">
        <v>24.6</v>
      </c>
      <c r="C111">
        <v>24.700001</v>
      </c>
      <c r="D111">
        <v>23.950001</v>
      </c>
      <c r="E111">
        <v>24.26</v>
      </c>
      <c r="G111" s="9">
        <v>38390</v>
      </c>
      <c r="H111">
        <v>24.6</v>
      </c>
      <c r="I111">
        <v>24.700001</v>
      </c>
      <c r="J111">
        <v>23.950001</v>
      </c>
    </row>
    <row r="112" spans="1:10" x14ac:dyDescent="0.25">
      <c r="A112" s="9">
        <v>38397</v>
      </c>
      <c r="B112">
        <v>24.440000999999999</v>
      </c>
      <c r="C112">
        <v>24.74</v>
      </c>
      <c r="D112">
        <v>24.120000999999998</v>
      </c>
      <c r="E112">
        <v>24.18</v>
      </c>
      <c r="G112" s="9">
        <v>38397</v>
      </c>
      <c r="H112">
        <v>24.440000999999999</v>
      </c>
      <c r="I112">
        <v>24.74</v>
      </c>
      <c r="J112">
        <v>24.120000999999998</v>
      </c>
    </row>
    <row r="113" spans="1:10" x14ac:dyDescent="0.25">
      <c r="A113" s="9">
        <v>38404</v>
      </c>
      <c r="B113">
        <v>24.280000999999999</v>
      </c>
      <c r="C113">
        <v>24.5</v>
      </c>
      <c r="D113">
        <v>23.889999</v>
      </c>
      <c r="E113">
        <v>24.209999</v>
      </c>
      <c r="G113" s="9">
        <v>38404</v>
      </c>
      <c r="H113">
        <v>24.280000999999999</v>
      </c>
      <c r="I113">
        <v>24.5</v>
      </c>
      <c r="J113">
        <v>23.889999</v>
      </c>
    </row>
    <row r="114" spans="1:10" x14ac:dyDescent="0.25">
      <c r="A114" s="9">
        <v>38411</v>
      </c>
      <c r="B114">
        <v>24.219999000000001</v>
      </c>
      <c r="C114">
        <v>24.620000999999998</v>
      </c>
      <c r="D114">
        <v>24</v>
      </c>
      <c r="E114">
        <v>24.49</v>
      </c>
      <c r="G114" s="9">
        <v>38411</v>
      </c>
      <c r="H114">
        <v>24.219999000000001</v>
      </c>
      <c r="I114">
        <v>24.620000999999998</v>
      </c>
      <c r="J114">
        <v>24</v>
      </c>
    </row>
    <row r="115" spans="1:10" x14ac:dyDescent="0.25">
      <c r="A115" s="9">
        <v>38418</v>
      </c>
      <c r="B115">
        <v>24.57</v>
      </c>
      <c r="C115">
        <v>24.59</v>
      </c>
      <c r="D115">
        <v>23.959999</v>
      </c>
      <c r="E115">
        <v>24</v>
      </c>
      <c r="G115" s="9">
        <v>38418</v>
      </c>
      <c r="H115">
        <v>24.57</v>
      </c>
      <c r="I115">
        <v>24.59</v>
      </c>
      <c r="J115">
        <v>23.959999</v>
      </c>
    </row>
    <row r="116" spans="1:10" x14ac:dyDescent="0.25">
      <c r="A116" s="9">
        <v>38425</v>
      </c>
      <c r="B116">
        <v>24</v>
      </c>
      <c r="C116">
        <v>24.190000999999999</v>
      </c>
      <c r="D116">
        <v>23.01</v>
      </c>
      <c r="E116">
        <v>23.35</v>
      </c>
      <c r="G116" s="9">
        <v>38425</v>
      </c>
      <c r="H116">
        <v>24</v>
      </c>
      <c r="I116">
        <v>24.190000999999999</v>
      </c>
      <c r="J116">
        <v>23.01</v>
      </c>
    </row>
    <row r="117" spans="1:10" x14ac:dyDescent="0.25">
      <c r="A117" s="9">
        <v>38432</v>
      </c>
      <c r="B117">
        <v>23.280000999999999</v>
      </c>
      <c r="C117">
        <v>23.690000999999999</v>
      </c>
      <c r="D117">
        <v>22.99</v>
      </c>
      <c r="E117">
        <v>23.299999</v>
      </c>
      <c r="G117" s="9">
        <v>38432</v>
      </c>
      <c r="H117">
        <v>23.280000999999999</v>
      </c>
      <c r="I117">
        <v>23.690000999999999</v>
      </c>
      <c r="J117">
        <v>22.99</v>
      </c>
    </row>
    <row r="118" spans="1:10" x14ac:dyDescent="0.25">
      <c r="A118" s="9">
        <v>38439</v>
      </c>
      <c r="B118">
        <v>23.4</v>
      </c>
      <c r="C118">
        <v>23.92</v>
      </c>
      <c r="D118">
        <v>23.290001</v>
      </c>
      <c r="E118">
        <v>23.66</v>
      </c>
      <c r="G118" s="9">
        <v>38439</v>
      </c>
      <c r="H118">
        <v>23.4</v>
      </c>
      <c r="I118">
        <v>23.92</v>
      </c>
      <c r="J118">
        <v>23.290001</v>
      </c>
    </row>
    <row r="119" spans="1:10" x14ac:dyDescent="0.25">
      <c r="A119" s="9">
        <v>38446</v>
      </c>
      <c r="B119">
        <v>23.780000999999999</v>
      </c>
      <c r="C119">
        <v>24.33</v>
      </c>
      <c r="D119">
        <v>23.620000999999998</v>
      </c>
      <c r="E119">
        <v>23.75</v>
      </c>
      <c r="G119" s="9">
        <v>38446</v>
      </c>
      <c r="H119">
        <v>23.780000999999999</v>
      </c>
      <c r="I119">
        <v>24.33</v>
      </c>
      <c r="J119">
        <v>23.620000999999998</v>
      </c>
    </row>
    <row r="120" spans="1:10" x14ac:dyDescent="0.25">
      <c r="A120" s="9">
        <v>38453</v>
      </c>
      <c r="B120">
        <v>23.83</v>
      </c>
      <c r="C120">
        <v>24.07</v>
      </c>
      <c r="D120">
        <v>22.9</v>
      </c>
      <c r="E120">
        <v>23</v>
      </c>
      <c r="G120" s="9">
        <v>38453</v>
      </c>
      <c r="H120">
        <v>23.83</v>
      </c>
      <c r="I120">
        <v>24.07</v>
      </c>
      <c r="J120">
        <v>22.9</v>
      </c>
    </row>
    <row r="121" spans="1:10" x14ac:dyDescent="0.25">
      <c r="A121" s="9">
        <v>38460</v>
      </c>
      <c r="B121">
        <v>23.35</v>
      </c>
      <c r="C121">
        <v>23.389999</v>
      </c>
      <c r="D121">
        <v>22.780000999999999</v>
      </c>
      <c r="E121">
        <v>23.200001</v>
      </c>
      <c r="G121" s="9">
        <v>38460</v>
      </c>
      <c r="H121">
        <v>23.35</v>
      </c>
      <c r="I121">
        <v>23.389999</v>
      </c>
      <c r="J121">
        <v>22.780000999999999</v>
      </c>
    </row>
    <row r="122" spans="1:10" x14ac:dyDescent="0.25">
      <c r="A122" s="9">
        <v>38467</v>
      </c>
      <c r="B122">
        <v>23.549999</v>
      </c>
      <c r="C122">
        <v>23.860001</v>
      </c>
      <c r="D122">
        <v>23.1</v>
      </c>
      <c r="E122">
        <v>23.799999</v>
      </c>
      <c r="G122" s="9">
        <v>38467</v>
      </c>
      <c r="H122">
        <v>23.549999</v>
      </c>
      <c r="I122">
        <v>23.860001</v>
      </c>
      <c r="J122">
        <v>23.1</v>
      </c>
    </row>
    <row r="123" spans="1:10" x14ac:dyDescent="0.25">
      <c r="A123" s="9">
        <v>38474</v>
      </c>
      <c r="B123">
        <v>23.950001</v>
      </c>
      <c r="C123">
        <v>24.030000999999999</v>
      </c>
      <c r="D123">
        <v>23.450001</v>
      </c>
      <c r="E123">
        <v>23.620000999999998</v>
      </c>
      <c r="G123" s="9">
        <v>38474</v>
      </c>
      <c r="H123">
        <v>23.950001</v>
      </c>
      <c r="I123">
        <v>24.030000999999999</v>
      </c>
      <c r="J123">
        <v>23.450001</v>
      </c>
    </row>
    <row r="124" spans="1:10" x14ac:dyDescent="0.25">
      <c r="A124" s="9">
        <v>38481</v>
      </c>
      <c r="B124">
        <v>23.549999</v>
      </c>
      <c r="C124">
        <v>23.690000999999999</v>
      </c>
      <c r="D124">
        <v>23.030000999999999</v>
      </c>
      <c r="E124">
        <v>23.08</v>
      </c>
      <c r="G124" s="9">
        <v>38481</v>
      </c>
      <c r="H124">
        <v>23.549999</v>
      </c>
      <c r="I124">
        <v>23.690000999999999</v>
      </c>
      <c r="J124">
        <v>23.030000999999999</v>
      </c>
    </row>
    <row r="125" spans="1:10" x14ac:dyDescent="0.25">
      <c r="A125" s="9">
        <v>38488</v>
      </c>
      <c r="B125">
        <v>23.16</v>
      </c>
      <c r="C125">
        <v>23.790001</v>
      </c>
      <c r="D125">
        <v>23.1</v>
      </c>
      <c r="E125">
        <v>23.629999000000002</v>
      </c>
      <c r="G125" s="9">
        <v>38488</v>
      </c>
      <c r="H125">
        <v>23.16</v>
      </c>
      <c r="I125">
        <v>23.790001</v>
      </c>
      <c r="J125">
        <v>23.1</v>
      </c>
    </row>
    <row r="126" spans="1:10" x14ac:dyDescent="0.25">
      <c r="A126" s="9">
        <v>38495</v>
      </c>
      <c r="B126">
        <v>23.58</v>
      </c>
      <c r="C126">
        <v>23.77</v>
      </c>
      <c r="D126">
        <v>23.5</v>
      </c>
      <c r="E126">
        <v>23.67</v>
      </c>
      <c r="G126" s="9">
        <v>38495</v>
      </c>
      <c r="H126">
        <v>23.58</v>
      </c>
      <c r="I126">
        <v>23.77</v>
      </c>
      <c r="J126">
        <v>23.5</v>
      </c>
    </row>
    <row r="127" spans="1:10" x14ac:dyDescent="0.25">
      <c r="A127" s="9">
        <v>38502</v>
      </c>
      <c r="B127">
        <v>23.549999</v>
      </c>
      <c r="C127">
        <v>23.66</v>
      </c>
      <c r="D127">
        <v>23.1</v>
      </c>
      <c r="E127">
        <v>23.34</v>
      </c>
      <c r="G127" s="9">
        <v>38502</v>
      </c>
      <c r="H127">
        <v>23.549999</v>
      </c>
      <c r="I127">
        <v>23.66</v>
      </c>
      <c r="J127">
        <v>23.1</v>
      </c>
    </row>
    <row r="128" spans="1:10" x14ac:dyDescent="0.25">
      <c r="A128" s="9">
        <v>38509</v>
      </c>
      <c r="B128">
        <v>23.299999</v>
      </c>
      <c r="C128">
        <v>23.67</v>
      </c>
      <c r="D128">
        <v>23.25</v>
      </c>
      <c r="E128">
        <v>23.629999000000002</v>
      </c>
      <c r="G128" s="9">
        <v>38509</v>
      </c>
      <c r="H128">
        <v>23.299999</v>
      </c>
      <c r="I128">
        <v>23.67</v>
      </c>
      <c r="J128">
        <v>23.25</v>
      </c>
    </row>
    <row r="129" spans="1:10" x14ac:dyDescent="0.25">
      <c r="A129" s="9">
        <v>38516</v>
      </c>
      <c r="B129">
        <v>23.58</v>
      </c>
      <c r="C129">
        <v>24.190000999999999</v>
      </c>
      <c r="D129">
        <v>23.540001</v>
      </c>
      <c r="E129">
        <v>24.02</v>
      </c>
      <c r="G129" s="9">
        <v>38516</v>
      </c>
      <c r="H129">
        <v>23.58</v>
      </c>
      <c r="I129">
        <v>24.190000999999999</v>
      </c>
      <c r="J129">
        <v>23.540001</v>
      </c>
    </row>
    <row r="130" spans="1:10" x14ac:dyDescent="0.25">
      <c r="A130" s="9">
        <v>38523</v>
      </c>
      <c r="B130">
        <v>23.92</v>
      </c>
      <c r="C130">
        <v>24.1</v>
      </c>
      <c r="D130">
        <v>23.5</v>
      </c>
      <c r="E130">
        <v>23.5</v>
      </c>
      <c r="G130" s="9">
        <v>38523</v>
      </c>
      <c r="H130">
        <v>23.92</v>
      </c>
      <c r="I130">
        <v>24.1</v>
      </c>
      <c r="J130">
        <v>23.5</v>
      </c>
    </row>
    <row r="131" spans="1:10" x14ac:dyDescent="0.25">
      <c r="A131" s="9">
        <v>38530</v>
      </c>
      <c r="B131">
        <v>23.42</v>
      </c>
      <c r="C131">
        <v>24.129999000000002</v>
      </c>
      <c r="D131">
        <v>23.4</v>
      </c>
      <c r="E131">
        <v>23.93</v>
      </c>
      <c r="G131" s="9">
        <v>38530</v>
      </c>
      <c r="H131">
        <v>23.42</v>
      </c>
      <c r="I131">
        <v>24.129999000000002</v>
      </c>
      <c r="J131">
        <v>23.4</v>
      </c>
    </row>
    <row r="132" spans="1:10" x14ac:dyDescent="0.25">
      <c r="A132" s="9">
        <v>38537</v>
      </c>
      <c r="B132">
        <v>23.92</v>
      </c>
      <c r="C132">
        <v>24.280000999999999</v>
      </c>
      <c r="D132">
        <v>23.200001</v>
      </c>
      <c r="E132">
        <v>23.57</v>
      </c>
      <c r="G132" s="9">
        <v>38537</v>
      </c>
      <c r="H132">
        <v>23.92</v>
      </c>
      <c r="I132">
        <v>24.280000999999999</v>
      </c>
      <c r="J132">
        <v>23.200001</v>
      </c>
    </row>
    <row r="133" spans="1:10" x14ac:dyDescent="0.25">
      <c r="A133" s="9">
        <v>38544</v>
      </c>
      <c r="B133">
        <v>23.74</v>
      </c>
      <c r="C133">
        <v>24.17</v>
      </c>
      <c r="D133">
        <v>23.610001</v>
      </c>
      <c r="E133">
        <v>24.120000999999998</v>
      </c>
      <c r="G133" s="9">
        <v>38544</v>
      </c>
      <c r="H133">
        <v>23.74</v>
      </c>
      <c r="I133">
        <v>24.17</v>
      </c>
      <c r="J133">
        <v>23.610001</v>
      </c>
    </row>
    <row r="134" spans="1:10" x14ac:dyDescent="0.25">
      <c r="A134" s="9">
        <v>38551</v>
      </c>
      <c r="B134">
        <v>24.040001</v>
      </c>
      <c r="C134">
        <v>24.049999</v>
      </c>
      <c r="D134">
        <v>23.559999000000001</v>
      </c>
      <c r="E134">
        <v>23.719999000000001</v>
      </c>
      <c r="G134" s="9">
        <v>38551</v>
      </c>
      <c r="H134">
        <v>24.040001</v>
      </c>
      <c r="I134">
        <v>24.049999</v>
      </c>
      <c r="J134">
        <v>23.559999000000001</v>
      </c>
    </row>
    <row r="135" spans="1:10" x14ac:dyDescent="0.25">
      <c r="A135" s="9">
        <v>38558</v>
      </c>
      <c r="B135">
        <v>23.84</v>
      </c>
      <c r="C135">
        <v>24.780000999999999</v>
      </c>
      <c r="D135">
        <v>23.719999000000001</v>
      </c>
      <c r="E135">
        <v>24.450001</v>
      </c>
      <c r="G135" s="9">
        <v>38558</v>
      </c>
      <c r="H135">
        <v>23.84</v>
      </c>
      <c r="I135">
        <v>24.780000999999999</v>
      </c>
      <c r="J135">
        <v>23.719999000000001</v>
      </c>
    </row>
    <row r="136" spans="1:10" x14ac:dyDescent="0.25">
      <c r="A136" s="9">
        <v>38565</v>
      </c>
      <c r="B136">
        <v>24.59</v>
      </c>
      <c r="C136">
        <v>24.969999000000001</v>
      </c>
      <c r="D136">
        <v>24.33</v>
      </c>
      <c r="E136">
        <v>24.610001</v>
      </c>
      <c r="G136" s="9">
        <v>38565</v>
      </c>
      <c r="H136">
        <v>24.59</v>
      </c>
      <c r="I136">
        <v>24.969999000000001</v>
      </c>
      <c r="J136">
        <v>24.33</v>
      </c>
    </row>
    <row r="137" spans="1:10" x14ac:dyDescent="0.25">
      <c r="A137" s="9">
        <v>38572</v>
      </c>
      <c r="B137">
        <v>24.620000999999998</v>
      </c>
      <c r="C137">
        <v>24.93</v>
      </c>
      <c r="D137">
        <v>24.35</v>
      </c>
      <c r="E137">
        <v>24.459999</v>
      </c>
      <c r="G137" s="9">
        <v>38572</v>
      </c>
      <c r="H137">
        <v>24.620000999999998</v>
      </c>
      <c r="I137">
        <v>24.93</v>
      </c>
      <c r="J137">
        <v>24.35</v>
      </c>
    </row>
    <row r="138" spans="1:10" x14ac:dyDescent="0.25">
      <c r="A138" s="9">
        <v>38579</v>
      </c>
      <c r="B138">
        <v>24.4</v>
      </c>
      <c r="C138">
        <v>24.530000999999999</v>
      </c>
      <c r="D138">
        <v>23.959999</v>
      </c>
      <c r="E138">
        <v>24.139999</v>
      </c>
      <c r="G138" s="9">
        <v>38579</v>
      </c>
      <c r="H138">
        <v>24.4</v>
      </c>
      <c r="I138">
        <v>24.530000999999999</v>
      </c>
      <c r="J138">
        <v>23.959999</v>
      </c>
    </row>
    <row r="139" spans="1:10" x14ac:dyDescent="0.25">
      <c r="A139" s="9">
        <v>38586</v>
      </c>
      <c r="B139">
        <v>24.139999</v>
      </c>
      <c r="C139">
        <v>24.299999</v>
      </c>
      <c r="D139">
        <v>23.58</v>
      </c>
      <c r="E139">
        <v>23.709999</v>
      </c>
      <c r="G139" s="9">
        <v>38586</v>
      </c>
      <c r="H139">
        <v>24.139999</v>
      </c>
      <c r="I139">
        <v>24.299999</v>
      </c>
      <c r="J139">
        <v>23.58</v>
      </c>
    </row>
    <row r="140" spans="1:10" x14ac:dyDescent="0.25">
      <c r="A140" s="9">
        <v>38593</v>
      </c>
      <c r="B140">
        <v>23.6</v>
      </c>
      <c r="C140">
        <v>24.16</v>
      </c>
      <c r="D140">
        <v>23.559999000000001</v>
      </c>
      <c r="E140">
        <v>23.870000999999998</v>
      </c>
      <c r="G140" s="9">
        <v>38593</v>
      </c>
      <c r="H140">
        <v>23.6</v>
      </c>
      <c r="I140">
        <v>24.16</v>
      </c>
      <c r="J140">
        <v>23.559999000000001</v>
      </c>
    </row>
    <row r="141" spans="1:10" x14ac:dyDescent="0.25">
      <c r="A141" s="9">
        <v>38600</v>
      </c>
      <c r="B141">
        <v>24</v>
      </c>
      <c r="C141">
        <v>24.24</v>
      </c>
      <c r="D141">
        <v>23.93</v>
      </c>
      <c r="E141">
        <v>24.049999</v>
      </c>
      <c r="G141" s="9">
        <v>38600</v>
      </c>
      <c r="H141">
        <v>24</v>
      </c>
      <c r="I141">
        <v>24.24</v>
      </c>
      <c r="J141">
        <v>23.93</v>
      </c>
    </row>
    <row r="142" spans="1:10" x14ac:dyDescent="0.25">
      <c r="A142" s="9">
        <v>38607</v>
      </c>
      <c r="B142">
        <v>23.99</v>
      </c>
      <c r="C142">
        <v>24.360001</v>
      </c>
      <c r="D142">
        <v>23.6</v>
      </c>
      <c r="E142">
        <v>24.23</v>
      </c>
      <c r="G142" s="9">
        <v>38607</v>
      </c>
      <c r="H142">
        <v>23.99</v>
      </c>
      <c r="I142">
        <v>24.360001</v>
      </c>
      <c r="J142">
        <v>23.6</v>
      </c>
    </row>
    <row r="143" spans="1:10" x14ac:dyDescent="0.25">
      <c r="A143" s="9">
        <v>38614</v>
      </c>
      <c r="B143">
        <v>24.02</v>
      </c>
      <c r="C143">
        <v>24.24</v>
      </c>
      <c r="D143">
        <v>23.700001</v>
      </c>
      <c r="E143">
        <v>23.77</v>
      </c>
      <c r="G143" s="9">
        <v>38614</v>
      </c>
      <c r="H143">
        <v>24.02</v>
      </c>
      <c r="I143">
        <v>24.24</v>
      </c>
      <c r="J143">
        <v>23.700001</v>
      </c>
    </row>
    <row r="144" spans="1:10" x14ac:dyDescent="0.25">
      <c r="A144" s="9">
        <v>38621</v>
      </c>
      <c r="B144">
        <v>23.91</v>
      </c>
      <c r="C144">
        <v>24.1</v>
      </c>
      <c r="D144">
        <v>23.5</v>
      </c>
      <c r="E144">
        <v>23.969999000000001</v>
      </c>
      <c r="G144" s="9">
        <v>38621</v>
      </c>
      <c r="H144">
        <v>23.91</v>
      </c>
      <c r="I144">
        <v>24.1</v>
      </c>
      <c r="J144">
        <v>23.5</v>
      </c>
    </row>
    <row r="145" spans="1:10" x14ac:dyDescent="0.25">
      <c r="A145" s="9">
        <v>38628</v>
      </c>
      <c r="B145">
        <v>23.92</v>
      </c>
      <c r="C145">
        <v>24.139999</v>
      </c>
      <c r="D145">
        <v>22.75</v>
      </c>
      <c r="E145">
        <v>22.75</v>
      </c>
      <c r="G145" s="9">
        <v>38628</v>
      </c>
      <c r="H145">
        <v>23.92</v>
      </c>
      <c r="I145">
        <v>24.139999</v>
      </c>
      <c r="J145">
        <v>22.75</v>
      </c>
    </row>
    <row r="146" spans="1:10" x14ac:dyDescent="0.25">
      <c r="A146" s="9">
        <v>38635</v>
      </c>
      <c r="B146">
        <v>23.110001</v>
      </c>
      <c r="C146">
        <v>23.780000999999999</v>
      </c>
      <c r="D146">
        <v>21.790001</v>
      </c>
      <c r="E146">
        <v>22.200001</v>
      </c>
      <c r="G146" s="9">
        <v>38635</v>
      </c>
      <c r="H146">
        <v>23.110001</v>
      </c>
      <c r="I146">
        <v>23.780000999999999</v>
      </c>
      <c r="J146">
        <v>21.790001</v>
      </c>
    </row>
    <row r="147" spans="1:10" x14ac:dyDescent="0.25">
      <c r="A147" s="9">
        <v>38642</v>
      </c>
      <c r="B147">
        <v>22.129999000000002</v>
      </c>
      <c r="C147">
        <v>23.25</v>
      </c>
      <c r="D147">
        <v>22</v>
      </c>
      <c r="E147">
        <v>23</v>
      </c>
      <c r="G147" s="9">
        <v>38642</v>
      </c>
      <c r="H147">
        <v>22.129999000000002</v>
      </c>
      <c r="I147">
        <v>23.25</v>
      </c>
      <c r="J147">
        <v>22</v>
      </c>
    </row>
    <row r="148" spans="1:10" x14ac:dyDescent="0.25">
      <c r="A148" s="9">
        <v>38649</v>
      </c>
      <c r="B148">
        <v>23.200001</v>
      </c>
      <c r="C148">
        <v>23.959999</v>
      </c>
      <c r="D148">
        <v>23.129999000000002</v>
      </c>
      <c r="E148">
        <v>23.889999</v>
      </c>
      <c r="G148" s="9">
        <v>38649</v>
      </c>
      <c r="H148">
        <v>23.200001</v>
      </c>
      <c r="I148">
        <v>23.959999</v>
      </c>
      <c r="J148">
        <v>23.129999000000002</v>
      </c>
    </row>
    <row r="149" spans="1:10" x14ac:dyDescent="0.25">
      <c r="A149" s="9">
        <v>38656</v>
      </c>
      <c r="B149">
        <v>23.85</v>
      </c>
      <c r="C149">
        <v>24.049999</v>
      </c>
      <c r="D149">
        <v>23.35</v>
      </c>
      <c r="E149">
        <v>23.66</v>
      </c>
      <c r="G149" s="9">
        <v>38656</v>
      </c>
      <c r="H149">
        <v>23.85</v>
      </c>
      <c r="I149">
        <v>24.049999</v>
      </c>
      <c r="J149">
        <v>23.35</v>
      </c>
    </row>
    <row r="150" spans="1:10" x14ac:dyDescent="0.25">
      <c r="A150" s="9">
        <v>38663</v>
      </c>
      <c r="B150">
        <v>23.639999</v>
      </c>
      <c r="C150">
        <v>24</v>
      </c>
      <c r="D150">
        <v>23.35</v>
      </c>
      <c r="E150">
        <v>23.950001</v>
      </c>
      <c r="G150" s="9">
        <v>38663</v>
      </c>
      <c r="H150">
        <v>23.639999</v>
      </c>
      <c r="I150">
        <v>24</v>
      </c>
      <c r="J150">
        <v>23.35</v>
      </c>
    </row>
    <row r="151" spans="1:10" x14ac:dyDescent="0.25">
      <c r="A151" s="9">
        <v>38670</v>
      </c>
      <c r="B151">
        <v>24</v>
      </c>
      <c r="C151">
        <v>24.58</v>
      </c>
      <c r="D151">
        <v>23.75</v>
      </c>
      <c r="E151">
        <v>24.379999000000002</v>
      </c>
      <c r="G151" s="9">
        <v>38670</v>
      </c>
      <c r="H151">
        <v>24</v>
      </c>
      <c r="I151">
        <v>24.58</v>
      </c>
      <c r="J151">
        <v>23.75</v>
      </c>
    </row>
    <row r="152" spans="1:10" x14ac:dyDescent="0.25">
      <c r="A152" s="9">
        <v>38677</v>
      </c>
      <c r="B152">
        <v>24.34</v>
      </c>
      <c r="C152">
        <v>24.99</v>
      </c>
      <c r="D152">
        <v>24</v>
      </c>
      <c r="E152">
        <v>24.77</v>
      </c>
      <c r="G152" s="9">
        <v>38677</v>
      </c>
      <c r="H152">
        <v>24.34</v>
      </c>
      <c r="I152">
        <v>24.99</v>
      </c>
      <c r="J152">
        <v>24</v>
      </c>
    </row>
    <row r="153" spans="1:10" x14ac:dyDescent="0.25">
      <c r="A153" s="9">
        <v>38684</v>
      </c>
      <c r="B153">
        <v>24.950001</v>
      </c>
      <c r="C153">
        <v>25.52</v>
      </c>
      <c r="D153">
        <v>24.77</v>
      </c>
      <c r="E153">
        <v>25.07</v>
      </c>
      <c r="G153" s="9">
        <v>38684</v>
      </c>
      <c r="H153">
        <v>24.950001</v>
      </c>
      <c r="I153">
        <v>25.52</v>
      </c>
      <c r="J153">
        <v>24.77</v>
      </c>
    </row>
    <row r="154" spans="1:10" x14ac:dyDescent="0.25">
      <c r="A154" s="9">
        <v>38691</v>
      </c>
      <c r="B154">
        <v>25.07</v>
      </c>
      <c r="C154">
        <v>25.6</v>
      </c>
      <c r="D154">
        <v>24.690000999999999</v>
      </c>
      <c r="E154">
        <v>24.9</v>
      </c>
      <c r="G154" s="9">
        <v>38691</v>
      </c>
      <c r="H154">
        <v>25.07</v>
      </c>
      <c r="I154">
        <v>25.6</v>
      </c>
      <c r="J154">
        <v>24.690000999999999</v>
      </c>
    </row>
    <row r="155" spans="1:10" x14ac:dyDescent="0.25">
      <c r="A155" s="9">
        <v>38698</v>
      </c>
      <c r="B155">
        <v>24.879999000000002</v>
      </c>
      <c r="C155">
        <v>25.26</v>
      </c>
      <c r="D155">
        <v>24.639999</v>
      </c>
      <c r="E155">
        <v>24.959999</v>
      </c>
      <c r="G155" s="9">
        <v>38698</v>
      </c>
      <c r="H155">
        <v>24.879999000000002</v>
      </c>
      <c r="I155">
        <v>25.26</v>
      </c>
      <c r="J155">
        <v>24.639999</v>
      </c>
    </row>
    <row r="156" spans="1:10" x14ac:dyDescent="0.25">
      <c r="A156" s="9">
        <v>38705</v>
      </c>
      <c r="B156">
        <v>24.76</v>
      </c>
      <c r="C156">
        <v>24.959999</v>
      </c>
      <c r="D156">
        <v>24.309999000000001</v>
      </c>
      <c r="E156">
        <v>24.629999000000002</v>
      </c>
      <c r="G156" s="9">
        <v>38705</v>
      </c>
      <c r="H156">
        <v>24.76</v>
      </c>
      <c r="I156">
        <v>24.959999</v>
      </c>
      <c r="J156">
        <v>24.309999000000001</v>
      </c>
    </row>
    <row r="157" spans="1:10" x14ac:dyDescent="0.25">
      <c r="A157" s="9">
        <v>38712</v>
      </c>
      <c r="B157">
        <v>24.799999</v>
      </c>
      <c r="C157">
        <v>24.85</v>
      </c>
      <c r="D157">
        <v>24.280000999999999</v>
      </c>
      <c r="E157">
        <v>24.49</v>
      </c>
      <c r="G157" s="9">
        <v>38712</v>
      </c>
      <c r="H157">
        <v>24.799999</v>
      </c>
      <c r="I157">
        <v>24.85</v>
      </c>
      <c r="J157">
        <v>24.280000999999999</v>
      </c>
    </row>
    <row r="158" spans="1:10" x14ac:dyDescent="0.25">
      <c r="A158" s="9">
        <v>38719</v>
      </c>
      <c r="B158">
        <v>24.49</v>
      </c>
      <c r="C158">
        <v>25.1</v>
      </c>
      <c r="D158">
        <v>24.24</v>
      </c>
      <c r="E158">
        <v>24.93</v>
      </c>
      <c r="G158" s="9">
        <v>38719</v>
      </c>
      <c r="H158">
        <v>24.49</v>
      </c>
      <c r="I158">
        <v>25.1</v>
      </c>
      <c r="J158">
        <v>24.24</v>
      </c>
    </row>
    <row r="159" spans="1:10" x14ac:dyDescent="0.25">
      <c r="A159" s="9">
        <v>38726</v>
      </c>
      <c r="B159">
        <v>24.780000999999999</v>
      </c>
      <c r="C159">
        <v>25.200001</v>
      </c>
      <c r="D159">
        <v>24.690000999999999</v>
      </c>
      <c r="E159">
        <v>24.99</v>
      </c>
      <c r="G159" s="9">
        <v>38726</v>
      </c>
      <c r="H159">
        <v>24.780000999999999</v>
      </c>
      <c r="I159">
        <v>25.200001</v>
      </c>
      <c r="J159">
        <v>24.690000999999999</v>
      </c>
    </row>
    <row r="160" spans="1:10" x14ac:dyDescent="0.25">
      <c r="A160" s="9">
        <v>38733</v>
      </c>
      <c r="B160">
        <v>24.799999</v>
      </c>
      <c r="C160">
        <v>24.98</v>
      </c>
      <c r="D160">
        <v>24.610001</v>
      </c>
      <c r="E160">
        <v>24.709999</v>
      </c>
      <c r="G160" s="9">
        <v>38733</v>
      </c>
      <c r="H160">
        <v>24.799999</v>
      </c>
      <c r="I160">
        <v>24.98</v>
      </c>
      <c r="J160">
        <v>24.610001</v>
      </c>
    </row>
    <row r="161" spans="1:10" x14ac:dyDescent="0.25">
      <c r="A161" s="9">
        <v>38740</v>
      </c>
      <c r="B161">
        <v>24.68</v>
      </c>
      <c r="C161">
        <v>26</v>
      </c>
      <c r="D161">
        <v>24.389999</v>
      </c>
      <c r="E161">
        <v>25.889999</v>
      </c>
      <c r="G161" s="9">
        <v>38740</v>
      </c>
      <c r="H161">
        <v>24.68</v>
      </c>
      <c r="I161">
        <v>26</v>
      </c>
      <c r="J161">
        <v>24.389999</v>
      </c>
    </row>
    <row r="162" spans="1:10" x14ac:dyDescent="0.25">
      <c r="A162" s="9">
        <v>38747</v>
      </c>
      <c r="B162">
        <v>25.870000999999998</v>
      </c>
      <c r="C162">
        <v>26.93</v>
      </c>
      <c r="D162">
        <v>25.85</v>
      </c>
      <c r="E162">
        <v>26.790001</v>
      </c>
      <c r="G162" s="9">
        <v>38747</v>
      </c>
      <c r="H162">
        <v>25.870000999999998</v>
      </c>
      <c r="I162">
        <v>26.93</v>
      </c>
      <c r="J162">
        <v>25.85</v>
      </c>
    </row>
    <row r="163" spans="1:10" x14ac:dyDescent="0.25">
      <c r="A163" s="9">
        <v>38754</v>
      </c>
      <c r="B163">
        <v>26.799999</v>
      </c>
      <c r="C163">
        <v>27.620000999999998</v>
      </c>
      <c r="D163">
        <v>26.67</v>
      </c>
      <c r="E163">
        <v>27.48</v>
      </c>
      <c r="G163" s="9">
        <v>38754</v>
      </c>
      <c r="H163">
        <v>26.799999</v>
      </c>
      <c r="I163">
        <v>27.620000999999998</v>
      </c>
      <c r="J163">
        <v>26.67</v>
      </c>
    </row>
    <row r="164" spans="1:10" x14ac:dyDescent="0.25">
      <c r="A164" s="9">
        <v>38761</v>
      </c>
      <c r="B164">
        <v>27.6</v>
      </c>
      <c r="C164">
        <v>28.82</v>
      </c>
      <c r="D164">
        <v>27.450001</v>
      </c>
      <c r="E164">
        <v>28.280000999999999</v>
      </c>
      <c r="G164" s="9">
        <v>38761</v>
      </c>
      <c r="H164">
        <v>27.6</v>
      </c>
      <c r="I164">
        <v>28.82</v>
      </c>
      <c r="J164">
        <v>27.450001</v>
      </c>
    </row>
    <row r="165" spans="1:10" x14ac:dyDescent="0.25">
      <c r="A165" s="9">
        <v>38768</v>
      </c>
      <c r="B165">
        <v>28.25</v>
      </c>
      <c r="C165">
        <v>28.469999000000001</v>
      </c>
      <c r="D165">
        <v>27.42</v>
      </c>
      <c r="E165">
        <v>27.57</v>
      </c>
      <c r="G165" s="9">
        <v>38768</v>
      </c>
      <c r="H165">
        <v>28.25</v>
      </c>
      <c r="I165">
        <v>28.469999000000001</v>
      </c>
      <c r="J165">
        <v>27.42</v>
      </c>
    </row>
    <row r="166" spans="1:10" x14ac:dyDescent="0.25">
      <c r="A166" s="9">
        <v>38775</v>
      </c>
      <c r="B166">
        <v>27.52</v>
      </c>
      <c r="C166">
        <v>28.389999</v>
      </c>
      <c r="D166">
        <v>27.48</v>
      </c>
      <c r="E166">
        <v>27.99</v>
      </c>
      <c r="G166" s="9">
        <v>38775</v>
      </c>
      <c r="H166">
        <v>27.52</v>
      </c>
      <c r="I166">
        <v>28.389999</v>
      </c>
      <c r="J166">
        <v>27.48</v>
      </c>
    </row>
    <row r="167" spans="1:10" x14ac:dyDescent="0.25">
      <c r="A167" s="9">
        <v>38782</v>
      </c>
      <c r="B167">
        <v>27.34</v>
      </c>
      <c r="C167">
        <v>27.700001</v>
      </c>
      <c r="D167">
        <v>26.110001</v>
      </c>
      <c r="E167">
        <v>27.23</v>
      </c>
      <c r="G167" s="9">
        <v>38782</v>
      </c>
      <c r="H167">
        <v>27.34</v>
      </c>
      <c r="I167">
        <v>27.700001</v>
      </c>
      <c r="J167">
        <v>26.110001</v>
      </c>
    </row>
    <row r="168" spans="1:10" x14ac:dyDescent="0.25">
      <c r="A168" s="9">
        <v>38789</v>
      </c>
      <c r="B168">
        <v>27.24</v>
      </c>
      <c r="C168">
        <v>27.41</v>
      </c>
      <c r="D168">
        <v>26.870000999999998</v>
      </c>
      <c r="E168">
        <v>27</v>
      </c>
      <c r="G168" s="9">
        <v>38789</v>
      </c>
      <c r="H168">
        <v>27.24</v>
      </c>
      <c r="I168">
        <v>27.41</v>
      </c>
      <c r="J168">
        <v>26.870000999999998</v>
      </c>
    </row>
    <row r="169" spans="1:10" x14ac:dyDescent="0.25">
      <c r="A169" s="9">
        <v>38796</v>
      </c>
      <c r="B169">
        <v>27.16</v>
      </c>
      <c r="C169">
        <v>27.4</v>
      </c>
      <c r="D169">
        <v>26.32</v>
      </c>
      <c r="E169">
        <v>27.370000999999998</v>
      </c>
      <c r="G169" s="9">
        <v>38796</v>
      </c>
      <c r="H169">
        <v>27.16</v>
      </c>
      <c r="I169">
        <v>27.4</v>
      </c>
      <c r="J169">
        <v>26.32</v>
      </c>
    </row>
    <row r="170" spans="1:10" x14ac:dyDescent="0.25">
      <c r="A170" s="9">
        <v>38803</v>
      </c>
      <c r="B170">
        <v>27.370000999999998</v>
      </c>
      <c r="C170">
        <v>27.42</v>
      </c>
      <c r="D170">
        <v>26.940000999999999</v>
      </c>
      <c r="E170">
        <v>27.040001</v>
      </c>
      <c r="G170" s="9">
        <v>38803</v>
      </c>
      <c r="H170">
        <v>27.370000999999998</v>
      </c>
      <c r="I170">
        <v>27.42</v>
      </c>
      <c r="J170">
        <v>26.940000999999999</v>
      </c>
    </row>
    <row r="171" spans="1:10" x14ac:dyDescent="0.25">
      <c r="A171" s="9">
        <v>38810</v>
      </c>
      <c r="B171">
        <v>27.23</v>
      </c>
      <c r="C171">
        <v>27.25</v>
      </c>
      <c r="D171">
        <v>26.110001</v>
      </c>
      <c r="E171">
        <v>26.16</v>
      </c>
      <c r="G171" s="9">
        <v>38810</v>
      </c>
      <c r="H171">
        <v>27.23</v>
      </c>
      <c r="I171">
        <v>27.25</v>
      </c>
      <c r="J171">
        <v>26.110001</v>
      </c>
    </row>
    <row r="172" spans="1:10" x14ac:dyDescent="0.25">
      <c r="A172" s="9">
        <v>38817</v>
      </c>
      <c r="B172">
        <v>26.18</v>
      </c>
      <c r="C172">
        <v>26.190000999999999</v>
      </c>
      <c r="D172">
        <v>25.440000999999999</v>
      </c>
      <c r="E172">
        <v>25.58</v>
      </c>
      <c r="G172" s="9">
        <v>38817</v>
      </c>
      <c r="H172">
        <v>26.18</v>
      </c>
      <c r="I172">
        <v>26.190000999999999</v>
      </c>
      <c r="J172">
        <v>25.440000999999999</v>
      </c>
    </row>
    <row r="173" spans="1:10" x14ac:dyDescent="0.25">
      <c r="A173" s="9">
        <v>38824</v>
      </c>
      <c r="B173">
        <v>25.6</v>
      </c>
      <c r="C173">
        <v>26.08</v>
      </c>
      <c r="D173">
        <v>25.299999</v>
      </c>
      <c r="E173">
        <v>25.35</v>
      </c>
      <c r="G173" s="9">
        <v>38824</v>
      </c>
      <c r="H173">
        <v>25.6</v>
      </c>
      <c r="I173">
        <v>26.08</v>
      </c>
      <c r="J173">
        <v>25.299999</v>
      </c>
    </row>
    <row r="174" spans="1:10" x14ac:dyDescent="0.25">
      <c r="A174" s="9">
        <v>38831</v>
      </c>
      <c r="B174">
        <v>25.35</v>
      </c>
      <c r="C174">
        <v>26.459999</v>
      </c>
      <c r="D174">
        <v>25.15</v>
      </c>
      <c r="E174">
        <v>26.209999</v>
      </c>
      <c r="G174" s="9">
        <v>38831</v>
      </c>
      <c r="H174">
        <v>25.35</v>
      </c>
      <c r="I174">
        <v>26.459999</v>
      </c>
      <c r="J174">
        <v>25.15</v>
      </c>
    </row>
    <row r="175" spans="1:10" x14ac:dyDescent="0.25">
      <c r="A175" s="9">
        <v>38838</v>
      </c>
      <c r="B175">
        <v>26.389999</v>
      </c>
      <c r="C175">
        <v>26.459999</v>
      </c>
      <c r="D175">
        <v>25.85</v>
      </c>
      <c r="E175">
        <v>25.969999000000001</v>
      </c>
      <c r="G175" s="9">
        <v>38838</v>
      </c>
      <c r="H175">
        <v>26.389999</v>
      </c>
      <c r="I175">
        <v>26.459999</v>
      </c>
      <c r="J175">
        <v>25.85</v>
      </c>
    </row>
    <row r="176" spans="1:10" x14ac:dyDescent="0.25">
      <c r="A176" s="9">
        <v>38845</v>
      </c>
      <c r="B176">
        <v>26.1</v>
      </c>
      <c r="C176">
        <v>26.379999000000002</v>
      </c>
      <c r="D176">
        <v>25.620000999999998</v>
      </c>
      <c r="E176">
        <v>25.620000999999998</v>
      </c>
      <c r="G176" s="9">
        <v>38845</v>
      </c>
      <c r="H176">
        <v>26.1</v>
      </c>
      <c r="I176">
        <v>26.379999000000002</v>
      </c>
      <c r="J176">
        <v>25.620000999999998</v>
      </c>
    </row>
    <row r="177" spans="1:10" x14ac:dyDescent="0.25">
      <c r="A177" s="9">
        <v>38852</v>
      </c>
      <c r="B177">
        <v>25.690000999999999</v>
      </c>
      <c r="C177">
        <v>25.889999</v>
      </c>
      <c r="D177">
        <v>24.719999000000001</v>
      </c>
      <c r="E177">
        <v>25.280000999999999</v>
      </c>
      <c r="G177" s="9">
        <v>38852</v>
      </c>
      <c r="H177">
        <v>25.690000999999999</v>
      </c>
      <c r="I177">
        <v>25.889999</v>
      </c>
      <c r="J177">
        <v>24.719999000000001</v>
      </c>
    </row>
    <row r="178" spans="1:10" x14ac:dyDescent="0.25">
      <c r="A178" s="9">
        <v>38859</v>
      </c>
      <c r="B178">
        <v>25.290001</v>
      </c>
      <c r="C178">
        <v>26.280000999999999</v>
      </c>
      <c r="D178">
        <v>25.01</v>
      </c>
      <c r="E178">
        <v>26.23</v>
      </c>
      <c r="G178" s="9">
        <v>38859</v>
      </c>
      <c r="H178">
        <v>25.290001</v>
      </c>
      <c r="I178">
        <v>26.280000999999999</v>
      </c>
      <c r="J178">
        <v>25.01</v>
      </c>
    </row>
    <row r="179" spans="1:10" x14ac:dyDescent="0.25">
      <c r="A179" s="9">
        <v>38866</v>
      </c>
      <c r="B179">
        <v>26.450001</v>
      </c>
      <c r="C179">
        <v>26.959999</v>
      </c>
      <c r="D179">
        <v>25.68</v>
      </c>
      <c r="E179">
        <v>26.73</v>
      </c>
      <c r="G179" s="9">
        <v>38866</v>
      </c>
      <c r="H179">
        <v>26.450001</v>
      </c>
      <c r="I179">
        <v>26.959999</v>
      </c>
      <c r="J179">
        <v>25.68</v>
      </c>
    </row>
    <row r="180" spans="1:10" x14ac:dyDescent="0.25">
      <c r="A180" s="9">
        <v>38873</v>
      </c>
      <c r="B180">
        <v>26.65</v>
      </c>
      <c r="C180">
        <v>27.08</v>
      </c>
      <c r="D180">
        <v>26.15</v>
      </c>
      <c r="E180">
        <v>26.620000999999998</v>
      </c>
      <c r="G180" s="9">
        <v>38873</v>
      </c>
      <c r="H180">
        <v>26.65</v>
      </c>
      <c r="I180">
        <v>27.08</v>
      </c>
      <c r="J180">
        <v>26.15</v>
      </c>
    </row>
    <row r="181" spans="1:10" x14ac:dyDescent="0.25">
      <c r="A181" s="9">
        <v>38880</v>
      </c>
      <c r="B181">
        <v>26.690000999999999</v>
      </c>
      <c r="C181">
        <v>27.9</v>
      </c>
      <c r="D181">
        <v>26.59</v>
      </c>
      <c r="E181">
        <v>27.790001</v>
      </c>
      <c r="G181" s="9">
        <v>38880</v>
      </c>
      <c r="H181">
        <v>26.690000999999999</v>
      </c>
      <c r="I181">
        <v>27.9</v>
      </c>
      <c r="J181">
        <v>26.59</v>
      </c>
    </row>
    <row r="182" spans="1:10" x14ac:dyDescent="0.25">
      <c r="A182" s="9">
        <v>38887</v>
      </c>
      <c r="B182">
        <v>27.82</v>
      </c>
      <c r="C182">
        <v>28.030000999999999</v>
      </c>
      <c r="D182">
        <v>27.049999</v>
      </c>
      <c r="E182">
        <v>27.370000999999998</v>
      </c>
      <c r="G182" s="9">
        <v>38887</v>
      </c>
      <c r="H182">
        <v>27.82</v>
      </c>
      <c r="I182">
        <v>28.030000999999999</v>
      </c>
      <c r="J182">
        <v>27.049999</v>
      </c>
    </row>
    <row r="183" spans="1:10" x14ac:dyDescent="0.25">
      <c r="A183" s="9">
        <v>38894</v>
      </c>
      <c r="B183">
        <v>27.32</v>
      </c>
      <c r="C183">
        <v>27.959999</v>
      </c>
      <c r="D183">
        <v>27.190000999999999</v>
      </c>
      <c r="E183">
        <v>27.889999</v>
      </c>
      <c r="G183" s="9">
        <v>38894</v>
      </c>
      <c r="H183">
        <v>27.32</v>
      </c>
      <c r="I183">
        <v>27.959999</v>
      </c>
      <c r="J183">
        <v>27.190000999999999</v>
      </c>
    </row>
    <row r="184" spans="1:10" x14ac:dyDescent="0.25">
      <c r="A184" s="9">
        <v>38901</v>
      </c>
      <c r="B184">
        <v>28.1</v>
      </c>
      <c r="C184">
        <v>28.15</v>
      </c>
      <c r="D184">
        <v>27.450001</v>
      </c>
      <c r="E184">
        <v>27.74</v>
      </c>
      <c r="G184" s="9">
        <v>38901</v>
      </c>
      <c r="H184">
        <v>28.1</v>
      </c>
      <c r="I184">
        <v>28.15</v>
      </c>
      <c r="J184">
        <v>27.450001</v>
      </c>
    </row>
    <row r="185" spans="1:10" x14ac:dyDescent="0.25">
      <c r="A185" s="9">
        <v>38908</v>
      </c>
      <c r="B185">
        <v>27.82</v>
      </c>
      <c r="C185">
        <v>27.969999000000001</v>
      </c>
      <c r="D185">
        <v>26.35</v>
      </c>
      <c r="E185">
        <v>26.58</v>
      </c>
      <c r="G185" s="9">
        <v>38908</v>
      </c>
      <c r="H185">
        <v>27.82</v>
      </c>
      <c r="I185">
        <v>27.969999000000001</v>
      </c>
      <c r="J185">
        <v>26.35</v>
      </c>
    </row>
    <row r="186" spans="1:10" x14ac:dyDescent="0.25">
      <c r="A186" s="9">
        <v>38915</v>
      </c>
      <c r="B186">
        <v>26.58</v>
      </c>
      <c r="C186">
        <v>27.76</v>
      </c>
      <c r="D186">
        <v>26.58</v>
      </c>
      <c r="E186">
        <v>27.34</v>
      </c>
      <c r="G186" s="9">
        <v>38915</v>
      </c>
      <c r="H186">
        <v>26.58</v>
      </c>
      <c r="I186">
        <v>27.76</v>
      </c>
      <c r="J186">
        <v>26.58</v>
      </c>
    </row>
    <row r="187" spans="1:10" x14ac:dyDescent="0.25">
      <c r="A187" s="9">
        <v>38922</v>
      </c>
      <c r="B187">
        <v>27.4</v>
      </c>
      <c r="C187">
        <v>30.4</v>
      </c>
      <c r="D187">
        <v>27.309999000000001</v>
      </c>
      <c r="E187">
        <v>30.059999000000001</v>
      </c>
      <c r="G187" s="9">
        <v>38922</v>
      </c>
      <c r="H187">
        <v>27.4</v>
      </c>
      <c r="I187">
        <v>30.4</v>
      </c>
      <c r="J187">
        <v>27.309999000000001</v>
      </c>
    </row>
    <row r="188" spans="1:10" x14ac:dyDescent="0.25">
      <c r="A188" s="9">
        <v>38929</v>
      </c>
      <c r="B188">
        <v>29.870000999999998</v>
      </c>
      <c r="C188">
        <v>31.08</v>
      </c>
      <c r="D188">
        <v>29.42</v>
      </c>
      <c r="E188">
        <v>30.969999000000001</v>
      </c>
      <c r="G188" s="9">
        <v>38929</v>
      </c>
      <c r="H188">
        <v>29.870000999999998</v>
      </c>
      <c r="I188">
        <v>31.08</v>
      </c>
      <c r="J188">
        <v>29.42</v>
      </c>
    </row>
    <row r="189" spans="1:10" x14ac:dyDescent="0.25">
      <c r="A189" s="9">
        <v>38936</v>
      </c>
      <c r="B189">
        <v>30.84</v>
      </c>
      <c r="C189">
        <v>31.16</v>
      </c>
      <c r="D189">
        <v>29.82</v>
      </c>
      <c r="E189">
        <v>30.219999000000001</v>
      </c>
      <c r="G189" s="9">
        <v>38936</v>
      </c>
      <c r="H189">
        <v>30.84</v>
      </c>
      <c r="I189">
        <v>31.16</v>
      </c>
      <c r="J189">
        <v>29.82</v>
      </c>
    </row>
    <row r="190" spans="1:10" x14ac:dyDescent="0.25">
      <c r="A190" s="9">
        <v>38943</v>
      </c>
      <c r="B190">
        <v>30.459999</v>
      </c>
      <c r="C190">
        <v>30.879999000000002</v>
      </c>
      <c r="D190">
        <v>29.92</v>
      </c>
      <c r="E190">
        <v>30.51</v>
      </c>
      <c r="G190" s="9">
        <v>38943</v>
      </c>
      <c r="H190">
        <v>30.459999</v>
      </c>
      <c r="I190">
        <v>30.879999000000002</v>
      </c>
      <c r="J190">
        <v>29.92</v>
      </c>
    </row>
    <row r="191" spans="1:10" x14ac:dyDescent="0.25">
      <c r="A191" s="9">
        <v>38950</v>
      </c>
      <c r="B191">
        <v>30.549999</v>
      </c>
      <c r="C191">
        <v>30.83</v>
      </c>
      <c r="D191">
        <v>30.299999</v>
      </c>
      <c r="E191">
        <v>30.629999000000002</v>
      </c>
      <c r="G191" s="9">
        <v>38950</v>
      </c>
      <c r="H191">
        <v>30.549999</v>
      </c>
      <c r="I191">
        <v>30.83</v>
      </c>
      <c r="J191">
        <v>30.299999</v>
      </c>
    </row>
    <row r="192" spans="1:10" x14ac:dyDescent="0.25">
      <c r="A192" s="9">
        <v>38957</v>
      </c>
      <c r="B192">
        <v>30.67</v>
      </c>
      <c r="C192">
        <v>31.82</v>
      </c>
      <c r="D192">
        <v>30.540001</v>
      </c>
      <c r="E192">
        <v>31.610001</v>
      </c>
      <c r="G192" s="9">
        <v>38957</v>
      </c>
      <c r="H192">
        <v>30.67</v>
      </c>
      <c r="I192">
        <v>31.82</v>
      </c>
      <c r="J192">
        <v>30.540001</v>
      </c>
    </row>
    <row r="193" spans="1:10" x14ac:dyDescent="0.25">
      <c r="A193" s="9">
        <v>38964</v>
      </c>
      <c r="B193">
        <v>31.76</v>
      </c>
      <c r="C193">
        <v>31.809999000000001</v>
      </c>
      <c r="D193">
        <v>31.09</v>
      </c>
      <c r="E193">
        <v>31.35</v>
      </c>
      <c r="G193" s="9">
        <v>38964</v>
      </c>
      <c r="H193">
        <v>31.76</v>
      </c>
      <c r="I193">
        <v>31.809999000000001</v>
      </c>
      <c r="J193">
        <v>31.09</v>
      </c>
    </row>
    <row r="194" spans="1:10" x14ac:dyDescent="0.25">
      <c r="A194" s="9">
        <v>38971</v>
      </c>
      <c r="B194">
        <v>31.4</v>
      </c>
      <c r="C194">
        <v>32.349997999999999</v>
      </c>
      <c r="D194">
        <v>31.290001</v>
      </c>
      <c r="E194">
        <v>31.860001</v>
      </c>
      <c r="G194" s="9">
        <v>38971</v>
      </c>
      <c r="H194">
        <v>31.4</v>
      </c>
      <c r="I194">
        <v>32.349997999999999</v>
      </c>
      <c r="J194">
        <v>31.290001</v>
      </c>
    </row>
    <row r="195" spans="1:10" x14ac:dyDescent="0.25">
      <c r="A195" s="9">
        <v>38978</v>
      </c>
      <c r="B195">
        <v>31.940000999999999</v>
      </c>
      <c r="C195">
        <v>33.029998999999997</v>
      </c>
      <c r="D195">
        <v>31.23</v>
      </c>
      <c r="E195">
        <v>32.900002000000001</v>
      </c>
      <c r="G195" s="9">
        <v>38978</v>
      </c>
      <c r="H195">
        <v>31.940000999999999</v>
      </c>
      <c r="I195">
        <v>33.029998999999997</v>
      </c>
      <c r="J195">
        <v>31.23</v>
      </c>
    </row>
    <row r="196" spans="1:10" x14ac:dyDescent="0.25">
      <c r="A196" s="9">
        <v>38985</v>
      </c>
      <c r="B196">
        <v>33.229999999999997</v>
      </c>
      <c r="C196">
        <v>33.759998000000003</v>
      </c>
      <c r="D196">
        <v>32.099997999999999</v>
      </c>
      <c r="E196">
        <v>32.560001</v>
      </c>
      <c r="G196" s="9">
        <v>38985</v>
      </c>
      <c r="H196">
        <v>33.229999999999997</v>
      </c>
      <c r="I196">
        <v>33.759998000000003</v>
      </c>
      <c r="J196">
        <v>32.099997999999999</v>
      </c>
    </row>
    <row r="197" spans="1:10" x14ac:dyDescent="0.25">
      <c r="A197" s="9">
        <v>38992</v>
      </c>
      <c r="B197">
        <v>32.560001</v>
      </c>
      <c r="C197">
        <v>32.93</v>
      </c>
      <c r="D197">
        <v>31.57</v>
      </c>
      <c r="E197">
        <v>31.780000999999999</v>
      </c>
      <c r="G197" s="9">
        <v>38992</v>
      </c>
      <c r="H197">
        <v>32.560001</v>
      </c>
      <c r="I197">
        <v>32.93</v>
      </c>
      <c r="J197">
        <v>31.57</v>
      </c>
    </row>
    <row r="198" spans="1:10" x14ac:dyDescent="0.25">
      <c r="A198" s="9">
        <v>38999</v>
      </c>
      <c r="B198">
        <v>32.049999</v>
      </c>
      <c r="C198">
        <v>33.669998</v>
      </c>
      <c r="D198">
        <v>31.82</v>
      </c>
      <c r="E198">
        <v>33.599997999999999</v>
      </c>
      <c r="G198" s="9">
        <v>38999</v>
      </c>
      <c r="H198">
        <v>32.049999</v>
      </c>
      <c r="I198">
        <v>33.669998</v>
      </c>
      <c r="J198">
        <v>31.82</v>
      </c>
    </row>
    <row r="199" spans="1:10" x14ac:dyDescent="0.25">
      <c r="A199" s="9">
        <v>39006</v>
      </c>
      <c r="B199">
        <v>33.459999000000003</v>
      </c>
      <c r="C199">
        <v>34.759998000000003</v>
      </c>
      <c r="D199">
        <v>32.599997999999999</v>
      </c>
      <c r="E199">
        <v>34.439999</v>
      </c>
      <c r="G199" s="9">
        <v>39006</v>
      </c>
      <c r="H199">
        <v>33.459999000000003</v>
      </c>
      <c r="I199">
        <v>34.759998000000003</v>
      </c>
      <c r="J199">
        <v>32.599997999999999</v>
      </c>
    </row>
    <row r="200" spans="1:10" x14ac:dyDescent="0.25">
      <c r="A200" s="9">
        <v>39013</v>
      </c>
      <c r="B200">
        <v>34.5</v>
      </c>
      <c r="C200">
        <v>35</v>
      </c>
      <c r="D200">
        <v>34.029998999999997</v>
      </c>
      <c r="E200">
        <v>34.220001000000003</v>
      </c>
      <c r="G200" s="9">
        <v>39013</v>
      </c>
      <c r="H200">
        <v>34.5</v>
      </c>
      <c r="I200">
        <v>35</v>
      </c>
      <c r="J200">
        <v>34.029998999999997</v>
      </c>
    </row>
    <row r="201" spans="1:10" x14ac:dyDescent="0.25">
      <c r="A201" s="9">
        <v>39020</v>
      </c>
      <c r="B201">
        <v>34.229999999999997</v>
      </c>
      <c r="C201">
        <v>34.5</v>
      </c>
      <c r="D201">
        <v>33.459999000000003</v>
      </c>
      <c r="E201">
        <v>33.720001000000003</v>
      </c>
      <c r="G201" s="9">
        <v>39020</v>
      </c>
      <c r="H201">
        <v>34.229999999999997</v>
      </c>
      <c r="I201">
        <v>34.5</v>
      </c>
      <c r="J201">
        <v>33.459999000000003</v>
      </c>
    </row>
    <row r="202" spans="1:10" x14ac:dyDescent="0.25">
      <c r="A202" s="9">
        <v>39027</v>
      </c>
      <c r="B202">
        <v>33.729999999999997</v>
      </c>
      <c r="C202">
        <v>34.560001</v>
      </c>
      <c r="D202">
        <v>32.689999</v>
      </c>
      <c r="E202">
        <v>33.049999</v>
      </c>
      <c r="G202" s="9">
        <v>39027</v>
      </c>
      <c r="H202">
        <v>33.729999999999997</v>
      </c>
      <c r="I202">
        <v>34.560001</v>
      </c>
      <c r="J202">
        <v>32.689999</v>
      </c>
    </row>
    <row r="203" spans="1:10" x14ac:dyDescent="0.25">
      <c r="A203" s="9">
        <v>39034</v>
      </c>
      <c r="B203">
        <v>33.049999</v>
      </c>
      <c r="C203">
        <v>33.479999999999997</v>
      </c>
      <c r="D203">
        <v>31.75</v>
      </c>
      <c r="E203">
        <v>33.200001</v>
      </c>
      <c r="G203" s="9">
        <v>39034</v>
      </c>
      <c r="H203">
        <v>33.049999</v>
      </c>
      <c r="I203">
        <v>33.479999999999997</v>
      </c>
      <c r="J203">
        <v>31.75</v>
      </c>
    </row>
    <row r="204" spans="1:10" x14ac:dyDescent="0.25">
      <c r="A204" s="9">
        <v>39041</v>
      </c>
      <c r="B204">
        <v>33.040000999999997</v>
      </c>
      <c r="C204">
        <v>33.639999000000003</v>
      </c>
      <c r="D204">
        <v>32.439999</v>
      </c>
      <c r="E204">
        <v>32.669998</v>
      </c>
      <c r="G204" s="9">
        <v>39041</v>
      </c>
      <c r="H204">
        <v>33.040000999999997</v>
      </c>
      <c r="I204">
        <v>33.639999000000003</v>
      </c>
      <c r="J204">
        <v>32.439999</v>
      </c>
    </row>
    <row r="205" spans="1:10" x14ac:dyDescent="0.25">
      <c r="A205" s="9">
        <v>39048</v>
      </c>
      <c r="B205">
        <v>32.509998000000003</v>
      </c>
      <c r="C205">
        <v>34.200001</v>
      </c>
      <c r="D205">
        <v>32.5</v>
      </c>
      <c r="E205">
        <v>34</v>
      </c>
      <c r="G205" s="9">
        <v>39048</v>
      </c>
      <c r="H205">
        <v>32.509998000000003</v>
      </c>
      <c r="I205">
        <v>34.200001</v>
      </c>
      <c r="J205">
        <v>32.5</v>
      </c>
    </row>
    <row r="206" spans="1:10" x14ac:dyDescent="0.25">
      <c r="A206" s="9">
        <v>39055</v>
      </c>
      <c r="B206">
        <v>34.389999000000003</v>
      </c>
      <c r="C206">
        <v>35.009998000000003</v>
      </c>
      <c r="D206">
        <v>34.07</v>
      </c>
      <c r="E206">
        <v>34.970001000000003</v>
      </c>
      <c r="G206" s="9">
        <v>39055</v>
      </c>
      <c r="H206">
        <v>34.389999000000003</v>
      </c>
      <c r="I206">
        <v>35.009998000000003</v>
      </c>
      <c r="J206">
        <v>34.07</v>
      </c>
    </row>
    <row r="207" spans="1:10" x14ac:dyDescent="0.25">
      <c r="A207" s="9">
        <v>39062</v>
      </c>
      <c r="B207">
        <v>34.880001</v>
      </c>
      <c r="C207">
        <v>36</v>
      </c>
      <c r="D207">
        <v>34.799999</v>
      </c>
      <c r="E207">
        <v>35.659999999999997</v>
      </c>
      <c r="G207" s="9">
        <v>39062</v>
      </c>
      <c r="H207">
        <v>34.880001</v>
      </c>
      <c r="I207">
        <v>36</v>
      </c>
      <c r="J207">
        <v>34.799999</v>
      </c>
    </row>
    <row r="208" spans="1:10" x14ac:dyDescent="0.25">
      <c r="A208" s="9">
        <v>39069</v>
      </c>
      <c r="B208">
        <v>35.75</v>
      </c>
      <c r="C208">
        <v>35.950001</v>
      </c>
      <c r="D208">
        <v>34.830002</v>
      </c>
      <c r="E208">
        <v>34.979999999999997</v>
      </c>
      <c r="G208" s="9">
        <v>39069</v>
      </c>
      <c r="H208">
        <v>35.75</v>
      </c>
      <c r="I208">
        <v>35.950001</v>
      </c>
      <c r="J208">
        <v>34.830002</v>
      </c>
    </row>
    <row r="209" spans="1:10" x14ac:dyDescent="0.25">
      <c r="A209" s="9">
        <v>39076</v>
      </c>
      <c r="B209">
        <v>34.959999000000003</v>
      </c>
      <c r="C209">
        <v>36.209999000000003</v>
      </c>
      <c r="D209">
        <v>34.869999</v>
      </c>
      <c r="E209">
        <v>35.75</v>
      </c>
      <c r="G209" s="9">
        <v>39076</v>
      </c>
      <c r="H209">
        <v>34.959999000000003</v>
      </c>
      <c r="I209">
        <v>36.209999000000003</v>
      </c>
      <c r="J209">
        <v>34.869999</v>
      </c>
    </row>
    <row r="210" spans="1:10" x14ac:dyDescent="0.25">
      <c r="A210" s="9">
        <v>39083</v>
      </c>
      <c r="B210">
        <v>35.669998</v>
      </c>
      <c r="C210">
        <v>35.779998999999997</v>
      </c>
      <c r="D210">
        <v>33.950001</v>
      </c>
      <c r="E210">
        <v>33.959999000000003</v>
      </c>
      <c r="G210" s="9">
        <v>39083</v>
      </c>
      <c r="H210">
        <v>35.669998</v>
      </c>
      <c r="I210">
        <v>35.779998999999997</v>
      </c>
      <c r="J210">
        <v>33.950001</v>
      </c>
    </row>
    <row r="211" spans="1:10" x14ac:dyDescent="0.25">
      <c r="A211" s="9">
        <v>39090</v>
      </c>
      <c r="B211">
        <v>33.400002000000001</v>
      </c>
      <c r="C211">
        <v>35</v>
      </c>
      <c r="D211">
        <v>31.940000999999999</v>
      </c>
      <c r="E211">
        <v>34.729999999999997</v>
      </c>
      <c r="G211" s="9">
        <v>39090</v>
      </c>
      <c r="H211">
        <v>33.400002000000001</v>
      </c>
      <c r="I211">
        <v>35</v>
      </c>
      <c r="J211">
        <v>31.940000999999999</v>
      </c>
    </row>
    <row r="212" spans="1:10" x14ac:dyDescent="0.25">
      <c r="A212" s="9">
        <v>39097</v>
      </c>
      <c r="B212">
        <v>34.939999</v>
      </c>
      <c r="C212">
        <v>35.810001</v>
      </c>
      <c r="D212">
        <v>34.310001</v>
      </c>
      <c r="E212">
        <v>35.07</v>
      </c>
      <c r="G212" s="9">
        <v>39097</v>
      </c>
      <c r="H212">
        <v>34.939999</v>
      </c>
      <c r="I212">
        <v>35.810001</v>
      </c>
      <c r="J212">
        <v>34.310001</v>
      </c>
    </row>
    <row r="213" spans="1:10" x14ac:dyDescent="0.25">
      <c r="A213" s="9">
        <v>39104</v>
      </c>
      <c r="B213">
        <v>35.240001999999997</v>
      </c>
      <c r="C213">
        <v>37.700001</v>
      </c>
      <c r="D213">
        <v>34.990001999999997</v>
      </c>
      <c r="E213">
        <v>36.400002000000001</v>
      </c>
      <c r="G213" s="9">
        <v>39104</v>
      </c>
      <c r="H213">
        <v>35.240001999999997</v>
      </c>
      <c r="I213">
        <v>37.700001</v>
      </c>
      <c r="J213">
        <v>34.990001999999997</v>
      </c>
    </row>
    <row r="214" spans="1:10" x14ac:dyDescent="0.25">
      <c r="A214" s="9">
        <v>39111</v>
      </c>
      <c r="B214">
        <v>36.349997999999999</v>
      </c>
      <c r="C214">
        <v>38.18</v>
      </c>
      <c r="D214">
        <v>36.290000999999997</v>
      </c>
      <c r="E214">
        <v>38.119999</v>
      </c>
      <c r="G214" s="9">
        <v>39111</v>
      </c>
      <c r="H214">
        <v>36.349997999999999</v>
      </c>
      <c r="I214">
        <v>38.18</v>
      </c>
      <c r="J214">
        <v>36.290000999999997</v>
      </c>
    </row>
    <row r="215" spans="1:10" x14ac:dyDescent="0.25">
      <c r="A215" s="9">
        <v>39118</v>
      </c>
      <c r="B215">
        <v>37.669998</v>
      </c>
      <c r="C215">
        <v>38.099997999999999</v>
      </c>
      <c r="D215">
        <v>36.830002</v>
      </c>
      <c r="E215">
        <v>36.900002000000001</v>
      </c>
      <c r="G215" s="9">
        <v>39118</v>
      </c>
      <c r="H215">
        <v>37.669998</v>
      </c>
      <c r="I215">
        <v>38.099997999999999</v>
      </c>
      <c r="J215">
        <v>36.830002</v>
      </c>
    </row>
    <row r="216" spans="1:10" x14ac:dyDescent="0.25">
      <c r="A216" s="9">
        <v>39125</v>
      </c>
      <c r="B216">
        <v>36.75</v>
      </c>
      <c r="C216">
        <v>37.560001</v>
      </c>
      <c r="D216">
        <v>36.689999</v>
      </c>
      <c r="E216">
        <v>37.479999999999997</v>
      </c>
      <c r="G216" s="9">
        <v>39125</v>
      </c>
      <c r="H216">
        <v>36.75</v>
      </c>
      <c r="I216">
        <v>37.560001</v>
      </c>
      <c r="J216">
        <v>36.689999</v>
      </c>
    </row>
    <row r="217" spans="1:10" x14ac:dyDescent="0.25">
      <c r="A217" s="9">
        <v>39132</v>
      </c>
      <c r="B217">
        <v>37.509998000000003</v>
      </c>
      <c r="C217">
        <v>37.75</v>
      </c>
      <c r="D217">
        <v>36.799999</v>
      </c>
      <c r="E217">
        <v>37</v>
      </c>
      <c r="G217" s="9">
        <v>39132</v>
      </c>
      <c r="H217">
        <v>37.509998000000003</v>
      </c>
      <c r="I217">
        <v>37.75</v>
      </c>
      <c r="J217">
        <v>36.799999</v>
      </c>
    </row>
    <row r="218" spans="1:10" x14ac:dyDescent="0.25">
      <c r="A218" s="9">
        <v>39139</v>
      </c>
      <c r="B218">
        <v>37</v>
      </c>
      <c r="C218">
        <v>37.720001000000003</v>
      </c>
      <c r="D218">
        <v>35.189999</v>
      </c>
      <c r="E218">
        <v>36.439999</v>
      </c>
      <c r="G218" s="9">
        <v>39139</v>
      </c>
      <c r="H218">
        <v>37</v>
      </c>
      <c r="I218">
        <v>37.720001000000003</v>
      </c>
      <c r="J218">
        <v>35.189999</v>
      </c>
    </row>
    <row r="219" spans="1:10" x14ac:dyDescent="0.25">
      <c r="A219" s="9">
        <v>39146</v>
      </c>
      <c r="B219">
        <v>36.040000999999997</v>
      </c>
      <c r="C219">
        <v>36.889999000000003</v>
      </c>
      <c r="D219">
        <v>35.279998999999997</v>
      </c>
      <c r="E219">
        <v>36.549999</v>
      </c>
      <c r="G219" s="9">
        <v>39146</v>
      </c>
      <c r="H219">
        <v>36.040000999999997</v>
      </c>
      <c r="I219">
        <v>36.889999000000003</v>
      </c>
      <c r="J219">
        <v>35.279998999999997</v>
      </c>
    </row>
    <row r="220" spans="1:10" x14ac:dyDescent="0.25">
      <c r="A220" s="9">
        <v>39153</v>
      </c>
      <c r="B220">
        <v>36.380001</v>
      </c>
      <c r="C220">
        <v>37.479999999999997</v>
      </c>
      <c r="D220">
        <v>36.349997999999999</v>
      </c>
      <c r="E220">
        <v>36.979999999999997</v>
      </c>
      <c r="G220" s="9">
        <v>39153</v>
      </c>
      <c r="H220">
        <v>36.380001</v>
      </c>
      <c r="I220">
        <v>37.479999999999997</v>
      </c>
      <c r="J220">
        <v>36.349997999999999</v>
      </c>
    </row>
    <row r="221" spans="1:10" x14ac:dyDescent="0.25">
      <c r="A221" s="9">
        <v>39160</v>
      </c>
      <c r="B221">
        <v>37.169998</v>
      </c>
      <c r="C221">
        <v>39.439999</v>
      </c>
      <c r="D221">
        <v>37.099997999999999</v>
      </c>
      <c r="E221">
        <v>38.880001</v>
      </c>
      <c r="G221" s="9">
        <v>39160</v>
      </c>
      <c r="H221">
        <v>37.169998</v>
      </c>
      <c r="I221">
        <v>39.439999</v>
      </c>
      <c r="J221">
        <v>37.099997999999999</v>
      </c>
    </row>
    <row r="222" spans="1:10" x14ac:dyDescent="0.25">
      <c r="A222" s="9">
        <v>39167</v>
      </c>
      <c r="B222">
        <v>39</v>
      </c>
      <c r="C222">
        <v>39.860000999999997</v>
      </c>
      <c r="D222">
        <v>38.650002000000001</v>
      </c>
      <c r="E222">
        <v>39.43</v>
      </c>
      <c r="G222" s="9">
        <v>39167</v>
      </c>
      <c r="H222">
        <v>39</v>
      </c>
      <c r="I222">
        <v>39.860000999999997</v>
      </c>
      <c r="J222">
        <v>38.650002000000001</v>
      </c>
    </row>
    <row r="223" spans="1:10" x14ac:dyDescent="0.25">
      <c r="A223" s="9">
        <v>39174</v>
      </c>
      <c r="B223">
        <v>39.720001000000003</v>
      </c>
      <c r="C223">
        <v>39.900002000000001</v>
      </c>
      <c r="D223">
        <v>38.700001</v>
      </c>
      <c r="E223">
        <v>39.270000000000003</v>
      </c>
      <c r="G223" s="9">
        <v>39174</v>
      </c>
      <c r="H223">
        <v>39.720001000000003</v>
      </c>
      <c r="I223">
        <v>39.900002000000001</v>
      </c>
      <c r="J223">
        <v>38.700001</v>
      </c>
    </row>
    <row r="224" spans="1:10" x14ac:dyDescent="0.25">
      <c r="A224" s="9">
        <v>39181</v>
      </c>
      <c r="B224">
        <v>39.450001</v>
      </c>
      <c r="C224">
        <v>39.659999999999997</v>
      </c>
      <c r="D224">
        <v>38.380001</v>
      </c>
      <c r="E224">
        <v>38.840000000000003</v>
      </c>
      <c r="G224" s="9">
        <v>39181</v>
      </c>
      <c r="H224">
        <v>39.450001</v>
      </c>
      <c r="I224">
        <v>39.659999999999997</v>
      </c>
      <c r="J224">
        <v>38.380001</v>
      </c>
    </row>
    <row r="225" spans="1:10" x14ac:dyDescent="0.25">
      <c r="A225" s="9">
        <v>39188</v>
      </c>
      <c r="B225">
        <v>39.270000000000003</v>
      </c>
      <c r="C225">
        <v>39.900002000000001</v>
      </c>
      <c r="D225">
        <v>38.830002</v>
      </c>
      <c r="E225">
        <v>39.869999</v>
      </c>
      <c r="G225" s="9">
        <v>39188</v>
      </c>
      <c r="H225">
        <v>39.270000000000003</v>
      </c>
      <c r="I225">
        <v>39.900002000000001</v>
      </c>
      <c r="J225">
        <v>38.830002</v>
      </c>
    </row>
    <row r="226" spans="1:10" x14ac:dyDescent="0.25">
      <c r="A226" s="9">
        <v>39195</v>
      </c>
      <c r="B226">
        <v>39.939999</v>
      </c>
      <c r="C226">
        <v>40.139999000000003</v>
      </c>
      <c r="D226">
        <v>38.520000000000003</v>
      </c>
      <c r="E226">
        <v>38.639999000000003</v>
      </c>
      <c r="G226" s="9">
        <v>39195</v>
      </c>
      <c r="H226">
        <v>39.939999</v>
      </c>
      <c r="I226">
        <v>40.139999000000003</v>
      </c>
      <c r="J226">
        <v>38.520000000000003</v>
      </c>
    </row>
    <row r="227" spans="1:10" x14ac:dyDescent="0.25">
      <c r="A227" s="9">
        <v>39202</v>
      </c>
      <c r="B227">
        <v>38.840000000000003</v>
      </c>
      <c r="C227">
        <v>39.650002000000001</v>
      </c>
      <c r="D227">
        <v>38.439999</v>
      </c>
      <c r="E227">
        <v>39.479999999999997</v>
      </c>
      <c r="G227" s="9">
        <v>39202</v>
      </c>
      <c r="H227">
        <v>38.840000000000003</v>
      </c>
      <c r="I227">
        <v>39.650002000000001</v>
      </c>
      <c r="J227">
        <v>38.439999</v>
      </c>
    </row>
    <row r="228" spans="1:10" x14ac:dyDescent="0.25">
      <c r="A228" s="9">
        <v>39209</v>
      </c>
      <c r="B228">
        <v>39.5</v>
      </c>
      <c r="C228">
        <v>39.919998</v>
      </c>
      <c r="D228">
        <v>38.900002000000001</v>
      </c>
      <c r="E228">
        <v>39.590000000000003</v>
      </c>
      <c r="G228" s="9">
        <v>39209</v>
      </c>
      <c r="H228">
        <v>39.5</v>
      </c>
      <c r="I228">
        <v>39.919998</v>
      </c>
      <c r="J228">
        <v>38.900002000000001</v>
      </c>
    </row>
    <row r="229" spans="1:10" x14ac:dyDescent="0.25">
      <c r="A229" s="9">
        <v>39216</v>
      </c>
      <c r="B229">
        <v>39.650002000000001</v>
      </c>
      <c r="C229">
        <v>41.5</v>
      </c>
      <c r="D229">
        <v>39.639999000000003</v>
      </c>
      <c r="E229">
        <v>41.099997999999999</v>
      </c>
      <c r="G229" s="9">
        <v>39216</v>
      </c>
      <c r="H229">
        <v>39.650002000000001</v>
      </c>
      <c r="I229">
        <v>41.5</v>
      </c>
      <c r="J229">
        <v>39.639999000000003</v>
      </c>
    </row>
    <row r="230" spans="1:10" x14ac:dyDescent="0.25">
      <c r="A230" s="9">
        <v>39223</v>
      </c>
      <c r="B230">
        <v>41.099997999999999</v>
      </c>
      <c r="C230">
        <v>41.299999</v>
      </c>
      <c r="D230">
        <v>40.150002000000001</v>
      </c>
      <c r="E230">
        <v>40.759998000000003</v>
      </c>
      <c r="G230" s="9">
        <v>39223</v>
      </c>
      <c r="H230">
        <v>41.099997999999999</v>
      </c>
      <c r="I230">
        <v>41.299999</v>
      </c>
      <c r="J230">
        <v>40.150002000000001</v>
      </c>
    </row>
    <row r="231" spans="1:10" x14ac:dyDescent="0.25">
      <c r="A231" s="9">
        <v>39230</v>
      </c>
      <c r="B231">
        <v>40.799999</v>
      </c>
      <c r="C231">
        <v>41.450001</v>
      </c>
      <c r="D231">
        <v>40.229999999999997</v>
      </c>
      <c r="E231">
        <v>40.529998999999997</v>
      </c>
      <c r="G231" s="9">
        <v>39230</v>
      </c>
      <c r="H231">
        <v>40.799999</v>
      </c>
      <c r="I231">
        <v>41.450001</v>
      </c>
      <c r="J231">
        <v>40.229999999999997</v>
      </c>
    </row>
    <row r="232" spans="1:10" x14ac:dyDescent="0.25">
      <c r="A232" s="9">
        <v>39237</v>
      </c>
      <c r="B232">
        <v>40.549999</v>
      </c>
      <c r="C232">
        <v>41</v>
      </c>
      <c r="D232">
        <v>39.090000000000003</v>
      </c>
      <c r="E232">
        <v>40.259998000000003</v>
      </c>
      <c r="G232" s="9">
        <v>39237</v>
      </c>
      <c r="H232">
        <v>40.549999</v>
      </c>
      <c r="I232">
        <v>41</v>
      </c>
      <c r="J232">
        <v>39.090000000000003</v>
      </c>
    </row>
    <row r="233" spans="1:10" x14ac:dyDescent="0.25">
      <c r="A233" s="9">
        <v>39244</v>
      </c>
      <c r="B233">
        <v>40.200001</v>
      </c>
      <c r="C233">
        <v>40.93</v>
      </c>
      <c r="D233">
        <v>39.009998000000003</v>
      </c>
      <c r="E233">
        <v>40.279998999999997</v>
      </c>
      <c r="G233" s="9">
        <v>39244</v>
      </c>
      <c r="H233">
        <v>40.200001</v>
      </c>
      <c r="I233">
        <v>40.93</v>
      </c>
      <c r="J233">
        <v>39.009998000000003</v>
      </c>
    </row>
    <row r="234" spans="1:10" x14ac:dyDescent="0.25">
      <c r="A234" s="9">
        <v>39251</v>
      </c>
      <c r="B234">
        <v>40.299999</v>
      </c>
      <c r="C234">
        <v>40.590000000000003</v>
      </c>
      <c r="D234">
        <v>38.700001</v>
      </c>
      <c r="E234">
        <v>38.849997999999999</v>
      </c>
      <c r="G234" s="9">
        <v>39251</v>
      </c>
      <c r="H234">
        <v>40.299999</v>
      </c>
      <c r="I234">
        <v>40.590000000000003</v>
      </c>
      <c r="J234">
        <v>38.700001</v>
      </c>
    </row>
    <row r="235" spans="1:10" x14ac:dyDescent="0.25">
      <c r="A235" s="9">
        <v>39258</v>
      </c>
      <c r="B235">
        <v>39.099997999999999</v>
      </c>
      <c r="C235">
        <v>41.540000999999997</v>
      </c>
      <c r="D235">
        <v>38.849997999999999</v>
      </c>
      <c r="E235">
        <v>41.5</v>
      </c>
      <c r="G235" s="9">
        <v>39258</v>
      </c>
      <c r="H235">
        <v>39.099997999999999</v>
      </c>
      <c r="I235">
        <v>41.540000999999997</v>
      </c>
      <c r="J235">
        <v>38.849997999999999</v>
      </c>
    </row>
    <row r="236" spans="1:10" x14ac:dyDescent="0.25">
      <c r="A236" s="9">
        <v>39265</v>
      </c>
      <c r="B236">
        <v>41.439999</v>
      </c>
      <c r="C236">
        <v>41.93</v>
      </c>
      <c r="D236">
        <v>40.340000000000003</v>
      </c>
      <c r="E236">
        <v>40.659999999999997</v>
      </c>
      <c r="G236" s="9">
        <v>39265</v>
      </c>
      <c r="H236">
        <v>41.439999</v>
      </c>
      <c r="I236">
        <v>41.93</v>
      </c>
      <c r="J236">
        <v>40.340000000000003</v>
      </c>
    </row>
    <row r="237" spans="1:10" x14ac:dyDescent="0.25">
      <c r="A237" s="9">
        <v>39272</v>
      </c>
      <c r="B237">
        <v>40.900002000000001</v>
      </c>
      <c r="C237">
        <v>40.900002000000001</v>
      </c>
      <c r="D237">
        <v>39.119999</v>
      </c>
      <c r="E237">
        <v>40.400002000000001</v>
      </c>
      <c r="G237" s="9">
        <v>39272</v>
      </c>
      <c r="H237">
        <v>40.900002000000001</v>
      </c>
      <c r="I237">
        <v>40.900002000000001</v>
      </c>
      <c r="J237">
        <v>39.119999</v>
      </c>
    </row>
    <row r="238" spans="1:10" x14ac:dyDescent="0.25">
      <c r="A238" s="9">
        <v>39279</v>
      </c>
      <c r="B238">
        <v>40.439999</v>
      </c>
      <c r="C238">
        <v>40.580002</v>
      </c>
      <c r="D238">
        <v>38.959999000000003</v>
      </c>
      <c r="E238">
        <v>39.060001</v>
      </c>
      <c r="G238" s="9">
        <v>39279</v>
      </c>
      <c r="H238">
        <v>40.439999</v>
      </c>
      <c r="I238">
        <v>40.580002</v>
      </c>
      <c r="J238">
        <v>38.959999000000003</v>
      </c>
    </row>
    <row r="239" spans="1:10" x14ac:dyDescent="0.25">
      <c r="A239" s="9">
        <v>39286</v>
      </c>
      <c r="B239">
        <v>39.479999999999997</v>
      </c>
      <c r="C239">
        <v>41.599997999999999</v>
      </c>
      <c r="D239">
        <v>39.200001</v>
      </c>
      <c r="E239">
        <v>39.240001999999997</v>
      </c>
      <c r="G239" s="9">
        <v>39286</v>
      </c>
      <c r="H239">
        <v>39.479999999999997</v>
      </c>
      <c r="I239">
        <v>41.599997999999999</v>
      </c>
      <c r="J239">
        <v>39.200001</v>
      </c>
    </row>
    <row r="240" spans="1:10" x14ac:dyDescent="0.25">
      <c r="A240" s="9">
        <v>39293</v>
      </c>
      <c r="B240">
        <v>39.43</v>
      </c>
      <c r="C240">
        <v>40.880001</v>
      </c>
      <c r="D240">
        <v>38.830002</v>
      </c>
      <c r="E240">
        <v>39.450001</v>
      </c>
      <c r="G240" s="9">
        <v>39293</v>
      </c>
      <c r="H240">
        <v>39.43</v>
      </c>
      <c r="I240">
        <v>40.880001</v>
      </c>
      <c r="J240">
        <v>38.830002</v>
      </c>
    </row>
    <row r="241" spans="1:10" x14ac:dyDescent="0.25">
      <c r="A241" s="9">
        <v>39300</v>
      </c>
      <c r="B241">
        <v>39.470001000000003</v>
      </c>
      <c r="C241">
        <v>40.75</v>
      </c>
      <c r="D241">
        <v>38.189999</v>
      </c>
      <c r="E241">
        <v>38.869999</v>
      </c>
      <c r="G241" s="9">
        <v>39300</v>
      </c>
      <c r="H241">
        <v>39.470001000000003</v>
      </c>
      <c r="I241">
        <v>40.75</v>
      </c>
      <c r="J241">
        <v>38.189999</v>
      </c>
    </row>
    <row r="242" spans="1:10" x14ac:dyDescent="0.25">
      <c r="A242" s="9">
        <v>39307</v>
      </c>
      <c r="B242">
        <v>39.200001</v>
      </c>
      <c r="C242">
        <v>39.599997999999999</v>
      </c>
      <c r="D242">
        <v>36.529998999999997</v>
      </c>
      <c r="E242">
        <v>39.049999</v>
      </c>
      <c r="G242" s="9">
        <v>39307</v>
      </c>
      <c r="H242">
        <v>39.200001</v>
      </c>
      <c r="I242">
        <v>39.599997999999999</v>
      </c>
      <c r="J242">
        <v>36.529998999999997</v>
      </c>
    </row>
    <row r="243" spans="1:10" x14ac:dyDescent="0.25">
      <c r="A243" s="9">
        <v>39314</v>
      </c>
      <c r="B243">
        <v>39.650002000000001</v>
      </c>
      <c r="C243">
        <v>40.439999</v>
      </c>
      <c r="D243">
        <v>38.169998</v>
      </c>
      <c r="E243">
        <v>40.360000999999997</v>
      </c>
      <c r="G243" s="9">
        <v>39314</v>
      </c>
      <c r="H243">
        <v>39.650002000000001</v>
      </c>
      <c r="I243">
        <v>40.439999</v>
      </c>
      <c r="J243">
        <v>38.169998</v>
      </c>
    </row>
    <row r="244" spans="1:10" x14ac:dyDescent="0.25">
      <c r="A244" s="9">
        <v>39321</v>
      </c>
      <c r="B244">
        <v>40.090000000000003</v>
      </c>
      <c r="C244">
        <v>40.389999000000003</v>
      </c>
      <c r="D244">
        <v>38.790000999999997</v>
      </c>
      <c r="E244">
        <v>39.869999</v>
      </c>
      <c r="G244" s="9">
        <v>39321</v>
      </c>
      <c r="H244">
        <v>40.090000000000003</v>
      </c>
      <c r="I244">
        <v>40.389999000000003</v>
      </c>
      <c r="J244">
        <v>38.790000999999997</v>
      </c>
    </row>
    <row r="245" spans="1:10" x14ac:dyDescent="0.25">
      <c r="A245" s="9">
        <v>39328</v>
      </c>
      <c r="B245">
        <v>39.909999999999997</v>
      </c>
      <c r="C245">
        <v>40.409999999999997</v>
      </c>
      <c r="D245">
        <v>38.639999000000003</v>
      </c>
      <c r="E245">
        <v>38.729999999999997</v>
      </c>
      <c r="G245" s="9">
        <v>39328</v>
      </c>
      <c r="H245">
        <v>39.909999999999997</v>
      </c>
      <c r="I245">
        <v>40.409999999999997</v>
      </c>
      <c r="J245">
        <v>38.639999000000003</v>
      </c>
    </row>
    <row r="246" spans="1:10" x14ac:dyDescent="0.25">
      <c r="A246" s="9">
        <v>39335</v>
      </c>
      <c r="B246">
        <v>39.119999</v>
      </c>
      <c r="C246">
        <v>40.900002000000001</v>
      </c>
      <c r="D246">
        <v>38.520000000000003</v>
      </c>
      <c r="E246">
        <v>40.439999</v>
      </c>
      <c r="G246" s="9">
        <v>39335</v>
      </c>
      <c r="H246">
        <v>39.119999</v>
      </c>
      <c r="I246">
        <v>40.900002000000001</v>
      </c>
      <c r="J246">
        <v>38.520000000000003</v>
      </c>
    </row>
    <row r="247" spans="1:10" x14ac:dyDescent="0.25">
      <c r="A247" s="9">
        <v>39342</v>
      </c>
      <c r="B247">
        <v>40.310001</v>
      </c>
      <c r="C247">
        <v>42.75</v>
      </c>
      <c r="D247">
        <v>39.979999999999997</v>
      </c>
      <c r="E247">
        <v>42.529998999999997</v>
      </c>
      <c r="G247" s="9">
        <v>39342</v>
      </c>
      <c r="H247">
        <v>40.310001</v>
      </c>
      <c r="I247">
        <v>42.75</v>
      </c>
      <c r="J247">
        <v>39.979999999999997</v>
      </c>
    </row>
    <row r="248" spans="1:10" x14ac:dyDescent="0.25">
      <c r="A248" s="9">
        <v>39349</v>
      </c>
      <c r="B248">
        <v>42.549999</v>
      </c>
      <c r="C248">
        <v>42.970001000000003</v>
      </c>
      <c r="D248">
        <v>42.09</v>
      </c>
      <c r="E248">
        <v>42.310001</v>
      </c>
      <c r="G248" s="9">
        <v>39349</v>
      </c>
      <c r="H248">
        <v>42.549999</v>
      </c>
      <c r="I248">
        <v>42.970001000000003</v>
      </c>
      <c r="J248">
        <v>42.09</v>
      </c>
    </row>
    <row r="249" spans="1:10" x14ac:dyDescent="0.25">
      <c r="A249" s="9">
        <v>39356</v>
      </c>
      <c r="B249">
        <v>42.419998</v>
      </c>
      <c r="C249">
        <v>42.5</v>
      </c>
      <c r="D249">
        <v>41.73</v>
      </c>
      <c r="E249">
        <v>42.139999000000003</v>
      </c>
      <c r="G249" s="9">
        <v>39356</v>
      </c>
      <c r="H249">
        <v>42.419998</v>
      </c>
      <c r="I249">
        <v>42.5</v>
      </c>
      <c r="J249">
        <v>41.73</v>
      </c>
    </row>
    <row r="250" spans="1:10" x14ac:dyDescent="0.25">
      <c r="A250" s="9">
        <v>39363</v>
      </c>
      <c r="B250">
        <v>42</v>
      </c>
      <c r="C250">
        <v>42.57</v>
      </c>
      <c r="D250">
        <v>41.5</v>
      </c>
      <c r="E250">
        <v>42.290000999999997</v>
      </c>
      <c r="G250" s="9">
        <v>39363</v>
      </c>
      <c r="H250">
        <v>42</v>
      </c>
      <c r="I250">
        <v>42.57</v>
      </c>
      <c r="J250">
        <v>41.5</v>
      </c>
    </row>
    <row r="251" spans="1:10" x14ac:dyDescent="0.25">
      <c r="A251" s="9">
        <v>39370</v>
      </c>
      <c r="B251">
        <v>42.009998000000003</v>
      </c>
      <c r="C251">
        <v>42.720001000000003</v>
      </c>
      <c r="D251">
        <v>41.040000999999997</v>
      </c>
      <c r="E251">
        <v>41.369999</v>
      </c>
      <c r="G251" s="9">
        <v>39370</v>
      </c>
      <c r="H251">
        <v>42.009998000000003</v>
      </c>
      <c r="I251">
        <v>42.720001000000003</v>
      </c>
      <c r="J251">
        <v>41.040000999999997</v>
      </c>
    </row>
    <row r="252" spans="1:10" x14ac:dyDescent="0.25">
      <c r="A252" s="9">
        <v>39377</v>
      </c>
      <c r="B252">
        <v>40.98</v>
      </c>
      <c r="C252">
        <v>42.150002000000001</v>
      </c>
      <c r="D252">
        <v>40.340000000000003</v>
      </c>
      <c r="E252">
        <v>41.459999000000003</v>
      </c>
      <c r="G252" s="9">
        <v>39377</v>
      </c>
      <c r="H252">
        <v>40.98</v>
      </c>
      <c r="I252">
        <v>42.150002000000001</v>
      </c>
      <c r="J252">
        <v>40.340000000000003</v>
      </c>
    </row>
    <row r="253" spans="1:10" x14ac:dyDescent="0.25">
      <c r="A253" s="9">
        <v>39384</v>
      </c>
      <c r="B253">
        <v>41.689999</v>
      </c>
      <c r="C253">
        <v>41.98</v>
      </c>
      <c r="D253">
        <v>39.790000999999997</v>
      </c>
      <c r="E253">
        <v>40.419998</v>
      </c>
      <c r="G253" s="9">
        <v>39384</v>
      </c>
      <c r="H253">
        <v>41.689999</v>
      </c>
      <c r="I253">
        <v>41.98</v>
      </c>
      <c r="J253">
        <v>39.790000999999997</v>
      </c>
    </row>
    <row r="254" spans="1:10" x14ac:dyDescent="0.25">
      <c r="A254" s="9">
        <v>39391</v>
      </c>
      <c r="B254">
        <v>39.979999999999997</v>
      </c>
      <c r="C254">
        <v>40.389999000000003</v>
      </c>
      <c r="D254">
        <v>38.580002</v>
      </c>
      <c r="E254">
        <v>39.200001</v>
      </c>
      <c r="G254" s="9">
        <v>39391</v>
      </c>
      <c r="H254">
        <v>39.979999999999997</v>
      </c>
      <c r="I254">
        <v>40.389999000000003</v>
      </c>
      <c r="J254">
        <v>38.580002</v>
      </c>
    </row>
    <row r="255" spans="1:10" x14ac:dyDescent="0.25">
      <c r="A255" s="9">
        <v>39398</v>
      </c>
      <c r="B255">
        <v>39.049999</v>
      </c>
      <c r="C255">
        <v>40.540000999999997</v>
      </c>
      <c r="D255">
        <v>38.610000999999997</v>
      </c>
      <c r="E255">
        <v>39.549999</v>
      </c>
      <c r="G255" s="9">
        <v>39398</v>
      </c>
      <c r="H255">
        <v>39.049999</v>
      </c>
      <c r="I255">
        <v>40.540000999999997</v>
      </c>
      <c r="J255">
        <v>38.610000999999997</v>
      </c>
    </row>
    <row r="256" spans="1:10" x14ac:dyDescent="0.25">
      <c r="A256" s="9">
        <v>39405</v>
      </c>
      <c r="B256">
        <v>39.490001999999997</v>
      </c>
      <c r="C256">
        <v>39.490001999999997</v>
      </c>
      <c r="D256">
        <v>37.380001</v>
      </c>
      <c r="E256">
        <v>37.630001</v>
      </c>
      <c r="G256" s="9">
        <v>39405</v>
      </c>
      <c r="H256">
        <v>39.490001999999997</v>
      </c>
      <c r="I256">
        <v>39.490001999999997</v>
      </c>
      <c r="J256">
        <v>37.380001</v>
      </c>
    </row>
    <row r="257" spans="1:10" x14ac:dyDescent="0.25">
      <c r="A257" s="9">
        <v>39412</v>
      </c>
      <c r="B257">
        <v>37.630001</v>
      </c>
      <c r="C257">
        <v>38.759998000000003</v>
      </c>
      <c r="D257">
        <v>36.25</v>
      </c>
      <c r="E257">
        <v>38.209999000000003</v>
      </c>
      <c r="G257" s="9">
        <v>39412</v>
      </c>
      <c r="H257">
        <v>37.630001</v>
      </c>
      <c r="I257">
        <v>38.759998000000003</v>
      </c>
      <c r="J257">
        <v>36.25</v>
      </c>
    </row>
    <row r="258" spans="1:10" x14ac:dyDescent="0.25">
      <c r="A258" s="9">
        <v>39419</v>
      </c>
      <c r="B258">
        <v>38.490001999999997</v>
      </c>
      <c r="C258">
        <v>39.18</v>
      </c>
      <c r="D258">
        <v>37.709999000000003</v>
      </c>
      <c r="E258">
        <v>38.470001000000003</v>
      </c>
      <c r="G258" s="9">
        <v>39419</v>
      </c>
      <c r="H258">
        <v>38.490001999999997</v>
      </c>
      <c r="I258">
        <v>39.18</v>
      </c>
      <c r="J258">
        <v>37.709999000000003</v>
      </c>
    </row>
    <row r="259" spans="1:10" x14ac:dyDescent="0.25">
      <c r="A259" s="9">
        <v>39426</v>
      </c>
      <c r="B259">
        <v>38.5</v>
      </c>
      <c r="C259">
        <v>42</v>
      </c>
      <c r="D259">
        <v>37.779998999999997</v>
      </c>
      <c r="E259">
        <v>41.139999000000003</v>
      </c>
      <c r="G259" s="9">
        <v>39426</v>
      </c>
      <c r="H259">
        <v>38.5</v>
      </c>
      <c r="I259">
        <v>42</v>
      </c>
      <c r="J259">
        <v>37.779998999999997</v>
      </c>
    </row>
    <row r="260" spans="1:10" x14ac:dyDescent="0.25">
      <c r="A260" s="9">
        <v>39433</v>
      </c>
      <c r="B260">
        <v>41.040000999999997</v>
      </c>
      <c r="C260">
        <v>41.669998</v>
      </c>
      <c r="D260">
        <v>39.630001</v>
      </c>
      <c r="E260">
        <v>41.48</v>
      </c>
      <c r="G260" s="9">
        <v>39433</v>
      </c>
      <c r="H260">
        <v>41.040000999999997</v>
      </c>
      <c r="I260">
        <v>41.669998</v>
      </c>
      <c r="J260">
        <v>39.630001</v>
      </c>
    </row>
    <row r="261" spans="1:10" x14ac:dyDescent="0.25">
      <c r="A261" s="9">
        <v>39440</v>
      </c>
      <c r="B261">
        <v>41.52</v>
      </c>
      <c r="C261">
        <v>42.790000999999997</v>
      </c>
      <c r="D261">
        <v>41.099997999999999</v>
      </c>
      <c r="E261">
        <v>42.439999</v>
      </c>
      <c r="G261" s="9">
        <v>39440</v>
      </c>
      <c r="H261">
        <v>41.52</v>
      </c>
      <c r="I261">
        <v>42.790000999999997</v>
      </c>
      <c r="J261">
        <v>41.099997999999999</v>
      </c>
    </row>
    <row r="262" spans="1:10" x14ac:dyDescent="0.25">
      <c r="A262" s="9">
        <v>39447</v>
      </c>
      <c r="B262">
        <v>42.389999000000003</v>
      </c>
      <c r="C262">
        <v>42.389999000000003</v>
      </c>
      <c r="D262">
        <v>40.75</v>
      </c>
      <c r="E262">
        <v>40.889999000000003</v>
      </c>
      <c r="G262" s="9">
        <v>39447</v>
      </c>
      <c r="H262">
        <v>42.389999000000003</v>
      </c>
      <c r="I262">
        <v>42.389999000000003</v>
      </c>
      <c r="J262">
        <v>40.75</v>
      </c>
    </row>
    <row r="263" spans="1:10" x14ac:dyDescent="0.25">
      <c r="A263" s="9">
        <v>39454</v>
      </c>
      <c r="B263">
        <v>41.060001</v>
      </c>
      <c r="C263">
        <v>41.939999</v>
      </c>
      <c r="D263">
        <v>37.139999000000003</v>
      </c>
      <c r="E263">
        <v>38.200001</v>
      </c>
      <c r="G263" s="9">
        <v>39454</v>
      </c>
      <c r="H263">
        <v>41.060001</v>
      </c>
      <c r="I263">
        <v>41.939999</v>
      </c>
      <c r="J263">
        <v>37.139999000000003</v>
      </c>
    </row>
    <row r="264" spans="1:10" x14ac:dyDescent="0.25">
      <c r="A264" s="9">
        <v>39461</v>
      </c>
      <c r="B264">
        <v>38.43</v>
      </c>
      <c r="C264">
        <v>38.849997999999999</v>
      </c>
      <c r="D264">
        <v>35.409999999999997</v>
      </c>
      <c r="E264">
        <v>36.110000999999997</v>
      </c>
      <c r="G264" s="9">
        <v>39461</v>
      </c>
      <c r="H264">
        <v>38.43</v>
      </c>
      <c r="I264">
        <v>38.849997999999999</v>
      </c>
      <c r="J264">
        <v>35.409999999999997</v>
      </c>
    </row>
    <row r="265" spans="1:10" x14ac:dyDescent="0.25">
      <c r="A265" s="9">
        <v>39468</v>
      </c>
      <c r="B265">
        <v>34.349997999999999</v>
      </c>
      <c r="C265">
        <v>37.240001999999997</v>
      </c>
      <c r="D265">
        <v>33.32</v>
      </c>
      <c r="E265">
        <v>35.259998000000003</v>
      </c>
      <c r="G265" s="9">
        <v>39468</v>
      </c>
      <c r="H265">
        <v>34.349997999999999</v>
      </c>
      <c r="I265">
        <v>37.240001999999997</v>
      </c>
      <c r="J265">
        <v>33.32</v>
      </c>
    </row>
    <row r="266" spans="1:10" x14ac:dyDescent="0.25">
      <c r="A266" s="9">
        <v>39475</v>
      </c>
      <c r="B266">
        <v>35.25</v>
      </c>
      <c r="C266">
        <v>38.700001</v>
      </c>
      <c r="D266">
        <v>34.659999999999997</v>
      </c>
      <c r="E266">
        <v>38.279998999999997</v>
      </c>
      <c r="G266" s="9">
        <v>39475</v>
      </c>
      <c r="H266">
        <v>35.25</v>
      </c>
      <c r="I266">
        <v>38.700001</v>
      </c>
      <c r="J266">
        <v>34.659999999999997</v>
      </c>
    </row>
    <row r="267" spans="1:10" x14ac:dyDescent="0.25">
      <c r="A267" s="9">
        <v>39482</v>
      </c>
      <c r="B267">
        <v>38.290000999999997</v>
      </c>
      <c r="C267">
        <v>38.5</v>
      </c>
      <c r="D267">
        <v>36</v>
      </c>
      <c r="E267">
        <v>36.369999</v>
      </c>
      <c r="G267" s="9">
        <v>39482</v>
      </c>
      <c r="H267">
        <v>38.290000999999997</v>
      </c>
      <c r="I267">
        <v>38.5</v>
      </c>
      <c r="J267">
        <v>36</v>
      </c>
    </row>
    <row r="268" spans="1:10" x14ac:dyDescent="0.25">
      <c r="A268" s="9">
        <v>39489</v>
      </c>
      <c r="B268">
        <v>36.43</v>
      </c>
      <c r="C268">
        <v>38.82</v>
      </c>
      <c r="D268">
        <v>35.779998999999997</v>
      </c>
      <c r="E268">
        <v>37.880001</v>
      </c>
      <c r="G268" s="9">
        <v>39489</v>
      </c>
      <c r="H268">
        <v>36.43</v>
      </c>
      <c r="I268">
        <v>38.82</v>
      </c>
      <c r="J268">
        <v>35.779998999999997</v>
      </c>
    </row>
    <row r="269" spans="1:10" x14ac:dyDescent="0.25">
      <c r="A269" s="9">
        <v>39496</v>
      </c>
      <c r="B269">
        <v>38.240001999999997</v>
      </c>
      <c r="C269">
        <v>38.240001999999997</v>
      </c>
      <c r="D269">
        <v>32.950001</v>
      </c>
      <c r="E269">
        <v>34.979999999999997</v>
      </c>
      <c r="G269" s="9">
        <v>39496</v>
      </c>
      <c r="H269">
        <v>38.240001999999997</v>
      </c>
      <c r="I269">
        <v>38.240001999999997</v>
      </c>
      <c r="J269">
        <v>32.950001</v>
      </c>
    </row>
    <row r="270" spans="1:10" x14ac:dyDescent="0.25">
      <c r="A270" s="9">
        <v>39503</v>
      </c>
      <c r="B270">
        <v>34.75</v>
      </c>
      <c r="C270">
        <v>36.560001</v>
      </c>
      <c r="D270">
        <v>33.599997999999999</v>
      </c>
      <c r="E270">
        <v>34.830002</v>
      </c>
      <c r="G270" s="9">
        <v>39503</v>
      </c>
      <c r="H270">
        <v>34.75</v>
      </c>
      <c r="I270">
        <v>36.560001</v>
      </c>
      <c r="J270">
        <v>33.599997999999999</v>
      </c>
    </row>
    <row r="271" spans="1:10" x14ac:dyDescent="0.25">
      <c r="A271" s="9">
        <v>39510</v>
      </c>
      <c r="B271">
        <v>34.75</v>
      </c>
      <c r="C271">
        <v>35.639999000000003</v>
      </c>
      <c r="D271">
        <v>34.25</v>
      </c>
      <c r="E271">
        <v>35.009998000000003</v>
      </c>
      <c r="G271" s="9">
        <v>39510</v>
      </c>
      <c r="H271">
        <v>34.75</v>
      </c>
      <c r="I271">
        <v>35.639999000000003</v>
      </c>
      <c r="J271">
        <v>34.25</v>
      </c>
    </row>
    <row r="272" spans="1:10" x14ac:dyDescent="0.25">
      <c r="A272" s="9">
        <v>39517</v>
      </c>
      <c r="B272">
        <v>35.060001</v>
      </c>
      <c r="C272">
        <v>36.220001000000003</v>
      </c>
      <c r="D272">
        <v>34.259998000000003</v>
      </c>
      <c r="E272">
        <v>35.029998999999997</v>
      </c>
      <c r="G272" s="9">
        <v>39517</v>
      </c>
      <c r="H272">
        <v>35.060001</v>
      </c>
      <c r="I272">
        <v>36.220001000000003</v>
      </c>
      <c r="J272">
        <v>34.259998000000003</v>
      </c>
    </row>
    <row r="273" spans="1:10" x14ac:dyDescent="0.25">
      <c r="A273" s="9">
        <v>39524</v>
      </c>
      <c r="B273">
        <v>34.270000000000003</v>
      </c>
      <c r="C273">
        <v>37.310001</v>
      </c>
      <c r="D273">
        <v>34.270000000000003</v>
      </c>
      <c r="E273">
        <v>36.849997999999999</v>
      </c>
      <c r="G273" s="9">
        <v>39524</v>
      </c>
      <c r="H273">
        <v>34.270000000000003</v>
      </c>
      <c r="I273">
        <v>37.310001</v>
      </c>
      <c r="J273">
        <v>34.270000000000003</v>
      </c>
    </row>
    <row r="274" spans="1:10" x14ac:dyDescent="0.25">
      <c r="A274" s="9">
        <v>39531</v>
      </c>
      <c r="B274">
        <v>36.93</v>
      </c>
      <c r="C274">
        <v>38.389999000000003</v>
      </c>
      <c r="D274">
        <v>36.900002000000001</v>
      </c>
      <c r="E274">
        <v>37.659999999999997</v>
      </c>
      <c r="G274" s="9">
        <v>39531</v>
      </c>
      <c r="H274">
        <v>36.93</v>
      </c>
      <c r="I274">
        <v>38.389999000000003</v>
      </c>
      <c r="J274">
        <v>36.900002000000001</v>
      </c>
    </row>
    <row r="275" spans="1:10" x14ac:dyDescent="0.25">
      <c r="A275" s="9">
        <v>39538</v>
      </c>
      <c r="B275">
        <v>37.709999000000003</v>
      </c>
      <c r="C275">
        <v>39.610000999999997</v>
      </c>
      <c r="D275">
        <v>37.689999</v>
      </c>
      <c r="E275">
        <v>38.479999999999997</v>
      </c>
      <c r="G275" s="9">
        <v>39538</v>
      </c>
      <c r="H275">
        <v>37.709999000000003</v>
      </c>
      <c r="I275">
        <v>39.610000999999997</v>
      </c>
      <c r="J275">
        <v>37.689999</v>
      </c>
    </row>
    <row r="276" spans="1:10" x14ac:dyDescent="0.25">
      <c r="A276" s="9">
        <v>39545</v>
      </c>
      <c r="B276">
        <v>38.840000000000003</v>
      </c>
      <c r="C276">
        <v>39.240001999999997</v>
      </c>
      <c r="D276">
        <v>37.209999000000003</v>
      </c>
      <c r="E276">
        <v>37.299999</v>
      </c>
      <c r="G276" s="9">
        <v>39545</v>
      </c>
      <c r="H276">
        <v>38.840000000000003</v>
      </c>
      <c r="I276">
        <v>39.240001999999997</v>
      </c>
      <c r="J276">
        <v>37.209999000000003</v>
      </c>
    </row>
    <row r="277" spans="1:10" x14ac:dyDescent="0.25">
      <c r="A277" s="9">
        <v>39552</v>
      </c>
      <c r="B277">
        <v>37.209999000000003</v>
      </c>
      <c r="C277">
        <v>38.099997999999999</v>
      </c>
      <c r="D277">
        <v>37.020000000000003</v>
      </c>
      <c r="E277">
        <v>37.509998000000003</v>
      </c>
      <c r="G277" s="9">
        <v>39552</v>
      </c>
      <c r="H277">
        <v>37.209999000000003</v>
      </c>
      <c r="I277">
        <v>38.099997999999999</v>
      </c>
      <c r="J277">
        <v>37.020000000000003</v>
      </c>
    </row>
    <row r="278" spans="1:10" x14ac:dyDescent="0.25">
      <c r="A278" s="9">
        <v>39559</v>
      </c>
      <c r="B278">
        <v>37.459999000000003</v>
      </c>
      <c r="C278">
        <v>39.020000000000003</v>
      </c>
      <c r="D278">
        <v>37.029998999999997</v>
      </c>
      <c r="E278">
        <v>38.580002</v>
      </c>
      <c r="G278" s="9">
        <v>39559</v>
      </c>
      <c r="H278">
        <v>37.459999000000003</v>
      </c>
      <c r="I278">
        <v>39.020000000000003</v>
      </c>
      <c r="J278">
        <v>37.029998999999997</v>
      </c>
    </row>
    <row r="279" spans="1:10" x14ac:dyDescent="0.25">
      <c r="A279" s="9">
        <v>39566</v>
      </c>
      <c r="B279">
        <v>38.599997999999999</v>
      </c>
      <c r="C279">
        <v>40.229999999999997</v>
      </c>
      <c r="D279">
        <v>38.099997999999999</v>
      </c>
      <c r="E279">
        <v>40.130001</v>
      </c>
      <c r="G279" s="9">
        <v>39566</v>
      </c>
      <c r="H279">
        <v>38.599997999999999</v>
      </c>
      <c r="I279">
        <v>40.229999999999997</v>
      </c>
      <c r="J279">
        <v>38.099997999999999</v>
      </c>
    </row>
    <row r="280" spans="1:10" x14ac:dyDescent="0.25">
      <c r="A280" s="9">
        <v>39573</v>
      </c>
      <c r="B280">
        <v>40.060001</v>
      </c>
      <c r="C280">
        <v>40.099997999999999</v>
      </c>
      <c r="D280">
        <v>38.299999</v>
      </c>
      <c r="E280">
        <v>38.590000000000003</v>
      </c>
      <c r="G280" s="9">
        <v>39573</v>
      </c>
      <c r="H280">
        <v>40.060001</v>
      </c>
      <c r="I280">
        <v>40.099997999999999</v>
      </c>
      <c r="J280">
        <v>38.299999</v>
      </c>
    </row>
    <row r="281" spans="1:10" x14ac:dyDescent="0.25">
      <c r="A281" s="9">
        <v>39580</v>
      </c>
      <c r="B281">
        <v>38.610000999999997</v>
      </c>
      <c r="C281">
        <v>40.240001999999997</v>
      </c>
      <c r="D281">
        <v>38.549999</v>
      </c>
      <c r="E281">
        <v>40.07</v>
      </c>
      <c r="G281" s="9">
        <v>39580</v>
      </c>
      <c r="H281">
        <v>38.610000999999997</v>
      </c>
      <c r="I281">
        <v>40.240001999999997</v>
      </c>
      <c r="J281">
        <v>38.549999</v>
      </c>
    </row>
    <row r="282" spans="1:10" x14ac:dyDescent="0.25">
      <c r="A282" s="9">
        <v>39587</v>
      </c>
      <c r="B282">
        <v>40.099997999999999</v>
      </c>
      <c r="C282">
        <v>40.700001</v>
      </c>
      <c r="D282">
        <v>38.349997999999999</v>
      </c>
      <c r="E282">
        <v>38.529998999999997</v>
      </c>
      <c r="G282" s="9">
        <v>39587</v>
      </c>
      <c r="H282">
        <v>40.099997999999999</v>
      </c>
      <c r="I282">
        <v>40.700001</v>
      </c>
      <c r="J282">
        <v>38.349997999999999</v>
      </c>
    </row>
    <row r="283" spans="1:10" x14ac:dyDescent="0.25">
      <c r="A283" s="9">
        <v>39594</v>
      </c>
      <c r="B283">
        <v>38.619999</v>
      </c>
      <c r="C283">
        <v>40.540000999999997</v>
      </c>
      <c r="D283">
        <v>38.310001</v>
      </c>
      <c r="E283">
        <v>39.900002000000001</v>
      </c>
      <c r="G283" s="9">
        <v>39594</v>
      </c>
      <c r="H283">
        <v>38.619999</v>
      </c>
      <c r="I283">
        <v>40.540000999999997</v>
      </c>
      <c r="J283">
        <v>38.310001</v>
      </c>
    </row>
    <row r="284" spans="1:10" x14ac:dyDescent="0.25">
      <c r="A284" s="9">
        <v>39601</v>
      </c>
      <c r="B284">
        <v>39.669998</v>
      </c>
      <c r="C284">
        <v>39.909999999999997</v>
      </c>
      <c r="D284">
        <v>38.130001</v>
      </c>
      <c r="E284">
        <v>38.209999000000003</v>
      </c>
      <c r="G284" s="9">
        <v>39601</v>
      </c>
      <c r="H284">
        <v>39.669998</v>
      </c>
      <c r="I284">
        <v>39.909999999999997</v>
      </c>
      <c r="J284">
        <v>38.130001</v>
      </c>
    </row>
    <row r="285" spans="1:10" x14ac:dyDescent="0.25">
      <c r="A285" s="9">
        <v>39608</v>
      </c>
      <c r="B285">
        <v>38.409999999999997</v>
      </c>
      <c r="C285">
        <v>38.759998000000003</v>
      </c>
      <c r="D285">
        <v>35.93</v>
      </c>
      <c r="E285">
        <v>36.68</v>
      </c>
      <c r="G285" s="9">
        <v>39608</v>
      </c>
      <c r="H285">
        <v>38.409999999999997</v>
      </c>
      <c r="I285">
        <v>38.759998000000003</v>
      </c>
      <c r="J285">
        <v>35.93</v>
      </c>
    </row>
    <row r="286" spans="1:10" x14ac:dyDescent="0.25">
      <c r="A286" s="9">
        <v>39615</v>
      </c>
      <c r="B286">
        <v>35.950001</v>
      </c>
      <c r="C286">
        <v>36.340000000000003</v>
      </c>
      <c r="D286">
        <v>34.409999999999997</v>
      </c>
      <c r="E286">
        <v>34.43</v>
      </c>
      <c r="G286" s="9">
        <v>39615</v>
      </c>
      <c r="H286">
        <v>35.950001</v>
      </c>
      <c r="I286">
        <v>36.340000000000003</v>
      </c>
      <c r="J286">
        <v>34.409999999999997</v>
      </c>
    </row>
    <row r="287" spans="1:10" x14ac:dyDescent="0.25">
      <c r="A287" s="9">
        <v>39622</v>
      </c>
      <c r="B287">
        <v>34.509998000000003</v>
      </c>
      <c r="C287">
        <v>35.25</v>
      </c>
      <c r="D287">
        <v>32.759998000000003</v>
      </c>
      <c r="E287">
        <v>32.759998000000003</v>
      </c>
      <c r="G287" s="9">
        <v>39622</v>
      </c>
      <c r="H287">
        <v>34.509998000000003</v>
      </c>
      <c r="I287">
        <v>35.25</v>
      </c>
      <c r="J287">
        <v>32.759998000000003</v>
      </c>
    </row>
    <row r="288" spans="1:10" x14ac:dyDescent="0.25">
      <c r="A288" s="9">
        <v>39629</v>
      </c>
      <c r="B288">
        <v>32.75</v>
      </c>
      <c r="C288">
        <v>33.840000000000003</v>
      </c>
      <c r="D288">
        <v>32.130001</v>
      </c>
      <c r="E288">
        <v>32.580002</v>
      </c>
      <c r="G288" s="9">
        <v>39629</v>
      </c>
      <c r="H288">
        <v>32.75</v>
      </c>
      <c r="I288">
        <v>33.840000000000003</v>
      </c>
      <c r="J288">
        <v>32.130001</v>
      </c>
    </row>
    <row r="289" spans="1:10" x14ac:dyDescent="0.25">
      <c r="A289" s="9">
        <v>39636</v>
      </c>
      <c r="B289">
        <v>32.689999</v>
      </c>
      <c r="C289">
        <v>33.25</v>
      </c>
      <c r="D289">
        <v>32.099997999999999</v>
      </c>
      <c r="E289">
        <v>32.580002</v>
      </c>
      <c r="G289" s="9">
        <v>39636</v>
      </c>
      <c r="H289">
        <v>32.689999</v>
      </c>
      <c r="I289">
        <v>33.25</v>
      </c>
      <c r="J289">
        <v>32.099997999999999</v>
      </c>
    </row>
    <row r="290" spans="1:10" x14ac:dyDescent="0.25">
      <c r="A290" s="9">
        <v>39643</v>
      </c>
      <c r="B290">
        <v>32.909999999999997</v>
      </c>
      <c r="C290">
        <v>32.979999999999997</v>
      </c>
      <c r="D290">
        <v>31.34</v>
      </c>
      <c r="E290">
        <v>32.119999</v>
      </c>
      <c r="G290" s="9">
        <v>39643</v>
      </c>
      <c r="H290">
        <v>32.909999999999997</v>
      </c>
      <c r="I290">
        <v>32.979999999999997</v>
      </c>
      <c r="J290">
        <v>31.34</v>
      </c>
    </row>
    <row r="291" spans="1:10" x14ac:dyDescent="0.25">
      <c r="A291" s="9">
        <v>39650</v>
      </c>
      <c r="B291">
        <v>32.200001</v>
      </c>
      <c r="C291">
        <v>33.560001</v>
      </c>
      <c r="D291">
        <v>31.17</v>
      </c>
      <c r="E291">
        <v>31.4</v>
      </c>
      <c r="G291" s="9">
        <v>39650</v>
      </c>
      <c r="H291">
        <v>32.200001</v>
      </c>
      <c r="I291">
        <v>33.560001</v>
      </c>
      <c r="J291">
        <v>31.17</v>
      </c>
    </row>
    <row r="292" spans="1:10" x14ac:dyDescent="0.25">
      <c r="A292" s="9">
        <v>39657</v>
      </c>
      <c r="B292">
        <v>31.49</v>
      </c>
      <c r="C292">
        <v>31.68</v>
      </c>
      <c r="D292">
        <v>30.18</v>
      </c>
      <c r="E292">
        <v>30.440000999999999</v>
      </c>
      <c r="G292" s="9">
        <v>39657</v>
      </c>
      <c r="H292">
        <v>31.49</v>
      </c>
      <c r="I292">
        <v>31.68</v>
      </c>
      <c r="J292">
        <v>30.18</v>
      </c>
    </row>
    <row r="293" spans="1:10" x14ac:dyDescent="0.25">
      <c r="A293" s="9">
        <v>39664</v>
      </c>
      <c r="B293">
        <v>30.469999000000001</v>
      </c>
      <c r="C293">
        <v>31.389999</v>
      </c>
      <c r="D293">
        <v>29.719999000000001</v>
      </c>
      <c r="E293">
        <v>30.969999000000001</v>
      </c>
      <c r="G293" s="9">
        <v>39664</v>
      </c>
      <c r="H293">
        <v>30.469999000000001</v>
      </c>
      <c r="I293">
        <v>31.389999</v>
      </c>
      <c r="J293">
        <v>29.719999000000001</v>
      </c>
    </row>
    <row r="294" spans="1:10" x14ac:dyDescent="0.25">
      <c r="A294" s="9">
        <v>39671</v>
      </c>
      <c r="B294">
        <v>30.969999000000001</v>
      </c>
      <c r="C294">
        <v>31.950001</v>
      </c>
      <c r="D294">
        <v>30.629999000000002</v>
      </c>
      <c r="E294">
        <v>31.66</v>
      </c>
      <c r="G294" s="9">
        <v>39671</v>
      </c>
      <c r="H294">
        <v>30.969999000000001</v>
      </c>
      <c r="I294">
        <v>31.950001</v>
      </c>
      <c r="J294">
        <v>30.629999000000002</v>
      </c>
    </row>
    <row r="295" spans="1:10" x14ac:dyDescent="0.25">
      <c r="A295" s="9">
        <v>39678</v>
      </c>
      <c r="B295">
        <v>31.77</v>
      </c>
      <c r="C295">
        <v>32.18</v>
      </c>
      <c r="D295">
        <v>30.32</v>
      </c>
      <c r="E295">
        <v>31.17</v>
      </c>
      <c r="G295" s="9">
        <v>39678</v>
      </c>
      <c r="H295">
        <v>31.77</v>
      </c>
      <c r="I295">
        <v>32.18</v>
      </c>
      <c r="J295">
        <v>30.32</v>
      </c>
    </row>
    <row r="296" spans="1:10" x14ac:dyDescent="0.25">
      <c r="A296" s="9">
        <v>39685</v>
      </c>
      <c r="B296">
        <v>31.030000999999999</v>
      </c>
      <c r="C296">
        <v>32.810001</v>
      </c>
      <c r="D296">
        <v>30.25</v>
      </c>
      <c r="E296">
        <v>31.99</v>
      </c>
      <c r="G296" s="9">
        <v>39685</v>
      </c>
      <c r="H296">
        <v>31.030000999999999</v>
      </c>
      <c r="I296">
        <v>32.810001</v>
      </c>
      <c r="J296">
        <v>30.25</v>
      </c>
    </row>
    <row r="297" spans="1:10" x14ac:dyDescent="0.25">
      <c r="A297" s="9">
        <v>39692</v>
      </c>
      <c r="B297">
        <v>32.529998999999997</v>
      </c>
      <c r="C297">
        <v>33.150002000000001</v>
      </c>
      <c r="D297">
        <v>31.02</v>
      </c>
      <c r="E297">
        <v>31.5</v>
      </c>
      <c r="G297" s="9">
        <v>39692</v>
      </c>
      <c r="H297">
        <v>32.529998999999997</v>
      </c>
      <c r="I297">
        <v>33.150002000000001</v>
      </c>
      <c r="J297">
        <v>31.02</v>
      </c>
    </row>
    <row r="298" spans="1:10" x14ac:dyDescent="0.25">
      <c r="A298" s="9">
        <v>39699</v>
      </c>
      <c r="B298">
        <v>32.130001</v>
      </c>
      <c r="C298">
        <v>33.099997999999999</v>
      </c>
      <c r="D298">
        <v>30.65</v>
      </c>
      <c r="E298">
        <v>31.540001</v>
      </c>
      <c r="G298" s="9">
        <v>39699</v>
      </c>
      <c r="H298">
        <v>32.130001</v>
      </c>
      <c r="I298">
        <v>33.099997999999999</v>
      </c>
      <c r="J298">
        <v>30.65</v>
      </c>
    </row>
    <row r="299" spans="1:10" x14ac:dyDescent="0.25">
      <c r="A299" s="9">
        <v>39706</v>
      </c>
      <c r="B299">
        <v>30.73</v>
      </c>
      <c r="C299">
        <v>31.18</v>
      </c>
      <c r="D299">
        <v>27.51</v>
      </c>
      <c r="E299">
        <v>30.43</v>
      </c>
      <c r="G299" s="9">
        <v>39706</v>
      </c>
      <c r="H299">
        <v>30.73</v>
      </c>
      <c r="I299">
        <v>31.18</v>
      </c>
      <c r="J299">
        <v>27.51</v>
      </c>
    </row>
    <row r="300" spans="1:10" x14ac:dyDescent="0.25">
      <c r="A300" s="9">
        <v>39713</v>
      </c>
      <c r="B300">
        <v>30.459999</v>
      </c>
      <c r="C300">
        <v>30.549999</v>
      </c>
      <c r="D300">
        <v>28.27</v>
      </c>
      <c r="E300">
        <v>30</v>
      </c>
      <c r="G300" s="9">
        <v>39713</v>
      </c>
      <c r="H300">
        <v>30.459999</v>
      </c>
      <c r="I300">
        <v>30.549999</v>
      </c>
      <c r="J300">
        <v>28.27</v>
      </c>
    </row>
    <row r="301" spans="1:10" x14ac:dyDescent="0.25">
      <c r="A301" s="9">
        <v>39720</v>
      </c>
      <c r="B301">
        <v>29.629999000000002</v>
      </c>
      <c r="C301">
        <v>30</v>
      </c>
      <c r="D301">
        <v>27.049999</v>
      </c>
      <c r="E301">
        <v>28.120000999999998</v>
      </c>
      <c r="G301" s="9">
        <v>39720</v>
      </c>
      <c r="H301">
        <v>29.629999000000002</v>
      </c>
      <c r="I301">
        <v>30</v>
      </c>
      <c r="J301">
        <v>27.049999</v>
      </c>
    </row>
    <row r="302" spans="1:10" x14ac:dyDescent="0.25">
      <c r="A302" s="9">
        <v>39727</v>
      </c>
      <c r="B302">
        <v>27.48</v>
      </c>
      <c r="C302">
        <v>27.82</v>
      </c>
      <c r="D302">
        <v>20.9</v>
      </c>
      <c r="E302">
        <v>22.42</v>
      </c>
      <c r="G302" s="9">
        <v>39727</v>
      </c>
      <c r="H302">
        <v>27.48</v>
      </c>
      <c r="I302">
        <v>27.82</v>
      </c>
      <c r="J302">
        <v>20.9</v>
      </c>
    </row>
    <row r="303" spans="1:10" x14ac:dyDescent="0.25">
      <c r="A303" s="9">
        <v>39734</v>
      </c>
      <c r="B303">
        <v>23.27</v>
      </c>
      <c r="C303">
        <v>28.51</v>
      </c>
      <c r="D303">
        <v>23.01</v>
      </c>
      <c r="E303">
        <v>25.290001</v>
      </c>
      <c r="G303" s="9">
        <v>39734</v>
      </c>
      <c r="H303">
        <v>23.27</v>
      </c>
      <c r="I303">
        <v>28.51</v>
      </c>
      <c r="J303">
        <v>23.01</v>
      </c>
    </row>
    <row r="304" spans="1:10" x14ac:dyDescent="0.25">
      <c r="A304" s="9">
        <v>39741</v>
      </c>
      <c r="B304">
        <v>25.68</v>
      </c>
      <c r="C304">
        <v>27.17</v>
      </c>
      <c r="D304">
        <v>23</v>
      </c>
      <c r="E304">
        <v>24.68</v>
      </c>
      <c r="G304" s="9">
        <v>39741</v>
      </c>
      <c r="H304">
        <v>25.68</v>
      </c>
      <c r="I304">
        <v>27.17</v>
      </c>
      <c r="J304">
        <v>23</v>
      </c>
    </row>
    <row r="305" spans="1:10" x14ac:dyDescent="0.25">
      <c r="A305" s="9">
        <v>39748</v>
      </c>
      <c r="B305">
        <v>24.59</v>
      </c>
      <c r="C305">
        <v>28.299999</v>
      </c>
      <c r="D305">
        <v>24</v>
      </c>
      <c r="E305">
        <v>26.77</v>
      </c>
      <c r="G305" s="9">
        <v>39748</v>
      </c>
      <c r="H305">
        <v>24.59</v>
      </c>
      <c r="I305">
        <v>28.299999</v>
      </c>
      <c r="J305">
        <v>24</v>
      </c>
    </row>
    <row r="306" spans="1:10" x14ac:dyDescent="0.25">
      <c r="A306" s="9">
        <v>39755</v>
      </c>
      <c r="B306">
        <v>26.870000999999998</v>
      </c>
      <c r="C306">
        <v>29.91</v>
      </c>
      <c r="D306">
        <v>25.73</v>
      </c>
      <c r="E306">
        <v>27</v>
      </c>
      <c r="G306" s="9">
        <v>39755</v>
      </c>
      <c r="H306">
        <v>26.870000999999998</v>
      </c>
      <c r="I306">
        <v>29.91</v>
      </c>
      <c r="J306">
        <v>25.73</v>
      </c>
    </row>
    <row r="307" spans="1:10" x14ac:dyDescent="0.25">
      <c r="A307" s="9">
        <v>39762</v>
      </c>
      <c r="B307">
        <v>27.780000999999999</v>
      </c>
      <c r="C307">
        <v>28.99</v>
      </c>
      <c r="D307">
        <v>25.75</v>
      </c>
      <c r="E307">
        <v>27.65</v>
      </c>
      <c r="G307" s="9">
        <v>39762</v>
      </c>
      <c r="H307">
        <v>27.780000999999999</v>
      </c>
      <c r="I307">
        <v>28.99</v>
      </c>
      <c r="J307">
        <v>25.75</v>
      </c>
    </row>
    <row r="308" spans="1:10" x14ac:dyDescent="0.25">
      <c r="A308" s="9">
        <v>39769</v>
      </c>
      <c r="B308">
        <v>27.32</v>
      </c>
      <c r="C308">
        <v>27.530000999999999</v>
      </c>
      <c r="D308">
        <v>23.32</v>
      </c>
      <c r="E308">
        <v>25.190000999999999</v>
      </c>
      <c r="G308" s="9">
        <v>39769</v>
      </c>
      <c r="H308">
        <v>27.32</v>
      </c>
      <c r="I308">
        <v>27.530000999999999</v>
      </c>
      <c r="J308">
        <v>23.32</v>
      </c>
    </row>
    <row r="309" spans="1:10" x14ac:dyDescent="0.25">
      <c r="A309" s="9">
        <v>39776</v>
      </c>
      <c r="B309">
        <v>25.77</v>
      </c>
      <c r="C309">
        <v>28.719999000000001</v>
      </c>
      <c r="D309">
        <v>25.58</v>
      </c>
      <c r="E309">
        <v>28.559999000000001</v>
      </c>
      <c r="G309" s="9">
        <v>39776</v>
      </c>
      <c r="H309">
        <v>25.77</v>
      </c>
      <c r="I309">
        <v>28.719999000000001</v>
      </c>
      <c r="J309">
        <v>25.58</v>
      </c>
    </row>
    <row r="310" spans="1:10" x14ac:dyDescent="0.25">
      <c r="A310" s="9">
        <v>39783</v>
      </c>
      <c r="B310">
        <v>28</v>
      </c>
      <c r="C310">
        <v>29.639999</v>
      </c>
      <c r="D310">
        <v>26.9</v>
      </c>
      <c r="E310">
        <v>28.15</v>
      </c>
      <c r="G310" s="9">
        <v>39783</v>
      </c>
      <c r="H310">
        <v>28</v>
      </c>
      <c r="I310">
        <v>29.639999</v>
      </c>
      <c r="J310">
        <v>26.9</v>
      </c>
    </row>
    <row r="311" spans="1:10" x14ac:dyDescent="0.25">
      <c r="A311" s="9">
        <v>39790</v>
      </c>
      <c r="B311">
        <v>28.9</v>
      </c>
      <c r="C311">
        <v>30.65</v>
      </c>
      <c r="D311">
        <v>27.280000999999999</v>
      </c>
      <c r="E311">
        <v>28.18</v>
      </c>
      <c r="G311" s="9">
        <v>39790</v>
      </c>
      <c r="H311">
        <v>28.9</v>
      </c>
      <c r="I311">
        <v>30.65</v>
      </c>
      <c r="J311">
        <v>27.280000999999999</v>
      </c>
    </row>
    <row r="312" spans="1:10" x14ac:dyDescent="0.25">
      <c r="A312" s="9">
        <v>39797</v>
      </c>
      <c r="B312">
        <v>27.65</v>
      </c>
      <c r="C312">
        <v>28.85</v>
      </c>
      <c r="D312">
        <v>26.57</v>
      </c>
      <c r="E312">
        <v>28.120000999999998</v>
      </c>
      <c r="G312" s="9">
        <v>39797</v>
      </c>
      <c r="H312">
        <v>27.65</v>
      </c>
      <c r="I312">
        <v>28.85</v>
      </c>
      <c r="J312">
        <v>26.57</v>
      </c>
    </row>
    <row r="313" spans="1:10" x14ac:dyDescent="0.25">
      <c r="A313" s="9">
        <v>39804</v>
      </c>
      <c r="B313">
        <v>28.139999</v>
      </c>
      <c r="C313">
        <v>28.65</v>
      </c>
      <c r="D313">
        <v>27.530000999999999</v>
      </c>
      <c r="E313">
        <v>27.940000999999999</v>
      </c>
      <c r="G313" s="9">
        <v>39804</v>
      </c>
      <c r="H313">
        <v>28.139999</v>
      </c>
      <c r="I313">
        <v>28.65</v>
      </c>
      <c r="J313">
        <v>27.530000999999999</v>
      </c>
    </row>
    <row r="314" spans="1:10" x14ac:dyDescent="0.25">
      <c r="A314" s="9">
        <v>39811</v>
      </c>
      <c r="B314">
        <v>28.02</v>
      </c>
      <c r="C314">
        <v>29.459999</v>
      </c>
      <c r="D314">
        <v>27.32</v>
      </c>
      <c r="E314">
        <v>29.42</v>
      </c>
      <c r="G314" s="9">
        <v>39811</v>
      </c>
      <c r="H314">
        <v>28.02</v>
      </c>
      <c r="I314">
        <v>29.459999</v>
      </c>
      <c r="J314">
        <v>27.32</v>
      </c>
    </row>
    <row r="315" spans="1:10" x14ac:dyDescent="0.25">
      <c r="A315" s="9">
        <v>39818</v>
      </c>
      <c r="B315">
        <v>28.799999</v>
      </c>
      <c r="C315">
        <v>28.889999</v>
      </c>
      <c r="D315">
        <v>26.59</v>
      </c>
      <c r="E315">
        <v>26.68</v>
      </c>
      <c r="G315" s="9">
        <v>39818</v>
      </c>
      <c r="H315">
        <v>28.799999</v>
      </c>
      <c r="I315">
        <v>28.889999</v>
      </c>
      <c r="J315">
        <v>26.59</v>
      </c>
    </row>
    <row r="316" spans="1:10" x14ac:dyDescent="0.25">
      <c r="A316" s="9">
        <v>39825</v>
      </c>
      <c r="B316">
        <v>26.73</v>
      </c>
      <c r="C316">
        <v>26.950001</v>
      </c>
      <c r="D316">
        <v>23.9</v>
      </c>
      <c r="E316">
        <v>25.23</v>
      </c>
      <c r="G316" s="9">
        <v>39825</v>
      </c>
      <c r="H316">
        <v>26.73</v>
      </c>
      <c r="I316">
        <v>26.950001</v>
      </c>
      <c r="J316">
        <v>23.9</v>
      </c>
    </row>
    <row r="317" spans="1:10" x14ac:dyDescent="0.25">
      <c r="A317" s="9">
        <v>39832</v>
      </c>
      <c r="B317">
        <v>25.18</v>
      </c>
      <c r="C317">
        <v>26.32</v>
      </c>
      <c r="D317">
        <v>24.76</v>
      </c>
      <c r="E317">
        <v>26.120000999999998</v>
      </c>
      <c r="G317" s="9">
        <v>39832</v>
      </c>
      <c r="H317">
        <v>25.18</v>
      </c>
      <c r="I317">
        <v>26.32</v>
      </c>
      <c r="J317">
        <v>24.76</v>
      </c>
    </row>
    <row r="318" spans="1:10" x14ac:dyDescent="0.25">
      <c r="A318" s="9">
        <v>39839</v>
      </c>
      <c r="B318">
        <v>25.91</v>
      </c>
      <c r="C318">
        <v>27.110001</v>
      </c>
      <c r="D318">
        <v>24.25</v>
      </c>
      <c r="E318">
        <v>24.620000999999998</v>
      </c>
      <c r="G318" s="9">
        <v>39839</v>
      </c>
      <c r="H318">
        <v>25.91</v>
      </c>
      <c r="I318">
        <v>27.110001</v>
      </c>
      <c r="J318">
        <v>24.25</v>
      </c>
    </row>
    <row r="319" spans="1:10" x14ac:dyDescent="0.25">
      <c r="A319" s="9">
        <v>39846</v>
      </c>
      <c r="B319">
        <v>24.969999000000001</v>
      </c>
      <c r="C319">
        <v>26.379999000000002</v>
      </c>
      <c r="D319">
        <v>24.4</v>
      </c>
      <c r="E319">
        <v>26.08</v>
      </c>
      <c r="G319" s="9">
        <v>39846</v>
      </c>
      <c r="H319">
        <v>24.969999000000001</v>
      </c>
      <c r="I319">
        <v>26.379999000000002</v>
      </c>
      <c r="J319">
        <v>24.4</v>
      </c>
    </row>
    <row r="320" spans="1:10" x14ac:dyDescent="0.25">
      <c r="A320" s="9">
        <v>39853</v>
      </c>
      <c r="B320">
        <v>26.120000999999998</v>
      </c>
      <c r="C320">
        <v>26.23</v>
      </c>
      <c r="D320">
        <v>23.52</v>
      </c>
      <c r="E320">
        <v>24.190000999999999</v>
      </c>
      <c r="G320" s="9">
        <v>39853</v>
      </c>
      <c r="H320">
        <v>26.120000999999998</v>
      </c>
      <c r="I320">
        <v>26.23</v>
      </c>
      <c r="J320">
        <v>23.52</v>
      </c>
    </row>
    <row r="321" spans="1:10" x14ac:dyDescent="0.25">
      <c r="A321" s="9">
        <v>39860</v>
      </c>
      <c r="B321">
        <v>23.620000999999998</v>
      </c>
      <c r="C321">
        <v>23.940000999999999</v>
      </c>
      <c r="D321">
        <v>22.75</v>
      </c>
      <c r="E321">
        <v>23.58</v>
      </c>
      <c r="G321" s="9">
        <v>39860</v>
      </c>
      <c r="H321">
        <v>23.620000999999998</v>
      </c>
      <c r="I321">
        <v>23.940000999999999</v>
      </c>
      <c r="J321">
        <v>22.75</v>
      </c>
    </row>
    <row r="322" spans="1:10" x14ac:dyDescent="0.25">
      <c r="A322" s="9">
        <v>39867</v>
      </c>
      <c r="B322">
        <v>23.799999</v>
      </c>
      <c r="C322">
        <v>24.41</v>
      </c>
      <c r="D322">
        <v>22.299999</v>
      </c>
      <c r="E322">
        <v>23.77</v>
      </c>
      <c r="G322" s="9">
        <v>39867</v>
      </c>
      <c r="H322">
        <v>23.799999</v>
      </c>
      <c r="I322">
        <v>24.41</v>
      </c>
      <c r="J322">
        <v>22.299999</v>
      </c>
    </row>
    <row r="323" spans="1:10" x14ac:dyDescent="0.25">
      <c r="A323" s="9">
        <v>39874</v>
      </c>
      <c r="B323">
        <v>22.799999</v>
      </c>
      <c r="C323">
        <v>23.879999000000002</v>
      </c>
      <c r="D323">
        <v>21.440000999999999</v>
      </c>
      <c r="E323">
        <v>22.58</v>
      </c>
      <c r="G323" s="9">
        <v>39874</v>
      </c>
      <c r="H323">
        <v>22.799999</v>
      </c>
      <c r="I323">
        <v>23.879999000000002</v>
      </c>
      <c r="J323">
        <v>21.440000999999999</v>
      </c>
    </row>
    <row r="324" spans="1:10" x14ac:dyDescent="0.25">
      <c r="A324" s="9">
        <v>39881</v>
      </c>
      <c r="B324">
        <v>22.09</v>
      </c>
      <c r="C324">
        <v>24.75</v>
      </c>
      <c r="D324">
        <v>21.620000999999998</v>
      </c>
      <c r="E324">
        <v>24.27</v>
      </c>
      <c r="G324" s="9">
        <v>39881</v>
      </c>
      <c r="H324">
        <v>22.09</v>
      </c>
      <c r="I324">
        <v>24.75</v>
      </c>
      <c r="J324">
        <v>21.620000999999998</v>
      </c>
    </row>
    <row r="325" spans="1:10" x14ac:dyDescent="0.25">
      <c r="A325" s="9">
        <v>39888</v>
      </c>
      <c r="B325">
        <v>24.5</v>
      </c>
      <c r="C325">
        <v>26.25</v>
      </c>
      <c r="D325">
        <v>24.059999000000001</v>
      </c>
      <c r="E325">
        <v>25.33</v>
      </c>
      <c r="G325" s="9">
        <v>39888</v>
      </c>
      <c r="H325">
        <v>24.5</v>
      </c>
      <c r="I325">
        <v>26.25</v>
      </c>
      <c r="J325">
        <v>24.059999000000001</v>
      </c>
    </row>
    <row r="326" spans="1:10" x14ac:dyDescent="0.25">
      <c r="A326" s="9">
        <v>39895</v>
      </c>
      <c r="B326">
        <v>25.940000999999999</v>
      </c>
      <c r="C326">
        <v>26.959999</v>
      </c>
      <c r="D326">
        <v>25.6</v>
      </c>
      <c r="E326">
        <v>26</v>
      </c>
      <c r="G326" s="9">
        <v>39895</v>
      </c>
      <c r="H326">
        <v>25.940000999999999</v>
      </c>
      <c r="I326">
        <v>26.959999</v>
      </c>
      <c r="J326">
        <v>25.6</v>
      </c>
    </row>
    <row r="327" spans="1:10" x14ac:dyDescent="0.25">
      <c r="A327" s="9">
        <v>39902</v>
      </c>
      <c r="B327">
        <v>25.49</v>
      </c>
      <c r="C327">
        <v>27.09</v>
      </c>
      <c r="D327">
        <v>24.77</v>
      </c>
      <c r="E327">
        <v>26.83</v>
      </c>
      <c r="G327" s="9">
        <v>39902</v>
      </c>
      <c r="H327">
        <v>25.49</v>
      </c>
      <c r="I327">
        <v>27.09</v>
      </c>
      <c r="J327">
        <v>24.77</v>
      </c>
    </row>
    <row r="328" spans="1:10" x14ac:dyDescent="0.25">
      <c r="A328" s="9">
        <v>39909</v>
      </c>
      <c r="B328">
        <v>26.4</v>
      </c>
      <c r="C328">
        <v>26.65</v>
      </c>
      <c r="D328">
        <v>25.1</v>
      </c>
      <c r="E328">
        <v>26.1</v>
      </c>
      <c r="G328" s="9">
        <v>39909</v>
      </c>
      <c r="H328">
        <v>26.4</v>
      </c>
      <c r="I328">
        <v>26.65</v>
      </c>
      <c r="J328">
        <v>25.1</v>
      </c>
    </row>
    <row r="329" spans="1:10" x14ac:dyDescent="0.25">
      <c r="A329" s="9">
        <v>39916</v>
      </c>
      <c r="B329">
        <v>25.93</v>
      </c>
      <c r="C329">
        <v>26.48</v>
      </c>
      <c r="D329">
        <v>25.23</v>
      </c>
      <c r="E329">
        <v>25.950001</v>
      </c>
      <c r="G329" s="9">
        <v>39916</v>
      </c>
      <c r="H329">
        <v>25.93</v>
      </c>
      <c r="I329">
        <v>26.48</v>
      </c>
      <c r="J329">
        <v>25.23</v>
      </c>
    </row>
    <row r="330" spans="1:10" x14ac:dyDescent="0.25">
      <c r="A330" s="9">
        <v>39923</v>
      </c>
      <c r="B330">
        <v>25.65</v>
      </c>
      <c r="C330">
        <v>26.43</v>
      </c>
      <c r="D330">
        <v>24.98</v>
      </c>
      <c r="E330">
        <v>25.16</v>
      </c>
      <c r="G330" s="9">
        <v>39923</v>
      </c>
      <c r="H330">
        <v>25.65</v>
      </c>
      <c r="I330">
        <v>26.43</v>
      </c>
      <c r="J330">
        <v>24.98</v>
      </c>
    </row>
    <row r="331" spans="1:10" x14ac:dyDescent="0.25">
      <c r="A331" s="9">
        <v>39930</v>
      </c>
      <c r="B331">
        <v>25.200001</v>
      </c>
      <c r="C331">
        <v>26.09</v>
      </c>
      <c r="D331">
        <v>24.9</v>
      </c>
      <c r="E331">
        <v>26.01</v>
      </c>
      <c r="G331" s="9">
        <v>39930</v>
      </c>
      <c r="H331">
        <v>25.200001</v>
      </c>
      <c r="I331">
        <v>26.09</v>
      </c>
      <c r="J331">
        <v>24.9</v>
      </c>
    </row>
    <row r="332" spans="1:10" x14ac:dyDescent="0.25">
      <c r="A332" s="9">
        <v>39937</v>
      </c>
      <c r="B332">
        <v>26.110001</v>
      </c>
      <c r="C332">
        <v>26.780000999999999</v>
      </c>
      <c r="D332">
        <v>25.059999000000001</v>
      </c>
      <c r="E332">
        <v>25.25</v>
      </c>
      <c r="G332" s="9">
        <v>39937</v>
      </c>
      <c r="H332">
        <v>26.110001</v>
      </c>
      <c r="I332">
        <v>26.780000999999999</v>
      </c>
      <c r="J332">
        <v>25.059999000000001</v>
      </c>
    </row>
    <row r="333" spans="1:10" x14ac:dyDescent="0.25">
      <c r="A333" s="9">
        <v>39944</v>
      </c>
      <c r="B333">
        <v>25.219999000000001</v>
      </c>
      <c r="C333">
        <v>25.9</v>
      </c>
      <c r="D333">
        <v>24.620000999999998</v>
      </c>
      <c r="E333">
        <v>24.879999000000002</v>
      </c>
      <c r="G333" s="9">
        <v>39944</v>
      </c>
      <c r="H333">
        <v>25.219999000000001</v>
      </c>
      <c r="I333">
        <v>25.9</v>
      </c>
      <c r="J333">
        <v>24.620000999999998</v>
      </c>
    </row>
    <row r="334" spans="1:10" x14ac:dyDescent="0.25">
      <c r="A334" s="9">
        <v>39951</v>
      </c>
      <c r="B334">
        <v>25.02</v>
      </c>
      <c r="C334">
        <v>25.16</v>
      </c>
      <c r="D334">
        <v>23.379999000000002</v>
      </c>
      <c r="E334">
        <v>23.68</v>
      </c>
      <c r="G334" s="9">
        <v>39951</v>
      </c>
      <c r="H334">
        <v>25.02</v>
      </c>
      <c r="I334">
        <v>25.16</v>
      </c>
      <c r="J334">
        <v>23.379999000000002</v>
      </c>
    </row>
    <row r="335" spans="1:10" x14ac:dyDescent="0.25">
      <c r="A335" s="9">
        <v>39958</v>
      </c>
      <c r="B335">
        <v>23.799999</v>
      </c>
      <c r="C335">
        <v>24.83</v>
      </c>
      <c r="D335">
        <v>23.610001</v>
      </c>
      <c r="E335">
        <v>24.790001</v>
      </c>
      <c r="G335" s="9">
        <v>39958</v>
      </c>
      <c r="H335">
        <v>23.799999</v>
      </c>
      <c r="I335">
        <v>24.83</v>
      </c>
      <c r="J335">
        <v>23.610001</v>
      </c>
    </row>
    <row r="336" spans="1:10" x14ac:dyDescent="0.25">
      <c r="A336" s="9">
        <v>39965</v>
      </c>
      <c r="B336">
        <v>24.969999000000001</v>
      </c>
      <c r="C336">
        <v>25.110001</v>
      </c>
      <c r="D336">
        <v>24.24</v>
      </c>
      <c r="E336">
        <v>24.559999000000001</v>
      </c>
      <c r="G336" s="9">
        <v>39965</v>
      </c>
      <c r="H336">
        <v>24.969999000000001</v>
      </c>
      <c r="I336">
        <v>25.110001</v>
      </c>
      <c r="J336">
        <v>24.24</v>
      </c>
    </row>
    <row r="337" spans="1:10" x14ac:dyDescent="0.25">
      <c r="A337" s="9">
        <v>39972</v>
      </c>
      <c r="B337">
        <v>24.219999000000001</v>
      </c>
      <c r="C337">
        <v>25.049999</v>
      </c>
      <c r="D337">
        <v>24.030000999999999</v>
      </c>
      <c r="E337">
        <v>25.01</v>
      </c>
      <c r="G337" s="9">
        <v>39972</v>
      </c>
      <c r="H337">
        <v>24.219999000000001</v>
      </c>
      <c r="I337">
        <v>25.049999</v>
      </c>
      <c r="J337">
        <v>24.030000999999999</v>
      </c>
    </row>
    <row r="338" spans="1:10" x14ac:dyDescent="0.25">
      <c r="A338" s="9">
        <v>39979</v>
      </c>
      <c r="B338">
        <v>24.780000999999999</v>
      </c>
      <c r="C338">
        <v>24.92</v>
      </c>
      <c r="D338">
        <v>23.809999000000001</v>
      </c>
      <c r="E338">
        <v>24.040001</v>
      </c>
      <c r="G338" s="9">
        <v>39979</v>
      </c>
      <c r="H338">
        <v>24.780000999999999</v>
      </c>
      <c r="I338">
        <v>24.92</v>
      </c>
      <c r="J338">
        <v>23.809999000000001</v>
      </c>
    </row>
    <row r="339" spans="1:10" x14ac:dyDescent="0.25">
      <c r="A339" s="9">
        <v>39986</v>
      </c>
      <c r="B339">
        <v>23.92</v>
      </c>
      <c r="C339">
        <v>25.01</v>
      </c>
      <c r="D339">
        <v>23.83</v>
      </c>
      <c r="E339">
        <v>24.82</v>
      </c>
      <c r="G339" s="9">
        <v>39986</v>
      </c>
      <c r="H339">
        <v>23.92</v>
      </c>
      <c r="I339">
        <v>25.01</v>
      </c>
      <c r="J339">
        <v>23.83</v>
      </c>
    </row>
    <row r="340" spans="1:10" x14ac:dyDescent="0.25">
      <c r="A340" s="9">
        <v>39993</v>
      </c>
      <c r="B340">
        <v>24.889999</v>
      </c>
      <c r="C340">
        <v>25.27</v>
      </c>
      <c r="D340">
        <v>24.469999000000001</v>
      </c>
      <c r="E340">
        <v>24.59</v>
      </c>
      <c r="G340" s="9">
        <v>39993</v>
      </c>
      <c r="H340">
        <v>24.889999</v>
      </c>
      <c r="I340">
        <v>25.27</v>
      </c>
      <c r="J340">
        <v>24.469999000000001</v>
      </c>
    </row>
    <row r="341" spans="1:10" x14ac:dyDescent="0.25">
      <c r="A341" s="9">
        <v>40000</v>
      </c>
      <c r="B341">
        <v>24.549999</v>
      </c>
      <c r="C341">
        <v>24.889999</v>
      </c>
      <c r="D341">
        <v>23.190000999999999</v>
      </c>
      <c r="E341">
        <v>23.440000999999999</v>
      </c>
      <c r="G341" s="9">
        <v>40000</v>
      </c>
      <c r="H341">
        <v>24.549999</v>
      </c>
      <c r="I341">
        <v>24.889999</v>
      </c>
      <c r="J341">
        <v>23.190000999999999</v>
      </c>
    </row>
    <row r="342" spans="1:10" x14ac:dyDescent="0.25">
      <c r="A342" s="9">
        <v>40007</v>
      </c>
      <c r="B342">
        <v>23.530000999999999</v>
      </c>
      <c r="C342">
        <v>24</v>
      </c>
      <c r="D342">
        <v>23.26</v>
      </c>
      <c r="E342">
        <v>23.98</v>
      </c>
      <c r="G342" s="9">
        <v>40007</v>
      </c>
      <c r="H342">
        <v>23.530000999999999</v>
      </c>
      <c r="I342">
        <v>24</v>
      </c>
      <c r="J342">
        <v>23.26</v>
      </c>
    </row>
    <row r="343" spans="1:10" x14ac:dyDescent="0.25">
      <c r="A343" s="9">
        <v>40014</v>
      </c>
      <c r="B343">
        <v>24.129999000000002</v>
      </c>
      <c r="C343">
        <v>25.950001</v>
      </c>
      <c r="D343">
        <v>24</v>
      </c>
      <c r="E343">
        <v>25.450001</v>
      </c>
      <c r="G343" s="9">
        <v>40014</v>
      </c>
      <c r="H343">
        <v>24.129999000000002</v>
      </c>
      <c r="I343">
        <v>25.950001</v>
      </c>
      <c r="J343">
        <v>24</v>
      </c>
    </row>
    <row r="344" spans="1:10" x14ac:dyDescent="0.25">
      <c r="A344" s="9">
        <v>40021</v>
      </c>
      <c r="B344">
        <v>25.65</v>
      </c>
      <c r="C344">
        <v>26.6</v>
      </c>
      <c r="D344">
        <v>25.360001</v>
      </c>
      <c r="E344">
        <v>26.23</v>
      </c>
      <c r="G344" s="9">
        <v>40021</v>
      </c>
      <c r="H344">
        <v>25.65</v>
      </c>
      <c r="I344">
        <v>26.6</v>
      </c>
      <c r="J344">
        <v>25.360001</v>
      </c>
    </row>
    <row r="345" spans="1:10" x14ac:dyDescent="0.25">
      <c r="A345" s="9">
        <v>40028</v>
      </c>
      <c r="B345">
        <v>26.700001</v>
      </c>
      <c r="C345">
        <v>26.9</v>
      </c>
      <c r="D345">
        <v>25.42</v>
      </c>
      <c r="E345">
        <v>25.620000999999998</v>
      </c>
      <c r="G345" s="9">
        <v>40028</v>
      </c>
      <c r="H345">
        <v>26.700001</v>
      </c>
      <c r="I345">
        <v>26.9</v>
      </c>
      <c r="J345">
        <v>25.42</v>
      </c>
    </row>
    <row r="346" spans="1:10" x14ac:dyDescent="0.25">
      <c r="A346" s="9">
        <v>40035</v>
      </c>
      <c r="B346">
        <v>25.719999000000001</v>
      </c>
      <c r="C346">
        <v>25.92</v>
      </c>
      <c r="D346">
        <v>25.120000999999998</v>
      </c>
      <c r="E346">
        <v>25.450001</v>
      </c>
      <c r="G346" s="9">
        <v>40035</v>
      </c>
      <c r="H346">
        <v>25.719999000000001</v>
      </c>
      <c r="I346">
        <v>25.92</v>
      </c>
      <c r="J346">
        <v>25.120000999999998</v>
      </c>
    </row>
    <row r="347" spans="1:10" x14ac:dyDescent="0.25">
      <c r="A347" s="9">
        <v>40042</v>
      </c>
      <c r="B347">
        <v>25.290001</v>
      </c>
      <c r="C347">
        <v>26.120000999999998</v>
      </c>
      <c r="D347">
        <v>24.91</v>
      </c>
      <c r="E347">
        <v>26</v>
      </c>
      <c r="G347" s="9">
        <v>40042</v>
      </c>
      <c r="H347">
        <v>25.290001</v>
      </c>
      <c r="I347">
        <v>26.120000999999998</v>
      </c>
      <c r="J347">
        <v>24.91</v>
      </c>
    </row>
    <row r="348" spans="1:10" x14ac:dyDescent="0.25">
      <c r="A348" s="9">
        <v>40049</v>
      </c>
      <c r="B348">
        <v>26.18</v>
      </c>
      <c r="C348">
        <v>26.719999000000001</v>
      </c>
      <c r="D348">
        <v>26</v>
      </c>
      <c r="E348">
        <v>26.209999</v>
      </c>
      <c r="G348" s="9">
        <v>40049</v>
      </c>
      <c r="H348">
        <v>26.18</v>
      </c>
      <c r="I348">
        <v>26.719999000000001</v>
      </c>
      <c r="J348">
        <v>26</v>
      </c>
    </row>
    <row r="349" spans="1:10" x14ac:dyDescent="0.25">
      <c r="A349" s="9">
        <v>40056</v>
      </c>
      <c r="B349">
        <v>25.99</v>
      </c>
      <c r="C349">
        <v>26.25</v>
      </c>
      <c r="D349">
        <v>25.01</v>
      </c>
      <c r="E349">
        <v>25.51</v>
      </c>
      <c r="G349" s="9">
        <v>40056</v>
      </c>
      <c r="H349">
        <v>25.99</v>
      </c>
      <c r="I349">
        <v>26.25</v>
      </c>
      <c r="J349">
        <v>25.01</v>
      </c>
    </row>
    <row r="350" spans="1:10" x14ac:dyDescent="0.25">
      <c r="A350" s="9">
        <v>40063</v>
      </c>
      <c r="B350">
        <v>25.889999</v>
      </c>
      <c r="C350">
        <v>26.709999</v>
      </c>
      <c r="D350">
        <v>25.67</v>
      </c>
      <c r="E350">
        <v>26.66</v>
      </c>
      <c r="G350" s="9">
        <v>40063</v>
      </c>
      <c r="H350">
        <v>25.889999</v>
      </c>
      <c r="I350">
        <v>26.709999</v>
      </c>
      <c r="J350">
        <v>25.67</v>
      </c>
    </row>
    <row r="351" spans="1:10" x14ac:dyDescent="0.25">
      <c r="A351" s="9">
        <v>40070</v>
      </c>
      <c r="B351">
        <v>26.459999</v>
      </c>
      <c r="C351">
        <v>27.16</v>
      </c>
      <c r="D351">
        <v>26.139999</v>
      </c>
      <c r="E351">
        <v>27.049999</v>
      </c>
      <c r="G351" s="9">
        <v>40070</v>
      </c>
      <c r="H351">
        <v>26.459999</v>
      </c>
      <c r="I351">
        <v>27.16</v>
      </c>
      <c r="J351">
        <v>26.139999</v>
      </c>
    </row>
    <row r="352" spans="1:10" x14ac:dyDescent="0.25">
      <c r="A352" s="9">
        <v>40077</v>
      </c>
      <c r="B352">
        <v>26.879999000000002</v>
      </c>
      <c r="C352">
        <v>27.690000999999999</v>
      </c>
      <c r="D352">
        <v>26.49</v>
      </c>
      <c r="E352">
        <v>26.959999</v>
      </c>
      <c r="G352" s="9">
        <v>40077</v>
      </c>
      <c r="H352">
        <v>26.879999000000002</v>
      </c>
      <c r="I352">
        <v>27.690000999999999</v>
      </c>
      <c r="J352">
        <v>26.49</v>
      </c>
    </row>
    <row r="353" spans="1:10" x14ac:dyDescent="0.25">
      <c r="A353" s="9">
        <v>40084</v>
      </c>
      <c r="B353">
        <v>27.139999</v>
      </c>
      <c r="C353">
        <v>27.6</v>
      </c>
      <c r="D353">
        <v>26.450001</v>
      </c>
      <c r="E353">
        <v>26.52</v>
      </c>
      <c r="G353" s="9">
        <v>40084</v>
      </c>
      <c r="H353">
        <v>27.139999</v>
      </c>
      <c r="I353">
        <v>27.6</v>
      </c>
      <c r="J353">
        <v>26.450001</v>
      </c>
    </row>
    <row r="354" spans="1:10" x14ac:dyDescent="0.25">
      <c r="A354" s="9">
        <v>40091</v>
      </c>
      <c r="B354">
        <v>26.709999</v>
      </c>
      <c r="C354">
        <v>27.190000999999999</v>
      </c>
      <c r="D354">
        <v>25.610001</v>
      </c>
      <c r="E354">
        <v>25.66</v>
      </c>
      <c r="G354" s="9">
        <v>40091</v>
      </c>
      <c r="H354">
        <v>26.709999</v>
      </c>
      <c r="I354">
        <v>27.190000999999999</v>
      </c>
      <c r="J354">
        <v>25.610001</v>
      </c>
    </row>
    <row r="355" spans="1:10" x14ac:dyDescent="0.25">
      <c r="A355" s="9">
        <v>40098</v>
      </c>
      <c r="B355">
        <v>25.74</v>
      </c>
      <c r="C355">
        <v>26.25</v>
      </c>
      <c r="D355">
        <v>25.440000999999999</v>
      </c>
      <c r="E355">
        <v>25.700001</v>
      </c>
      <c r="G355" s="9">
        <v>40098</v>
      </c>
      <c r="H355">
        <v>25.74</v>
      </c>
      <c r="I355">
        <v>26.25</v>
      </c>
      <c r="J355">
        <v>25.440000999999999</v>
      </c>
    </row>
    <row r="356" spans="1:10" x14ac:dyDescent="0.25">
      <c r="A356" s="9">
        <v>40105</v>
      </c>
      <c r="B356">
        <v>25.82</v>
      </c>
      <c r="C356">
        <v>26.639999</v>
      </c>
      <c r="D356">
        <v>25.540001</v>
      </c>
      <c r="E356">
        <v>25.73</v>
      </c>
      <c r="G356" s="9">
        <v>40105</v>
      </c>
      <c r="H356">
        <v>25.82</v>
      </c>
      <c r="I356">
        <v>26.639999</v>
      </c>
      <c r="J356">
        <v>25.540001</v>
      </c>
    </row>
    <row r="357" spans="1:10" x14ac:dyDescent="0.25">
      <c r="A357" s="9">
        <v>40112</v>
      </c>
      <c r="B357">
        <v>25.870000999999998</v>
      </c>
      <c r="C357">
        <v>26.4</v>
      </c>
      <c r="D357">
        <v>25.25</v>
      </c>
      <c r="E357">
        <v>25.67</v>
      </c>
      <c r="G357" s="9">
        <v>40112</v>
      </c>
      <c r="H357">
        <v>25.870000999999998</v>
      </c>
      <c r="I357">
        <v>26.4</v>
      </c>
      <c r="J357">
        <v>25.25</v>
      </c>
    </row>
    <row r="358" spans="1:10" x14ac:dyDescent="0.25">
      <c r="A358" s="9">
        <v>40119</v>
      </c>
      <c r="B358">
        <v>25.9</v>
      </c>
      <c r="C358">
        <v>26.040001</v>
      </c>
      <c r="D358">
        <v>25</v>
      </c>
      <c r="E358">
        <v>25.93</v>
      </c>
      <c r="G358" s="9">
        <v>40119</v>
      </c>
      <c r="H358">
        <v>25.9</v>
      </c>
      <c r="I358">
        <v>26.040001</v>
      </c>
      <c r="J358">
        <v>25</v>
      </c>
    </row>
    <row r="359" spans="1:10" x14ac:dyDescent="0.25">
      <c r="A359" s="9">
        <v>40126</v>
      </c>
      <c r="B359">
        <v>25.969999000000001</v>
      </c>
      <c r="C359">
        <v>26.629999000000002</v>
      </c>
      <c r="D359">
        <v>25.91</v>
      </c>
      <c r="E359">
        <v>26.25</v>
      </c>
      <c r="G359" s="9">
        <v>40126</v>
      </c>
      <c r="H359">
        <v>25.969999000000001</v>
      </c>
      <c r="I359">
        <v>26.629999000000002</v>
      </c>
      <c r="J359">
        <v>25.91</v>
      </c>
    </row>
    <row r="360" spans="1:10" x14ac:dyDescent="0.25">
      <c r="A360" s="9">
        <v>40133</v>
      </c>
      <c r="B360">
        <v>26.34</v>
      </c>
      <c r="C360">
        <v>26.6</v>
      </c>
      <c r="D360">
        <v>25.959999</v>
      </c>
      <c r="E360">
        <v>26.02</v>
      </c>
      <c r="G360" s="9">
        <v>40133</v>
      </c>
      <c r="H360">
        <v>26.34</v>
      </c>
      <c r="I360">
        <v>26.6</v>
      </c>
      <c r="J360">
        <v>25.959999</v>
      </c>
    </row>
    <row r="361" spans="1:10" x14ac:dyDescent="0.25">
      <c r="A361" s="9">
        <v>40140</v>
      </c>
      <c r="B361">
        <v>26.379999000000002</v>
      </c>
      <c r="C361">
        <v>27.33</v>
      </c>
      <c r="D361">
        <v>26.25</v>
      </c>
      <c r="E361">
        <v>26.99</v>
      </c>
      <c r="G361" s="9">
        <v>40140</v>
      </c>
      <c r="H361">
        <v>26.379999000000002</v>
      </c>
      <c r="I361">
        <v>27.33</v>
      </c>
      <c r="J361">
        <v>26.25</v>
      </c>
    </row>
    <row r="362" spans="1:10" x14ac:dyDescent="0.25">
      <c r="A362" s="9">
        <v>40147</v>
      </c>
      <c r="B362">
        <v>26.959999</v>
      </c>
      <c r="C362">
        <v>27.969999000000001</v>
      </c>
      <c r="D362">
        <v>26.67</v>
      </c>
      <c r="E362">
        <v>27.6</v>
      </c>
      <c r="G362" s="9">
        <v>40147</v>
      </c>
      <c r="H362">
        <v>26.959999</v>
      </c>
      <c r="I362">
        <v>27.969999000000001</v>
      </c>
      <c r="J362">
        <v>26.67</v>
      </c>
    </row>
    <row r="363" spans="1:10" x14ac:dyDescent="0.25">
      <c r="A363" s="9">
        <v>40154</v>
      </c>
      <c r="B363">
        <v>27.809999000000001</v>
      </c>
      <c r="C363">
        <v>28.26</v>
      </c>
      <c r="D363">
        <v>27.360001</v>
      </c>
      <c r="E363">
        <v>28.01</v>
      </c>
      <c r="G363" s="9">
        <v>40154</v>
      </c>
      <c r="H363">
        <v>27.809999000000001</v>
      </c>
      <c r="I363">
        <v>28.26</v>
      </c>
      <c r="J363">
        <v>27.360001</v>
      </c>
    </row>
    <row r="364" spans="1:10" x14ac:dyDescent="0.25">
      <c r="A364" s="9">
        <v>40161</v>
      </c>
      <c r="B364">
        <v>28.35</v>
      </c>
      <c r="C364">
        <v>28.360001</v>
      </c>
      <c r="D364">
        <v>27.110001</v>
      </c>
      <c r="E364">
        <v>27.32</v>
      </c>
      <c r="G364" s="9">
        <v>40161</v>
      </c>
      <c r="H364">
        <v>28.35</v>
      </c>
      <c r="I364">
        <v>28.360001</v>
      </c>
      <c r="J364">
        <v>27.110001</v>
      </c>
    </row>
    <row r="365" spans="1:10" x14ac:dyDescent="0.25">
      <c r="A365" s="9">
        <v>40168</v>
      </c>
      <c r="B365">
        <v>27.370000999999998</v>
      </c>
      <c r="C365">
        <v>28.120000999999998</v>
      </c>
      <c r="D365">
        <v>27.370000999999998</v>
      </c>
      <c r="E365">
        <v>28.1</v>
      </c>
      <c r="G365" s="9">
        <v>40168</v>
      </c>
      <c r="H365">
        <v>27.370000999999998</v>
      </c>
      <c r="I365">
        <v>28.120000999999998</v>
      </c>
      <c r="J365">
        <v>27.370000999999998</v>
      </c>
    </row>
    <row r="366" spans="1:10" x14ac:dyDescent="0.25">
      <c r="A366" s="9">
        <v>40175</v>
      </c>
      <c r="B366">
        <v>28.25</v>
      </c>
      <c r="C366">
        <v>28.610001</v>
      </c>
      <c r="D366">
        <v>28.02</v>
      </c>
      <c r="E366">
        <v>28.030000999999999</v>
      </c>
      <c r="G366" s="9">
        <v>40175</v>
      </c>
      <c r="H366">
        <v>28.25</v>
      </c>
      <c r="I366">
        <v>28.610001</v>
      </c>
      <c r="J366">
        <v>28.02</v>
      </c>
    </row>
    <row r="367" spans="1:10" x14ac:dyDescent="0.25">
      <c r="A367" s="9">
        <v>40182</v>
      </c>
      <c r="B367">
        <v>28.41</v>
      </c>
      <c r="C367">
        <v>28.73</v>
      </c>
      <c r="D367">
        <v>26.879999000000002</v>
      </c>
      <c r="E367">
        <v>27.1</v>
      </c>
      <c r="G367" s="9">
        <v>40182</v>
      </c>
      <c r="H367">
        <v>28.41</v>
      </c>
      <c r="I367">
        <v>28.73</v>
      </c>
      <c r="J367">
        <v>26.879999000000002</v>
      </c>
    </row>
    <row r="368" spans="1:10" x14ac:dyDescent="0.25">
      <c r="A368" s="9">
        <v>40189</v>
      </c>
      <c r="B368">
        <v>27.18</v>
      </c>
      <c r="C368">
        <v>27.219999000000001</v>
      </c>
      <c r="D368">
        <v>25.65</v>
      </c>
      <c r="E368">
        <v>25.790001</v>
      </c>
      <c r="G368" s="9">
        <v>40189</v>
      </c>
      <c r="H368">
        <v>27.18</v>
      </c>
      <c r="I368">
        <v>27.219999000000001</v>
      </c>
      <c r="J368">
        <v>25.65</v>
      </c>
    </row>
    <row r="369" spans="1:10" x14ac:dyDescent="0.25">
      <c r="A369" s="9">
        <v>40196</v>
      </c>
      <c r="B369">
        <v>25.92</v>
      </c>
      <c r="C369">
        <v>26.25</v>
      </c>
      <c r="D369">
        <v>25.360001</v>
      </c>
      <c r="E369">
        <v>25.389999</v>
      </c>
      <c r="G369" s="9">
        <v>40196</v>
      </c>
      <c r="H369">
        <v>25.92</v>
      </c>
      <c r="I369">
        <v>26.25</v>
      </c>
      <c r="J369">
        <v>25.360001</v>
      </c>
    </row>
    <row r="370" spans="1:10" x14ac:dyDescent="0.25">
      <c r="A370" s="9">
        <v>40203</v>
      </c>
      <c r="B370">
        <v>25.73</v>
      </c>
      <c r="C370">
        <v>26.15</v>
      </c>
      <c r="D370">
        <v>25.059999000000001</v>
      </c>
      <c r="E370">
        <v>25.360001</v>
      </c>
      <c r="G370" s="9">
        <v>40203</v>
      </c>
      <c r="H370">
        <v>25.73</v>
      </c>
      <c r="I370">
        <v>26.15</v>
      </c>
      <c r="J370">
        <v>25.059999000000001</v>
      </c>
    </row>
    <row r="371" spans="1:10" x14ac:dyDescent="0.25">
      <c r="A371" s="9">
        <v>40210</v>
      </c>
      <c r="B371">
        <v>25.67</v>
      </c>
      <c r="C371">
        <v>25.84</v>
      </c>
      <c r="D371">
        <v>24.959999</v>
      </c>
      <c r="E371">
        <v>25.24</v>
      </c>
      <c r="G371" s="9">
        <v>40210</v>
      </c>
      <c r="H371">
        <v>25.67</v>
      </c>
      <c r="I371">
        <v>25.84</v>
      </c>
      <c r="J371">
        <v>24.959999</v>
      </c>
    </row>
    <row r="372" spans="1:10" x14ac:dyDescent="0.25">
      <c r="A372" s="9">
        <v>40217</v>
      </c>
      <c r="B372">
        <v>25.190000999999999</v>
      </c>
      <c r="C372">
        <v>25.42</v>
      </c>
      <c r="D372">
        <v>24.83</v>
      </c>
      <c r="E372">
        <v>25.07</v>
      </c>
      <c r="G372" s="9">
        <v>40217</v>
      </c>
      <c r="H372">
        <v>25.190000999999999</v>
      </c>
      <c r="I372">
        <v>25.42</v>
      </c>
      <c r="J372">
        <v>24.83</v>
      </c>
    </row>
    <row r="373" spans="1:10" x14ac:dyDescent="0.25">
      <c r="A373" s="9">
        <v>40224</v>
      </c>
      <c r="B373">
        <v>25.299999</v>
      </c>
      <c r="C373">
        <v>25.530000999999999</v>
      </c>
      <c r="D373">
        <v>25.02</v>
      </c>
      <c r="E373">
        <v>25.1</v>
      </c>
      <c r="G373" s="9">
        <v>40224</v>
      </c>
      <c r="H373">
        <v>25.299999</v>
      </c>
      <c r="I373">
        <v>25.530000999999999</v>
      </c>
      <c r="J373">
        <v>25.02</v>
      </c>
    </row>
    <row r="374" spans="1:10" x14ac:dyDescent="0.25">
      <c r="A374" s="9">
        <v>40231</v>
      </c>
      <c r="B374">
        <v>25.129999000000002</v>
      </c>
      <c r="C374">
        <v>25.16</v>
      </c>
      <c r="D374">
        <v>24.610001</v>
      </c>
      <c r="E374">
        <v>24.809999000000001</v>
      </c>
      <c r="G374" s="9">
        <v>40231</v>
      </c>
      <c r="H374">
        <v>25.129999000000002</v>
      </c>
      <c r="I374">
        <v>25.16</v>
      </c>
      <c r="J374">
        <v>24.610001</v>
      </c>
    </row>
    <row r="375" spans="1:10" x14ac:dyDescent="0.25">
      <c r="A375" s="9">
        <v>40238</v>
      </c>
      <c r="B375">
        <v>24.91</v>
      </c>
      <c r="C375">
        <v>25.07</v>
      </c>
      <c r="D375">
        <v>24.709999</v>
      </c>
      <c r="E375">
        <v>24.99</v>
      </c>
      <c r="G375" s="9">
        <v>40238</v>
      </c>
      <c r="H375">
        <v>24.91</v>
      </c>
      <c r="I375">
        <v>25.07</v>
      </c>
      <c r="J375">
        <v>24.709999</v>
      </c>
    </row>
    <row r="376" spans="1:10" x14ac:dyDescent="0.25">
      <c r="A376" s="9">
        <v>40245</v>
      </c>
      <c r="B376">
        <v>25.049999</v>
      </c>
      <c r="C376">
        <v>25.73</v>
      </c>
      <c r="D376">
        <v>24.9</v>
      </c>
      <c r="E376">
        <v>25.620000999999998</v>
      </c>
      <c r="G376" s="9">
        <v>40245</v>
      </c>
      <c r="H376">
        <v>25.049999</v>
      </c>
      <c r="I376">
        <v>25.73</v>
      </c>
      <c r="J376">
        <v>24.9</v>
      </c>
    </row>
    <row r="377" spans="1:10" x14ac:dyDescent="0.25">
      <c r="A377" s="9">
        <v>40252</v>
      </c>
      <c r="B377">
        <v>25.68</v>
      </c>
      <c r="C377">
        <v>26.309999000000001</v>
      </c>
      <c r="D377">
        <v>25.559999000000001</v>
      </c>
      <c r="E377">
        <v>26.24</v>
      </c>
      <c r="G377" s="9">
        <v>40252</v>
      </c>
      <c r="H377">
        <v>25.68</v>
      </c>
      <c r="I377">
        <v>26.309999000000001</v>
      </c>
      <c r="J377">
        <v>25.559999000000001</v>
      </c>
    </row>
    <row r="378" spans="1:10" x14ac:dyDescent="0.25">
      <c r="A378" s="9">
        <v>40259</v>
      </c>
      <c r="B378">
        <v>26.190000999999999</v>
      </c>
      <c r="C378">
        <v>26.57</v>
      </c>
      <c r="D378">
        <v>26.08</v>
      </c>
      <c r="E378">
        <v>26.24</v>
      </c>
      <c r="G378" s="9">
        <v>40259</v>
      </c>
      <c r="H378">
        <v>26.190000999999999</v>
      </c>
      <c r="I378">
        <v>26.57</v>
      </c>
      <c r="J378">
        <v>26.08</v>
      </c>
    </row>
    <row r="379" spans="1:10" x14ac:dyDescent="0.25">
      <c r="A379" s="9">
        <v>40266</v>
      </c>
      <c r="B379">
        <v>26.35</v>
      </c>
      <c r="C379">
        <v>26.57</v>
      </c>
      <c r="D379">
        <v>25.75</v>
      </c>
      <c r="E379">
        <v>26.110001</v>
      </c>
      <c r="G379" s="9">
        <v>40266</v>
      </c>
      <c r="H379">
        <v>26.35</v>
      </c>
      <c r="I379">
        <v>26.57</v>
      </c>
      <c r="J379">
        <v>25.75</v>
      </c>
    </row>
    <row r="380" spans="1:10" x14ac:dyDescent="0.25">
      <c r="A380" s="9">
        <v>40273</v>
      </c>
      <c r="B380">
        <v>26.299999</v>
      </c>
      <c r="C380">
        <v>26.51</v>
      </c>
      <c r="D380">
        <v>25.48</v>
      </c>
      <c r="E380">
        <v>26.440000999999999</v>
      </c>
      <c r="G380" s="9">
        <v>40273</v>
      </c>
      <c r="H380">
        <v>26.299999</v>
      </c>
      <c r="I380">
        <v>26.51</v>
      </c>
      <c r="J380">
        <v>25.48</v>
      </c>
    </row>
    <row r="381" spans="1:10" x14ac:dyDescent="0.25">
      <c r="A381" s="9">
        <v>40280</v>
      </c>
      <c r="B381">
        <v>26.57</v>
      </c>
      <c r="C381">
        <v>26.67</v>
      </c>
      <c r="D381">
        <v>25.91</v>
      </c>
      <c r="E381">
        <v>25.93</v>
      </c>
      <c r="G381" s="9">
        <v>40280</v>
      </c>
      <c r="H381">
        <v>26.57</v>
      </c>
      <c r="I381">
        <v>26.67</v>
      </c>
      <c r="J381">
        <v>25.91</v>
      </c>
    </row>
    <row r="382" spans="1:10" x14ac:dyDescent="0.25">
      <c r="A382" s="9">
        <v>40287</v>
      </c>
      <c r="B382">
        <v>26.09</v>
      </c>
      <c r="C382">
        <v>26.75</v>
      </c>
      <c r="D382">
        <v>25.790001</v>
      </c>
      <c r="E382">
        <v>26.25</v>
      </c>
      <c r="G382" s="9">
        <v>40287</v>
      </c>
      <c r="H382">
        <v>26.09</v>
      </c>
      <c r="I382">
        <v>26.75</v>
      </c>
      <c r="J382">
        <v>25.790001</v>
      </c>
    </row>
    <row r="383" spans="1:10" x14ac:dyDescent="0.25">
      <c r="A383" s="9">
        <v>40294</v>
      </c>
      <c r="B383">
        <v>26.23</v>
      </c>
      <c r="C383">
        <v>26.5</v>
      </c>
      <c r="D383">
        <v>25.629999000000002</v>
      </c>
      <c r="E383">
        <v>26.059999000000001</v>
      </c>
      <c r="G383" s="9">
        <v>40294</v>
      </c>
      <c r="H383">
        <v>26.23</v>
      </c>
      <c r="I383">
        <v>26.5</v>
      </c>
      <c r="J383">
        <v>25.629999000000002</v>
      </c>
    </row>
    <row r="384" spans="1:10" x14ac:dyDescent="0.25">
      <c r="A384" s="9">
        <v>40301</v>
      </c>
      <c r="B384">
        <v>26.24</v>
      </c>
      <c r="C384">
        <v>26.43</v>
      </c>
      <c r="D384">
        <v>24.040001</v>
      </c>
      <c r="E384">
        <v>25.1</v>
      </c>
      <c r="G384" s="9">
        <v>40301</v>
      </c>
      <c r="H384">
        <v>26.24</v>
      </c>
      <c r="I384">
        <v>26.43</v>
      </c>
      <c r="J384">
        <v>24.040001</v>
      </c>
    </row>
    <row r="385" spans="1:10" x14ac:dyDescent="0.25">
      <c r="A385" s="9">
        <v>40308</v>
      </c>
      <c r="B385">
        <v>25.77</v>
      </c>
      <c r="C385">
        <v>26.02</v>
      </c>
      <c r="D385">
        <v>25.18</v>
      </c>
      <c r="E385">
        <v>25.4</v>
      </c>
      <c r="G385" s="9">
        <v>40308</v>
      </c>
      <c r="H385">
        <v>25.77</v>
      </c>
      <c r="I385">
        <v>26.02</v>
      </c>
      <c r="J385">
        <v>25.18</v>
      </c>
    </row>
    <row r="386" spans="1:10" x14ac:dyDescent="0.25">
      <c r="A386" s="9">
        <v>40315</v>
      </c>
      <c r="B386">
        <v>25.450001</v>
      </c>
      <c r="C386">
        <v>25.9</v>
      </c>
      <c r="D386">
        <v>24.360001</v>
      </c>
      <c r="E386">
        <v>24.85</v>
      </c>
      <c r="G386" s="9">
        <v>40315</v>
      </c>
      <c r="H386">
        <v>25.450001</v>
      </c>
      <c r="I386">
        <v>25.9</v>
      </c>
      <c r="J386">
        <v>24.360001</v>
      </c>
    </row>
    <row r="387" spans="1:10" x14ac:dyDescent="0.25">
      <c r="A387" s="9">
        <v>40322</v>
      </c>
      <c r="B387">
        <v>24.709999</v>
      </c>
      <c r="C387">
        <v>24.75</v>
      </c>
      <c r="D387">
        <v>23.780000999999999</v>
      </c>
      <c r="E387">
        <v>24.299999</v>
      </c>
      <c r="G387" s="9">
        <v>40322</v>
      </c>
      <c r="H387">
        <v>24.709999</v>
      </c>
      <c r="I387">
        <v>24.75</v>
      </c>
      <c r="J387">
        <v>23.780000999999999</v>
      </c>
    </row>
    <row r="388" spans="1:10" x14ac:dyDescent="0.25">
      <c r="A388" s="9">
        <v>40329</v>
      </c>
      <c r="B388">
        <v>24.27</v>
      </c>
      <c r="C388">
        <v>24.93</v>
      </c>
      <c r="D388">
        <v>24.030000999999999</v>
      </c>
      <c r="E388">
        <v>24.17</v>
      </c>
      <c r="G388" s="9">
        <v>40329</v>
      </c>
      <c r="H388">
        <v>24.27</v>
      </c>
      <c r="I388">
        <v>24.93</v>
      </c>
      <c r="J388">
        <v>24.030000999999999</v>
      </c>
    </row>
    <row r="389" spans="1:10" x14ac:dyDescent="0.25">
      <c r="A389" s="9">
        <v>40336</v>
      </c>
      <c r="B389">
        <v>24.33</v>
      </c>
      <c r="C389">
        <v>25.52</v>
      </c>
      <c r="D389">
        <v>24.209999</v>
      </c>
      <c r="E389">
        <v>25.290001</v>
      </c>
      <c r="G389" s="9">
        <v>40336</v>
      </c>
      <c r="H389">
        <v>24.33</v>
      </c>
      <c r="I389">
        <v>25.52</v>
      </c>
      <c r="J389">
        <v>24.209999</v>
      </c>
    </row>
    <row r="390" spans="1:10" x14ac:dyDescent="0.25">
      <c r="A390" s="9">
        <v>40343</v>
      </c>
      <c r="B390">
        <v>25.370000999999998</v>
      </c>
      <c r="C390">
        <v>25.66</v>
      </c>
      <c r="D390">
        <v>25.120000999999998</v>
      </c>
      <c r="E390">
        <v>25.43</v>
      </c>
      <c r="G390" s="9">
        <v>40343</v>
      </c>
      <c r="H390">
        <v>25.370000999999998</v>
      </c>
      <c r="I390">
        <v>25.66</v>
      </c>
      <c r="J390">
        <v>25.120000999999998</v>
      </c>
    </row>
    <row r="391" spans="1:10" x14ac:dyDescent="0.25">
      <c r="A391" s="9">
        <v>40350</v>
      </c>
      <c r="B391">
        <v>25.58</v>
      </c>
      <c r="C391">
        <v>25.610001</v>
      </c>
      <c r="D391">
        <v>24.68</v>
      </c>
      <c r="E391">
        <v>24.790001</v>
      </c>
      <c r="G391" s="9">
        <v>40350</v>
      </c>
      <c r="H391">
        <v>25.58</v>
      </c>
      <c r="I391">
        <v>25.610001</v>
      </c>
      <c r="J391">
        <v>24.68</v>
      </c>
    </row>
    <row r="392" spans="1:10" x14ac:dyDescent="0.25">
      <c r="A392" s="9">
        <v>40357</v>
      </c>
      <c r="B392">
        <v>24.879999000000002</v>
      </c>
      <c r="C392">
        <v>25.18</v>
      </c>
      <c r="D392">
        <v>24</v>
      </c>
      <c r="E392">
        <v>24.290001</v>
      </c>
      <c r="G392" s="9">
        <v>40357</v>
      </c>
      <c r="H392">
        <v>24.879999000000002</v>
      </c>
      <c r="I392">
        <v>25.18</v>
      </c>
      <c r="J392">
        <v>24</v>
      </c>
    </row>
    <row r="393" spans="1:10" x14ac:dyDescent="0.25">
      <c r="A393" s="9">
        <v>40364</v>
      </c>
      <c r="B393">
        <v>24.469999000000001</v>
      </c>
      <c r="C393">
        <v>24.879999000000002</v>
      </c>
      <c r="D393">
        <v>23.879999000000002</v>
      </c>
      <c r="E393">
        <v>24.83</v>
      </c>
      <c r="G393" s="9">
        <v>40364</v>
      </c>
      <c r="H393">
        <v>24.469999000000001</v>
      </c>
      <c r="I393">
        <v>24.879999000000002</v>
      </c>
      <c r="J393">
        <v>23.879999000000002</v>
      </c>
    </row>
    <row r="394" spans="1:10" x14ac:dyDescent="0.25">
      <c r="A394" s="9">
        <v>40371</v>
      </c>
      <c r="B394">
        <v>24.75</v>
      </c>
      <c r="C394">
        <v>25.18</v>
      </c>
      <c r="D394">
        <v>24.610001</v>
      </c>
      <c r="E394">
        <v>24.690000999999999</v>
      </c>
      <c r="G394" s="9">
        <v>40371</v>
      </c>
      <c r="H394">
        <v>24.75</v>
      </c>
      <c r="I394">
        <v>25.18</v>
      </c>
      <c r="J394">
        <v>24.610001</v>
      </c>
    </row>
    <row r="395" spans="1:10" x14ac:dyDescent="0.25">
      <c r="A395" s="9">
        <v>40378</v>
      </c>
      <c r="B395">
        <v>24.809999000000001</v>
      </c>
      <c r="C395">
        <v>25.92</v>
      </c>
      <c r="D395">
        <v>24.5</v>
      </c>
      <c r="E395">
        <v>25.540001</v>
      </c>
      <c r="G395" s="9">
        <v>40378</v>
      </c>
      <c r="H395">
        <v>24.809999000000001</v>
      </c>
      <c r="I395">
        <v>25.92</v>
      </c>
      <c r="J395">
        <v>24.5</v>
      </c>
    </row>
    <row r="396" spans="1:10" x14ac:dyDescent="0.25">
      <c r="A396" s="9">
        <v>40385</v>
      </c>
      <c r="B396">
        <v>25.73</v>
      </c>
      <c r="C396">
        <v>26.41</v>
      </c>
      <c r="D396">
        <v>25.67</v>
      </c>
      <c r="E396">
        <v>25.940000999999999</v>
      </c>
      <c r="G396" s="9">
        <v>40385</v>
      </c>
      <c r="H396">
        <v>25.73</v>
      </c>
      <c r="I396">
        <v>26.41</v>
      </c>
      <c r="J396">
        <v>25.67</v>
      </c>
    </row>
    <row r="397" spans="1:10" x14ac:dyDescent="0.25">
      <c r="A397" s="9">
        <v>40392</v>
      </c>
      <c r="B397">
        <v>26.5</v>
      </c>
      <c r="C397">
        <v>26.9</v>
      </c>
      <c r="D397">
        <v>26.23</v>
      </c>
      <c r="E397">
        <v>26.540001</v>
      </c>
      <c r="G397" s="9">
        <v>40392</v>
      </c>
      <c r="H397">
        <v>26.5</v>
      </c>
      <c r="I397">
        <v>26.9</v>
      </c>
      <c r="J397">
        <v>26.23</v>
      </c>
    </row>
    <row r="398" spans="1:10" x14ac:dyDescent="0.25">
      <c r="A398" s="9">
        <v>40399</v>
      </c>
      <c r="B398">
        <v>26.67</v>
      </c>
      <c r="C398">
        <v>27.08</v>
      </c>
      <c r="D398">
        <v>26.4</v>
      </c>
      <c r="E398">
        <v>26.719999000000001</v>
      </c>
      <c r="G398" s="9">
        <v>40399</v>
      </c>
      <c r="H398">
        <v>26.67</v>
      </c>
      <c r="I398">
        <v>27.08</v>
      </c>
      <c r="J398">
        <v>26.4</v>
      </c>
    </row>
    <row r="399" spans="1:10" x14ac:dyDescent="0.25">
      <c r="A399" s="9">
        <v>40406</v>
      </c>
      <c r="B399">
        <v>26.629999000000002</v>
      </c>
      <c r="C399">
        <v>27.389999</v>
      </c>
      <c r="D399">
        <v>26.33</v>
      </c>
      <c r="E399">
        <v>26.450001</v>
      </c>
      <c r="G399" s="9">
        <v>40406</v>
      </c>
      <c r="H399">
        <v>26.629999000000002</v>
      </c>
      <c r="I399">
        <v>27.389999</v>
      </c>
      <c r="J399">
        <v>26.33</v>
      </c>
    </row>
    <row r="400" spans="1:10" x14ac:dyDescent="0.25">
      <c r="A400" s="9">
        <v>40413</v>
      </c>
      <c r="B400">
        <v>26.59</v>
      </c>
      <c r="C400">
        <v>27</v>
      </c>
      <c r="D400">
        <v>26.200001</v>
      </c>
      <c r="E400">
        <v>26.940000999999999</v>
      </c>
      <c r="G400" s="9">
        <v>40413</v>
      </c>
      <c r="H400">
        <v>26.59</v>
      </c>
      <c r="I400">
        <v>27</v>
      </c>
      <c r="J400">
        <v>26.200001</v>
      </c>
    </row>
    <row r="401" spans="1:10" x14ac:dyDescent="0.25">
      <c r="A401" s="9">
        <v>40420</v>
      </c>
      <c r="B401">
        <v>26.85</v>
      </c>
      <c r="C401">
        <v>27.49</v>
      </c>
      <c r="D401">
        <v>26.5</v>
      </c>
      <c r="E401">
        <v>27.440000999999999</v>
      </c>
      <c r="G401" s="9">
        <v>40420</v>
      </c>
      <c r="H401">
        <v>26.85</v>
      </c>
      <c r="I401">
        <v>27.49</v>
      </c>
      <c r="J401">
        <v>26.5</v>
      </c>
    </row>
    <row r="402" spans="1:10" x14ac:dyDescent="0.25">
      <c r="A402" s="9">
        <v>40427</v>
      </c>
      <c r="B402">
        <v>27.4</v>
      </c>
      <c r="C402">
        <v>27.959999</v>
      </c>
      <c r="D402">
        <v>27.139999</v>
      </c>
      <c r="E402">
        <v>27.83</v>
      </c>
      <c r="G402" s="9">
        <v>40427</v>
      </c>
      <c r="H402">
        <v>27.4</v>
      </c>
      <c r="I402">
        <v>27.959999</v>
      </c>
      <c r="J402">
        <v>27.139999</v>
      </c>
    </row>
    <row r="403" spans="1:10" x14ac:dyDescent="0.25">
      <c r="A403" s="9">
        <v>40434</v>
      </c>
      <c r="B403">
        <v>27.99</v>
      </c>
      <c r="C403">
        <v>28.32</v>
      </c>
      <c r="D403">
        <v>27.780000999999999</v>
      </c>
      <c r="E403">
        <v>28.17</v>
      </c>
      <c r="G403" s="9">
        <v>40434</v>
      </c>
      <c r="H403">
        <v>27.99</v>
      </c>
      <c r="I403">
        <v>28.32</v>
      </c>
      <c r="J403">
        <v>27.780000999999999</v>
      </c>
    </row>
    <row r="404" spans="1:10" x14ac:dyDescent="0.25">
      <c r="A404" s="9">
        <v>40441</v>
      </c>
      <c r="B404">
        <v>28.41</v>
      </c>
      <c r="C404">
        <v>28.92</v>
      </c>
      <c r="D404">
        <v>28.219999000000001</v>
      </c>
      <c r="E404">
        <v>28.58</v>
      </c>
      <c r="G404" s="9">
        <v>40441</v>
      </c>
      <c r="H404">
        <v>28.41</v>
      </c>
      <c r="I404">
        <v>28.92</v>
      </c>
      <c r="J404">
        <v>28.219999000000001</v>
      </c>
    </row>
    <row r="405" spans="1:10" x14ac:dyDescent="0.25">
      <c r="A405" s="9">
        <v>40448</v>
      </c>
      <c r="B405">
        <v>28.6</v>
      </c>
      <c r="C405">
        <v>29.15</v>
      </c>
      <c r="D405">
        <v>28.52</v>
      </c>
      <c r="E405">
        <v>28.809999000000001</v>
      </c>
      <c r="G405" s="9">
        <v>40448</v>
      </c>
      <c r="H405">
        <v>28.6</v>
      </c>
      <c r="I405">
        <v>29.15</v>
      </c>
      <c r="J405">
        <v>28.52</v>
      </c>
    </row>
    <row r="406" spans="1:10" x14ac:dyDescent="0.25">
      <c r="A406" s="9">
        <v>40455</v>
      </c>
      <c r="B406">
        <v>28.84</v>
      </c>
      <c r="C406">
        <v>29.43</v>
      </c>
      <c r="D406">
        <v>27.860001</v>
      </c>
      <c r="E406">
        <v>28.219999000000001</v>
      </c>
      <c r="G406" s="9">
        <v>40455</v>
      </c>
      <c r="H406">
        <v>28.84</v>
      </c>
      <c r="I406">
        <v>29.43</v>
      </c>
      <c r="J406">
        <v>27.860001</v>
      </c>
    </row>
    <row r="407" spans="1:10" x14ac:dyDescent="0.25">
      <c r="A407" s="9">
        <v>40462</v>
      </c>
      <c r="B407">
        <v>28.190000999999999</v>
      </c>
      <c r="C407">
        <v>28.709999</v>
      </c>
      <c r="D407">
        <v>28.129999000000002</v>
      </c>
      <c r="E407">
        <v>28.33</v>
      </c>
      <c r="G407" s="9">
        <v>40462</v>
      </c>
      <c r="H407">
        <v>28.190000999999999</v>
      </c>
      <c r="I407">
        <v>28.709999</v>
      </c>
      <c r="J407">
        <v>28.129999000000002</v>
      </c>
    </row>
    <row r="408" spans="1:10" x14ac:dyDescent="0.25">
      <c r="A408" s="9">
        <v>40469</v>
      </c>
      <c r="B408">
        <v>28.389999</v>
      </c>
      <c r="C408">
        <v>28.700001</v>
      </c>
      <c r="D408">
        <v>28</v>
      </c>
      <c r="E408">
        <v>28.290001</v>
      </c>
      <c r="G408" s="9">
        <v>40469</v>
      </c>
      <c r="H408">
        <v>28.389999</v>
      </c>
      <c r="I408">
        <v>28.700001</v>
      </c>
      <c r="J408">
        <v>28</v>
      </c>
    </row>
    <row r="409" spans="1:10" x14ac:dyDescent="0.25">
      <c r="A409" s="9">
        <v>40476</v>
      </c>
      <c r="B409">
        <v>28.49</v>
      </c>
      <c r="C409">
        <v>28.639999</v>
      </c>
      <c r="D409">
        <v>28.08</v>
      </c>
      <c r="E409">
        <v>28.52</v>
      </c>
      <c r="G409" s="9">
        <v>40476</v>
      </c>
      <c r="H409">
        <v>28.49</v>
      </c>
      <c r="I409">
        <v>28.639999</v>
      </c>
      <c r="J409">
        <v>28.08</v>
      </c>
    </row>
    <row r="410" spans="1:10" x14ac:dyDescent="0.25">
      <c r="A410" s="9">
        <v>40483</v>
      </c>
      <c r="B410">
        <v>28.83</v>
      </c>
      <c r="C410">
        <v>29.49</v>
      </c>
      <c r="D410">
        <v>28.629999000000002</v>
      </c>
      <c r="E410">
        <v>29.27</v>
      </c>
      <c r="G410" s="9">
        <v>40483</v>
      </c>
      <c r="H410">
        <v>28.83</v>
      </c>
      <c r="I410">
        <v>29.49</v>
      </c>
      <c r="J410">
        <v>28.629999000000002</v>
      </c>
    </row>
    <row r="411" spans="1:10" x14ac:dyDescent="0.25">
      <c r="A411" s="9">
        <v>40490</v>
      </c>
      <c r="B411">
        <v>29.1</v>
      </c>
      <c r="C411">
        <v>29.27</v>
      </c>
      <c r="D411">
        <v>28.190000999999999</v>
      </c>
      <c r="E411">
        <v>28.459999</v>
      </c>
      <c r="G411" s="9">
        <v>40490</v>
      </c>
      <c r="H411">
        <v>29.1</v>
      </c>
      <c r="I411">
        <v>29.27</v>
      </c>
      <c r="J411">
        <v>28.190000999999999</v>
      </c>
    </row>
    <row r="412" spans="1:10" x14ac:dyDescent="0.25">
      <c r="A412" s="9">
        <v>40497</v>
      </c>
      <c r="B412">
        <v>28.559999000000001</v>
      </c>
      <c r="C412">
        <v>28.889999</v>
      </c>
      <c r="D412">
        <v>27.93</v>
      </c>
      <c r="E412">
        <v>28.32</v>
      </c>
      <c r="G412" s="9">
        <v>40497</v>
      </c>
      <c r="H412">
        <v>28.559999000000001</v>
      </c>
      <c r="I412">
        <v>28.889999</v>
      </c>
      <c r="J412">
        <v>27.93</v>
      </c>
    </row>
    <row r="413" spans="1:10" x14ac:dyDescent="0.25">
      <c r="A413" s="9">
        <v>40504</v>
      </c>
      <c r="B413">
        <v>28.32</v>
      </c>
      <c r="C413">
        <v>28.33</v>
      </c>
      <c r="D413">
        <v>27.9</v>
      </c>
      <c r="E413">
        <v>27.93</v>
      </c>
      <c r="G413" s="9">
        <v>40504</v>
      </c>
      <c r="H413">
        <v>28.32</v>
      </c>
      <c r="I413">
        <v>28.33</v>
      </c>
      <c r="J413">
        <v>27.9</v>
      </c>
    </row>
    <row r="414" spans="1:10" x14ac:dyDescent="0.25">
      <c r="A414" s="9">
        <v>40511</v>
      </c>
      <c r="B414">
        <v>27.85</v>
      </c>
      <c r="C414">
        <v>28.65</v>
      </c>
      <c r="D414">
        <v>27.49</v>
      </c>
      <c r="E414">
        <v>28.49</v>
      </c>
      <c r="G414" s="9">
        <v>40511</v>
      </c>
      <c r="H414">
        <v>27.85</v>
      </c>
      <c r="I414">
        <v>28.65</v>
      </c>
      <c r="J414">
        <v>27.49</v>
      </c>
    </row>
    <row r="415" spans="1:10" x14ac:dyDescent="0.25">
      <c r="A415" s="9">
        <v>40518</v>
      </c>
      <c r="B415">
        <v>28.389999</v>
      </c>
      <c r="C415">
        <v>28.969999000000001</v>
      </c>
      <c r="D415">
        <v>28.26</v>
      </c>
      <c r="E415">
        <v>28.889999</v>
      </c>
      <c r="G415" s="9">
        <v>40518</v>
      </c>
      <c r="H415">
        <v>28.389999</v>
      </c>
      <c r="I415">
        <v>28.969999000000001</v>
      </c>
      <c r="J415">
        <v>28.26</v>
      </c>
    </row>
    <row r="416" spans="1:10" x14ac:dyDescent="0.25">
      <c r="A416" s="9">
        <v>40525</v>
      </c>
      <c r="B416">
        <v>28.950001</v>
      </c>
      <c r="C416">
        <v>29.559999000000001</v>
      </c>
      <c r="D416">
        <v>28.76</v>
      </c>
      <c r="E416">
        <v>29.209999</v>
      </c>
      <c r="G416" s="9">
        <v>40525</v>
      </c>
      <c r="H416">
        <v>28.950001</v>
      </c>
      <c r="I416">
        <v>29.559999000000001</v>
      </c>
      <c r="J416">
        <v>28.76</v>
      </c>
    </row>
    <row r="417" spans="1:10" x14ac:dyDescent="0.25">
      <c r="A417" s="9">
        <v>40532</v>
      </c>
      <c r="B417">
        <v>29.5</v>
      </c>
      <c r="C417">
        <v>29.52</v>
      </c>
      <c r="D417">
        <v>28.98</v>
      </c>
      <c r="E417">
        <v>29.200001</v>
      </c>
      <c r="G417" s="9">
        <v>40532</v>
      </c>
      <c r="H417">
        <v>29.5</v>
      </c>
      <c r="I417">
        <v>29.52</v>
      </c>
      <c r="J417">
        <v>28.98</v>
      </c>
    </row>
    <row r="418" spans="1:10" x14ac:dyDescent="0.25">
      <c r="A418" s="9">
        <v>40539</v>
      </c>
      <c r="B418">
        <v>29.18</v>
      </c>
      <c r="C418">
        <v>29.530000999999999</v>
      </c>
      <c r="D418">
        <v>29.15</v>
      </c>
      <c r="E418">
        <v>29.379999000000002</v>
      </c>
      <c r="G418" s="9">
        <v>40539</v>
      </c>
      <c r="H418">
        <v>29.18</v>
      </c>
      <c r="I418">
        <v>29.530000999999999</v>
      </c>
      <c r="J418">
        <v>29.15</v>
      </c>
    </row>
    <row r="419" spans="1:10" x14ac:dyDescent="0.25">
      <c r="A419" s="9">
        <v>40546</v>
      </c>
      <c r="B419">
        <v>29.68</v>
      </c>
      <c r="C419">
        <v>30.1</v>
      </c>
      <c r="D419">
        <v>28.66</v>
      </c>
      <c r="E419">
        <v>28.85</v>
      </c>
      <c r="G419" s="9">
        <v>40546</v>
      </c>
      <c r="H419">
        <v>29.68</v>
      </c>
      <c r="I419">
        <v>30.1</v>
      </c>
      <c r="J419">
        <v>28.66</v>
      </c>
    </row>
    <row r="420" spans="1:10" x14ac:dyDescent="0.25">
      <c r="A420" s="9">
        <v>40553</v>
      </c>
      <c r="B420">
        <v>28.540001</v>
      </c>
      <c r="C420">
        <v>28.610001</v>
      </c>
      <c r="D420">
        <v>27.709999</v>
      </c>
      <c r="E420">
        <v>28.43</v>
      </c>
      <c r="G420" s="9">
        <v>40553</v>
      </c>
      <c r="H420">
        <v>28.540001</v>
      </c>
      <c r="I420">
        <v>28.610001</v>
      </c>
      <c r="J420">
        <v>27.709999</v>
      </c>
    </row>
    <row r="421" spans="1:10" x14ac:dyDescent="0.25">
      <c r="A421" s="9">
        <v>40560</v>
      </c>
      <c r="B421">
        <v>28.549999</v>
      </c>
      <c r="C421">
        <v>28.59</v>
      </c>
      <c r="D421">
        <v>28.15</v>
      </c>
      <c r="E421">
        <v>28.33</v>
      </c>
      <c r="G421" s="9">
        <v>40560</v>
      </c>
      <c r="H421">
        <v>28.549999</v>
      </c>
      <c r="I421">
        <v>28.59</v>
      </c>
      <c r="J421">
        <v>28.15</v>
      </c>
    </row>
    <row r="422" spans="1:10" x14ac:dyDescent="0.25">
      <c r="A422" s="9">
        <v>40567</v>
      </c>
      <c r="B422">
        <v>28.459999</v>
      </c>
      <c r="C422">
        <v>28.950001</v>
      </c>
      <c r="D422">
        <v>27.41</v>
      </c>
      <c r="E422">
        <v>27.49</v>
      </c>
      <c r="G422" s="9">
        <v>40567</v>
      </c>
      <c r="H422">
        <v>28.459999</v>
      </c>
      <c r="I422">
        <v>28.950001</v>
      </c>
      <c r="J422">
        <v>27.41</v>
      </c>
    </row>
    <row r="423" spans="1:10" x14ac:dyDescent="0.25">
      <c r="A423" s="9">
        <v>40574</v>
      </c>
      <c r="B423">
        <v>27.42</v>
      </c>
      <c r="C423">
        <v>28.059999000000001</v>
      </c>
      <c r="D423">
        <v>27.200001</v>
      </c>
      <c r="E423">
        <v>27.969999000000001</v>
      </c>
      <c r="G423" s="9">
        <v>40574</v>
      </c>
      <c r="H423">
        <v>27.42</v>
      </c>
      <c r="I423">
        <v>28.059999000000001</v>
      </c>
      <c r="J423">
        <v>27.200001</v>
      </c>
    </row>
    <row r="424" spans="1:10" x14ac:dyDescent="0.25">
      <c r="A424" s="9">
        <v>40581</v>
      </c>
      <c r="B424">
        <v>27.969999000000001</v>
      </c>
      <c r="C424">
        <v>28.59</v>
      </c>
      <c r="D424">
        <v>27.629999000000002</v>
      </c>
      <c r="E424">
        <v>28.469999000000001</v>
      </c>
      <c r="G424" s="9">
        <v>40581</v>
      </c>
      <c r="H424">
        <v>27.969999000000001</v>
      </c>
      <c r="I424">
        <v>28.59</v>
      </c>
      <c r="J424">
        <v>27.629999000000002</v>
      </c>
    </row>
    <row r="425" spans="1:10" x14ac:dyDescent="0.25">
      <c r="A425" s="9">
        <v>40588</v>
      </c>
      <c r="B425">
        <v>28.4</v>
      </c>
      <c r="C425">
        <v>28.58</v>
      </c>
      <c r="D425">
        <v>28</v>
      </c>
      <c r="E425">
        <v>28.57</v>
      </c>
      <c r="G425" s="9">
        <v>40588</v>
      </c>
      <c r="H425">
        <v>28.4</v>
      </c>
      <c r="I425">
        <v>28.58</v>
      </c>
      <c r="J425">
        <v>28</v>
      </c>
    </row>
    <row r="426" spans="1:10" x14ac:dyDescent="0.25">
      <c r="A426" s="9">
        <v>40595</v>
      </c>
      <c r="B426">
        <v>28.32</v>
      </c>
      <c r="C426">
        <v>28.42</v>
      </c>
      <c r="D426">
        <v>27.610001</v>
      </c>
      <c r="E426">
        <v>28.129999000000002</v>
      </c>
      <c r="G426" s="9">
        <v>40595</v>
      </c>
      <c r="H426">
        <v>28.32</v>
      </c>
      <c r="I426">
        <v>28.42</v>
      </c>
      <c r="J426">
        <v>27.610001</v>
      </c>
    </row>
    <row r="427" spans="1:10" x14ac:dyDescent="0.25">
      <c r="A427" s="9">
        <v>40602</v>
      </c>
      <c r="B427">
        <v>28.25</v>
      </c>
      <c r="C427">
        <v>28.530000999999999</v>
      </c>
      <c r="D427">
        <v>27.790001</v>
      </c>
      <c r="E427">
        <v>27.92</v>
      </c>
      <c r="G427" s="9">
        <v>40602</v>
      </c>
      <c r="H427">
        <v>28.25</v>
      </c>
      <c r="I427">
        <v>28.530000999999999</v>
      </c>
      <c r="J427">
        <v>27.790001</v>
      </c>
    </row>
    <row r="428" spans="1:10" x14ac:dyDescent="0.25">
      <c r="A428" s="9">
        <v>40609</v>
      </c>
      <c r="B428">
        <v>27.950001</v>
      </c>
      <c r="C428">
        <v>28.889999</v>
      </c>
      <c r="D428">
        <v>27.73</v>
      </c>
      <c r="E428">
        <v>28.459999</v>
      </c>
      <c r="G428" s="9">
        <v>40609</v>
      </c>
      <c r="H428">
        <v>27.950001</v>
      </c>
      <c r="I428">
        <v>28.889999</v>
      </c>
      <c r="J428">
        <v>27.73</v>
      </c>
    </row>
    <row r="429" spans="1:10" x14ac:dyDescent="0.25">
      <c r="A429" s="9">
        <v>40616</v>
      </c>
      <c r="B429">
        <v>28.32</v>
      </c>
      <c r="C429">
        <v>28.42</v>
      </c>
      <c r="D429">
        <v>27.27</v>
      </c>
      <c r="E429">
        <v>27.940000999999999</v>
      </c>
      <c r="G429" s="9">
        <v>40616</v>
      </c>
      <c r="H429">
        <v>28.32</v>
      </c>
      <c r="I429">
        <v>28.42</v>
      </c>
      <c r="J429">
        <v>27.27</v>
      </c>
    </row>
    <row r="430" spans="1:10" x14ac:dyDescent="0.25">
      <c r="A430" s="9">
        <v>40623</v>
      </c>
      <c r="B430">
        <v>28.77</v>
      </c>
      <c r="C430">
        <v>29.1</v>
      </c>
      <c r="D430">
        <v>27.950001</v>
      </c>
      <c r="E430">
        <v>28.85</v>
      </c>
      <c r="G430" s="9">
        <v>40623</v>
      </c>
      <c r="H430">
        <v>28.77</v>
      </c>
      <c r="I430">
        <v>29.1</v>
      </c>
      <c r="J430">
        <v>27.950001</v>
      </c>
    </row>
    <row r="431" spans="1:10" x14ac:dyDescent="0.25">
      <c r="A431" s="9">
        <v>40630</v>
      </c>
      <c r="B431">
        <v>29.02</v>
      </c>
      <c r="C431">
        <v>30.969999000000001</v>
      </c>
      <c r="D431">
        <v>28.9</v>
      </c>
      <c r="E431">
        <v>30.620000999999998</v>
      </c>
      <c r="G431" s="9">
        <v>40630</v>
      </c>
      <c r="H431">
        <v>29.02</v>
      </c>
      <c r="I431">
        <v>30.969999000000001</v>
      </c>
      <c r="J431">
        <v>28.9</v>
      </c>
    </row>
    <row r="432" spans="1:10" x14ac:dyDescent="0.25">
      <c r="A432" s="9">
        <v>40637</v>
      </c>
      <c r="B432">
        <v>30.74</v>
      </c>
      <c r="C432">
        <v>31</v>
      </c>
      <c r="D432">
        <v>29.99</v>
      </c>
      <c r="E432">
        <v>30.709999</v>
      </c>
      <c r="G432" s="9">
        <v>40637</v>
      </c>
      <c r="H432">
        <v>30.74</v>
      </c>
      <c r="I432">
        <v>31</v>
      </c>
      <c r="J432">
        <v>29.99</v>
      </c>
    </row>
    <row r="433" spans="1:10" x14ac:dyDescent="0.25">
      <c r="A433" s="9">
        <v>40644</v>
      </c>
      <c r="B433">
        <v>30.75</v>
      </c>
      <c r="C433">
        <v>30.84</v>
      </c>
      <c r="D433">
        <v>30.01</v>
      </c>
      <c r="E433">
        <v>30.65</v>
      </c>
      <c r="G433" s="9">
        <v>40644</v>
      </c>
      <c r="H433">
        <v>30.75</v>
      </c>
      <c r="I433">
        <v>30.84</v>
      </c>
      <c r="J433">
        <v>30.01</v>
      </c>
    </row>
    <row r="434" spans="1:10" x14ac:dyDescent="0.25">
      <c r="A434" s="9">
        <v>40651</v>
      </c>
      <c r="B434">
        <v>30.42</v>
      </c>
      <c r="C434">
        <v>30.75</v>
      </c>
      <c r="D434">
        <v>29.91</v>
      </c>
      <c r="E434">
        <v>30.68</v>
      </c>
      <c r="G434" s="9">
        <v>40651</v>
      </c>
      <c r="H434">
        <v>30.42</v>
      </c>
      <c r="I434">
        <v>30.75</v>
      </c>
      <c r="J434">
        <v>29.91</v>
      </c>
    </row>
    <row r="435" spans="1:10" x14ac:dyDescent="0.25">
      <c r="A435" s="9">
        <v>40658</v>
      </c>
      <c r="B435">
        <v>30.67</v>
      </c>
      <c r="C435">
        <v>31.82</v>
      </c>
      <c r="D435">
        <v>30.43</v>
      </c>
      <c r="E435">
        <v>31.120000999999998</v>
      </c>
      <c r="G435" s="9">
        <v>40658</v>
      </c>
      <c r="H435">
        <v>30.67</v>
      </c>
      <c r="I435">
        <v>31.82</v>
      </c>
      <c r="J435">
        <v>30.43</v>
      </c>
    </row>
    <row r="436" spans="1:10" x14ac:dyDescent="0.25">
      <c r="A436" s="9">
        <v>40665</v>
      </c>
      <c r="B436">
        <v>31.6</v>
      </c>
      <c r="C436">
        <v>31.940000999999999</v>
      </c>
      <c r="D436">
        <v>31.030000999999999</v>
      </c>
      <c r="E436">
        <v>31.26</v>
      </c>
      <c r="G436" s="9">
        <v>40665</v>
      </c>
      <c r="H436">
        <v>31.6</v>
      </c>
      <c r="I436">
        <v>31.940000999999999</v>
      </c>
      <c r="J436">
        <v>31.030000999999999</v>
      </c>
    </row>
    <row r="437" spans="1:10" x14ac:dyDescent="0.25">
      <c r="A437" s="9">
        <v>40672</v>
      </c>
      <c r="B437">
        <v>31.200001</v>
      </c>
      <c r="C437">
        <v>31.790001</v>
      </c>
      <c r="D437">
        <v>31.059999000000001</v>
      </c>
      <c r="E437">
        <v>31.41</v>
      </c>
      <c r="G437" s="9">
        <v>40672</v>
      </c>
      <c r="H437">
        <v>31.200001</v>
      </c>
      <c r="I437">
        <v>31.790001</v>
      </c>
      <c r="J437">
        <v>31.059999000000001</v>
      </c>
    </row>
    <row r="438" spans="1:10" x14ac:dyDescent="0.25">
      <c r="A438" s="9">
        <v>40679</v>
      </c>
      <c r="B438">
        <v>31.32</v>
      </c>
      <c r="C438">
        <v>31.77</v>
      </c>
      <c r="D438">
        <v>30.9</v>
      </c>
      <c r="E438">
        <v>31.32</v>
      </c>
      <c r="G438" s="9">
        <v>40679</v>
      </c>
      <c r="H438">
        <v>31.32</v>
      </c>
      <c r="I438">
        <v>31.77</v>
      </c>
      <c r="J438">
        <v>30.9</v>
      </c>
    </row>
    <row r="439" spans="1:10" x14ac:dyDescent="0.25">
      <c r="A439" s="9">
        <v>40686</v>
      </c>
      <c r="B439">
        <v>31</v>
      </c>
      <c r="C439">
        <v>31.35</v>
      </c>
      <c r="D439">
        <v>30.92</v>
      </c>
      <c r="E439">
        <v>31.290001</v>
      </c>
      <c r="G439" s="9">
        <v>40686</v>
      </c>
      <c r="H439">
        <v>31</v>
      </c>
      <c r="I439">
        <v>31.35</v>
      </c>
      <c r="J439">
        <v>30.92</v>
      </c>
    </row>
    <row r="440" spans="1:10" x14ac:dyDescent="0.25">
      <c r="A440" s="9">
        <v>40693</v>
      </c>
      <c r="B440">
        <v>31.48</v>
      </c>
      <c r="C440">
        <v>31.65</v>
      </c>
      <c r="D440">
        <v>30.52</v>
      </c>
      <c r="E440">
        <v>30.65</v>
      </c>
      <c r="G440" s="9">
        <v>40693</v>
      </c>
      <c r="H440">
        <v>31.48</v>
      </c>
      <c r="I440">
        <v>31.65</v>
      </c>
      <c r="J440">
        <v>30.52</v>
      </c>
    </row>
    <row r="441" spans="1:10" x14ac:dyDescent="0.25">
      <c r="A441" s="9">
        <v>40700</v>
      </c>
      <c r="B441">
        <v>30.549999</v>
      </c>
      <c r="C441">
        <v>30.610001</v>
      </c>
      <c r="D441">
        <v>30.110001</v>
      </c>
      <c r="E441">
        <v>30.34</v>
      </c>
      <c r="G441" s="9">
        <v>40700</v>
      </c>
      <c r="H441">
        <v>30.549999</v>
      </c>
      <c r="I441">
        <v>30.610001</v>
      </c>
      <c r="J441">
        <v>30.110001</v>
      </c>
    </row>
    <row r="442" spans="1:10" x14ac:dyDescent="0.25">
      <c r="A442" s="9">
        <v>40707</v>
      </c>
      <c r="B442">
        <v>30.280000999999999</v>
      </c>
      <c r="C442">
        <v>30.950001</v>
      </c>
      <c r="D442">
        <v>30.17</v>
      </c>
      <c r="E442">
        <v>30.77</v>
      </c>
      <c r="G442" s="9">
        <v>40707</v>
      </c>
      <c r="H442">
        <v>30.280000999999999</v>
      </c>
      <c r="I442">
        <v>30.950001</v>
      </c>
      <c r="J442">
        <v>30.17</v>
      </c>
    </row>
    <row r="443" spans="1:10" x14ac:dyDescent="0.25">
      <c r="A443" s="9">
        <v>40714</v>
      </c>
      <c r="B443">
        <v>30.66</v>
      </c>
      <c r="C443">
        <v>31.34</v>
      </c>
      <c r="D443">
        <v>30.290001</v>
      </c>
      <c r="E443">
        <v>30.440000999999999</v>
      </c>
      <c r="G443" s="9">
        <v>40714</v>
      </c>
      <c r="H443">
        <v>30.66</v>
      </c>
      <c r="I443">
        <v>31.34</v>
      </c>
      <c r="J443">
        <v>30.290001</v>
      </c>
    </row>
    <row r="444" spans="1:10" x14ac:dyDescent="0.25">
      <c r="A444" s="9">
        <v>40721</v>
      </c>
      <c r="B444">
        <v>30.65</v>
      </c>
      <c r="C444">
        <v>31.73</v>
      </c>
      <c r="D444">
        <v>30.5</v>
      </c>
      <c r="E444">
        <v>31.68</v>
      </c>
      <c r="G444" s="9">
        <v>40721</v>
      </c>
      <c r="H444">
        <v>30.65</v>
      </c>
      <c r="I444">
        <v>31.73</v>
      </c>
      <c r="J444">
        <v>30.5</v>
      </c>
    </row>
    <row r="445" spans="1:10" x14ac:dyDescent="0.25">
      <c r="A445" s="9">
        <v>40728</v>
      </c>
      <c r="B445">
        <v>31.74</v>
      </c>
      <c r="C445">
        <v>31.780000999999999</v>
      </c>
      <c r="D445">
        <v>31.02</v>
      </c>
      <c r="E445">
        <v>31.139999</v>
      </c>
      <c r="G445" s="9">
        <v>40728</v>
      </c>
      <c r="H445">
        <v>31.74</v>
      </c>
      <c r="I445">
        <v>31.780000999999999</v>
      </c>
      <c r="J445">
        <v>31.02</v>
      </c>
    </row>
    <row r="446" spans="1:10" x14ac:dyDescent="0.25">
      <c r="A446" s="9">
        <v>40735</v>
      </c>
      <c r="B446">
        <v>30.91</v>
      </c>
      <c r="C446">
        <v>31.139999</v>
      </c>
      <c r="D446">
        <v>30.200001</v>
      </c>
      <c r="E446">
        <v>30.309999000000001</v>
      </c>
      <c r="G446" s="9">
        <v>40735</v>
      </c>
      <c r="H446">
        <v>30.91</v>
      </c>
      <c r="I446">
        <v>31.139999</v>
      </c>
      <c r="J446">
        <v>30.200001</v>
      </c>
    </row>
    <row r="447" spans="1:10" x14ac:dyDescent="0.25">
      <c r="A447" s="9">
        <v>40742</v>
      </c>
      <c r="B447">
        <v>30.17</v>
      </c>
      <c r="C447">
        <v>30.74</v>
      </c>
      <c r="D447">
        <v>29.82</v>
      </c>
      <c r="E447">
        <v>30.32</v>
      </c>
      <c r="G447" s="9">
        <v>40742</v>
      </c>
      <c r="H447">
        <v>30.17</v>
      </c>
      <c r="I447">
        <v>30.74</v>
      </c>
      <c r="J447">
        <v>29.82</v>
      </c>
    </row>
    <row r="448" spans="1:10" x14ac:dyDescent="0.25">
      <c r="A448" s="9">
        <v>40749</v>
      </c>
      <c r="B448">
        <v>30.01</v>
      </c>
      <c r="C448">
        <v>30.209999</v>
      </c>
      <c r="D448">
        <v>28.77</v>
      </c>
      <c r="E448">
        <v>29.26</v>
      </c>
      <c r="G448" s="9">
        <v>40749</v>
      </c>
      <c r="H448">
        <v>30.01</v>
      </c>
      <c r="I448">
        <v>30.209999</v>
      </c>
      <c r="J448">
        <v>28.77</v>
      </c>
    </row>
    <row r="449" spans="1:10" x14ac:dyDescent="0.25">
      <c r="A449" s="9">
        <v>40756</v>
      </c>
      <c r="B449">
        <v>30.059999000000001</v>
      </c>
      <c r="C449">
        <v>30.08</v>
      </c>
      <c r="D449">
        <v>28.209999</v>
      </c>
      <c r="E449">
        <v>28.93</v>
      </c>
      <c r="G449" s="9">
        <v>40756</v>
      </c>
      <c r="H449">
        <v>30.059999000000001</v>
      </c>
      <c r="I449">
        <v>30.08</v>
      </c>
      <c r="J449">
        <v>28.209999</v>
      </c>
    </row>
    <row r="450" spans="1:10" x14ac:dyDescent="0.25">
      <c r="A450" s="9">
        <v>40763</v>
      </c>
      <c r="B450">
        <v>28.309999000000001</v>
      </c>
      <c r="C450">
        <v>28.98</v>
      </c>
      <c r="D450">
        <v>27.33</v>
      </c>
      <c r="E450">
        <v>28.219999000000001</v>
      </c>
      <c r="G450" s="9">
        <v>40763</v>
      </c>
      <c r="H450">
        <v>28.309999000000001</v>
      </c>
      <c r="I450">
        <v>28.98</v>
      </c>
      <c r="J450">
        <v>27.33</v>
      </c>
    </row>
    <row r="451" spans="1:10" x14ac:dyDescent="0.25">
      <c r="A451" s="9">
        <v>40770</v>
      </c>
      <c r="B451">
        <v>28.5</v>
      </c>
      <c r="C451">
        <v>29.299999</v>
      </c>
      <c r="D451">
        <v>27.99</v>
      </c>
      <c r="E451">
        <v>27.99</v>
      </c>
      <c r="G451" s="9">
        <v>40770</v>
      </c>
      <c r="H451">
        <v>28.5</v>
      </c>
      <c r="I451">
        <v>29.299999</v>
      </c>
      <c r="J451">
        <v>27.99</v>
      </c>
    </row>
    <row r="452" spans="1:10" x14ac:dyDescent="0.25">
      <c r="A452" s="9">
        <v>40777</v>
      </c>
      <c r="B452">
        <v>28.68</v>
      </c>
      <c r="C452">
        <v>29.639999</v>
      </c>
      <c r="D452">
        <v>28.27</v>
      </c>
      <c r="E452">
        <v>29.040001</v>
      </c>
      <c r="G452" s="9">
        <v>40777</v>
      </c>
      <c r="H452">
        <v>28.68</v>
      </c>
      <c r="I452">
        <v>29.639999</v>
      </c>
      <c r="J452">
        <v>28.27</v>
      </c>
    </row>
    <row r="453" spans="1:10" x14ac:dyDescent="0.25">
      <c r="A453" s="9">
        <v>40784</v>
      </c>
      <c r="B453">
        <v>29.35</v>
      </c>
      <c r="C453">
        <v>29.9</v>
      </c>
      <c r="D453">
        <v>28</v>
      </c>
      <c r="E453">
        <v>28.049999</v>
      </c>
      <c r="G453" s="9">
        <v>40784</v>
      </c>
      <c r="H453">
        <v>29.35</v>
      </c>
      <c r="I453">
        <v>29.9</v>
      </c>
      <c r="J453">
        <v>28</v>
      </c>
    </row>
    <row r="454" spans="1:10" x14ac:dyDescent="0.25">
      <c r="A454" s="9">
        <v>40791</v>
      </c>
      <c r="B454">
        <v>27.940000999999999</v>
      </c>
      <c r="C454">
        <v>28.129999000000002</v>
      </c>
      <c r="D454">
        <v>27.469999000000001</v>
      </c>
      <c r="E454">
        <v>27.540001</v>
      </c>
      <c r="G454" s="9">
        <v>40791</v>
      </c>
      <c r="H454">
        <v>27.940000999999999</v>
      </c>
      <c r="I454">
        <v>28.129999000000002</v>
      </c>
      <c r="J454">
        <v>27.469999000000001</v>
      </c>
    </row>
    <row r="455" spans="1:10" x14ac:dyDescent="0.25">
      <c r="A455" s="9">
        <v>40798</v>
      </c>
      <c r="B455">
        <v>27.299999</v>
      </c>
      <c r="C455">
        <v>28.940000999999999</v>
      </c>
      <c r="D455">
        <v>27.290001</v>
      </c>
      <c r="E455">
        <v>28.940000999999999</v>
      </c>
      <c r="G455" s="9">
        <v>40798</v>
      </c>
      <c r="H455">
        <v>27.299999</v>
      </c>
      <c r="I455">
        <v>28.940000999999999</v>
      </c>
      <c r="J455">
        <v>27.290001</v>
      </c>
    </row>
    <row r="456" spans="1:10" x14ac:dyDescent="0.25">
      <c r="A456" s="9">
        <v>40805</v>
      </c>
      <c r="B456">
        <v>28.540001</v>
      </c>
      <c r="C456">
        <v>29.18</v>
      </c>
      <c r="D456">
        <v>27.459999</v>
      </c>
      <c r="E456">
        <v>27.85</v>
      </c>
      <c r="G456" s="9">
        <v>40805</v>
      </c>
      <c r="H456">
        <v>28.540001</v>
      </c>
      <c r="I456">
        <v>29.18</v>
      </c>
      <c r="J456">
        <v>27.459999</v>
      </c>
    </row>
    <row r="457" spans="1:10" x14ac:dyDescent="0.25">
      <c r="A457" s="9">
        <v>40812</v>
      </c>
      <c r="B457">
        <v>28.059999000000001</v>
      </c>
      <c r="C457">
        <v>29.09</v>
      </c>
      <c r="D457">
        <v>28</v>
      </c>
      <c r="E457">
        <v>28.52</v>
      </c>
      <c r="G457" s="9">
        <v>40812</v>
      </c>
      <c r="H457">
        <v>28.059999000000001</v>
      </c>
      <c r="I457">
        <v>29.09</v>
      </c>
      <c r="J457">
        <v>28</v>
      </c>
    </row>
    <row r="458" spans="1:10" x14ac:dyDescent="0.25">
      <c r="A458" s="9">
        <v>40819</v>
      </c>
      <c r="B458">
        <v>28.639999</v>
      </c>
      <c r="C458">
        <v>28.85</v>
      </c>
      <c r="D458">
        <v>27.549999</v>
      </c>
      <c r="E458">
        <v>28.440000999999999</v>
      </c>
      <c r="G458" s="9">
        <v>40819</v>
      </c>
      <c r="H458">
        <v>28.639999</v>
      </c>
      <c r="I458">
        <v>28.85</v>
      </c>
      <c r="J458">
        <v>27.549999</v>
      </c>
    </row>
    <row r="459" spans="1:10" x14ac:dyDescent="0.25">
      <c r="A459" s="9">
        <v>40826</v>
      </c>
      <c r="B459">
        <v>28.84</v>
      </c>
      <c r="C459">
        <v>29.43</v>
      </c>
      <c r="D459">
        <v>28.629999000000002</v>
      </c>
      <c r="E459">
        <v>29.17</v>
      </c>
      <c r="G459" s="9">
        <v>40826</v>
      </c>
      <c r="H459">
        <v>28.84</v>
      </c>
      <c r="I459">
        <v>29.43</v>
      </c>
      <c r="J459">
        <v>28.629999000000002</v>
      </c>
    </row>
    <row r="460" spans="1:10" x14ac:dyDescent="0.25">
      <c r="A460" s="9">
        <v>40833</v>
      </c>
      <c r="B460">
        <v>29.190000999999999</v>
      </c>
      <c r="C460">
        <v>29.379999000000002</v>
      </c>
      <c r="D460">
        <v>28.629999000000002</v>
      </c>
      <c r="E460">
        <v>29.129999000000002</v>
      </c>
      <c r="G460" s="9">
        <v>40833</v>
      </c>
      <c r="H460">
        <v>29.190000999999999</v>
      </c>
      <c r="I460">
        <v>29.379999000000002</v>
      </c>
      <c r="J460">
        <v>28.629999000000002</v>
      </c>
    </row>
    <row r="461" spans="1:10" x14ac:dyDescent="0.25">
      <c r="A461" s="9">
        <v>40840</v>
      </c>
      <c r="B461">
        <v>29.110001</v>
      </c>
      <c r="C461">
        <v>29.799999</v>
      </c>
      <c r="D461">
        <v>28.32</v>
      </c>
      <c r="E461">
        <v>29.74</v>
      </c>
      <c r="G461" s="9">
        <v>40840</v>
      </c>
      <c r="H461">
        <v>29.110001</v>
      </c>
      <c r="I461">
        <v>29.799999</v>
      </c>
      <c r="J461">
        <v>28.32</v>
      </c>
    </row>
    <row r="462" spans="1:10" x14ac:dyDescent="0.25">
      <c r="A462" s="9">
        <v>40847</v>
      </c>
      <c r="B462">
        <v>29.459999</v>
      </c>
      <c r="C462">
        <v>29.65</v>
      </c>
      <c r="D462">
        <v>28.620000999999998</v>
      </c>
      <c r="E462">
        <v>29.16</v>
      </c>
      <c r="G462" s="9">
        <v>40847</v>
      </c>
      <c r="H462">
        <v>29.459999</v>
      </c>
      <c r="I462">
        <v>29.65</v>
      </c>
      <c r="J462">
        <v>28.620000999999998</v>
      </c>
    </row>
    <row r="463" spans="1:10" x14ac:dyDescent="0.25">
      <c r="A463" s="9">
        <v>40854</v>
      </c>
      <c r="B463">
        <v>29.200001</v>
      </c>
      <c r="C463">
        <v>29.549999</v>
      </c>
      <c r="D463">
        <v>28.799999</v>
      </c>
      <c r="E463">
        <v>29.42</v>
      </c>
      <c r="G463" s="9">
        <v>40854</v>
      </c>
      <c r="H463">
        <v>29.200001</v>
      </c>
      <c r="I463">
        <v>29.549999</v>
      </c>
      <c r="J463">
        <v>28.799999</v>
      </c>
    </row>
    <row r="464" spans="1:10" x14ac:dyDescent="0.25">
      <c r="A464" s="9">
        <v>40861</v>
      </c>
      <c r="B464">
        <v>29.26</v>
      </c>
      <c r="C464">
        <v>29.370000999999998</v>
      </c>
      <c r="D464">
        <v>28.43</v>
      </c>
      <c r="E464">
        <v>28.639999</v>
      </c>
      <c r="G464" s="9">
        <v>40861</v>
      </c>
      <c r="H464">
        <v>29.26</v>
      </c>
      <c r="I464">
        <v>29.370000999999998</v>
      </c>
      <c r="J464">
        <v>28.43</v>
      </c>
    </row>
    <row r="465" spans="1:10" x14ac:dyDescent="0.25">
      <c r="A465" s="9">
        <v>40868</v>
      </c>
      <c r="B465">
        <v>28.389999</v>
      </c>
      <c r="C465">
        <v>28.49</v>
      </c>
      <c r="D465">
        <v>27.41</v>
      </c>
      <c r="E465">
        <v>27.41</v>
      </c>
      <c r="G465" s="9">
        <v>40868</v>
      </c>
      <c r="H465">
        <v>28.389999</v>
      </c>
      <c r="I465">
        <v>28.49</v>
      </c>
      <c r="J465">
        <v>27.41</v>
      </c>
    </row>
    <row r="466" spans="1:10" x14ac:dyDescent="0.25">
      <c r="A466" s="9">
        <v>40875</v>
      </c>
      <c r="B466">
        <v>27.92</v>
      </c>
      <c r="C466">
        <v>29.120000999999998</v>
      </c>
      <c r="D466">
        <v>27.76</v>
      </c>
      <c r="E466">
        <v>28.959999</v>
      </c>
      <c r="G466" s="9">
        <v>40875</v>
      </c>
      <c r="H466">
        <v>27.92</v>
      </c>
      <c r="I466">
        <v>29.120000999999998</v>
      </c>
      <c r="J466">
        <v>27.76</v>
      </c>
    </row>
    <row r="467" spans="1:10" x14ac:dyDescent="0.25">
      <c r="A467" s="9">
        <v>40882</v>
      </c>
      <c r="B467">
        <v>29.17</v>
      </c>
      <c r="C467">
        <v>29.4</v>
      </c>
      <c r="D467">
        <v>28.799999</v>
      </c>
      <c r="E467">
        <v>29.030000999999999</v>
      </c>
      <c r="G467" s="9">
        <v>40882</v>
      </c>
      <c r="H467">
        <v>29.17</v>
      </c>
      <c r="I467">
        <v>29.4</v>
      </c>
      <c r="J467">
        <v>28.799999</v>
      </c>
    </row>
    <row r="468" spans="1:10" x14ac:dyDescent="0.25">
      <c r="A468" s="9">
        <v>40889</v>
      </c>
      <c r="B468">
        <v>29.02</v>
      </c>
      <c r="C468">
        <v>29.25</v>
      </c>
      <c r="D468">
        <v>28.51</v>
      </c>
      <c r="E468">
        <v>28.85</v>
      </c>
      <c r="G468" s="9">
        <v>40889</v>
      </c>
      <c r="H468">
        <v>29.02</v>
      </c>
      <c r="I468">
        <v>29.25</v>
      </c>
      <c r="J468">
        <v>28.51</v>
      </c>
    </row>
    <row r="469" spans="1:10" x14ac:dyDescent="0.25">
      <c r="A469" s="9">
        <v>40896</v>
      </c>
      <c r="B469">
        <v>28.98</v>
      </c>
      <c r="C469">
        <v>29.98</v>
      </c>
      <c r="D469">
        <v>28.65</v>
      </c>
      <c r="E469">
        <v>29.870000999999998</v>
      </c>
      <c r="G469" s="9">
        <v>40896</v>
      </c>
      <c r="H469">
        <v>28.98</v>
      </c>
      <c r="I469">
        <v>29.98</v>
      </c>
      <c r="J469">
        <v>28.65</v>
      </c>
    </row>
    <row r="470" spans="1:10" x14ac:dyDescent="0.25">
      <c r="A470" s="9">
        <v>40903</v>
      </c>
      <c r="B470">
        <v>29.92</v>
      </c>
      <c r="C470">
        <v>30.299999</v>
      </c>
      <c r="D470">
        <v>29.84</v>
      </c>
      <c r="E470">
        <v>30.24</v>
      </c>
      <c r="G470" s="9">
        <v>40903</v>
      </c>
      <c r="H470">
        <v>29.92</v>
      </c>
      <c r="I470">
        <v>30.299999</v>
      </c>
      <c r="J470">
        <v>29.84</v>
      </c>
    </row>
    <row r="471" spans="1:10" x14ac:dyDescent="0.25">
      <c r="A471" s="9">
        <v>40910</v>
      </c>
      <c r="B471">
        <v>30.459999</v>
      </c>
      <c r="C471">
        <v>30.68</v>
      </c>
      <c r="D471">
        <v>29.6</v>
      </c>
      <c r="E471">
        <v>29.68</v>
      </c>
      <c r="G471" s="9">
        <v>40910</v>
      </c>
      <c r="H471">
        <v>30.459999</v>
      </c>
      <c r="I471">
        <v>30.68</v>
      </c>
      <c r="J471">
        <v>29.6</v>
      </c>
    </row>
    <row r="472" spans="1:10" x14ac:dyDescent="0.25">
      <c r="A472" s="9">
        <v>40917</v>
      </c>
      <c r="B472">
        <v>29.809999000000001</v>
      </c>
      <c r="C472">
        <v>30.25</v>
      </c>
      <c r="D472">
        <v>29.5</v>
      </c>
      <c r="E472">
        <v>30.07</v>
      </c>
      <c r="G472" s="9">
        <v>40917</v>
      </c>
      <c r="H472">
        <v>29.809999000000001</v>
      </c>
      <c r="I472">
        <v>30.25</v>
      </c>
      <c r="J472">
        <v>29.5</v>
      </c>
    </row>
    <row r="473" spans="1:10" x14ac:dyDescent="0.25">
      <c r="A473" s="9">
        <v>40924</v>
      </c>
      <c r="B473">
        <v>30.299999</v>
      </c>
      <c r="C473">
        <v>30.52</v>
      </c>
      <c r="D473">
        <v>30.15</v>
      </c>
      <c r="E473">
        <v>30.51</v>
      </c>
      <c r="G473" s="9">
        <v>40924</v>
      </c>
      <c r="H473">
        <v>30.299999</v>
      </c>
      <c r="I473">
        <v>30.52</v>
      </c>
      <c r="J473">
        <v>30.15</v>
      </c>
    </row>
    <row r="474" spans="1:10" x14ac:dyDescent="0.25">
      <c r="A474" s="9">
        <v>40931</v>
      </c>
      <c r="B474">
        <v>30.51</v>
      </c>
      <c r="C474">
        <v>30.559999000000001</v>
      </c>
      <c r="D474">
        <v>29.15</v>
      </c>
      <c r="E474">
        <v>29.16</v>
      </c>
      <c r="G474" s="9">
        <v>40931</v>
      </c>
      <c r="H474">
        <v>30.51</v>
      </c>
      <c r="I474">
        <v>30.559999000000001</v>
      </c>
      <c r="J474">
        <v>29.15</v>
      </c>
    </row>
    <row r="475" spans="1:10" x14ac:dyDescent="0.25">
      <c r="A475" s="9">
        <v>40938</v>
      </c>
      <c r="B475">
        <v>29.120000999999998</v>
      </c>
      <c r="C475">
        <v>30.07</v>
      </c>
      <c r="D475">
        <v>29.02</v>
      </c>
      <c r="E475">
        <v>29.950001</v>
      </c>
      <c r="G475" s="9">
        <v>40938</v>
      </c>
      <c r="H475">
        <v>29.120000999999998</v>
      </c>
      <c r="I475">
        <v>30.07</v>
      </c>
      <c r="J475">
        <v>29.02</v>
      </c>
    </row>
    <row r="476" spans="1:10" x14ac:dyDescent="0.25">
      <c r="A476" s="9">
        <v>40945</v>
      </c>
      <c r="B476">
        <v>29.83</v>
      </c>
      <c r="C476">
        <v>30.15</v>
      </c>
      <c r="D476">
        <v>29.690000999999999</v>
      </c>
      <c r="E476">
        <v>29.84</v>
      </c>
      <c r="G476" s="9">
        <v>40945</v>
      </c>
      <c r="H476">
        <v>29.83</v>
      </c>
      <c r="I476">
        <v>30.15</v>
      </c>
      <c r="J476">
        <v>29.690000999999999</v>
      </c>
    </row>
    <row r="477" spans="1:10" x14ac:dyDescent="0.25">
      <c r="A477" s="9">
        <v>40952</v>
      </c>
      <c r="B477">
        <v>29.92</v>
      </c>
      <c r="C477">
        <v>30.18</v>
      </c>
      <c r="D477">
        <v>29.77</v>
      </c>
      <c r="E477">
        <v>30.01</v>
      </c>
      <c r="G477" s="9">
        <v>40952</v>
      </c>
      <c r="H477">
        <v>29.92</v>
      </c>
      <c r="I477">
        <v>30.18</v>
      </c>
      <c r="J477">
        <v>29.77</v>
      </c>
    </row>
    <row r="478" spans="1:10" x14ac:dyDescent="0.25">
      <c r="A478" s="9">
        <v>40959</v>
      </c>
      <c r="B478">
        <v>30.1</v>
      </c>
      <c r="C478">
        <v>30.49</v>
      </c>
      <c r="D478">
        <v>30.07</v>
      </c>
      <c r="E478">
        <v>30.34</v>
      </c>
      <c r="G478" s="9">
        <v>40959</v>
      </c>
      <c r="H478">
        <v>30.1</v>
      </c>
      <c r="I478">
        <v>30.49</v>
      </c>
      <c r="J478">
        <v>30.07</v>
      </c>
    </row>
    <row r="479" spans="1:10" x14ac:dyDescent="0.25">
      <c r="A479" s="9">
        <v>40966</v>
      </c>
      <c r="B479">
        <v>30.309999000000001</v>
      </c>
      <c r="C479">
        <v>31</v>
      </c>
      <c r="D479">
        <v>30.290001</v>
      </c>
      <c r="E479">
        <v>30.870000999999998</v>
      </c>
      <c r="G479" s="9">
        <v>40966</v>
      </c>
      <c r="H479">
        <v>30.309999000000001</v>
      </c>
      <c r="I479">
        <v>31</v>
      </c>
      <c r="J479">
        <v>30.290001</v>
      </c>
    </row>
    <row r="480" spans="1:10" x14ac:dyDescent="0.25">
      <c r="A480" s="9">
        <v>40973</v>
      </c>
      <c r="B480">
        <v>30.85</v>
      </c>
      <c r="C480">
        <v>31.18</v>
      </c>
      <c r="D480">
        <v>30.66</v>
      </c>
      <c r="E480">
        <v>31.18</v>
      </c>
      <c r="G480" s="9">
        <v>40973</v>
      </c>
      <c r="H480">
        <v>30.85</v>
      </c>
      <c r="I480">
        <v>31.18</v>
      </c>
      <c r="J480">
        <v>30.66</v>
      </c>
    </row>
    <row r="481" spans="1:10" x14ac:dyDescent="0.25">
      <c r="A481" s="9">
        <v>40980</v>
      </c>
      <c r="B481">
        <v>31.200001</v>
      </c>
      <c r="C481">
        <v>31.799999</v>
      </c>
      <c r="D481">
        <v>31.18</v>
      </c>
      <c r="E481">
        <v>31.59</v>
      </c>
      <c r="G481" s="9">
        <v>40980</v>
      </c>
      <c r="H481">
        <v>31.200001</v>
      </c>
      <c r="I481">
        <v>31.799999</v>
      </c>
      <c r="J481">
        <v>31.18</v>
      </c>
    </row>
    <row r="482" spans="1:10" x14ac:dyDescent="0.25">
      <c r="A482" s="9">
        <v>40987</v>
      </c>
      <c r="B482">
        <v>31.459999</v>
      </c>
      <c r="C482">
        <v>31.969999000000001</v>
      </c>
      <c r="D482">
        <v>31.35</v>
      </c>
      <c r="E482">
        <v>31.52</v>
      </c>
      <c r="G482" s="9">
        <v>40987</v>
      </c>
      <c r="H482">
        <v>31.459999</v>
      </c>
      <c r="I482">
        <v>31.969999000000001</v>
      </c>
      <c r="J482">
        <v>31.35</v>
      </c>
    </row>
    <row r="483" spans="1:10" x14ac:dyDescent="0.25">
      <c r="A483" s="9">
        <v>40994</v>
      </c>
      <c r="B483">
        <v>31.610001</v>
      </c>
      <c r="C483">
        <v>31.950001</v>
      </c>
      <c r="D483">
        <v>30.77</v>
      </c>
      <c r="E483">
        <v>31.23</v>
      </c>
      <c r="G483" s="9">
        <v>40994</v>
      </c>
      <c r="H483">
        <v>31.610001</v>
      </c>
      <c r="I483">
        <v>31.950001</v>
      </c>
      <c r="J483">
        <v>30.77</v>
      </c>
    </row>
    <row r="484" spans="1:10" x14ac:dyDescent="0.25">
      <c r="A484" s="9">
        <v>41001</v>
      </c>
      <c r="B484">
        <v>31.280000999999999</v>
      </c>
      <c r="C484">
        <v>31.66</v>
      </c>
      <c r="D484">
        <v>30.75</v>
      </c>
      <c r="E484">
        <v>30.940000999999999</v>
      </c>
      <c r="G484" s="9">
        <v>41001</v>
      </c>
      <c r="H484">
        <v>31.280000999999999</v>
      </c>
      <c r="I484">
        <v>31.66</v>
      </c>
      <c r="J484">
        <v>30.75</v>
      </c>
    </row>
    <row r="485" spans="1:10" x14ac:dyDescent="0.25">
      <c r="A485" s="9">
        <v>41008</v>
      </c>
      <c r="B485">
        <v>30.67</v>
      </c>
      <c r="C485">
        <v>30.879999000000002</v>
      </c>
      <c r="D485">
        <v>29.950001</v>
      </c>
      <c r="E485">
        <v>30.540001</v>
      </c>
      <c r="G485" s="9">
        <v>41008</v>
      </c>
      <c r="H485">
        <v>30.67</v>
      </c>
      <c r="I485">
        <v>30.879999000000002</v>
      </c>
      <c r="J485">
        <v>29.950001</v>
      </c>
    </row>
    <row r="486" spans="1:10" x14ac:dyDescent="0.25">
      <c r="A486" s="9">
        <v>41015</v>
      </c>
      <c r="B486">
        <v>30.559999000000001</v>
      </c>
      <c r="C486">
        <v>31.09</v>
      </c>
      <c r="D486">
        <v>30.5</v>
      </c>
      <c r="E486">
        <v>30.860001</v>
      </c>
      <c r="G486" s="9">
        <v>41015</v>
      </c>
      <c r="H486">
        <v>30.559999000000001</v>
      </c>
      <c r="I486">
        <v>31.09</v>
      </c>
      <c r="J486">
        <v>30.5</v>
      </c>
    </row>
    <row r="487" spans="1:10" x14ac:dyDescent="0.25">
      <c r="A487" s="9">
        <v>41022</v>
      </c>
      <c r="B487">
        <v>30.870000999999998</v>
      </c>
      <c r="C487">
        <v>32.75</v>
      </c>
      <c r="D487">
        <v>30.610001</v>
      </c>
      <c r="E487">
        <v>32.669998</v>
      </c>
      <c r="G487" s="9">
        <v>41022</v>
      </c>
      <c r="H487">
        <v>30.870000999999998</v>
      </c>
      <c r="I487">
        <v>32.75</v>
      </c>
      <c r="J487">
        <v>30.610001</v>
      </c>
    </row>
    <row r="488" spans="1:10" x14ac:dyDescent="0.25">
      <c r="A488" s="9">
        <v>41029</v>
      </c>
      <c r="B488">
        <v>32.529998999999997</v>
      </c>
      <c r="C488">
        <v>33.330002</v>
      </c>
      <c r="D488">
        <v>32.520000000000003</v>
      </c>
      <c r="E488">
        <v>32.860000999999997</v>
      </c>
      <c r="G488" s="9">
        <v>41029</v>
      </c>
      <c r="H488">
        <v>32.529998999999997</v>
      </c>
      <c r="I488">
        <v>33.330002</v>
      </c>
      <c r="J488">
        <v>32.520000000000003</v>
      </c>
    </row>
    <row r="489" spans="1:10" x14ac:dyDescent="0.25">
      <c r="A489" s="9">
        <v>41036</v>
      </c>
      <c r="B489">
        <v>32.490001999999997</v>
      </c>
      <c r="C489">
        <v>33.919998</v>
      </c>
      <c r="D489">
        <v>32.470001000000003</v>
      </c>
      <c r="E489">
        <v>33.590000000000003</v>
      </c>
      <c r="G489" s="9">
        <v>41036</v>
      </c>
      <c r="H489">
        <v>32.490001999999997</v>
      </c>
      <c r="I489">
        <v>33.919998</v>
      </c>
      <c r="J489">
        <v>32.470001000000003</v>
      </c>
    </row>
    <row r="490" spans="1:10" x14ac:dyDescent="0.25">
      <c r="A490" s="9">
        <v>41043</v>
      </c>
      <c r="B490">
        <v>33.419998</v>
      </c>
      <c r="C490">
        <v>33.810001</v>
      </c>
      <c r="D490">
        <v>33.049999</v>
      </c>
      <c r="E490">
        <v>33.659999999999997</v>
      </c>
      <c r="G490" s="9">
        <v>41043</v>
      </c>
      <c r="H490">
        <v>33.419998</v>
      </c>
      <c r="I490">
        <v>33.810001</v>
      </c>
      <c r="J490">
        <v>33.049999</v>
      </c>
    </row>
    <row r="491" spans="1:10" x14ac:dyDescent="0.25">
      <c r="A491" s="9">
        <v>41050</v>
      </c>
      <c r="B491">
        <v>33.709999000000003</v>
      </c>
      <c r="C491">
        <v>33.939999</v>
      </c>
      <c r="D491">
        <v>33.080002</v>
      </c>
      <c r="E491">
        <v>33.689999</v>
      </c>
      <c r="G491" s="9">
        <v>41050</v>
      </c>
      <c r="H491">
        <v>33.709999000000003</v>
      </c>
      <c r="I491">
        <v>33.939999</v>
      </c>
      <c r="J491">
        <v>33.080002</v>
      </c>
    </row>
    <row r="492" spans="1:10" x14ac:dyDescent="0.25">
      <c r="A492" s="9">
        <v>41057</v>
      </c>
      <c r="B492">
        <v>33.889999000000003</v>
      </c>
      <c r="C492">
        <v>34.409999999999997</v>
      </c>
      <c r="D492">
        <v>33.700001</v>
      </c>
      <c r="E492">
        <v>33.900002000000001</v>
      </c>
      <c r="G492" s="9">
        <v>41057</v>
      </c>
      <c r="H492">
        <v>33.889999000000003</v>
      </c>
      <c r="I492">
        <v>34.409999999999997</v>
      </c>
      <c r="J492">
        <v>33.700001</v>
      </c>
    </row>
    <row r="493" spans="1:10" x14ac:dyDescent="0.25">
      <c r="A493" s="9">
        <v>41064</v>
      </c>
      <c r="B493">
        <v>33.909999999999997</v>
      </c>
      <c r="C493">
        <v>34.740001999999997</v>
      </c>
      <c r="D493">
        <v>33.849997999999999</v>
      </c>
      <c r="E493">
        <v>34.549999</v>
      </c>
      <c r="G493" s="9">
        <v>41064</v>
      </c>
      <c r="H493">
        <v>33.909999999999997</v>
      </c>
      <c r="I493">
        <v>34.740001999999997</v>
      </c>
      <c r="J493">
        <v>33.849997999999999</v>
      </c>
    </row>
    <row r="494" spans="1:10" x14ac:dyDescent="0.25">
      <c r="A494" s="9">
        <v>41071</v>
      </c>
      <c r="B494">
        <v>34.720001000000003</v>
      </c>
      <c r="C494">
        <v>36</v>
      </c>
      <c r="D494">
        <v>34.419998</v>
      </c>
      <c r="E494">
        <v>35.709999000000003</v>
      </c>
      <c r="G494" s="9">
        <v>41071</v>
      </c>
      <c r="H494">
        <v>34.720001000000003</v>
      </c>
      <c r="I494">
        <v>36</v>
      </c>
      <c r="J494">
        <v>34.419998</v>
      </c>
    </row>
    <row r="495" spans="1:10" x14ac:dyDescent="0.25">
      <c r="A495" s="9">
        <v>41078</v>
      </c>
      <c r="B495">
        <v>35.659999999999997</v>
      </c>
      <c r="C495">
        <v>35.979999999999997</v>
      </c>
      <c r="D495">
        <v>34.979999999999997</v>
      </c>
      <c r="E495">
        <v>35.169998</v>
      </c>
      <c r="G495" s="9">
        <v>41078</v>
      </c>
      <c r="H495">
        <v>35.659999999999997</v>
      </c>
      <c r="I495">
        <v>35.979999999999997</v>
      </c>
      <c r="J495">
        <v>34.979999999999997</v>
      </c>
    </row>
    <row r="496" spans="1:10" x14ac:dyDescent="0.25">
      <c r="A496" s="9">
        <v>41085</v>
      </c>
      <c r="B496">
        <v>34.959999000000003</v>
      </c>
      <c r="C496">
        <v>35.729999999999997</v>
      </c>
      <c r="D496">
        <v>34.770000000000003</v>
      </c>
      <c r="E496">
        <v>35.659999999999997</v>
      </c>
      <c r="G496" s="9">
        <v>41085</v>
      </c>
      <c r="H496">
        <v>34.959999000000003</v>
      </c>
      <c r="I496">
        <v>35.729999999999997</v>
      </c>
      <c r="J496">
        <v>34.770000000000003</v>
      </c>
    </row>
    <row r="497" spans="1:10" x14ac:dyDescent="0.25">
      <c r="A497" s="9">
        <v>41092</v>
      </c>
      <c r="B497">
        <v>35.700001</v>
      </c>
      <c r="C497">
        <v>36.209999000000003</v>
      </c>
      <c r="D497">
        <v>34.900002000000001</v>
      </c>
      <c r="E497">
        <v>35.439999</v>
      </c>
      <c r="G497" s="9">
        <v>41092</v>
      </c>
      <c r="H497">
        <v>35.700001</v>
      </c>
      <c r="I497">
        <v>36.209999000000003</v>
      </c>
      <c r="J497">
        <v>34.900002000000001</v>
      </c>
    </row>
    <row r="498" spans="1:10" x14ac:dyDescent="0.25">
      <c r="A498" s="9">
        <v>41099</v>
      </c>
      <c r="B498">
        <v>35.380001</v>
      </c>
      <c r="C498">
        <v>35.729999999999997</v>
      </c>
      <c r="D498">
        <v>34.650002000000001</v>
      </c>
      <c r="E498">
        <v>35.349997999999999</v>
      </c>
      <c r="G498" s="9">
        <v>41099</v>
      </c>
      <c r="H498">
        <v>35.380001</v>
      </c>
      <c r="I498">
        <v>35.729999999999997</v>
      </c>
      <c r="J498">
        <v>34.650002000000001</v>
      </c>
    </row>
    <row r="499" spans="1:10" x14ac:dyDescent="0.25">
      <c r="A499" s="9">
        <v>41106</v>
      </c>
      <c r="B499">
        <v>35.220001000000003</v>
      </c>
      <c r="C499">
        <v>36.189999</v>
      </c>
      <c r="D499">
        <v>35.099997999999999</v>
      </c>
      <c r="E499">
        <v>35.290000999999997</v>
      </c>
      <c r="G499" s="9">
        <v>41106</v>
      </c>
      <c r="H499">
        <v>35.220001000000003</v>
      </c>
      <c r="I499">
        <v>36.189999</v>
      </c>
      <c r="J499">
        <v>35.099997999999999</v>
      </c>
    </row>
    <row r="500" spans="1:10" x14ac:dyDescent="0.25">
      <c r="A500" s="9">
        <v>41113</v>
      </c>
      <c r="B500">
        <v>35</v>
      </c>
      <c r="C500">
        <v>37.349997999999999</v>
      </c>
      <c r="D500">
        <v>34.240001999999997</v>
      </c>
      <c r="E500">
        <v>37.139999000000003</v>
      </c>
      <c r="G500" s="9">
        <v>41113</v>
      </c>
      <c r="H500">
        <v>35</v>
      </c>
      <c r="I500">
        <v>37.349997999999999</v>
      </c>
      <c r="J500">
        <v>34.240001999999997</v>
      </c>
    </row>
    <row r="501" spans="1:10" x14ac:dyDescent="0.25">
      <c r="A501" s="9">
        <v>41120</v>
      </c>
      <c r="B501">
        <v>37.080002</v>
      </c>
      <c r="C501">
        <v>38.279998999999997</v>
      </c>
      <c r="D501">
        <v>37.029998999999997</v>
      </c>
      <c r="E501">
        <v>37.580002</v>
      </c>
      <c r="G501" s="9">
        <v>41120</v>
      </c>
      <c r="H501">
        <v>37.080002</v>
      </c>
      <c r="I501">
        <v>38.279998999999997</v>
      </c>
      <c r="J501">
        <v>37.029998999999997</v>
      </c>
    </row>
    <row r="502" spans="1:10" x14ac:dyDescent="0.25">
      <c r="A502" s="9">
        <v>41127</v>
      </c>
      <c r="B502">
        <v>37.580002</v>
      </c>
      <c r="C502">
        <v>37.970001000000003</v>
      </c>
      <c r="D502">
        <v>37.029998999999997</v>
      </c>
      <c r="E502">
        <v>37.490001999999997</v>
      </c>
      <c r="G502" s="9">
        <v>41127</v>
      </c>
      <c r="H502">
        <v>37.580002</v>
      </c>
      <c r="I502">
        <v>37.970001000000003</v>
      </c>
      <c r="J502">
        <v>37.029998999999997</v>
      </c>
    </row>
    <row r="503" spans="1:10" x14ac:dyDescent="0.25">
      <c r="A503" s="9">
        <v>41134</v>
      </c>
      <c r="B503">
        <v>37.409999999999997</v>
      </c>
      <c r="C503">
        <v>37.520000000000003</v>
      </c>
      <c r="D503">
        <v>36.630001</v>
      </c>
      <c r="E503">
        <v>37.169998</v>
      </c>
      <c r="G503" s="9">
        <v>41134</v>
      </c>
      <c r="H503">
        <v>37.409999999999997</v>
      </c>
      <c r="I503">
        <v>37.520000000000003</v>
      </c>
      <c r="J503">
        <v>36.630001</v>
      </c>
    </row>
    <row r="504" spans="1:10" x14ac:dyDescent="0.25">
      <c r="A504" s="9">
        <v>41141</v>
      </c>
      <c r="B504">
        <v>37.029998999999997</v>
      </c>
      <c r="C504">
        <v>37.040000999999997</v>
      </c>
      <c r="D504">
        <v>36.43</v>
      </c>
      <c r="E504">
        <v>36.950001</v>
      </c>
      <c r="G504" s="9">
        <v>41141</v>
      </c>
      <c r="H504">
        <v>37.029998999999997</v>
      </c>
      <c r="I504">
        <v>37.040000999999997</v>
      </c>
      <c r="J504">
        <v>36.43</v>
      </c>
    </row>
    <row r="505" spans="1:10" x14ac:dyDescent="0.25">
      <c r="A505" s="9">
        <v>41148</v>
      </c>
      <c r="B505">
        <v>36.830002</v>
      </c>
      <c r="C505">
        <v>37.049999</v>
      </c>
      <c r="D505">
        <v>36.560001</v>
      </c>
      <c r="E505">
        <v>36.639999000000003</v>
      </c>
      <c r="G505" s="9">
        <v>41148</v>
      </c>
      <c r="H505">
        <v>36.830002</v>
      </c>
      <c r="I505">
        <v>37.049999</v>
      </c>
      <c r="J505">
        <v>36.560001</v>
      </c>
    </row>
    <row r="506" spans="1:10" x14ac:dyDescent="0.25">
      <c r="A506" s="9">
        <v>41155</v>
      </c>
      <c r="B506">
        <v>36.580002</v>
      </c>
      <c r="C506">
        <v>37.540000999999997</v>
      </c>
      <c r="D506">
        <v>36.540000999999997</v>
      </c>
      <c r="E506">
        <v>37.299999</v>
      </c>
      <c r="G506" s="9">
        <v>41155</v>
      </c>
      <c r="H506">
        <v>36.580002</v>
      </c>
      <c r="I506">
        <v>37.540000999999997</v>
      </c>
      <c r="J506">
        <v>36.540000999999997</v>
      </c>
    </row>
    <row r="507" spans="1:10" x14ac:dyDescent="0.25">
      <c r="A507" s="9">
        <v>41162</v>
      </c>
      <c r="B507">
        <v>37.32</v>
      </c>
      <c r="C507">
        <v>38.209999000000003</v>
      </c>
      <c r="D507">
        <v>37.049999</v>
      </c>
      <c r="E507">
        <v>37.259998000000003</v>
      </c>
      <c r="G507" s="9">
        <v>41162</v>
      </c>
      <c r="H507">
        <v>37.32</v>
      </c>
      <c r="I507">
        <v>38.209999000000003</v>
      </c>
      <c r="J507">
        <v>37.049999</v>
      </c>
    </row>
    <row r="508" spans="1:10" x14ac:dyDescent="0.25">
      <c r="A508" s="9">
        <v>41169</v>
      </c>
      <c r="B508">
        <v>37.139999000000003</v>
      </c>
      <c r="C508">
        <v>38.580002</v>
      </c>
      <c r="D508">
        <v>37.110000999999997</v>
      </c>
      <c r="E508">
        <v>38.080002</v>
      </c>
      <c r="G508" s="9">
        <v>41169</v>
      </c>
      <c r="H508">
        <v>37.139999000000003</v>
      </c>
      <c r="I508">
        <v>38.580002</v>
      </c>
      <c r="J508">
        <v>37.110000999999997</v>
      </c>
    </row>
    <row r="509" spans="1:10" x14ac:dyDescent="0.25">
      <c r="A509" s="9">
        <v>41176</v>
      </c>
      <c r="B509">
        <v>38.299999</v>
      </c>
      <c r="C509">
        <v>38.57</v>
      </c>
      <c r="D509">
        <v>37.599997999999999</v>
      </c>
      <c r="E509">
        <v>37.700001</v>
      </c>
      <c r="G509" s="9">
        <v>41176</v>
      </c>
      <c r="H509">
        <v>38.299999</v>
      </c>
      <c r="I509">
        <v>38.57</v>
      </c>
      <c r="J509">
        <v>37.599997999999999</v>
      </c>
    </row>
    <row r="510" spans="1:10" x14ac:dyDescent="0.25">
      <c r="A510" s="9">
        <v>41183</v>
      </c>
      <c r="B510">
        <v>37.630001</v>
      </c>
      <c r="C510">
        <v>38.43</v>
      </c>
      <c r="D510">
        <v>37.599997999999999</v>
      </c>
      <c r="E510">
        <v>37.860000999999997</v>
      </c>
      <c r="G510" s="9">
        <v>41183</v>
      </c>
      <c r="H510">
        <v>37.630001</v>
      </c>
      <c r="I510">
        <v>38.43</v>
      </c>
      <c r="J510">
        <v>37.599997999999999</v>
      </c>
    </row>
    <row r="511" spans="1:10" x14ac:dyDescent="0.25">
      <c r="A511" s="9">
        <v>41190</v>
      </c>
      <c r="B511">
        <v>37.709999000000003</v>
      </c>
      <c r="C511">
        <v>37.880001</v>
      </c>
      <c r="D511">
        <v>35.400002000000001</v>
      </c>
      <c r="E511">
        <v>35.630001</v>
      </c>
      <c r="G511" s="9">
        <v>41190</v>
      </c>
      <c r="H511">
        <v>37.709999000000003</v>
      </c>
      <c r="I511">
        <v>37.880001</v>
      </c>
      <c r="J511">
        <v>35.400002000000001</v>
      </c>
    </row>
    <row r="512" spans="1:10" x14ac:dyDescent="0.25">
      <c r="A512" s="9">
        <v>41197</v>
      </c>
      <c r="B512">
        <v>35.400002000000001</v>
      </c>
      <c r="C512">
        <v>36.57</v>
      </c>
      <c r="D512">
        <v>34.830002</v>
      </c>
      <c r="E512">
        <v>35.32</v>
      </c>
      <c r="G512" s="9">
        <v>41197</v>
      </c>
      <c r="H512">
        <v>35.400002000000001</v>
      </c>
      <c r="I512">
        <v>36.57</v>
      </c>
      <c r="J512">
        <v>34.830002</v>
      </c>
    </row>
    <row r="513" spans="1:10" x14ac:dyDescent="0.25">
      <c r="A513" s="9">
        <v>41204</v>
      </c>
      <c r="B513">
        <v>35.240001999999997</v>
      </c>
      <c r="C513">
        <v>35.470001000000003</v>
      </c>
      <c r="D513">
        <v>33</v>
      </c>
      <c r="E513">
        <v>34.630001</v>
      </c>
      <c r="G513" s="9">
        <v>41204</v>
      </c>
      <c r="H513">
        <v>35.240001999999997</v>
      </c>
      <c r="I513">
        <v>35.470001000000003</v>
      </c>
      <c r="J513">
        <v>33</v>
      </c>
    </row>
    <row r="514" spans="1:10" x14ac:dyDescent="0.25">
      <c r="A514" s="9">
        <v>41211</v>
      </c>
      <c r="B514">
        <v>34.75</v>
      </c>
      <c r="C514">
        <v>35.380001</v>
      </c>
      <c r="D514">
        <v>34.43</v>
      </c>
      <c r="E514">
        <v>34.93</v>
      </c>
      <c r="G514" s="9">
        <v>41211</v>
      </c>
      <c r="H514">
        <v>34.75</v>
      </c>
      <c r="I514">
        <v>35.380001</v>
      </c>
      <c r="J514">
        <v>34.43</v>
      </c>
    </row>
    <row r="515" spans="1:10" x14ac:dyDescent="0.25">
      <c r="A515" s="9">
        <v>41218</v>
      </c>
      <c r="B515">
        <v>34.880001</v>
      </c>
      <c r="C515">
        <v>34.939999</v>
      </c>
      <c r="D515">
        <v>32.709999000000003</v>
      </c>
      <c r="E515">
        <v>33.540000999999997</v>
      </c>
      <c r="G515" s="9">
        <v>41218</v>
      </c>
      <c r="H515">
        <v>34.880001</v>
      </c>
      <c r="I515">
        <v>34.939999</v>
      </c>
      <c r="J515">
        <v>32.709999000000003</v>
      </c>
    </row>
    <row r="516" spans="1:10" x14ac:dyDescent="0.25">
      <c r="A516" s="9">
        <v>41225</v>
      </c>
      <c r="B516">
        <v>33.659999999999997</v>
      </c>
      <c r="C516">
        <v>34.43</v>
      </c>
      <c r="D516">
        <v>32.900002000000001</v>
      </c>
      <c r="E516">
        <v>33.139999000000003</v>
      </c>
      <c r="G516" s="9">
        <v>41225</v>
      </c>
      <c r="H516">
        <v>33.659999999999997</v>
      </c>
      <c r="I516">
        <v>34.43</v>
      </c>
      <c r="J516">
        <v>32.900002000000001</v>
      </c>
    </row>
    <row r="517" spans="1:10" x14ac:dyDescent="0.25">
      <c r="A517" s="9">
        <v>41232</v>
      </c>
      <c r="B517">
        <v>33.459999000000003</v>
      </c>
      <c r="C517">
        <v>34.360000999999997</v>
      </c>
      <c r="D517">
        <v>32.709999000000003</v>
      </c>
      <c r="E517">
        <v>34.360000999999997</v>
      </c>
      <c r="G517" s="9">
        <v>41232</v>
      </c>
      <c r="H517">
        <v>33.459999000000003</v>
      </c>
      <c r="I517">
        <v>34.360000999999997</v>
      </c>
      <c r="J517">
        <v>32.709999000000003</v>
      </c>
    </row>
    <row r="518" spans="1:10" x14ac:dyDescent="0.25">
      <c r="A518" s="9">
        <v>41239</v>
      </c>
      <c r="B518">
        <v>34.139999000000003</v>
      </c>
      <c r="C518">
        <v>34.349997999999999</v>
      </c>
      <c r="D518">
        <v>33.209999000000003</v>
      </c>
      <c r="E518">
        <v>34.130001</v>
      </c>
      <c r="G518" s="9">
        <v>41239</v>
      </c>
      <c r="H518">
        <v>34.139999000000003</v>
      </c>
      <c r="I518">
        <v>34.349997999999999</v>
      </c>
      <c r="J518">
        <v>33.209999000000003</v>
      </c>
    </row>
    <row r="519" spans="1:10" x14ac:dyDescent="0.25">
      <c r="A519" s="9">
        <v>41246</v>
      </c>
      <c r="B519">
        <v>34.229999999999997</v>
      </c>
      <c r="C519">
        <v>34.400002000000001</v>
      </c>
      <c r="D519">
        <v>33.419998</v>
      </c>
      <c r="E519">
        <v>33.740001999999997</v>
      </c>
      <c r="G519" s="9">
        <v>41246</v>
      </c>
      <c r="H519">
        <v>34.229999999999997</v>
      </c>
      <c r="I519">
        <v>34.400002000000001</v>
      </c>
      <c r="J519">
        <v>33.419998</v>
      </c>
    </row>
    <row r="520" spans="1:10" x14ac:dyDescent="0.25">
      <c r="A520" s="9">
        <v>41253</v>
      </c>
      <c r="B520">
        <v>33.68</v>
      </c>
      <c r="C520">
        <v>34.689999</v>
      </c>
      <c r="D520">
        <v>33.470001000000003</v>
      </c>
      <c r="E520">
        <v>34.009998000000003</v>
      </c>
      <c r="G520" s="9">
        <v>41253</v>
      </c>
      <c r="H520">
        <v>33.68</v>
      </c>
      <c r="I520">
        <v>34.689999</v>
      </c>
      <c r="J520">
        <v>33.470001000000003</v>
      </c>
    </row>
    <row r="521" spans="1:10" x14ac:dyDescent="0.25">
      <c r="A521" s="9">
        <v>41260</v>
      </c>
      <c r="B521">
        <v>34.080002</v>
      </c>
      <c r="C521">
        <v>34.439999</v>
      </c>
      <c r="D521">
        <v>33.520000000000003</v>
      </c>
      <c r="E521">
        <v>33.669998</v>
      </c>
      <c r="G521" s="9">
        <v>41260</v>
      </c>
      <c r="H521">
        <v>34.080002</v>
      </c>
      <c r="I521">
        <v>34.439999</v>
      </c>
      <c r="J521">
        <v>33.520000000000003</v>
      </c>
    </row>
    <row r="522" spans="1:10" x14ac:dyDescent="0.25">
      <c r="A522" s="9">
        <v>41267</v>
      </c>
      <c r="B522">
        <v>33.490001999999997</v>
      </c>
      <c r="C522">
        <v>33.950001</v>
      </c>
      <c r="D522">
        <v>33.200001</v>
      </c>
      <c r="E522">
        <v>33.32</v>
      </c>
      <c r="G522" s="9">
        <v>41267</v>
      </c>
      <c r="H522">
        <v>33.490001999999997</v>
      </c>
      <c r="I522">
        <v>33.950001</v>
      </c>
      <c r="J522">
        <v>33.200001</v>
      </c>
    </row>
    <row r="523" spans="1:10" x14ac:dyDescent="0.25">
      <c r="A523" s="9">
        <v>41274</v>
      </c>
      <c r="B523">
        <v>33.130001</v>
      </c>
      <c r="C523">
        <v>35.270000000000003</v>
      </c>
      <c r="D523">
        <v>33.099997999999999</v>
      </c>
      <c r="E523">
        <v>35.229999999999997</v>
      </c>
      <c r="G523" s="9">
        <v>41274</v>
      </c>
      <c r="H523">
        <v>33.130001</v>
      </c>
      <c r="I523">
        <v>35.270000000000003</v>
      </c>
      <c r="J523">
        <v>33.099997999999999</v>
      </c>
    </row>
    <row r="524" spans="1:10" x14ac:dyDescent="0.25">
      <c r="A524" s="9">
        <v>41281</v>
      </c>
      <c r="B524">
        <v>35.25</v>
      </c>
      <c r="C524">
        <v>35.5</v>
      </c>
      <c r="D524">
        <v>34.130001</v>
      </c>
      <c r="E524">
        <v>34.270000000000003</v>
      </c>
      <c r="G524" s="9">
        <v>41281</v>
      </c>
      <c r="H524">
        <v>35.25</v>
      </c>
      <c r="I524">
        <v>35.5</v>
      </c>
      <c r="J524">
        <v>34.130001</v>
      </c>
    </row>
    <row r="525" spans="1:10" x14ac:dyDescent="0.25">
      <c r="A525" s="9">
        <v>41288</v>
      </c>
      <c r="B525">
        <v>34.159999999999997</v>
      </c>
      <c r="C525">
        <v>34.220001000000003</v>
      </c>
      <c r="D525">
        <v>32.759998000000003</v>
      </c>
      <c r="E525">
        <v>33.439999</v>
      </c>
      <c r="G525" s="9">
        <v>41288</v>
      </c>
      <c r="H525">
        <v>34.159999999999997</v>
      </c>
      <c r="I525">
        <v>34.220001000000003</v>
      </c>
      <c r="J525">
        <v>32.759998000000003</v>
      </c>
    </row>
    <row r="526" spans="1:10" x14ac:dyDescent="0.25">
      <c r="A526" s="9">
        <v>41295</v>
      </c>
      <c r="B526">
        <v>33.490001999999997</v>
      </c>
      <c r="C526">
        <v>34.240001999999997</v>
      </c>
      <c r="D526">
        <v>33.25</v>
      </c>
      <c r="E526">
        <v>34.020000000000003</v>
      </c>
      <c r="G526" s="9">
        <v>41295</v>
      </c>
      <c r="H526">
        <v>33.490001999999997</v>
      </c>
      <c r="I526">
        <v>34.240001999999997</v>
      </c>
      <c r="J526">
        <v>33.25</v>
      </c>
    </row>
    <row r="527" spans="1:10" x14ac:dyDescent="0.25">
      <c r="A527" s="9">
        <v>41302</v>
      </c>
      <c r="B527">
        <v>34</v>
      </c>
      <c r="C527">
        <v>35.630001</v>
      </c>
      <c r="D527">
        <v>33.919998</v>
      </c>
      <c r="E527">
        <v>35.509998000000003</v>
      </c>
      <c r="G527" s="9">
        <v>41302</v>
      </c>
      <c r="H527">
        <v>34</v>
      </c>
      <c r="I527">
        <v>35.630001</v>
      </c>
      <c r="J527">
        <v>33.919998</v>
      </c>
    </row>
    <row r="528" spans="1:10" x14ac:dyDescent="0.25">
      <c r="A528" s="9">
        <v>41309</v>
      </c>
      <c r="B528">
        <v>35.380001</v>
      </c>
      <c r="C528">
        <v>35.630001</v>
      </c>
      <c r="D528">
        <v>35</v>
      </c>
      <c r="E528">
        <v>35.270000000000003</v>
      </c>
      <c r="G528" s="9">
        <v>41309</v>
      </c>
      <c r="H528">
        <v>35.380001</v>
      </c>
      <c r="I528">
        <v>35.630001</v>
      </c>
      <c r="J528">
        <v>35</v>
      </c>
    </row>
    <row r="529" spans="1:10" x14ac:dyDescent="0.25">
      <c r="A529" s="9">
        <v>41316</v>
      </c>
      <c r="B529">
        <v>35.259998000000003</v>
      </c>
      <c r="C529">
        <v>35.810001</v>
      </c>
      <c r="D529">
        <v>35.029998999999997</v>
      </c>
      <c r="E529">
        <v>35.360000999999997</v>
      </c>
      <c r="G529" s="9">
        <v>41316</v>
      </c>
      <c r="H529">
        <v>35.259998000000003</v>
      </c>
      <c r="I529">
        <v>35.810001</v>
      </c>
      <c r="J529">
        <v>35.029998999999997</v>
      </c>
    </row>
    <row r="530" spans="1:10" x14ac:dyDescent="0.25">
      <c r="A530" s="9">
        <v>41323</v>
      </c>
      <c r="B530">
        <v>35.369999</v>
      </c>
      <c r="C530">
        <v>35.979999999999997</v>
      </c>
      <c r="D530">
        <v>35</v>
      </c>
      <c r="E530">
        <v>35.68</v>
      </c>
      <c r="G530" s="9">
        <v>41323</v>
      </c>
      <c r="H530">
        <v>35.369999</v>
      </c>
      <c r="I530">
        <v>35.979999999999997</v>
      </c>
      <c r="J530">
        <v>35</v>
      </c>
    </row>
    <row r="531" spans="1:10" x14ac:dyDescent="0.25">
      <c r="A531" s="9">
        <v>41330</v>
      </c>
      <c r="B531">
        <v>35.770000000000003</v>
      </c>
      <c r="C531">
        <v>36.25</v>
      </c>
      <c r="D531">
        <v>35.189999</v>
      </c>
      <c r="E531">
        <v>36.009998000000003</v>
      </c>
      <c r="G531" s="9">
        <v>41330</v>
      </c>
      <c r="H531">
        <v>35.770000000000003</v>
      </c>
      <c r="I531">
        <v>36.25</v>
      </c>
      <c r="J531">
        <v>35.189999</v>
      </c>
    </row>
    <row r="532" spans="1:10" x14ac:dyDescent="0.25">
      <c r="A532" s="9">
        <v>41337</v>
      </c>
      <c r="B532">
        <v>36</v>
      </c>
      <c r="C532">
        <v>36.82</v>
      </c>
      <c r="D532">
        <v>35.909999999999997</v>
      </c>
      <c r="E532">
        <v>36.68</v>
      </c>
      <c r="G532" s="9">
        <v>41337</v>
      </c>
      <c r="H532">
        <v>36</v>
      </c>
      <c r="I532">
        <v>36.82</v>
      </c>
      <c r="J532">
        <v>35.909999999999997</v>
      </c>
    </row>
    <row r="533" spans="1:10" x14ac:dyDescent="0.25">
      <c r="A533" s="9">
        <v>41344</v>
      </c>
      <c r="B533">
        <v>36.650002000000001</v>
      </c>
      <c r="C533">
        <v>36.869999</v>
      </c>
      <c r="D533">
        <v>36.240001999999997</v>
      </c>
      <c r="E533">
        <v>36.43</v>
      </c>
      <c r="G533" s="9">
        <v>41344</v>
      </c>
      <c r="H533">
        <v>36.650002000000001</v>
      </c>
      <c r="I533">
        <v>36.869999</v>
      </c>
      <c r="J533">
        <v>36.240001999999997</v>
      </c>
    </row>
    <row r="534" spans="1:10" x14ac:dyDescent="0.25">
      <c r="A534" s="9">
        <v>41351</v>
      </c>
      <c r="B534">
        <v>36.169998</v>
      </c>
      <c r="C534">
        <v>36.520000000000003</v>
      </c>
      <c r="D534">
        <v>36.020000000000003</v>
      </c>
      <c r="E534">
        <v>36.43</v>
      </c>
      <c r="G534" s="9">
        <v>41351</v>
      </c>
      <c r="H534">
        <v>36.169998</v>
      </c>
      <c r="I534">
        <v>36.520000000000003</v>
      </c>
      <c r="J534">
        <v>36.020000000000003</v>
      </c>
    </row>
    <row r="535" spans="1:10" x14ac:dyDescent="0.25">
      <c r="A535" s="9">
        <v>41358</v>
      </c>
      <c r="B535">
        <v>36.470001000000003</v>
      </c>
      <c r="C535">
        <v>36.830002</v>
      </c>
      <c r="D535">
        <v>36.299999</v>
      </c>
      <c r="E535">
        <v>36.689999</v>
      </c>
      <c r="G535" s="9">
        <v>41358</v>
      </c>
      <c r="H535">
        <v>36.470001000000003</v>
      </c>
      <c r="I535">
        <v>36.830002</v>
      </c>
      <c r="J535">
        <v>36.299999</v>
      </c>
    </row>
    <row r="536" spans="1:10" x14ac:dyDescent="0.25">
      <c r="A536" s="9">
        <v>41365</v>
      </c>
      <c r="B536">
        <v>36.709999000000003</v>
      </c>
      <c r="C536">
        <v>38.049999</v>
      </c>
      <c r="D536">
        <v>36.709999000000003</v>
      </c>
      <c r="E536">
        <v>38.020000000000003</v>
      </c>
      <c r="G536" s="9">
        <v>41365</v>
      </c>
      <c r="H536">
        <v>36.709999000000003</v>
      </c>
      <c r="I536">
        <v>38.049999</v>
      </c>
      <c r="J536">
        <v>36.709999000000003</v>
      </c>
    </row>
    <row r="537" spans="1:10" x14ac:dyDescent="0.25">
      <c r="A537" s="9">
        <v>41372</v>
      </c>
      <c r="B537">
        <v>37.509998000000003</v>
      </c>
      <c r="C537">
        <v>38.799999</v>
      </c>
      <c r="D537">
        <v>37.479999999999997</v>
      </c>
      <c r="E537">
        <v>38.590000000000003</v>
      </c>
      <c r="G537" s="9">
        <v>41372</v>
      </c>
      <c r="H537">
        <v>37.509998000000003</v>
      </c>
      <c r="I537">
        <v>38.799999</v>
      </c>
      <c r="J537">
        <v>37.479999999999997</v>
      </c>
    </row>
    <row r="538" spans="1:10" x14ac:dyDescent="0.25">
      <c r="A538" s="9">
        <v>41379</v>
      </c>
      <c r="B538">
        <v>38.270000000000003</v>
      </c>
      <c r="C538">
        <v>38.549999</v>
      </c>
      <c r="D538">
        <v>37.549999</v>
      </c>
      <c r="E538">
        <v>38.279998999999997</v>
      </c>
      <c r="G538" s="9">
        <v>41379</v>
      </c>
      <c r="H538">
        <v>38.270000000000003</v>
      </c>
      <c r="I538">
        <v>38.549999</v>
      </c>
      <c r="J538">
        <v>37.549999</v>
      </c>
    </row>
    <row r="539" spans="1:10" x14ac:dyDescent="0.25">
      <c r="A539" s="9">
        <v>41386</v>
      </c>
      <c r="B539">
        <v>38.419998</v>
      </c>
      <c r="C539">
        <v>39</v>
      </c>
      <c r="D539">
        <v>36.630001</v>
      </c>
      <c r="E539">
        <v>37.040000999999997</v>
      </c>
      <c r="G539" s="9">
        <v>41386</v>
      </c>
      <c r="H539">
        <v>38.419998</v>
      </c>
      <c r="I539">
        <v>39</v>
      </c>
      <c r="J539">
        <v>36.630001</v>
      </c>
    </row>
    <row r="540" spans="1:10" x14ac:dyDescent="0.25">
      <c r="A540" s="9">
        <v>41393</v>
      </c>
      <c r="B540">
        <v>37.119999</v>
      </c>
      <c r="C540">
        <v>37.970001000000003</v>
      </c>
      <c r="D540">
        <v>37.020000000000003</v>
      </c>
      <c r="E540">
        <v>37.340000000000003</v>
      </c>
      <c r="G540" s="9">
        <v>41393</v>
      </c>
      <c r="H540">
        <v>37.119999</v>
      </c>
      <c r="I540">
        <v>37.970001000000003</v>
      </c>
      <c r="J540">
        <v>37.020000000000003</v>
      </c>
    </row>
    <row r="541" spans="1:10" x14ac:dyDescent="0.25">
      <c r="A541" s="9">
        <v>41400</v>
      </c>
      <c r="B541">
        <v>37.290000999999997</v>
      </c>
      <c r="C541">
        <v>37.849997999999999</v>
      </c>
      <c r="D541">
        <v>37.07</v>
      </c>
      <c r="E541">
        <v>37.360000999999997</v>
      </c>
      <c r="G541" s="9">
        <v>41400</v>
      </c>
      <c r="H541">
        <v>37.290000999999997</v>
      </c>
      <c r="I541">
        <v>37.849997999999999</v>
      </c>
      <c r="J541">
        <v>37.07</v>
      </c>
    </row>
    <row r="542" spans="1:10" x14ac:dyDescent="0.25">
      <c r="A542" s="9">
        <v>41407</v>
      </c>
      <c r="B542">
        <v>37.299999</v>
      </c>
      <c r="C542">
        <v>37.830002</v>
      </c>
      <c r="D542">
        <v>36.860000999999997</v>
      </c>
      <c r="E542">
        <v>37.439999</v>
      </c>
      <c r="G542" s="9">
        <v>41407</v>
      </c>
      <c r="H542">
        <v>37.299999</v>
      </c>
      <c r="I542">
        <v>37.830002</v>
      </c>
      <c r="J542">
        <v>36.860000999999997</v>
      </c>
    </row>
    <row r="543" spans="1:10" x14ac:dyDescent="0.25">
      <c r="A543" s="9">
        <v>41414</v>
      </c>
      <c r="B543">
        <v>37.400002000000001</v>
      </c>
      <c r="C543">
        <v>37.439999</v>
      </c>
      <c r="D543">
        <v>36.349997999999999</v>
      </c>
      <c r="E543">
        <v>36.75</v>
      </c>
      <c r="G543" s="9">
        <v>41414</v>
      </c>
      <c r="H543">
        <v>37.400002000000001</v>
      </c>
      <c r="I543">
        <v>37.439999</v>
      </c>
      <c r="J543">
        <v>36.349997999999999</v>
      </c>
    </row>
    <row r="544" spans="1:10" x14ac:dyDescent="0.25">
      <c r="A544" s="9">
        <v>41421</v>
      </c>
      <c r="B544">
        <v>37.040000999999997</v>
      </c>
      <c r="C544">
        <v>37.150002000000001</v>
      </c>
      <c r="D544">
        <v>34.979999999999997</v>
      </c>
      <c r="E544">
        <v>34.990001999999997</v>
      </c>
      <c r="G544" s="9">
        <v>41421</v>
      </c>
      <c r="H544">
        <v>37.040000999999997</v>
      </c>
      <c r="I544">
        <v>37.150002000000001</v>
      </c>
      <c r="J544">
        <v>34.979999999999997</v>
      </c>
    </row>
    <row r="545" spans="1:10" x14ac:dyDescent="0.25">
      <c r="A545" s="9">
        <v>41428</v>
      </c>
      <c r="B545">
        <v>34.990001999999997</v>
      </c>
      <c r="C545">
        <v>36.049999</v>
      </c>
      <c r="D545">
        <v>34.580002</v>
      </c>
      <c r="E545">
        <v>35.450001</v>
      </c>
      <c r="G545" s="9">
        <v>41428</v>
      </c>
      <c r="H545">
        <v>34.990001999999997</v>
      </c>
      <c r="I545">
        <v>36.049999</v>
      </c>
      <c r="J545">
        <v>34.580002</v>
      </c>
    </row>
    <row r="546" spans="1:10" x14ac:dyDescent="0.25">
      <c r="A546" s="9">
        <v>41435</v>
      </c>
      <c r="B546">
        <v>35.869999</v>
      </c>
      <c r="C546">
        <v>36.389999000000003</v>
      </c>
      <c r="D546">
        <v>35.57</v>
      </c>
      <c r="E546">
        <v>35.909999999999997</v>
      </c>
      <c r="G546" s="9">
        <v>41435</v>
      </c>
      <c r="H546">
        <v>35.869999</v>
      </c>
      <c r="I546">
        <v>36.389999000000003</v>
      </c>
      <c r="J546">
        <v>35.57</v>
      </c>
    </row>
    <row r="547" spans="1:10" x14ac:dyDescent="0.25">
      <c r="A547" s="9">
        <v>41442</v>
      </c>
      <c r="B547">
        <v>36.07</v>
      </c>
      <c r="C547">
        <v>36.349997999999999</v>
      </c>
      <c r="D547">
        <v>34.099997999999999</v>
      </c>
      <c r="E547">
        <v>34.470001000000003</v>
      </c>
      <c r="G547" s="9">
        <v>41442</v>
      </c>
      <c r="H547">
        <v>36.07</v>
      </c>
      <c r="I547">
        <v>36.349997999999999</v>
      </c>
      <c r="J547">
        <v>34.099997999999999</v>
      </c>
    </row>
    <row r="548" spans="1:10" x14ac:dyDescent="0.25">
      <c r="A548" s="9">
        <v>41449</v>
      </c>
      <c r="B548">
        <v>34.310001</v>
      </c>
      <c r="C548">
        <v>35.950001</v>
      </c>
      <c r="D548">
        <v>34.130001</v>
      </c>
      <c r="E548">
        <v>35.400002000000001</v>
      </c>
      <c r="G548" s="9">
        <v>41449</v>
      </c>
      <c r="H548">
        <v>34.310001</v>
      </c>
      <c r="I548">
        <v>35.950001</v>
      </c>
      <c r="J548">
        <v>34.130001</v>
      </c>
    </row>
    <row r="549" spans="1:10" x14ac:dyDescent="0.25">
      <c r="A549" s="9">
        <v>41456</v>
      </c>
      <c r="B549">
        <v>35.400002000000001</v>
      </c>
      <c r="C549">
        <v>35.900002000000001</v>
      </c>
      <c r="D549">
        <v>35.150002000000001</v>
      </c>
      <c r="E549">
        <v>35.830002</v>
      </c>
      <c r="G549" s="9">
        <v>41456</v>
      </c>
      <c r="H549">
        <v>35.400002000000001</v>
      </c>
      <c r="I549">
        <v>35.900002000000001</v>
      </c>
      <c r="J549">
        <v>35.150002000000001</v>
      </c>
    </row>
    <row r="550" spans="1:10" x14ac:dyDescent="0.25">
      <c r="A550" s="9">
        <v>41463</v>
      </c>
      <c r="B550">
        <v>35.619999</v>
      </c>
      <c r="C550">
        <v>36.009998000000003</v>
      </c>
      <c r="D550">
        <v>35.25</v>
      </c>
      <c r="E550">
        <v>35.810001</v>
      </c>
      <c r="G550" s="9">
        <v>41463</v>
      </c>
      <c r="H550">
        <v>35.619999</v>
      </c>
      <c r="I550">
        <v>36.009998000000003</v>
      </c>
      <c r="J550">
        <v>35.25</v>
      </c>
    </row>
    <row r="551" spans="1:10" x14ac:dyDescent="0.25">
      <c r="A551" s="9">
        <v>41470</v>
      </c>
      <c r="B551">
        <v>35.68</v>
      </c>
      <c r="C551">
        <v>36.310001</v>
      </c>
      <c r="D551">
        <v>35.259998000000003</v>
      </c>
      <c r="E551">
        <v>35.810001</v>
      </c>
      <c r="G551" s="9">
        <v>41470</v>
      </c>
      <c r="H551">
        <v>35.68</v>
      </c>
      <c r="I551">
        <v>36.310001</v>
      </c>
      <c r="J551">
        <v>35.259998000000003</v>
      </c>
    </row>
    <row r="552" spans="1:10" x14ac:dyDescent="0.25">
      <c r="A552" s="9">
        <v>41477</v>
      </c>
      <c r="B552">
        <v>35.770000000000003</v>
      </c>
      <c r="C552">
        <v>35.950001</v>
      </c>
      <c r="D552">
        <v>34.93</v>
      </c>
      <c r="E552">
        <v>35.599997999999999</v>
      </c>
      <c r="G552" s="9">
        <v>41477</v>
      </c>
      <c r="H552">
        <v>35.770000000000003</v>
      </c>
      <c r="I552">
        <v>35.950001</v>
      </c>
      <c r="J552">
        <v>34.93</v>
      </c>
    </row>
    <row r="553" spans="1:10" x14ac:dyDescent="0.25">
      <c r="A553" s="9">
        <v>41484</v>
      </c>
      <c r="B553">
        <v>35.639999000000003</v>
      </c>
      <c r="C553">
        <v>36.07</v>
      </c>
      <c r="D553">
        <v>35.220001000000003</v>
      </c>
      <c r="E553">
        <v>35.770000000000003</v>
      </c>
      <c r="G553" s="9">
        <v>41484</v>
      </c>
      <c r="H553">
        <v>35.639999000000003</v>
      </c>
      <c r="I553">
        <v>36.07</v>
      </c>
      <c r="J553">
        <v>35.220001000000003</v>
      </c>
    </row>
    <row r="554" spans="1:10" x14ac:dyDescent="0.25">
      <c r="A554" s="9">
        <v>41491</v>
      </c>
      <c r="B554">
        <v>35.700001</v>
      </c>
      <c r="C554">
        <v>35.849997999999999</v>
      </c>
      <c r="D554">
        <v>34.75</v>
      </c>
      <c r="E554">
        <v>34.799999</v>
      </c>
      <c r="G554" s="9">
        <v>41491</v>
      </c>
      <c r="H554">
        <v>35.700001</v>
      </c>
      <c r="I554">
        <v>35.849997999999999</v>
      </c>
      <c r="J554">
        <v>34.75</v>
      </c>
    </row>
    <row r="555" spans="1:10" x14ac:dyDescent="0.25">
      <c r="A555" s="9">
        <v>41498</v>
      </c>
      <c r="B555">
        <v>34.75</v>
      </c>
      <c r="C555">
        <v>34.990001999999997</v>
      </c>
      <c r="D555">
        <v>33.909999999999997</v>
      </c>
      <c r="E555">
        <v>34.18</v>
      </c>
      <c r="G555" s="9">
        <v>41498</v>
      </c>
      <c r="H555">
        <v>34.75</v>
      </c>
      <c r="I555">
        <v>34.990001999999997</v>
      </c>
      <c r="J555">
        <v>33.909999999999997</v>
      </c>
    </row>
    <row r="556" spans="1:10" x14ac:dyDescent="0.25">
      <c r="A556" s="9">
        <v>41505</v>
      </c>
      <c r="B556">
        <v>34.099997999999999</v>
      </c>
      <c r="C556">
        <v>34.330002</v>
      </c>
      <c r="D556">
        <v>33.189999</v>
      </c>
      <c r="E556">
        <v>34.290000999999997</v>
      </c>
      <c r="G556" s="9">
        <v>41505</v>
      </c>
      <c r="H556">
        <v>34.099997999999999</v>
      </c>
      <c r="I556">
        <v>34.330002</v>
      </c>
      <c r="J556">
        <v>33.189999</v>
      </c>
    </row>
    <row r="557" spans="1:10" x14ac:dyDescent="0.25">
      <c r="A557" s="9">
        <v>41512</v>
      </c>
      <c r="B557">
        <v>34.310001</v>
      </c>
      <c r="C557">
        <v>34.409999999999997</v>
      </c>
      <c r="D557">
        <v>33.529998999999997</v>
      </c>
      <c r="E557">
        <v>33.830002</v>
      </c>
      <c r="G557" s="9">
        <v>41512</v>
      </c>
      <c r="H557">
        <v>34.310001</v>
      </c>
      <c r="I557">
        <v>34.409999999999997</v>
      </c>
      <c r="J557">
        <v>33.529998999999997</v>
      </c>
    </row>
    <row r="558" spans="1:10" x14ac:dyDescent="0.25">
      <c r="A558" s="9">
        <v>41519</v>
      </c>
      <c r="B558">
        <v>34.009998000000003</v>
      </c>
      <c r="C558">
        <v>34.110000999999997</v>
      </c>
      <c r="D558">
        <v>33.209999000000003</v>
      </c>
      <c r="E558">
        <v>33.409999999999997</v>
      </c>
      <c r="G558" s="9">
        <v>41519</v>
      </c>
      <c r="H558">
        <v>34.009998000000003</v>
      </c>
      <c r="I558">
        <v>34.110000999999997</v>
      </c>
      <c r="J558">
        <v>33.209999000000003</v>
      </c>
    </row>
    <row r="559" spans="1:10" x14ac:dyDescent="0.25">
      <c r="A559" s="9">
        <v>41526</v>
      </c>
      <c r="B559">
        <v>33.470001000000003</v>
      </c>
      <c r="C559">
        <v>34.729999999999997</v>
      </c>
      <c r="D559">
        <v>33.25</v>
      </c>
      <c r="E559">
        <v>34.32</v>
      </c>
      <c r="G559" s="9">
        <v>41526</v>
      </c>
      <c r="H559">
        <v>33.470001000000003</v>
      </c>
      <c r="I559">
        <v>34.729999999999997</v>
      </c>
      <c r="J559">
        <v>33.25</v>
      </c>
    </row>
    <row r="560" spans="1:10" x14ac:dyDescent="0.25">
      <c r="A560" s="9">
        <v>41533</v>
      </c>
      <c r="B560">
        <v>34.57</v>
      </c>
      <c r="C560">
        <v>35.009998000000003</v>
      </c>
      <c r="D560">
        <v>34.200001</v>
      </c>
      <c r="E560">
        <v>34.310001</v>
      </c>
      <c r="G560" s="9">
        <v>41533</v>
      </c>
      <c r="H560">
        <v>34.57</v>
      </c>
      <c r="I560">
        <v>35.009998000000003</v>
      </c>
      <c r="J560">
        <v>34.200001</v>
      </c>
    </row>
    <row r="561" spans="1:10" x14ac:dyDescent="0.25">
      <c r="A561" s="9">
        <v>41540</v>
      </c>
      <c r="B561">
        <v>34.400002000000001</v>
      </c>
      <c r="C561">
        <v>34.43</v>
      </c>
      <c r="D561">
        <v>33.709999000000003</v>
      </c>
      <c r="E561">
        <v>33.979999999999997</v>
      </c>
      <c r="G561" s="9">
        <v>41540</v>
      </c>
      <c r="H561">
        <v>34.400002000000001</v>
      </c>
      <c r="I561">
        <v>34.43</v>
      </c>
      <c r="J561">
        <v>33.709999000000003</v>
      </c>
    </row>
    <row r="562" spans="1:10" x14ac:dyDescent="0.25">
      <c r="A562" s="9">
        <v>41547</v>
      </c>
      <c r="B562">
        <v>33.779998999999997</v>
      </c>
      <c r="C562">
        <v>34.240001999999997</v>
      </c>
      <c r="D562">
        <v>33.599997999999999</v>
      </c>
      <c r="E562">
        <v>33.75</v>
      </c>
      <c r="G562" s="9">
        <v>41547</v>
      </c>
      <c r="H562">
        <v>33.779998999999997</v>
      </c>
      <c r="I562">
        <v>34.240001999999997</v>
      </c>
      <c r="J562">
        <v>33.599997999999999</v>
      </c>
    </row>
    <row r="563" spans="1:10" x14ac:dyDescent="0.25">
      <c r="A563" s="9">
        <v>41554</v>
      </c>
      <c r="B563">
        <v>33.68</v>
      </c>
      <c r="C563">
        <v>34.25</v>
      </c>
      <c r="D563">
        <v>33.090000000000003</v>
      </c>
      <c r="E563">
        <v>34.200001</v>
      </c>
      <c r="G563" s="9">
        <v>41554</v>
      </c>
      <c r="H563">
        <v>33.68</v>
      </c>
      <c r="I563">
        <v>34.25</v>
      </c>
      <c r="J563">
        <v>33.090000000000003</v>
      </c>
    </row>
    <row r="564" spans="1:10" x14ac:dyDescent="0.25">
      <c r="A564" s="9">
        <v>41561</v>
      </c>
      <c r="B564">
        <v>33.979999999999997</v>
      </c>
      <c r="C564">
        <v>34.880001</v>
      </c>
      <c r="D564">
        <v>33.709999000000003</v>
      </c>
      <c r="E564">
        <v>34.610000999999997</v>
      </c>
      <c r="G564" s="9">
        <v>41561</v>
      </c>
      <c r="H564">
        <v>33.979999999999997</v>
      </c>
      <c r="I564">
        <v>34.880001</v>
      </c>
      <c r="J564">
        <v>33.709999000000003</v>
      </c>
    </row>
    <row r="565" spans="1:10" x14ac:dyDescent="0.25">
      <c r="A565" s="9">
        <v>41568</v>
      </c>
      <c r="B565">
        <v>35.020000000000003</v>
      </c>
      <c r="C565">
        <v>35.380001</v>
      </c>
      <c r="D565">
        <v>34.229999999999997</v>
      </c>
      <c r="E565">
        <v>35.189999</v>
      </c>
      <c r="G565" s="9">
        <v>41568</v>
      </c>
      <c r="H565">
        <v>35.020000000000003</v>
      </c>
      <c r="I565">
        <v>35.380001</v>
      </c>
      <c r="J565">
        <v>34.229999999999997</v>
      </c>
    </row>
    <row r="566" spans="1:10" x14ac:dyDescent="0.25">
      <c r="A566" s="9">
        <v>41575</v>
      </c>
      <c r="B566">
        <v>35.270000000000003</v>
      </c>
      <c r="C566">
        <v>36.799999</v>
      </c>
      <c r="D566">
        <v>35.240001999999997</v>
      </c>
      <c r="E566">
        <v>36.240001999999997</v>
      </c>
      <c r="G566" s="9">
        <v>41575</v>
      </c>
      <c r="H566">
        <v>35.270000000000003</v>
      </c>
      <c r="I566">
        <v>36.799999</v>
      </c>
      <c r="J566">
        <v>35.240001999999997</v>
      </c>
    </row>
    <row r="567" spans="1:10" x14ac:dyDescent="0.25">
      <c r="A567" s="9">
        <v>41582</v>
      </c>
      <c r="B567">
        <v>36.450001</v>
      </c>
      <c r="C567">
        <v>36.520000000000003</v>
      </c>
      <c r="D567">
        <v>34.560001</v>
      </c>
      <c r="E567">
        <v>35.169998</v>
      </c>
      <c r="G567" s="9">
        <v>41582</v>
      </c>
      <c r="H567">
        <v>36.450001</v>
      </c>
      <c r="I567">
        <v>36.520000000000003</v>
      </c>
      <c r="J567">
        <v>34.560001</v>
      </c>
    </row>
    <row r="568" spans="1:10" x14ac:dyDescent="0.25">
      <c r="A568" s="9">
        <v>41589</v>
      </c>
      <c r="B568">
        <v>35.150002000000001</v>
      </c>
      <c r="C568">
        <v>35.479999999999997</v>
      </c>
      <c r="D568">
        <v>34.849997999999999</v>
      </c>
      <c r="E568">
        <v>35.43</v>
      </c>
      <c r="G568" s="9">
        <v>41589</v>
      </c>
      <c r="H568">
        <v>35.150002000000001</v>
      </c>
      <c r="I568">
        <v>35.479999999999997</v>
      </c>
      <c r="J568">
        <v>34.849997999999999</v>
      </c>
    </row>
    <row r="569" spans="1:10" x14ac:dyDescent="0.25">
      <c r="A569" s="9">
        <v>41596</v>
      </c>
      <c r="B569">
        <v>35.470001000000003</v>
      </c>
      <c r="C569">
        <v>35.93</v>
      </c>
      <c r="D569">
        <v>35.049999</v>
      </c>
      <c r="E569">
        <v>35.419998</v>
      </c>
      <c r="G569" s="9">
        <v>41596</v>
      </c>
      <c r="H569">
        <v>35.470001000000003</v>
      </c>
      <c r="I569">
        <v>35.93</v>
      </c>
      <c r="J569">
        <v>35.049999</v>
      </c>
    </row>
    <row r="570" spans="1:10" x14ac:dyDescent="0.25">
      <c r="A570" s="9">
        <v>41603</v>
      </c>
      <c r="B570">
        <v>35.459999000000003</v>
      </c>
      <c r="C570">
        <v>35.549999</v>
      </c>
      <c r="D570">
        <v>35.200001</v>
      </c>
      <c r="E570">
        <v>35.209999000000003</v>
      </c>
      <c r="G570" s="9">
        <v>41603</v>
      </c>
      <c r="H570">
        <v>35.459999000000003</v>
      </c>
      <c r="I570">
        <v>35.549999</v>
      </c>
      <c r="J570">
        <v>35.200001</v>
      </c>
    </row>
    <row r="571" spans="1:10" x14ac:dyDescent="0.25">
      <c r="A571" s="9">
        <v>41610</v>
      </c>
      <c r="B571">
        <v>35.18</v>
      </c>
      <c r="C571">
        <v>35.209999000000003</v>
      </c>
      <c r="D571">
        <v>34.200001</v>
      </c>
      <c r="E571">
        <v>34.529998999999997</v>
      </c>
      <c r="G571" s="9">
        <v>41610</v>
      </c>
      <c r="H571">
        <v>35.18</v>
      </c>
      <c r="I571">
        <v>35.209999000000003</v>
      </c>
      <c r="J571">
        <v>34.200001</v>
      </c>
    </row>
    <row r="572" spans="1:10" x14ac:dyDescent="0.25">
      <c r="A572" s="9">
        <v>41617</v>
      </c>
      <c r="B572">
        <v>34.509998000000003</v>
      </c>
      <c r="C572">
        <v>34.909999999999997</v>
      </c>
      <c r="D572">
        <v>33.599997999999999</v>
      </c>
      <c r="E572">
        <v>33.849997999999999</v>
      </c>
      <c r="G572" s="9">
        <v>41617</v>
      </c>
      <c r="H572">
        <v>34.509998000000003</v>
      </c>
      <c r="I572">
        <v>34.909999999999997</v>
      </c>
      <c r="J572">
        <v>33.599997999999999</v>
      </c>
    </row>
    <row r="573" spans="1:10" x14ac:dyDescent="0.25">
      <c r="A573" s="9">
        <v>41624</v>
      </c>
      <c r="B573">
        <v>34.060001</v>
      </c>
      <c r="C573">
        <v>34.619999</v>
      </c>
      <c r="D573">
        <v>33.630001</v>
      </c>
      <c r="E573">
        <v>34.299999</v>
      </c>
      <c r="G573" s="9">
        <v>41624</v>
      </c>
      <c r="H573">
        <v>34.060001</v>
      </c>
      <c r="I573">
        <v>34.619999</v>
      </c>
      <c r="J573">
        <v>33.630001</v>
      </c>
    </row>
    <row r="574" spans="1:10" x14ac:dyDescent="0.25">
      <c r="A574" s="9">
        <v>41631</v>
      </c>
      <c r="B574">
        <v>34.459999000000003</v>
      </c>
      <c r="C574">
        <v>35.25</v>
      </c>
      <c r="D574">
        <v>34.419998</v>
      </c>
      <c r="E574">
        <v>35.18</v>
      </c>
      <c r="G574" s="9">
        <v>41631</v>
      </c>
      <c r="H574">
        <v>34.459999000000003</v>
      </c>
      <c r="I574">
        <v>35.25</v>
      </c>
      <c r="J574">
        <v>34.419998</v>
      </c>
    </row>
    <row r="575" spans="1:10" x14ac:dyDescent="0.25">
      <c r="A575" s="9">
        <v>41638</v>
      </c>
      <c r="B575">
        <v>35.029998999999997</v>
      </c>
      <c r="C575">
        <v>35.299999</v>
      </c>
      <c r="D575">
        <v>34.610000999999997</v>
      </c>
      <c r="E575">
        <v>34.799999</v>
      </c>
      <c r="G575" s="9">
        <v>41638</v>
      </c>
      <c r="H575">
        <v>35.029998999999997</v>
      </c>
      <c r="I575">
        <v>35.299999</v>
      </c>
      <c r="J575">
        <v>34.610000999999997</v>
      </c>
    </row>
    <row r="576" spans="1:10" x14ac:dyDescent="0.25">
      <c r="A576" s="9">
        <v>41645</v>
      </c>
      <c r="B576">
        <v>35.009998000000003</v>
      </c>
      <c r="C576">
        <v>35.150002000000001</v>
      </c>
      <c r="D576">
        <v>33.509998000000003</v>
      </c>
      <c r="E576">
        <v>33.619999</v>
      </c>
      <c r="G576" s="9">
        <v>41645</v>
      </c>
      <c r="H576">
        <v>35.009998000000003</v>
      </c>
      <c r="I576">
        <v>35.150002000000001</v>
      </c>
      <c r="J576">
        <v>33.509998000000003</v>
      </c>
    </row>
    <row r="577" spans="1:10" x14ac:dyDescent="0.25">
      <c r="A577" s="9">
        <v>41652</v>
      </c>
      <c r="B577">
        <v>33.590000000000003</v>
      </c>
      <c r="C577">
        <v>34.080002</v>
      </c>
      <c r="D577">
        <v>33.159999999999997</v>
      </c>
      <c r="E577">
        <v>33.700001</v>
      </c>
      <c r="G577" s="9">
        <v>41652</v>
      </c>
      <c r="H577">
        <v>33.590000000000003</v>
      </c>
      <c r="I577">
        <v>34.080002</v>
      </c>
      <c r="J577">
        <v>33.159999999999997</v>
      </c>
    </row>
    <row r="578" spans="1:10" x14ac:dyDescent="0.25">
      <c r="A578" s="9">
        <v>41659</v>
      </c>
      <c r="B578">
        <v>33.840000000000003</v>
      </c>
      <c r="C578">
        <v>34.290000999999997</v>
      </c>
      <c r="D578">
        <v>33.150002000000001</v>
      </c>
      <c r="E578">
        <v>33.419998</v>
      </c>
      <c r="G578" s="9">
        <v>41659</v>
      </c>
      <c r="H578">
        <v>33.840000000000003</v>
      </c>
      <c r="I578">
        <v>34.290000999999997</v>
      </c>
      <c r="J578">
        <v>33.150002000000001</v>
      </c>
    </row>
    <row r="579" spans="1:10" x14ac:dyDescent="0.25">
      <c r="A579" s="9">
        <v>41666</v>
      </c>
      <c r="B579">
        <v>33.529998999999997</v>
      </c>
      <c r="C579">
        <v>33.810001</v>
      </c>
      <c r="D579">
        <v>32.009998000000003</v>
      </c>
      <c r="E579">
        <v>33.32</v>
      </c>
      <c r="G579" s="9">
        <v>41666</v>
      </c>
      <c r="H579">
        <v>33.529998999999997</v>
      </c>
      <c r="I579">
        <v>33.810001</v>
      </c>
      <c r="J579">
        <v>32.009998000000003</v>
      </c>
    </row>
    <row r="580" spans="1:10" x14ac:dyDescent="0.25">
      <c r="A580" s="9">
        <v>41673</v>
      </c>
      <c r="B580">
        <v>33.32</v>
      </c>
      <c r="C580">
        <v>33.32</v>
      </c>
      <c r="D580">
        <v>31.74</v>
      </c>
      <c r="E580">
        <v>32.299999</v>
      </c>
      <c r="G580" s="9">
        <v>41673</v>
      </c>
      <c r="H580">
        <v>33.32</v>
      </c>
      <c r="I580">
        <v>33.32</v>
      </c>
      <c r="J580">
        <v>31.74</v>
      </c>
    </row>
    <row r="581" spans="1:10" x14ac:dyDescent="0.25">
      <c r="A581" s="9">
        <v>41680</v>
      </c>
      <c r="B581">
        <v>32.450001</v>
      </c>
      <c r="C581">
        <v>33.5</v>
      </c>
      <c r="D581">
        <v>32.220001000000003</v>
      </c>
      <c r="E581">
        <v>33.150002000000001</v>
      </c>
      <c r="G581" s="9">
        <v>41680</v>
      </c>
      <c r="H581">
        <v>32.450001</v>
      </c>
      <c r="I581">
        <v>33.5</v>
      </c>
      <c r="J581">
        <v>32.220001000000003</v>
      </c>
    </row>
    <row r="582" spans="1:10" x14ac:dyDescent="0.25">
      <c r="A582" s="9">
        <v>41687</v>
      </c>
      <c r="B582">
        <v>33.229999999999997</v>
      </c>
      <c r="C582">
        <v>33.380001</v>
      </c>
      <c r="D582">
        <v>32.599997999999999</v>
      </c>
      <c r="E582">
        <v>32.799999</v>
      </c>
      <c r="G582" s="9">
        <v>41687</v>
      </c>
      <c r="H582">
        <v>33.229999999999997</v>
      </c>
      <c r="I582">
        <v>33.380001</v>
      </c>
      <c r="J582">
        <v>32.599997999999999</v>
      </c>
    </row>
    <row r="583" spans="1:10" x14ac:dyDescent="0.25">
      <c r="A583" s="9">
        <v>41694</v>
      </c>
      <c r="B583">
        <v>32.830002</v>
      </c>
      <c r="C583">
        <v>32.869999</v>
      </c>
      <c r="D583">
        <v>31.790001</v>
      </c>
      <c r="E583">
        <v>31.93</v>
      </c>
      <c r="G583" s="9">
        <v>41694</v>
      </c>
      <c r="H583">
        <v>32.830002</v>
      </c>
      <c r="I583">
        <v>32.869999</v>
      </c>
      <c r="J583">
        <v>31.790001</v>
      </c>
    </row>
    <row r="584" spans="1:10" x14ac:dyDescent="0.25">
      <c r="A584" s="9">
        <v>41701</v>
      </c>
      <c r="B584">
        <v>31.799999</v>
      </c>
      <c r="C584">
        <v>32.590000000000003</v>
      </c>
      <c r="D584">
        <v>31.76</v>
      </c>
      <c r="E584">
        <v>32.540000999999997</v>
      </c>
      <c r="G584" s="9">
        <v>41701</v>
      </c>
      <c r="H584">
        <v>31.799999</v>
      </c>
      <c r="I584">
        <v>32.590000000000003</v>
      </c>
      <c r="J584">
        <v>31.76</v>
      </c>
    </row>
    <row r="585" spans="1:10" x14ac:dyDescent="0.25">
      <c r="A585" s="9">
        <v>41708</v>
      </c>
      <c r="B585">
        <v>32.279998999999997</v>
      </c>
      <c r="C585">
        <v>32.659999999999997</v>
      </c>
      <c r="D585">
        <v>32.139999000000003</v>
      </c>
      <c r="E585">
        <v>32.490001999999997</v>
      </c>
      <c r="G585" s="9">
        <v>41708</v>
      </c>
      <c r="H585">
        <v>32.279998999999997</v>
      </c>
      <c r="I585">
        <v>32.659999999999997</v>
      </c>
      <c r="J585">
        <v>32.139999000000003</v>
      </c>
    </row>
    <row r="586" spans="1:10" x14ac:dyDescent="0.25">
      <c r="A586" s="9">
        <v>41715</v>
      </c>
      <c r="B586">
        <v>32.68</v>
      </c>
      <c r="C586">
        <v>34.799999</v>
      </c>
      <c r="D586">
        <v>32.529998999999997</v>
      </c>
      <c r="E586">
        <v>34.299999</v>
      </c>
      <c r="G586" s="9">
        <v>41715</v>
      </c>
      <c r="H586">
        <v>32.68</v>
      </c>
      <c r="I586">
        <v>34.799999</v>
      </c>
      <c r="J586">
        <v>32.529998999999997</v>
      </c>
    </row>
    <row r="587" spans="1:10" x14ac:dyDescent="0.25">
      <c r="A587" s="9">
        <v>41722</v>
      </c>
      <c r="B587">
        <v>34.409999999999997</v>
      </c>
      <c r="C587">
        <v>35.169998</v>
      </c>
      <c r="D587">
        <v>34.229999999999997</v>
      </c>
      <c r="E587">
        <v>35.07</v>
      </c>
      <c r="G587" s="9">
        <v>41722</v>
      </c>
      <c r="H587">
        <v>34.409999999999997</v>
      </c>
      <c r="I587">
        <v>35.169998</v>
      </c>
      <c r="J587">
        <v>34.229999999999997</v>
      </c>
    </row>
    <row r="588" spans="1:10" x14ac:dyDescent="0.25">
      <c r="A588" s="9">
        <v>41729</v>
      </c>
      <c r="B588">
        <v>35.299999</v>
      </c>
      <c r="C588">
        <v>35.880001</v>
      </c>
      <c r="D588">
        <v>34.650002000000001</v>
      </c>
      <c r="E588">
        <v>35.549999</v>
      </c>
      <c r="G588" s="9">
        <v>41729</v>
      </c>
      <c r="H588">
        <v>35.299999</v>
      </c>
      <c r="I588">
        <v>35.880001</v>
      </c>
      <c r="J588">
        <v>34.650002000000001</v>
      </c>
    </row>
    <row r="589" spans="1:10" x14ac:dyDescent="0.25">
      <c r="A589" s="9">
        <v>41736</v>
      </c>
      <c r="B589">
        <v>35.540000999999997</v>
      </c>
      <c r="C589">
        <v>35.790000999999997</v>
      </c>
      <c r="D589">
        <v>34.740001999999997</v>
      </c>
      <c r="E589">
        <v>35.200001</v>
      </c>
      <c r="G589" s="9">
        <v>41736</v>
      </c>
      <c r="H589">
        <v>35.540000999999997</v>
      </c>
      <c r="I589">
        <v>35.790000999999997</v>
      </c>
      <c r="J589">
        <v>34.740001999999997</v>
      </c>
    </row>
    <row r="590" spans="1:10" x14ac:dyDescent="0.25">
      <c r="A590" s="9">
        <v>41743</v>
      </c>
      <c r="B590">
        <v>35.279998999999997</v>
      </c>
      <c r="C590">
        <v>36.229999999999997</v>
      </c>
      <c r="D590">
        <v>35.060001</v>
      </c>
      <c r="E590">
        <v>36.040000999999997</v>
      </c>
      <c r="G590" s="9">
        <v>41743</v>
      </c>
      <c r="H590">
        <v>35.279998999999997</v>
      </c>
      <c r="I590">
        <v>36.229999999999997</v>
      </c>
      <c r="J590">
        <v>35.060001</v>
      </c>
    </row>
    <row r="591" spans="1:10" x14ac:dyDescent="0.25">
      <c r="A591" s="9">
        <v>41750</v>
      </c>
      <c r="B591">
        <v>36.080002</v>
      </c>
      <c r="C591">
        <v>36.409999999999997</v>
      </c>
      <c r="D591">
        <v>34.32</v>
      </c>
      <c r="E591">
        <v>34.490001999999997</v>
      </c>
      <c r="G591" s="9">
        <v>41750</v>
      </c>
      <c r="H591">
        <v>36.080002</v>
      </c>
      <c r="I591">
        <v>36.409999999999997</v>
      </c>
      <c r="J591">
        <v>34.32</v>
      </c>
    </row>
    <row r="592" spans="1:10" x14ac:dyDescent="0.25">
      <c r="A592" s="9">
        <v>41757</v>
      </c>
      <c r="B592">
        <v>34.669998</v>
      </c>
      <c r="C592">
        <v>36</v>
      </c>
      <c r="D592">
        <v>34.560001</v>
      </c>
      <c r="E592">
        <v>35.630001</v>
      </c>
      <c r="G592" s="9">
        <v>41757</v>
      </c>
      <c r="H592">
        <v>34.669998</v>
      </c>
      <c r="I592">
        <v>36</v>
      </c>
      <c r="J592">
        <v>34.560001</v>
      </c>
    </row>
    <row r="593" spans="1:10" x14ac:dyDescent="0.25">
      <c r="A593" s="9">
        <v>41764</v>
      </c>
      <c r="B593">
        <v>35.580002</v>
      </c>
      <c r="C593">
        <v>36.860000999999997</v>
      </c>
      <c r="D593">
        <v>35.439999</v>
      </c>
      <c r="E593">
        <v>36.439999</v>
      </c>
      <c r="G593" s="9">
        <v>41764</v>
      </c>
      <c r="H593">
        <v>35.580002</v>
      </c>
      <c r="I593">
        <v>36.860000999999997</v>
      </c>
      <c r="J593">
        <v>35.439999</v>
      </c>
    </row>
    <row r="594" spans="1:10" x14ac:dyDescent="0.25">
      <c r="A594" s="9">
        <v>41771</v>
      </c>
      <c r="B594">
        <v>36.729999999999997</v>
      </c>
      <c r="C594">
        <v>36.790000999999997</v>
      </c>
      <c r="D594">
        <v>35.580002</v>
      </c>
      <c r="E594">
        <v>36.740001999999997</v>
      </c>
      <c r="G594" s="9">
        <v>41771</v>
      </c>
      <c r="H594">
        <v>36.729999999999997</v>
      </c>
      <c r="I594">
        <v>36.790000999999997</v>
      </c>
      <c r="J594">
        <v>35.580002</v>
      </c>
    </row>
    <row r="595" spans="1:10" x14ac:dyDescent="0.25">
      <c r="A595" s="9">
        <v>41778</v>
      </c>
      <c r="B595">
        <v>35.990001999999997</v>
      </c>
      <c r="C595">
        <v>36.75</v>
      </c>
      <c r="D595">
        <v>35.090000000000003</v>
      </c>
      <c r="E595">
        <v>35.32</v>
      </c>
      <c r="G595" s="9">
        <v>41778</v>
      </c>
      <c r="H595">
        <v>35.990001999999997</v>
      </c>
      <c r="I595">
        <v>36.75</v>
      </c>
      <c r="J595">
        <v>35.090000000000003</v>
      </c>
    </row>
    <row r="596" spans="1:10" x14ac:dyDescent="0.25">
      <c r="A596" s="9">
        <v>41785</v>
      </c>
      <c r="B596">
        <v>35.290000999999997</v>
      </c>
      <c r="C596">
        <v>35.529998999999997</v>
      </c>
      <c r="D596">
        <v>35</v>
      </c>
      <c r="E596">
        <v>35.470001000000003</v>
      </c>
      <c r="G596" s="9">
        <v>41785</v>
      </c>
      <c r="H596">
        <v>35.290000999999997</v>
      </c>
      <c r="I596">
        <v>35.529998999999997</v>
      </c>
      <c r="J596">
        <v>35</v>
      </c>
    </row>
    <row r="597" spans="1:10" x14ac:dyDescent="0.25">
      <c r="A597" s="9">
        <v>41792</v>
      </c>
      <c r="B597">
        <v>35.5</v>
      </c>
      <c r="C597">
        <v>35.599997999999999</v>
      </c>
      <c r="D597">
        <v>34.799999</v>
      </c>
      <c r="E597">
        <v>35.020000000000003</v>
      </c>
      <c r="G597" s="9">
        <v>41792</v>
      </c>
      <c r="H597">
        <v>35.5</v>
      </c>
      <c r="I597">
        <v>35.599997999999999</v>
      </c>
      <c r="J597">
        <v>34.799999</v>
      </c>
    </row>
    <row r="598" spans="1:10" x14ac:dyDescent="0.25">
      <c r="A598" s="9">
        <v>41799</v>
      </c>
      <c r="B598">
        <v>35.049999</v>
      </c>
      <c r="C598">
        <v>35.150002000000001</v>
      </c>
      <c r="D598">
        <v>34.619999</v>
      </c>
      <c r="E598">
        <v>35.029998999999997</v>
      </c>
      <c r="G598" s="9">
        <v>41799</v>
      </c>
      <c r="H598">
        <v>35.049999</v>
      </c>
      <c r="I598">
        <v>35.150002000000001</v>
      </c>
      <c r="J598">
        <v>34.619999</v>
      </c>
    </row>
    <row r="599" spans="1:10" x14ac:dyDescent="0.25">
      <c r="A599" s="9">
        <v>41806</v>
      </c>
      <c r="B599">
        <v>34.970001000000003</v>
      </c>
      <c r="C599">
        <v>35.75</v>
      </c>
      <c r="D599">
        <v>34.900002000000001</v>
      </c>
      <c r="E599">
        <v>35.389999000000003</v>
      </c>
      <c r="G599" s="9">
        <v>41806</v>
      </c>
      <c r="H599">
        <v>34.970001000000003</v>
      </c>
      <c r="I599">
        <v>35.75</v>
      </c>
      <c r="J599">
        <v>34.900002000000001</v>
      </c>
    </row>
    <row r="600" spans="1:10" x14ac:dyDescent="0.25">
      <c r="A600" s="9">
        <v>41813</v>
      </c>
      <c r="B600">
        <v>35.57</v>
      </c>
      <c r="C600">
        <v>35.580002</v>
      </c>
      <c r="D600">
        <v>35.099997999999999</v>
      </c>
      <c r="E600">
        <v>35.409999999999997</v>
      </c>
      <c r="G600" s="9">
        <v>41813</v>
      </c>
      <c r="H600">
        <v>35.57</v>
      </c>
      <c r="I600">
        <v>35.580002</v>
      </c>
      <c r="J600">
        <v>35.099997999999999</v>
      </c>
    </row>
    <row r="601" spans="1:10" x14ac:dyDescent="0.25">
      <c r="A601" s="9">
        <v>41820</v>
      </c>
      <c r="B601">
        <v>35.400002000000001</v>
      </c>
      <c r="C601">
        <v>35.869999</v>
      </c>
      <c r="D601">
        <v>35.150002000000001</v>
      </c>
      <c r="E601">
        <v>35.840000000000003</v>
      </c>
      <c r="G601" s="9">
        <v>41820</v>
      </c>
      <c r="H601">
        <v>35.400002000000001</v>
      </c>
      <c r="I601">
        <v>35.869999</v>
      </c>
      <c r="J601">
        <v>35.150002000000001</v>
      </c>
    </row>
    <row r="602" spans="1:10" x14ac:dyDescent="0.25">
      <c r="A602" s="9">
        <v>41827</v>
      </c>
      <c r="B602">
        <v>35.900002000000001</v>
      </c>
      <c r="C602">
        <v>36.099997999999999</v>
      </c>
      <c r="D602">
        <v>35.380001</v>
      </c>
      <c r="E602">
        <v>35.759998000000003</v>
      </c>
      <c r="G602" s="9">
        <v>41827</v>
      </c>
      <c r="H602">
        <v>35.900002000000001</v>
      </c>
      <c r="I602">
        <v>36.099997999999999</v>
      </c>
      <c r="J602">
        <v>35.380001</v>
      </c>
    </row>
    <row r="603" spans="1:10" x14ac:dyDescent="0.25">
      <c r="A603" s="9">
        <v>41834</v>
      </c>
      <c r="B603">
        <v>35.860000999999997</v>
      </c>
      <c r="C603">
        <v>36.549999</v>
      </c>
      <c r="D603">
        <v>35.709999000000003</v>
      </c>
      <c r="E603">
        <v>36.169998</v>
      </c>
      <c r="G603" s="9">
        <v>41834</v>
      </c>
      <c r="H603">
        <v>35.860000999999997</v>
      </c>
      <c r="I603">
        <v>36.549999</v>
      </c>
      <c r="J603">
        <v>35.709999000000003</v>
      </c>
    </row>
    <row r="604" spans="1:10" x14ac:dyDescent="0.25">
      <c r="A604" s="9">
        <v>41841</v>
      </c>
      <c r="B604">
        <v>36.07</v>
      </c>
      <c r="C604">
        <v>36.159999999999997</v>
      </c>
      <c r="D604">
        <v>35.029998999999997</v>
      </c>
      <c r="E604">
        <v>35.540000999999997</v>
      </c>
      <c r="G604" s="9">
        <v>41841</v>
      </c>
      <c r="H604">
        <v>36.07</v>
      </c>
      <c r="I604">
        <v>36.159999999999997</v>
      </c>
      <c r="J604">
        <v>35.029998999999997</v>
      </c>
    </row>
    <row r="605" spans="1:10" x14ac:dyDescent="0.25">
      <c r="A605" s="9">
        <v>41848</v>
      </c>
      <c r="B605">
        <v>35.549999</v>
      </c>
      <c r="C605">
        <v>37.479999999999997</v>
      </c>
      <c r="D605">
        <v>35.279998999999997</v>
      </c>
      <c r="E605">
        <v>35.330002</v>
      </c>
      <c r="G605" s="9">
        <v>41848</v>
      </c>
      <c r="H605">
        <v>35.549999</v>
      </c>
      <c r="I605">
        <v>37.479999999999997</v>
      </c>
      <c r="J605">
        <v>35.279998999999997</v>
      </c>
    </row>
    <row r="606" spans="1:10" x14ac:dyDescent="0.25">
      <c r="A606" s="9">
        <v>41855</v>
      </c>
      <c r="B606">
        <v>35.369999</v>
      </c>
      <c r="C606">
        <v>35.529998999999997</v>
      </c>
      <c r="D606">
        <v>34.169998</v>
      </c>
      <c r="E606">
        <v>34.470001000000003</v>
      </c>
      <c r="G606" s="9">
        <v>41855</v>
      </c>
      <c r="H606">
        <v>35.369999</v>
      </c>
      <c r="I606">
        <v>35.529998999999997</v>
      </c>
      <c r="J606">
        <v>34.169998</v>
      </c>
    </row>
    <row r="607" spans="1:10" x14ac:dyDescent="0.25">
      <c r="A607" s="9">
        <v>41862</v>
      </c>
      <c r="B607">
        <v>34.689999</v>
      </c>
      <c r="C607">
        <v>34.970001000000003</v>
      </c>
      <c r="D607">
        <v>34.409999999999997</v>
      </c>
      <c r="E607">
        <v>34.740001999999997</v>
      </c>
      <c r="G607" s="9">
        <v>41862</v>
      </c>
      <c r="H607">
        <v>34.689999</v>
      </c>
      <c r="I607">
        <v>34.970001000000003</v>
      </c>
      <c r="J607">
        <v>34.409999999999997</v>
      </c>
    </row>
    <row r="608" spans="1:10" x14ac:dyDescent="0.25">
      <c r="A608" s="9">
        <v>41869</v>
      </c>
      <c r="B608">
        <v>34.869999</v>
      </c>
      <c r="C608">
        <v>34.900002000000001</v>
      </c>
      <c r="D608">
        <v>34.330002</v>
      </c>
      <c r="E608">
        <v>34.5</v>
      </c>
      <c r="G608" s="9">
        <v>41869</v>
      </c>
      <c r="H608">
        <v>34.869999</v>
      </c>
      <c r="I608">
        <v>34.900002000000001</v>
      </c>
      <c r="J608">
        <v>34.330002</v>
      </c>
    </row>
    <row r="609" spans="1:10" x14ac:dyDescent="0.25">
      <c r="A609" s="9">
        <v>41876</v>
      </c>
      <c r="B609">
        <v>34.520000000000003</v>
      </c>
      <c r="C609">
        <v>34.959999000000003</v>
      </c>
      <c r="D609">
        <v>34.450001</v>
      </c>
      <c r="E609">
        <v>34.959999000000003</v>
      </c>
      <c r="G609" s="9">
        <v>41876</v>
      </c>
      <c r="H609">
        <v>34.520000000000003</v>
      </c>
      <c r="I609">
        <v>34.959999000000003</v>
      </c>
      <c r="J609">
        <v>34.450001</v>
      </c>
    </row>
    <row r="610" spans="1:10" x14ac:dyDescent="0.25">
      <c r="A610" s="9">
        <v>41883</v>
      </c>
      <c r="B610">
        <v>34.93</v>
      </c>
      <c r="C610">
        <v>35.259998000000003</v>
      </c>
      <c r="D610">
        <v>34.700001</v>
      </c>
      <c r="E610">
        <v>35.150002000000001</v>
      </c>
      <c r="G610" s="9">
        <v>41883</v>
      </c>
      <c r="H610">
        <v>34.93</v>
      </c>
      <c r="I610">
        <v>35.259998000000003</v>
      </c>
      <c r="J610">
        <v>34.700001</v>
      </c>
    </row>
    <row r="611" spans="1:10" x14ac:dyDescent="0.25">
      <c r="A611" s="9">
        <v>41890</v>
      </c>
      <c r="B611">
        <v>35.119999</v>
      </c>
      <c r="C611">
        <v>35.119999</v>
      </c>
      <c r="D611">
        <v>34.360000999999997</v>
      </c>
      <c r="E611">
        <v>34.5</v>
      </c>
      <c r="G611" s="9">
        <v>41890</v>
      </c>
      <c r="H611">
        <v>35.119999</v>
      </c>
      <c r="I611">
        <v>35.119999</v>
      </c>
      <c r="J611">
        <v>34.360000999999997</v>
      </c>
    </row>
    <row r="612" spans="1:10" x14ac:dyDescent="0.25">
      <c r="A612" s="9">
        <v>41897</v>
      </c>
      <c r="B612">
        <v>34.610000999999997</v>
      </c>
      <c r="C612">
        <v>35.479999999999997</v>
      </c>
      <c r="D612">
        <v>34.419998</v>
      </c>
      <c r="E612">
        <v>35.470001000000003</v>
      </c>
      <c r="G612" s="9">
        <v>41897</v>
      </c>
      <c r="H612">
        <v>34.610000999999997</v>
      </c>
      <c r="I612">
        <v>35.479999999999997</v>
      </c>
      <c r="J612">
        <v>34.419998</v>
      </c>
    </row>
    <row r="613" spans="1:10" x14ac:dyDescent="0.25">
      <c r="A613" s="9">
        <v>41904</v>
      </c>
      <c r="B613">
        <v>35.459999000000003</v>
      </c>
      <c r="C613">
        <v>35.549999</v>
      </c>
      <c r="D613">
        <v>34.959999000000003</v>
      </c>
      <c r="E613">
        <v>35.279998999999997</v>
      </c>
      <c r="G613" s="9">
        <v>41904</v>
      </c>
      <c r="H613">
        <v>35.459999000000003</v>
      </c>
      <c r="I613">
        <v>35.549999</v>
      </c>
      <c r="J613">
        <v>34.959999000000003</v>
      </c>
    </row>
    <row r="614" spans="1:10" x14ac:dyDescent="0.25">
      <c r="A614" s="9">
        <v>41911</v>
      </c>
      <c r="B614">
        <v>35.139999000000003</v>
      </c>
      <c r="C614">
        <v>36.159999999999997</v>
      </c>
      <c r="D614">
        <v>34.82</v>
      </c>
      <c r="E614">
        <v>35.360000999999997</v>
      </c>
      <c r="G614" s="9">
        <v>41911</v>
      </c>
      <c r="H614">
        <v>35.139999000000003</v>
      </c>
      <c r="I614">
        <v>36.159999999999997</v>
      </c>
      <c r="J614">
        <v>34.82</v>
      </c>
    </row>
    <row r="615" spans="1:10" x14ac:dyDescent="0.25">
      <c r="A615" s="9">
        <v>41918</v>
      </c>
      <c r="B615">
        <v>35.560001</v>
      </c>
      <c r="C615">
        <v>35.729999999999997</v>
      </c>
      <c r="D615">
        <v>34.240001999999997</v>
      </c>
      <c r="E615">
        <v>34.25</v>
      </c>
      <c r="G615" s="9">
        <v>41918</v>
      </c>
      <c r="H615">
        <v>35.560001</v>
      </c>
      <c r="I615">
        <v>35.729999999999997</v>
      </c>
      <c r="J615">
        <v>34.240001999999997</v>
      </c>
    </row>
    <row r="616" spans="1:10" x14ac:dyDescent="0.25">
      <c r="A616" s="9">
        <v>41925</v>
      </c>
      <c r="B616">
        <v>34.169998</v>
      </c>
      <c r="C616">
        <v>34.340000000000003</v>
      </c>
      <c r="D616">
        <v>33.099997999999999</v>
      </c>
      <c r="E616">
        <v>34.080002</v>
      </c>
      <c r="G616" s="9">
        <v>41925</v>
      </c>
      <c r="H616">
        <v>34.169998</v>
      </c>
      <c r="I616">
        <v>34.340000000000003</v>
      </c>
      <c r="J616">
        <v>33.099997999999999</v>
      </c>
    </row>
    <row r="617" spans="1:10" x14ac:dyDescent="0.25">
      <c r="A617" s="9">
        <v>41932</v>
      </c>
      <c r="B617">
        <v>34.080002</v>
      </c>
      <c r="C617">
        <v>34.790000999999997</v>
      </c>
      <c r="D617">
        <v>33.32</v>
      </c>
      <c r="E617">
        <v>33.869999</v>
      </c>
      <c r="G617" s="9">
        <v>41932</v>
      </c>
      <c r="H617">
        <v>34.080002</v>
      </c>
      <c r="I617">
        <v>34.790000999999997</v>
      </c>
      <c r="J617">
        <v>33.32</v>
      </c>
    </row>
    <row r="618" spans="1:10" x14ac:dyDescent="0.25">
      <c r="A618" s="9">
        <v>41939</v>
      </c>
      <c r="B618">
        <v>33.880001</v>
      </c>
      <c r="C618">
        <v>34.849997999999999</v>
      </c>
      <c r="D618">
        <v>33.860000999999997</v>
      </c>
      <c r="E618">
        <v>34.840000000000003</v>
      </c>
      <c r="G618" s="9">
        <v>41939</v>
      </c>
      <c r="H618">
        <v>33.880001</v>
      </c>
      <c r="I618">
        <v>34.849997999999999</v>
      </c>
      <c r="J618">
        <v>33.860000999999997</v>
      </c>
    </row>
    <row r="619" spans="1:10" x14ac:dyDescent="0.25">
      <c r="A619" s="9">
        <v>41946</v>
      </c>
      <c r="B619">
        <v>34.970001000000003</v>
      </c>
      <c r="C619">
        <v>35.080002</v>
      </c>
      <c r="D619">
        <v>34.520000000000003</v>
      </c>
      <c r="E619">
        <v>34.909999999999997</v>
      </c>
      <c r="G619" s="9">
        <v>41946</v>
      </c>
      <c r="H619">
        <v>34.970001000000003</v>
      </c>
      <c r="I619">
        <v>35.080002</v>
      </c>
      <c r="J619">
        <v>34.520000000000003</v>
      </c>
    </row>
    <row r="620" spans="1:10" x14ac:dyDescent="0.25">
      <c r="A620" s="9">
        <v>41953</v>
      </c>
      <c r="B620">
        <v>35.060001</v>
      </c>
      <c r="C620">
        <v>36.150002000000001</v>
      </c>
      <c r="D620">
        <v>34.659999999999997</v>
      </c>
      <c r="E620">
        <v>35.900002000000001</v>
      </c>
      <c r="G620" s="9">
        <v>41953</v>
      </c>
      <c r="H620">
        <v>35.060001</v>
      </c>
      <c r="I620">
        <v>36.150002000000001</v>
      </c>
      <c r="J620">
        <v>34.659999999999997</v>
      </c>
    </row>
    <row r="621" spans="1:10" x14ac:dyDescent="0.25">
      <c r="A621" s="9">
        <v>41960</v>
      </c>
      <c r="B621">
        <v>35.860000999999997</v>
      </c>
      <c r="C621">
        <v>35.900002000000001</v>
      </c>
      <c r="D621">
        <v>34.990001999999997</v>
      </c>
      <c r="E621">
        <v>35.279998999999997</v>
      </c>
      <c r="G621" s="9">
        <v>41960</v>
      </c>
      <c r="H621">
        <v>35.860000999999997</v>
      </c>
      <c r="I621">
        <v>35.900002000000001</v>
      </c>
      <c r="J621">
        <v>34.990001999999997</v>
      </c>
    </row>
    <row r="622" spans="1:10" x14ac:dyDescent="0.25">
      <c r="A622" s="9">
        <v>41967</v>
      </c>
      <c r="B622">
        <v>34.979999999999997</v>
      </c>
      <c r="C622">
        <v>35.57</v>
      </c>
      <c r="D622">
        <v>34.220001000000003</v>
      </c>
      <c r="E622">
        <v>35.380001</v>
      </c>
      <c r="G622" s="9">
        <v>41967</v>
      </c>
      <c r="H622">
        <v>34.979999999999997</v>
      </c>
      <c r="I622">
        <v>35.57</v>
      </c>
      <c r="J622">
        <v>34.220001000000003</v>
      </c>
    </row>
    <row r="623" spans="1:10" x14ac:dyDescent="0.25">
      <c r="A623" s="9">
        <v>41974</v>
      </c>
      <c r="B623">
        <v>35.279998999999997</v>
      </c>
      <c r="C623">
        <v>35.369999</v>
      </c>
      <c r="D623">
        <v>33.720001000000003</v>
      </c>
      <c r="E623">
        <v>33.939999</v>
      </c>
      <c r="G623" s="9">
        <v>41974</v>
      </c>
      <c r="H623">
        <v>35.279998999999997</v>
      </c>
      <c r="I623">
        <v>35.369999</v>
      </c>
      <c r="J623">
        <v>33.720001000000003</v>
      </c>
    </row>
    <row r="624" spans="1:10" x14ac:dyDescent="0.25">
      <c r="A624" s="9">
        <v>41981</v>
      </c>
      <c r="B624">
        <v>33.979999999999997</v>
      </c>
      <c r="C624">
        <v>34.090000000000003</v>
      </c>
      <c r="D624">
        <v>32.159999999999997</v>
      </c>
      <c r="E624">
        <v>32.159999999999997</v>
      </c>
      <c r="G624" s="9">
        <v>41981</v>
      </c>
      <c r="H624">
        <v>33.979999999999997</v>
      </c>
      <c r="I624">
        <v>34.090000000000003</v>
      </c>
      <c r="J624">
        <v>32.159999999999997</v>
      </c>
    </row>
    <row r="625" spans="1:10" x14ac:dyDescent="0.25">
      <c r="A625" s="9">
        <v>41988</v>
      </c>
      <c r="B625">
        <v>32.32</v>
      </c>
      <c r="C625">
        <v>33.759998000000003</v>
      </c>
      <c r="D625">
        <v>32.07</v>
      </c>
      <c r="E625">
        <v>33.540000999999997</v>
      </c>
      <c r="G625" s="9">
        <v>41988</v>
      </c>
      <c r="H625">
        <v>32.32</v>
      </c>
      <c r="I625">
        <v>33.759998000000003</v>
      </c>
      <c r="J625">
        <v>32.07</v>
      </c>
    </row>
    <row r="626" spans="1:10" x14ac:dyDescent="0.25">
      <c r="A626" s="9">
        <v>41995</v>
      </c>
      <c r="B626">
        <v>33.659999999999997</v>
      </c>
      <c r="C626">
        <v>34.229999999999997</v>
      </c>
      <c r="D626">
        <v>33.57</v>
      </c>
      <c r="E626">
        <v>34.169998</v>
      </c>
      <c r="G626" s="9">
        <v>41995</v>
      </c>
      <c r="H626">
        <v>33.659999999999997</v>
      </c>
      <c r="I626">
        <v>34.229999999999997</v>
      </c>
      <c r="J626">
        <v>33.57</v>
      </c>
    </row>
    <row r="627" spans="1:10" x14ac:dyDescent="0.25">
      <c r="A627" s="9">
        <v>42002</v>
      </c>
      <c r="B627">
        <v>34.07</v>
      </c>
      <c r="C627">
        <v>34.270000000000003</v>
      </c>
      <c r="D627">
        <v>33.540000999999997</v>
      </c>
      <c r="E627">
        <v>33.869999</v>
      </c>
      <c r="G627" s="9">
        <v>42002</v>
      </c>
      <c r="H627">
        <v>34.07</v>
      </c>
      <c r="I627">
        <v>34.270000000000003</v>
      </c>
      <c r="J627">
        <v>33.540000999999997</v>
      </c>
    </row>
    <row r="628" spans="1:10" x14ac:dyDescent="0.25">
      <c r="A628" s="9">
        <v>42009</v>
      </c>
      <c r="B628">
        <v>33.869999</v>
      </c>
      <c r="C628">
        <v>33.919998</v>
      </c>
      <c r="D628">
        <v>32.729999999999997</v>
      </c>
      <c r="E628">
        <v>33.400002000000001</v>
      </c>
      <c r="G628" s="9">
        <v>42009</v>
      </c>
      <c r="H628">
        <v>33.869999</v>
      </c>
      <c r="I628">
        <v>33.919998</v>
      </c>
      <c r="J628">
        <v>32.729999999999997</v>
      </c>
    </row>
    <row r="629" spans="1:10" x14ac:dyDescent="0.25">
      <c r="A629" s="9">
        <v>42016</v>
      </c>
      <c r="B629">
        <v>33.590000000000003</v>
      </c>
      <c r="C629">
        <v>33.919998</v>
      </c>
      <c r="D629">
        <v>33.040000999999997</v>
      </c>
      <c r="E629">
        <v>33.799999</v>
      </c>
      <c r="G629" s="9">
        <v>42016</v>
      </c>
      <c r="H629">
        <v>33.590000000000003</v>
      </c>
      <c r="I629">
        <v>33.919998</v>
      </c>
      <c r="J629">
        <v>33.040000999999997</v>
      </c>
    </row>
    <row r="630" spans="1:10" x14ac:dyDescent="0.25">
      <c r="A630" s="9">
        <v>42023</v>
      </c>
      <c r="B630">
        <v>33.869999</v>
      </c>
      <c r="C630">
        <v>34.229999999999997</v>
      </c>
      <c r="D630">
        <v>33.290000999999997</v>
      </c>
      <c r="E630">
        <v>33.369999</v>
      </c>
      <c r="G630" s="9">
        <v>42023</v>
      </c>
      <c r="H630">
        <v>33.869999</v>
      </c>
      <c r="I630">
        <v>34.229999999999997</v>
      </c>
      <c r="J630">
        <v>33.290000999999997</v>
      </c>
    </row>
    <row r="631" spans="1:10" x14ac:dyDescent="0.25">
      <c r="A631" s="9">
        <v>42030</v>
      </c>
      <c r="B631">
        <v>33.32</v>
      </c>
      <c r="C631">
        <v>33.639999000000003</v>
      </c>
      <c r="D631">
        <v>32.409999999999997</v>
      </c>
      <c r="E631">
        <v>32.919998</v>
      </c>
      <c r="G631" s="9">
        <v>42030</v>
      </c>
      <c r="H631">
        <v>33.32</v>
      </c>
      <c r="I631">
        <v>33.639999000000003</v>
      </c>
      <c r="J631">
        <v>32.409999999999997</v>
      </c>
    </row>
    <row r="632" spans="1:10" x14ac:dyDescent="0.25">
      <c r="A632" s="9">
        <v>42037</v>
      </c>
      <c r="B632">
        <v>33.310001</v>
      </c>
      <c r="C632">
        <v>35.049999</v>
      </c>
      <c r="D632">
        <v>32.799999</v>
      </c>
      <c r="E632">
        <v>34.869999</v>
      </c>
      <c r="G632" s="9">
        <v>42037</v>
      </c>
      <c r="H632">
        <v>33.310001</v>
      </c>
      <c r="I632">
        <v>35.049999</v>
      </c>
      <c r="J632">
        <v>32.799999</v>
      </c>
    </row>
    <row r="633" spans="1:10" x14ac:dyDescent="0.25">
      <c r="A633" s="9">
        <v>42044</v>
      </c>
      <c r="B633">
        <v>34.709999000000003</v>
      </c>
      <c r="C633">
        <v>35.07</v>
      </c>
      <c r="D633">
        <v>34.240001999999997</v>
      </c>
      <c r="E633">
        <v>34.659999999999997</v>
      </c>
      <c r="G633" s="9">
        <v>42044</v>
      </c>
      <c r="H633">
        <v>34.709999000000003</v>
      </c>
      <c r="I633">
        <v>35.07</v>
      </c>
      <c r="J633">
        <v>34.240001999999997</v>
      </c>
    </row>
    <row r="634" spans="1:10" x14ac:dyDescent="0.25">
      <c r="A634" s="9">
        <v>42051</v>
      </c>
      <c r="B634">
        <v>34.599997999999999</v>
      </c>
      <c r="C634">
        <v>34.729999999999997</v>
      </c>
      <c r="D634">
        <v>33.82</v>
      </c>
      <c r="E634">
        <v>34.080002</v>
      </c>
      <c r="G634" s="9">
        <v>42051</v>
      </c>
      <c r="H634">
        <v>34.599997999999999</v>
      </c>
      <c r="I634">
        <v>34.729999999999997</v>
      </c>
      <c r="J634">
        <v>33.82</v>
      </c>
    </row>
    <row r="635" spans="1:10" x14ac:dyDescent="0.25">
      <c r="A635" s="9">
        <v>42058</v>
      </c>
      <c r="B635">
        <v>33.970001000000003</v>
      </c>
      <c r="C635">
        <v>34.590000000000003</v>
      </c>
      <c r="D635">
        <v>33.599997999999999</v>
      </c>
      <c r="E635">
        <v>34.560001</v>
      </c>
      <c r="G635" s="9">
        <v>42058</v>
      </c>
      <c r="H635">
        <v>33.970001000000003</v>
      </c>
      <c r="I635">
        <v>34.590000000000003</v>
      </c>
      <c r="J635">
        <v>33.599997999999999</v>
      </c>
    </row>
    <row r="636" spans="1:10" x14ac:dyDescent="0.25">
      <c r="A636" s="9">
        <v>42065</v>
      </c>
      <c r="B636">
        <v>34.560001</v>
      </c>
      <c r="C636">
        <v>34.650002000000001</v>
      </c>
      <c r="D636">
        <v>33.369999</v>
      </c>
      <c r="E636">
        <v>33.479999999999997</v>
      </c>
      <c r="G636" s="9">
        <v>42065</v>
      </c>
      <c r="H636">
        <v>34.560001</v>
      </c>
      <c r="I636">
        <v>34.650002000000001</v>
      </c>
      <c r="J636">
        <v>33.369999</v>
      </c>
    </row>
    <row r="637" spans="1:10" x14ac:dyDescent="0.25">
      <c r="A637" s="9">
        <v>42072</v>
      </c>
      <c r="B637">
        <v>33.450001</v>
      </c>
      <c r="C637">
        <v>33.590000000000003</v>
      </c>
      <c r="D637">
        <v>32.520000000000003</v>
      </c>
      <c r="E637">
        <v>32.759998000000003</v>
      </c>
      <c r="G637" s="9">
        <v>42072</v>
      </c>
      <c r="H637">
        <v>33.450001</v>
      </c>
      <c r="I637">
        <v>33.590000000000003</v>
      </c>
      <c r="J637">
        <v>32.520000000000003</v>
      </c>
    </row>
    <row r="638" spans="1:10" x14ac:dyDescent="0.25">
      <c r="A638" s="9">
        <v>42079</v>
      </c>
      <c r="B638">
        <v>32.790000999999997</v>
      </c>
      <c r="C638">
        <v>33.599997999999999</v>
      </c>
      <c r="D638">
        <v>32.68</v>
      </c>
      <c r="E638">
        <v>33.229999999999997</v>
      </c>
      <c r="G638" s="9">
        <v>42079</v>
      </c>
      <c r="H638">
        <v>32.790000999999997</v>
      </c>
      <c r="I638">
        <v>33.599997999999999</v>
      </c>
      <c r="J638">
        <v>32.68</v>
      </c>
    </row>
    <row r="639" spans="1:10" x14ac:dyDescent="0.25">
      <c r="A639" s="9">
        <v>42086</v>
      </c>
      <c r="B639">
        <v>33.369999</v>
      </c>
      <c r="C639">
        <v>33.68</v>
      </c>
      <c r="D639">
        <v>32.610000999999997</v>
      </c>
      <c r="E639">
        <v>32.75</v>
      </c>
      <c r="G639" s="9">
        <v>42086</v>
      </c>
      <c r="H639">
        <v>33.369999</v>
      </c>
      <c r="I639">
        <v>33.68</v>
      </c>
      <c r="J639">
        <v>32.610000999999997</v>
      </c>
    </row>
    <row r="640" spans="1:10" x14ac:dyDescent="0.25">
      <c r="A640" s="9">
        <v>42093</v>
      </c>
      <c r="B640">
        <v>32.82</v>
      </c>
      <c r="C640">
        <v>33.229999999999997</v>
      </c>
      <c r="D640">
        <v>32.540000999999997</v>
      </c>
      <c r="E640">
        <v>33.130001</v>
      </c>
      <c r="G640" s="9">
        <v>42093</v>
      </c>
      <c r="H640">
        <v>32.82</v>
      </c>
      <c r="I640">
        <v>33.229999999999997</v>
      </c>
      <c r="J640">
        <v>32.540000999999997</v>
      </c>
    </row>
    <row r="641" spans="1:10" x14ac:dyDescent="0.25">
      <c r="A641" s="9">
        <v>42100</v>
      </c>
      <c r="B641">
        <v>33.150002000000001</v>
      </c>
      <c r="C641">
        <v>33.450001</v>
      </c>
      <c r="D641">
        <v>32.439999</v>
      </c>
      <c r="E641">
        <v>32.770000000000003</v>
      </c>
      <c r="G641" s="9">
        <v>42100</v>
      </c>
      <c r="H641">
        <v>33.150002000000001</v>
      </c>
      <c r="I641">
        <v>33.450001</v>
      </c>
      <c r="J641">
        <v>32.439999</v>
      </c>
    </row>
    <row r="642" spans="1:10" x14ac:dyDescent="0.25">
      <c r="A642" s="9">
        <v>42107</v>
      </c>
      <c r="B642">
        <v>32.759998000000003</v>
      </c>
      <c r="C642">
        <v>33.07</v>
      </c>
      <c r="D642">
        <v>32.369999</v>
      </c>
      <c r="E642">
        <v>32.509998000000003</v>
      </c>
      <c r="G642" s="9">
        <v>42107</v>
      </c>
      <c r="H642">
        <v>32.759998000000003</v>
      </c>
      <c r="I642">
        <v>33.07</v>
      </c>
      <c r="J642">
        <v>32.369999</v>
      </c>
    </row>
    <row r="643" spans="1:10" x14ac:dyDescent="0.25">
      <c r="A643" s="9">
        <v>42114</v>
      </c>
      <c r="B643">
        <v>32.650002000000001</v>
      </c>
      <c r="C643">
        <v>34.400002000000001</v>
      </c>
      <c r="D643">
        <v>32.549999</v>
      </c>
      <c r="E643">
        <v>34.009998000000003</v>
      </c>
      <c r="G643" s="9">
        <v>42114</v>
      </c>
      <c r="H643">
        <v>32.650002000000001</v>
      </c>
      <c r="I643">
        <v>34.400002000000001</v>
      </c>
      <c r="J643">
        <v>32.549999</v>
      </c>
    </row>
    <row r="644" spans="1:10" x14ac:dyDescent="0.25">
      <c r="A644" s="9">
        <v>42121</v>
      </c>
      <c r="B644">
        <v>34.049999</v>
      </c>
      <c r="C644">
        <v>35.229999999999997</v>
      </c>
      <c r="D644">
        <v>34.040000999999997</v>
      </c>
      <c r="E644">
        <v>34.419998</v>
      </c>
      <c r="G644" s="9">
        <v>42121</v>
      </c>
      <c r="H644">
        <v>34.049999</v>
      </c>
      <c r="I644">
        <v>35.229999999999997</v>
      </c>
      <c r="J644">
        <v>34.040000999999997</v>
      </c>
    </row>
    <row r="645" spans="1:10" x14ac:dyDescent="0.25">
      <c r="A645" s="9">
        <v>42128</v>
      </c>
      <c r="B645">
        <v>34.409999999999997</v>
      </c>
      <c r="C645">
        <v>34.709999000000003</v>
      </c>
      <c r="D645">
        <v>33.080002</v>
      </c>
      <c r="E645">
        <v>33.689999</v>
      </c>
      <c r="G645" s="9">
        <v>42128</v>
      </c>
      <c r="H645">
        <v>34.409999999999997</v>
      </c>
      <c r="I645">
        <v>34.709999000000003</v>
      </c>
      <c r="J645">
        <v>33.080002</v>
      </c>
    </row>
    <row r="646" spans="1:10" x14ac:dyDescent="0.25">
      <c r="A646" s="9">
        <v>42135</v>
      </c>
      <c r="B646">
        <v>33.650002000000001</v>
      </c>
      <c r="C646">
        <v>34.389999000000003</v>
      </c>
      <c r="D646">
        <v>33.029998999999997</v>
      </c>
      <c r="E646">
        <v>34.330002</v>
      </c>
      <c r="G646" s="9">
        <v>42135</v>
      </c>
      <c r="H646">
        <v>33.650002000000001</v>
      </c>
      <c r="I646">
        <v>34.389999000000003</v>
      </c>
      <c r="J646">
        <v>33.029998999999997</v>
      </c>
    </row>
    <row r="647" spans="1:10" x14ac:dyDescent="0.25">
      <c r="A647" s="9">
        <v>42142</v>
      </c>
      <c r="B647">
        <v>34.279998999999997</v>
      </c>
      <c r="C647">
        <v>35.220001000000003</v>
      </c>
      <c r="D647">
        <v>34.169998</v>
      </c>
      <c r="E647">
        <v>34.709999000000003</v>
      </c>
      <c r="G647" s="9">
        <v>42142</v>
      </c>
      <c r="H647">
        <v>34.279998999999997</v>
      </c>
      <c r="I647">
        <v>35.220001000000003</v>
      </c>
      <c r="J647">
        <v>34.169998</v>
      </c>
    </row>
    <row r="648" spans="1:10" x14ac:dyDescent="0.25">
      <c r="A648" s="9">
        <v>42149</v>
      </c>
      <c r="B648">
        <v>34.599997999999999</v>
      </c>
      <c r="C648">
        <v>35.099997999999999</v>
      </c>
      <c r="D648">
        <v>34.259998000000003</v>
      </c>
      <c r="E648">
        <v>34.540000999999997</v>
      </c>
      <c r="G648" s="9">
        <v>42149</v>
      </c>
      <c r="H648">
        <v>34.599997999999999</v>
      </c>
      <c r="I648">
        <v>35.099997999999999</v>
      </c>
      <c r="J648">
        <v>34.259998000000003</v>
      </c>
    </row>
    <row r="649" spans="1:10" x14ac:dyDescent="0.25">
      <c r="A649" s="9">
        <v>42156</v>
      </c>
      <c r="B649">
        <v>34.529998999999997</v>
      </c>
      <c r="C649">
        <v>35.479999999999997</v>
      </c>
      <c r="D649">
        <v>34.240001999999997</v>
      </c>
      <c r="E649">
        <v>34.57</v>
      </c>
      <c r="G649" s="9">
        <v>42156</v>
      </c>
      <c r="H649">
        <v>34.529998999999997</v>
      </c>
      <c r="I649">
        <v>35.479999999999997</v>
      </c>
      <c r="J649">
        <v>34.240001999999997</v>
      </c>
    </row>
    <row r="650" spans="1:10" x14ac:dyDescent="0.25">
      <c r="A650" s="9">
        <v>42163</v>
      </c>
      <c r="B650">
        <v>34.5</v>
      </c>
      <c r="C650">
        <v>34.979999999999997</v>
      </c>
      <c r="D650">
        <v>34.490001999999997</v>
      </c>
      <c r="E650">
        <v>34.650002000000001</v>
      </c>
      <c r="G650" s="9">
        <v>42163</v>
      </c>
      <c r="H650">
        <v>34.5</v>
      </c>
      <c r="I650">
        <v>34.979999999999997</v>
      </c>
      <c r="J650">
        <v>34.490001999999997</v>
      </c>
    </row>
    <row r="651" spans="1:10" x14ac:dyDescent="0.25">
      <c r="A651" s="9">
        <v>42170</v>
      </c>
      <c r="B651">
        <v>34.540000999999997</v>
      </c>
      <c r="C651">
        <v>35.099997999999999</v>
      </c>
      <c r="D651">
        <v>34.259998000000003</v>
      </c>
      <c r="E651">
        <v>34.990001999999997</v>
      </c>
      <c r="G651" s="9">
        <v>42170</v>
      </c>
      <c r="H651">
        <v>34.540000999999997</v>
      </c>
      <c r="I651">
        <v>35.099997999999999</v>
      </c>
      <c r="J651">
        <v>34.259998000000003</v>
      </c>
    </row>
    <row r="652" spans="1:10" x14ac:dyDescent="0.25">
      <c r="A652" s="9">
        <v>42177</v>
      </c>
      <c r="B652">
        <v>35.099997999999999</v>
      </c>
      <c r="C652">
        <v>36.450001</v>
      </c>
      <c r="D652">
        <v>35</v>
      </c>
      <c r="E652">
        <v>36.119999</v>
      </c>
      <c r="G652" s="9">
        <v>42177</v>
      </c>
      <c r="H652">
        <v>35.099997999999999</v>
      </c>
      <c r="I652">
        <v>36.450001</v>
      </c>
      <c r="J652">
        <v>35</v>
      </c>
    </row>
    <row r="653" spans="1:10" x14ac:dyDescent="0.25">
      <c r="A653" s="9">
        <v>42184</v>
      </c>
      <c r="B653">
        <v>35.869999</v>
      </c>
      <c r="C653">
        <v>36.229999999999997</v>
      </c>
      <c r="D653">
        <v>35.270000000000003</v>
      </c>
      <c r="E653">
        <v>35.729999999999997</v>
      </c>
      <c r="G653" s="9">
        <v>42184</v>
      </c>
      <c r="H653">
        <v>35.869999</v>
      </c>
      <c r="I653">
        <v>36.229999999999997</v>
      </c>
      <c r="J653">
        <v>35.270000000000003</v>
      </c>
    </row>
    <row r="654" spans="1:10" x14ac:dyDescent="0.25">
      <c r="A654" s="9">
        <v>42191</v>
      </c>
      <c r="B654">
        <v>35.599997999999999</v>
      </c>
      <c r="C654">
        <v>35.849997999999999</v>
      </c>
      <c r="D654">
        <v>34.330002</v>
      </c>
      <c r="E654">
        <v>34.650002000000001</v>
      </c>
      <c r="G654" s="9">
        <v>42191</v>
      </c>
      <c r="H654">
        <v>35.599997999999999</v>
      </c>
      <c r="I654">
        <v>35.849997999999999</v>
      </c>
      <c r="J654">
        <v>34.330002</v>
      </c>
    </row>
    <row r="655" spans="1:10" x14ac:dyDescent="0.25">
      <c r="A655" s="9">
        <v>42198</v>
      </c>
      <c r="B655">
        <v>34.75</v>
      </c>
      <c r="C655">
        <v>35.240001999999997</v>
      </c>
      <c r="D655">
        <v>34.659999999999997</v>
      </c>
      <c r="E655">
        <v>35.009998000000003</v>
      </c>
      <c r="G655" s="9">
        <v>42198</v>
      </c>
      <c r="H655">
        <v>34.75</v>
      </c>
      <c r="I655">
        <v>35.240001999999997</v>
      </c>
      <c r="J655">
        <v>34.659999999999997</v>
      </c>
    </row>
    <row r="656" spans="1:10" x14ac:dyDescent="0.25">
      <c r="A656" s="9">
        <v>42205</v>
      </c>
      <c r="B656">
        <v>35.040000999999997</v>
      </c>
      <c r="C656">
        <v>35.090000000000003</v>
      </c>
      <c r="D656">
        <v>33.860000999999997</v>
      </c>
      <c r="E656">
        <v>34.290000999999997</v>
      </c>
      <c r="G656" s="9">
        <v>42205</v>
      </c>
      <c r="H656">
        <v>35.040000999999997</v>
      </c>
      <c r="I656">
        <v>35.090000000000003</v>
      </c>
      <c r="J656">
        <v>33.860000999999997</v>
      </c>
    </row>
    <row r="657" spans="1:10" x14ac:dyDescent="0.25">
      <c r="A657" s="9">
        <v>42212</v>
      </c>
      <c r="B657">
        <v>34.220001000000003</v>
      </c>
      <c r="C657">
        <v>34.990001999999997</v>
      </c>
      <c r="D657">
        <v>34.020000000000003</v>
      </c>
      <c r="E657">
        <v>34.740001999999997</v>
      </c>
      <c r="G657" s="9">
        <v>42212</v>
      </c>
      <c r="H657">
        <v>34.220001000000003</v>
      </c>
      <c r="I657">
        <v>34.990001999999997</v>
      </c>
      <c r="J657">
        <v>34.020000000000003</v>
      </c>
    </row>
    <row r="658" spans="1:10" x14ac:dyDescent="0.25">
      <c r="A658" s="9">
        <v>42219</v>
      </c>
      <c r="B658">
        <v>34.950001</v>
      </c>
      <c r="C658">
        <v>35.020000000000003</v>
      </c>
      <c r="D658">
        <v>33.950001</v>
      </c>
      <c r="E658">
        <v>34.209999000000003</v>
      </c>
      <c r="G658" s="9">
        <v>42219</v>
      </c>
      <c r="H658">
        <v>34.950001</v>
      </c>
      <c r="I658">
        <v>35.020000000000003</v>
      </c>
      <c r="J658">
        <v>33.950001</v>
      </c>
    </row>
    <row r="659" spans="1:10" x14ac:dyDescent="0.25">
      <c r="A659" s="9">
        <v>42226</v>
      </c>
      <c r="B659">
        <v>34.299999</v>
      </c>
      <c r="C659">
        <v>34.959999000000003</v>
      </c>
      <c r="D659">
        <v>33.450001</v>
      </c>
      <c r="E659">
        <v>34.049999</v>
      </c>
      <c r="G659" s="9">
        <v>42226</v>
      </c>
      <c r="H659">
        <v>34.299999</v>
      </c>
      <c r="I659">
        <v>34.959999000000003</v>
      </c>
      <c r="J659">
        <v>33.450001</v>
      </c>
    </row>
    <row r="660" spans="1:10" x14ac:dyDescent="0.25">
      <c r="A660" s="9">
        <v>42233</v>
      </c>
      <c r="B660">
        <v>33.959999000000003</v>
      </c>
      <c r="C660">
        <v>34.5</v>
      </c>
      <c r="D660">
        <v>33.380001</v>
      </c>
      <c r="E660">
        <v>33.380001</v>
      </c>
      <c r="G660" s="9">
        <v>42233</v>
      </c>
      <c r="H660">
        <v>33.959999000000003</v>
      </c>
      <c r="I660">
        <v>34.5</v>
      </c>
      <c r="J660">
        <v>33.380001</v>
      </c>
    </row>
    <row r="661" spans="1:10" x14ac:dyDescent="0.25">
      <c r="A661" s="9">
        <v>42240</v>
      </c>
      <c r="B661">
        <v>32.18</v>
      </c>
      <c r="C661">
        <v>33.490001999999997</v>
      </c>
      <c r="D661">
        <v>30.969999000000001</v>
      </c>
      <c r="E661">
        <v>33.290000999999997</v>
      </c>
      <c r="G661" s="9">
        <v>42240</v>
      </c>
      <c r="H661">
        <v>32.18</v>
      </c>
      <c r="I661">
        <v>33.490001999999997</v>
      </c>
      <c r="J661">
        <v>30.969999000000001</v>
      </c>
    </row>
    <row r="662" spans="1:10" x14ac:dyDescent="0.25">
      <c r="A662" s="9">
        <v>42247</v>
      </c>
      <c r="B662">
        <v>33.200001</v>
      </c>
      <c r="C662">
        <v>33.279998999999997</v>
      </c>
      <c r="D662">
        <v>32.159999999999997</v>
      </c>
      <c r="E662">
        <v>32.560001</v>
      </c>
      <c r="G662" s="9">
        <v>42247</v>
      </c>
      <c r="H662">
        <v>33.200001</v>
      </c>
      <c r="I662">
        <v>33.279998999999997</v>
      </c>
      <c r="J662">
        <v>32.159999999999997</v>
      </c>
    </row>
    <row r="663" spans="1:10" x14ac:dyDescent="0.25">
      <c r="A663" s="9">
        <v>42254</v>
      </c>
      <c r="B663">
        <v>32.950001</v>
      </c>
      <c r="C663">
        <v>33.5</v>
      </c>
      <c r="D663">
        <v>32.549999</v>
      </c>
      <c r="E663">
        <v>32.720001000000003</v>
      </c>
      <c r="G663" s="9">
        <v>42254</v>
      </c>
      <c r="H663">
        <v>32.950001</v>
      </c>
      <c r="I663">
        <v>33.5</v>
      </c>
      <c r="J663">
        <v>32.549999</v>
      </c>
    </row>
    <row r="664" spans="1:10" x14ac:dyDescent="0.25">
      <c r="A664" s="9">
        <v>42261</v>
      </c>
      <c r="B664">
        <v>32.740001999999997</v>
      </c>
      <c r="C664">
        <v>33.139999000000003</v>
      </c>
      <c r="D664">
        <v>32.409999999999997</v>
      </c>
      <c r="E664">
        <v>32.549999</v>
      </c>
      <c r="G664" s="9">
        <v>42261</v>
      </c>
      <c r="H664">
        <v>32.740001999999997</v>
      </c>
      <c r="I664">
        <v>33.139999000000003</v>
      </c>
      <c r="J664">
        <v>32.409999999999997</v>
      </c>
    </row>
    <row r="665" spans="1:10" x14ac:dyDescent="0.25">
      <c r="A665" s="9">
        <v>42268</v>
      </c>
      <c r="B665">
        <v>32.549999</v>
      </c>
      <c r="C665">
        <v>32.700001</v>
      </c>
      <c r="D665">
        <v>31.950001</v>
      </c>
      <c r="E665">
        <v>32.330002</v>
      </c>
      <c r="G665" s="9">
        <v>42268</v>
      </c>
      <c r="H665">
        <v>32.549999</v>
      </c>
      <c r="I665">
        <v>32.700001</v>
      </c>
      <c r="J665">
        <v>31.950001</v>
      </c>
    </row>
    <row r="666" spans="1:10" x14ac:dyDescent="0.25">
      <c r="A666" s="9">
        <v>42275</v>
      </c>
      <c r="B666">
        <v>32.259998000000003</v>
      </c>
      <c r="C666">
        <v>32.709999000000003</v>
      </c>
      <c r="D666">
        <v>31.85</v>
      </c>
      <c r="E666">
        <v>32.639999000000003</v>
      </c>
      <c r="G666" s="9">
        <v>42275</v>
      </c>
      <c r="H666">
        <v>32.259998000000003</v>
      </c>
      <c r="I666">
        <v>32.709999000000003</v>
      </c>
      <c r="J666">
        <v>31.85</v>
      </c>
    </row>
    <row r="667" spans="1:10" x14ac:dyDescent="0.25">
      <c r="A667" s="9">
        <v>42282</v>
      </c>
      <c r="B667">
        <v>32.979999999999997</v>
      </c>
      <c r="C667">
        <v>33.520000000000003</v>
      </c>
      <c r="D667">
        <v>32.869999</v>
      </c>
      <c r="E667">
        <v>33.139999000000003</v>
      </c>
      <c r="G667" s="9">
        <v>42282</v>
      </c>
      <c r="H667">
        <v>32.979999999999997</v>
      </c>
      <c r="I667">
        <v>33.520000000000003</v>
      </c>
      <c r="J667">
        <v>32.869999</v>
      </c>
    </row>
    <row r="668" spans="1:10" x14ac:dyDescent="0.25">
      <c r="A668" s="9">
        <v>42289</v>
      </c>
      <c r="B668">
        <v>33.200001</v>
      </c>
      <c r="C668">
        <v>33.860000999999997</v>
      </c>
      <c r="D668">
        <v>33.060001</v>
      </c>
      <c r="E668">
        <v>33.830002</v>
      </c>
      <c r="G668" s="9">
        <v>42289</v>
      </c>
      <c r="H668">
        <v>33.200001</v>
      </c>
      <c r="I668">
        <v>33.860000999999997</v>
      </c>
      <c r="J668">
        <v>33.060001</v>
      </c>
    </row>
    <row r="669" spans="1:10" x14ac:dyDescent="0.25">
      <c r="A669" s="9">
        <v>42296</v>
      </c>
      <c r="B669">
        <v>33.630001</v>
      </c>
      <c r="C669">
        <v>34.740001999999997</v>
      </c>
      <c r="D669">
        <v>33.330002</v>
      </c>
      <c r="E669">
        <v>33.740001999999997</v>
      </c>
      <c r="G669" s="9">
        <v>42296</v>
      </c>
      <c r="H669">
        <v>33.630001</v>
      </c>
      <c r="I669">
        <v>34.740001999999997</v>
      </c>
      <c r="J669">
        <v>33.330002</v>
      </c>
    </row>
    <row r="670" spans="1:10" x14ac:dyDescent="0.25">
      <c r="A670" s="9">
        <v>42303</v>
      </c>
      <c r="B670">
        <v>33.75</v>
      </c>
      <c r="C670">
        <v>33.759998000000003</v>
      </c>
      <c r="D670">
        <v>33.130001</v>
      </c>
      <c r="E670">
        <v>33.509998000000003</v>
      </c>
      <c r="G670" s="9">
        <v>42303</v>
      </c>
      <c r="H670">
        <v>33.75</v>
      </c>
      <c r="I670">
        <v>33.759998000000003</v>
      </c>
      <c r="J670">
        <v>33.130001</v>
      </c>
    </row>
    <row r="671" spans="1:10" x14ac:dyDescent="0.25">
      <c r="A671" s="9">
        <v>42310</v>
      </c>
      <c r="B671">
        <v>33.689999</v>
      </c>
      <c r="C671">
        <v>33.779998999999997</v>
      </c>
      <c r="D671">
        <v>32.860000999999997</v>
      </c>
      <c r="E671">
        <v>33.159999999999997</v>
      </c>
      <c r="G671" s="9">
        <v>42310</v>
      </c>
      <c r="H671">
        <v>33.689999</v>
      </c>
      <c r="I671">
        <v>33.779998999999997</v>
      </c>
      <c r="J671">
        <v>32.860000999999997</v>
      </c>
    </row>
    <row r="672" spans="1:10" x14ac:dyDescent="0.25">
      <c r="A672" s="9">
        <v>42317</v>
      </c>
      <c r="B672">
        <v>32.959999000000003</v>
      </c>
      <c r="C672">
        <v>33</v>
      </c>
      <c r="D672">
        <v>32.310001</v>
      </c>
      <c r="E672">
        <v>32.310001</v>
      </c>
      <c r="G672" s="9">
        <v>42317</v>
      </c>
      <c r="H672">
        <v>32.959999000000003</v>
      </c>
      <c r="I672">
        <v>33</v>
      </c>
      <c r="J672">
        <v>32.310001</v>
      </c>
    </row>
    <row r="673" spans="1:10" x14ac:dyDescent="0.25">
      <c r="A673" s="9">
        <v>42324</v>
      </c>
      <c r="B673">
        <v>32.349997999999999</v>
      </c>
      <c r="C673">
        <v>33.779998999999997</v>
      </c>
      <c r="D673">
        <v>32.220001000000003</v>
      </c>
      <c r="E673">
        <v>33.659999999999997</v>
      </c>
      <c r="G673" s="9">
        <v>42324</v>
      </c>
      <c r="H673">
        <v>32.349997999999999</v>
      </c>
      <c r="I673">
        <v>33.779998999999997</v>
      </c>
      <c r="J673">
        <v>32.220001000000003</v>
      </c>
    </row>
    <row r="674" spans="1:10" x14ac:dyDescent="0.25">
      <c r="A674" s="9">
        <v>42331</v>
      </c>
      <c r="B674">
        <v>33.659999999999997</v>
      </c>
      <c r="C674">
        <v>33.779998999999997</v>
      </c>
      <c r="D674">
        <v>33.200001</v>
      </c>
      <c r="E674">
        <v>33.57</v>
      </c>
      <c r="G674" s="9">
        <v>42331</v>
      </c>
      <c r="H674">
        <v>33.659999999999997</v>
      </c>
      <c r="I674">
        <v>33.779998999999997</v>
      </c>
      <c r="J674">
        <v>33.200001</v>
      </c>
    </row>
    <row r="675" spans="1:10" x14ac:dyDescent="0.25">
      <c r="A675" s="9">
        <v>42338</v>
      </c>
      <c r="B675">
        <v>33.590000000000003</v>
      </c>
      <c r="C675">
        <v>34.169998</v>
      </c>
      <c r="D675">
        <v>33.009998000000003</v>
      </c>
      <c r="E675">
        <v>34.110000999999997</v>
      </c>
      <c r="G675" s="9">
        <v>42338</v>
      </c>
      <c r="H675">
        <v>33.590000000000003</v>
      </c>
      <c r="I675">
        <v>34.169998</v>
      </c>
      <c r="J675">
        <v>33.009998000000003</v>
      </c>
    </row>
    <row r="676" spans="1:10" x14ac:dyDescent="0.25">
      <c r="A676" s="9">
        <v>42345</v>
      </c>
      <c r="B676">
        <v>33.880001</v>
      </c>
      <c r="C676">
        <v>34.389999000000003</v>
      </c>
      <c r="D676">
        <v>33.090000000000003</v>
      </c>
      <c r="E676">
        <v>33.169998</v>
      </c>
      <c r="G676" s="9">
        <v>42345</v>
      </c>
      <c r="H676">
        <v>33.880001</v>
      </c>
      <c r="I676">
        <v>34.389999000000003</v>
      </c>
      <c r="J676">
        <v>33.090000000000003</v>
      </c>
    </row>
    <row r="677" spans="1:10" x14ac:dyDescent="0.25">
      <c r="A677" s="9">
        <v>42352</v>
      </c>
      <c r="B677">
        <v>33.150002000000001</v>
      </c>
      <c r="C677">
        <v>34.610000999999997</v>
      </c>
      <c r="D677">
        <v>33.110000999999997</v>
      </c>
      <c r="E677">
        <v>33.599997999999999</v>
      </c>
      <c r="G677" s="9">
        <v>42352</v>
      </c>
      <c r="H677">
        <v>33.150002000000001</v>
      </c>
      <c r="I677">
        <v>34.610000999999997</v>
      </c>
      <c r="J677">
        <v>33.110000999999997</v>
      </c>
    </row>
    <row r="678" spans="1:10" x14ac:dyDescent="0.25">
      <c r="A678" s="9">
        <v>42359</v>
      </c>
      <c r="B678">
        <v>33.919998</v>
      </c>
      <c r="C678">
        <v>34.919998</v>
      </c>
      <c r="D678">
        <v>33.75</v>
      </c>
      <c r="E678">
        <v>34.659999999999997</v>
      </c>
      <c r="G678" s="9">
        <v>42359</v>
      </c>
      <c r="H678">
        <v>33.919998</v>
      </c>
      <c r="I678">
        <v>34.919998</v>
      </c>
      <c r="J678">
        <v>33.75</v>
      </c>
    </row>
    <row r="679" spans="1:10" x14ac:dyDescent="0.25">
      <c r="A679" s="9">
        <v>42366</v>
      </c>
      <c r="B679">
        <v>34.619999</v>
      </c>
      <c r="C679">
        <v>34.990001999999997</v>
      </c>
      <c r="D679">
        <v>34.389999000000003</v>
      </c>
      <c r="E679">
        <v>34.409999999999997</v>
      </c>
      <c r="G679" s="9">
        <v>42366</v>
      </c>
      <c r="H679">
        <v>34.619999</v>
      </c>
      <c r="I679">
        <v>34.990001999999997</v>
      </c>
      <c r="J679">
        <v>34.389999000000003</v>
      </c>
    </row>
    <row r="680" spans="1:10" x14ac:dyDescent="0.25">
      <c r="A680" s="9">
        <v>42373</v>
      </c>
      <c r="B680">
        <v>34.080002</v>
      </c>
      <c r="C680">
        <v>34.689999</v>
      </c>
      <c r="D680">
        <v>33.409999999999997</v>
      </c>
      <c r="E680">
        <v>33.540000999999997</v>
      </c>
      <c r="G680" s="9">
        <v>42373</v>
      </c>
      <c r="H680">
        <v>34.080002</v>
      </c>
      <c r="I680">
        <v>34.689999</v>
      </c>
      <c r="J680">
        <v>33.409999999999997</v>
      </c>
    </row>
    <row r="681" spans="1:10" x14ac:dyDescent="0.25">
      <c r="A681" s="9">
        <v>42380</v>
      </c>
      <c r="B681">
        <v>33.759998000000003</v>
      </c>
      <c r="C681">
        <v>34.549999</v>
      </c>
      <c r="D681">
        <v>33.529998999999997</v>
      </c>
      <c r="E681">
        <v>33.990001999999997</v>
      </c>
      <c r="G681" s="9">
        <v>42380</v>
      </c>
      <c r="H681">
        <v>33.759998000000003</v>
      </c>
      <c r="I681">
        <v>34.549999</v>
      </c>
      <c r="J681">
        <v>33.529998999999997</v>
      </c>
    </row>
    <row r="682" spans="1:10" x14ac:dyDescent="0.25">
      <c r="A682" s="9">
        <v>42387</v>
      </c>
      <c r="B682">
        <v>34.209999000000003</v>
      </c>
      <c r="C682">
        <v>35.18</v>
      </c>
      <c r="D682">
        <v>33.43</v>
      </c>
      <c r="E682">
        <v>35.139999000000003</v>
      </c>
      <c r="G682" s="9">
        <v>42387</v>
      </c>
      <c r="H682">
        <v>34.209999000000003</v>
      </c>
      <c r="I682">
        <v>35.18</v>
      </c>
      <c r="J682">
        <v>33.43</v>
      </c>
    </row>
    <row r="683" spans="1:10" x14ac:dyDescent="0.25">
      <c r="A683" s="9">
        <v>42394</v>
      </c>
      <c r="B683">
        <v>35.189999</v>
      </c>
      <c r="C683">
        <v>36.060001</v>
      </c>
      <c r="D683">
        <v>34.770000000000003</v>
      </c>
      <c r="E683">
        <v>36.060001</v>
      </c>
      <c r="G683" s="9">
        <v>42394</v>
      </c>
      <c r="H683">
        <v>35.189999</v>
      </c>
      <c r="I683">
        <v>36.060001</v>
      </c>
      <c r="J683">
        <v>34.770000000000003</v>
      </c>
    </row>
    <row r="684" spans="1:10" x14ac:dyDescent="0.25">
      <c r="A684" s="9">
        <v>42401</v>
      </c>
      <c r="B684">
        <v>36.040000999999997</v>
      </c>
      <c r="C684">
        <v>37.040000999999997</v>
      </c>
      <c r="D684">
        <v>35.790000999999997</v>
      </c>
      <c r="E684">
        <v>36.880001</v>
      </c>
      <c r="G684" s="9">
        <v>42401</v>
      </c>
      <c r="H684">
        <v>36.040000999999997</v>
      </c>
      <c r="I684">
        <v>37.040000999999997</v>
      </c>
      <c r="J684">
        <v>35.790000999999997</v>
      </c>
    </row>
    <row r="685" spans="1:10" x14ac:dyDescent="0.25">
      <c r="A685" s="9">
        <v>42408</v>
      </c>
      <c r="B685">
        <v>36.599997999999999</v>
      </c>
      <c r="C685">
        <v>37.119999</v>
      </c>
      <c r="D685">
        <v>35.909999999999997</v>
      </c>
      <c r="E685">
        <v>36.470001000000003</v>
      </c>
      <c r="G685" s="9">
        <v>42408</v>
      </c>
      <c r="H685">
        <v>36.599997999999999</v>
      </c>
      <c r="I685">
        <v>37.119999</v>
      </c>
      <c r="J685">
        <v>35.909999999999997</v>
      </c>
    </row>
    <row r="686" spans="1:10" x14ac:dyDescent="0.25">
      <c r="A686" s="9">
        <v>42415</v>
      </c>
      <c r="B686">
        <v>36.68</v>
      </c>
      <c r="C686">
        <v>37</v>
      </c>
      <c r="D686">
        <v>36.189999</v>
      </c>
      <c r="E686">
        <v>36.57</v>
      </c>
      <c r="G686" s="9">
        <v>42415</v>
      </c>
      <c r="H686">
        <v>36.68</v>
      </c>
      <c r="I686">
        <v>37</v>
      </c>
      <c r="J686">
        <v>36.189999</v>
      </c>
    </row>
    <row r="687" spans="1:10" x14ac:dyDescent="0.25">
      <c r="A687" s="9">
        <v>42422</v>
      </c>
      <c r="B687">
        <v>36.740001999999997</v>
      </c>
      <c r="C687">
        <v>37.5</v>
      </c>
      <c r="D687">
        <v>36.509998000000003</v>
      </c>
      <c r="E687">
        <v>37.130001</v>
      </c>
      <c r="G687" s="9">
        <v>42422</v>
      </c>
      <c r="H687">
        <v>36.740001999999997</v>
      </c>
      <c r="I687">
        <v>37.5</v>
      </c>
      <c r="J687">
        <v>36.509998000000003</v>
      </c>
    </row>
    <row r="688" spans="1:10" x14ac:dyDescent="0.25">
      <c r="A688" s="9">
        <v>42429</v>
      </c>
      <c r="B688">
        <v>37.119999</v>
      </c>
      <c r="C688">
        <v>38.139999000000003</v>
      </c>
      <c r="D688">
        <v>36.950001</v>
      </c>
      <c r="E688">
        <v>37.93</v>
      </c>
      <c r="G688" s="9">
        <v>42429</v>
      </c>
      <c r="H688">
        <v>37.119999</v>
      </c>
      <c r="I688">
        <v>38.139999000000003</v>
      </c>
      <c r="J688">
        <v>36.950001</v>
      </c>
    </row>
    <row r="689" spans="1:10" x14ac:dyDescent="0.25">
      <c r="A689" s="9">
        <v>42436</v>
      </c>
      <c r="B689">
        <v>37.799999</v>
      </c>
      <c r="C689">
        <v>38.549999</v>
      </c>
      <c r="D689">
        <v>37.610000999999997</v>
      </c>
      <c r="E689">
        <v>38.360000999999997</v>
      </c>
      <c r="G689" s="9">
        <v>42436</v>
      </c>
      <c r="H689">
        <v>37.799999</v>
      </c>
      <c r="I689">
        <v>38.549999</v>
      </c>
      <c r="J689">
        <v>37.610000999999997</v>
      </c>
    </row>
    <row r="690" spans="1:10" x14ac:dyDescent="0.25">
      <c r="A690" s="9">
        <v>42443</v>
      </c>
      <c r="B690">
        <v>38.369999</v>
      </c>
      <c r="C690">
        <v>39.259998000000003</v>
      </c>
      <c r="D690">
        <v>38.099997999999999</v>
      </c>
      <c r="E690">
        <v>38.560001</v>
      </c>
      <c r="G690" s="9">
        <v>42443</v>
      </c>
      <c r="H690">
        <v>38.369999</v>
      </c>
      <c r="I690">
        <v>39.259998000000003</v>
      </c>
      <c r="J690">
        <v>38.099997999999999</v>
      </c>
    </row>
    <row r="691" spans="1:10" x14ac:dyDescent="0.25">
      <c r="A691" s="9">
        <v>42450</v>
      </c>
      <c r="B691">
        <v>38.659999999999997</v>
      </c>
      <c r="C691">
        <v>39.07</v>
      </c>
      <c r="D691">
        <v>38.369999</v>
      </c>
      <c r="E691">
        <v>38.880001</v>
      </c>
      <c r="G691" s="9">
        <v>42450</v>
      </c>
      <c r="H691">
        <v>38.659999999999997</v>
      </c>
      <c r="I691">
        <v>39.07</v>
      </c>
      <c r="J691">
        <v>38.369999</v>
      </c>
    </row>
    <row r="692" spans="1:10" x14ac:dyDescent="0.25">
      <c r="A692" s="9">
        <v>42457</v>
      </c>
      <c r="B692">
        <v>39</v>
      </c>
      <c r="C692">
        <v>39.720001000000003</v>
      </c>
      <c r="D692">
        <v>38.610000999999997</v>
      </c>
      <c r="E692">
        <v>39.049999</v>
      </c>
      <c r="G692" s="9">
        <v>42457</v>
      </c>
      <c r="H692">
        <v>39</v>
      </c>
      <c r="I692">
        <v>39.720001000000003</v>
      </c>
      <c r="J692">
        <v>38.610000999999997</v>
      </c>
    </row>
    <row r="693" spans="1:10" x14ac:dyDescent="0.25">
      <c r="A693" s="9">
        <v>42464</v>
      </c>
      <c r="B693">
        <v>39.159999999999997</v>
      </c>
      <c r="C693">
        <v>39.360000999999997</v>
      </c>
      <c r="D693">
        <v>38.220001000000003</v>
      </c>
      <c r="E693">
        <v>38.5</v>
      </c>
      <c r="G693" s="9">
        <v>42464</v>
      </c>
      <c r="H693">
        <v>39.159999999999997</v>
      </c>
      <c r="I693">
        <v>39.360000999999997</v>
      </c>
      <c r="J693">
        <v>38.220001000000003</v>
      </c>
    </row>
    <row r="694" spans="1:10" x14ac:dyDescent="0.25">
      <c r="A694" s="9">
        <v>42471</v>
      </c>
      <c r="B694">
        <v>38.669998</v>
      </c>
      <c r="C694">
        <v>38.840000000000003</v>
      </c>
      <c r="D694">
        <v>38.189999</v>
      </c>
      <c r="E694">
        <v>38.479999999999997</v>
      </c>
      <c r="G694" s="9">
        <v>42471</v>
      </c>
      <c r="H694">
        <v>38.669998</v>
      </c>
      <c r="I694">
        <v>38.840000000000003</v>
      </c>
      <c r="J694">
        <v>38.189999</v>
      </c>
    </row>
    <row r="695" spans="1:10" x14ac:dyDescent="0.25">
      <c r="A695" s="9">
        <v>42478</v>
      </c>
      <c r="B695">
        <v>38.479999999999997</v>
      </c>
      <c r="C695">
        <v>39.009998000000003</v>
      </c>
      <c r="D695">
        <v>37.849997999999999</v>
      </c>
      <c r="E695">
        <v>38.07</v>
      </c>
      <c r="G695" s="9">
        <v>42478</v>
      </c>
      <c r="H695">
        <v>38.479999999999997</v>
      </c>
      <c r="I695">
        <v>39.009998000000003</v>
      </c>
      <c r="J695">
        <v>37.849997999999999</v>
      </c>
    </row>
    <row r="696" spans="1:10" x14ac:dyDescent="0.25">
      <c r="A696" s="9">
        <v>42485</v>
      </c>
      <c r="B696">
        <v>38.029998999999997</v>
      </c>
      <c r="C696">
        <v>38.909999999999997</v>
      </c>
      <c r="D696">
        <v>37.729999999999997</v>
      </c>
      <c r="E696">
        <v>38.82</v>
      </c>
      <c r="G696" s="9">
        <v>42485</v>
      </c>
      <c r="H696">
        <v>38.029998999999997</v>
      </c>
      <c r="I696">
        <v>38.909999999999997</v>
      </c>
      <c r="J696">
        <v>37.729999999999997</v>
      </c>
    </row>
    <row r="697" spans="1:10" x14ac:dyDescent="0.25">
      <c r="A697" s="9">
        <v>42492</v>
      </c>
      <c r="B697">
        <v>38.869999</v>
      </c>
      <c r="C697">
        <v>39.150002000000001</v>
      </c>
      <c r="D697">
        <v>38.470001000000003</v>
      </c>
      <c r="E697">
        <v>38.990001999999997</v>
      </c>
      <c r="G697" s="9">
        <v>42492</v>
      </c>
      <c r="H697">
        <v>38.869999</v>
      </c>
      <c r="I697">
        <v>39.150002000000001</v>
      </c>
      <c r="J697">
        <v>38.470001000000003</v>
      </c>
    </row>
    <row r="698" spans="1:10" x14ac:dyDescent="0.25">
      <c r="A698" s="9">
        <v>42499</v>
      </c>
      <c r="B698">
        <v>38.990001999999997</v>
      </c>
      <c r="C698">
        <v>39.669998</v>
      </c>
      <c r="D698">
        <v>38.830002</v>
      </c>
      <c r="E698">
        <v>39.150002000000001</v>
      </c>
      <c r="G698" s="9">
        <v>42499</v>
      </c>
      <c r="H698">
        <v>38.990001999999997</v>
      </c>
      <c r="I698">
        <v>39.669998</v>
      </c>
      <c r="J698">
        <v>38.830002</v>
      </c>
    </row>
    <row r="699" spans="1:10" x14ac:dyDescent="0.25">
      <c r="A699" s="9">
        <v>42506</v>
      </c>
      <c r="B699">
        <v>38.950001</v>
      </c>
      <c r="C699">
        <v>39.330002</v>
      </c>
      <c r="D699">
        <v>37.770000000000003</v>
      </c>
      <c r="E699">
        <v>38.450001</v>
      </c>
      <c r="G699" s="9">
        <v>42506</v>
      </c>
      <c r="H699">
        <v>38.950001</v>
      </c>
      <c r="I699">
        <v>39.330002</v>
      </c>
      <c r="J699">
        <v>37.770000000000003</v>
      </c>
    </row>
    <row r="700" spans="1:10" x14ac:dyDescent="0.25">
      <c r="A700" s="9">
        <v>42513</v>
      </c>
      <c r="B700">
        <v>38.490001999999997</v>
      </c>
      <c r="C700">
        <v>38.990001999999997</v>
      </c>
      <c r="D700">
        <v>38.259998000000003</v>
      </c>
      <c r="E700">
        <v>38.990001999999997</v>
      </c>
      <c r="G700" s="9">
        <v>42513</v>
      </c>
      <c r="H700">
        <v>38.490001999999997</v>
      </c>
      <c r="I700">
        <v>38.990001999999997</v>
      </c>
      <c r="J700">
        <v>38.259998000000003</v>
      </c>
    </row>
    <row r="701" spans="1:10" x14ac:dyDescent="0.25">
      <c r="A701" s="9">
        <v>42520</v>
      </c>
      <c r="B701">
        <v>39.029998999999997</v>
      </c>
      <c r="C701">
        <v>39.270000000000003</v>
      </c>
      <c r="D701">
        <v>38.580002</v>
      </c>
      <c r="E701">
        <v>39.209999000000003</v>
      </c>
      <c r="G701" s="9">
        <v>42520</v>
      </c>
      <c r="H701">
        <v>39.029998999999997</v>
      </c>
      <c r="I701">
        <v>39.270000000000003</v>
      </c>
      <c r="J701">
        <v>38.580002</v>
      </c>
    </row>
    <row r="702" spans="1:10" x14ac:dyDescent="0.25">
      <c r="A702" s="9">
        <v>42527</v>
      </c>
      <c r="B702">
        <v>39.220001000000003</v>
      </c>
      <c r="C702">
        <v>40.529998999999997</v>
      </c>
      <c r="D702">
        <v>39.18</v>
      </c>
      <c r="E702">
        <v>40.330002</v>
      </c>
      <c r="G702" s="9">
        <v>42527</v>
      </c>
      <c r="H702">
        <v>39.220001000000003</v>
      </c>
      <c r="I702">
        <v>40.529998999999997</v>
      </c>
      <c r="J702">
        <v>39.18</v>
      </c>
    </row>
    <row r="703" spans="1:10" x14ac:dyDescent="0.25">
      <c r="A703" s="9">
        <v>42534</v>
      </c>
      <c r="B703">
        <v>40.189999</v>
      </c>
      <c r="C703">
        <v>40.860000999999997</v>
      </c>
      <c r="D703">
        <v>39.93</v>
      </c>
      <c r="E703">
        <v>40.729999999999997</v>
      </c>
      <c r="G703" s="9">
        <v>42534</v>
      </c>
      <c r="H703">
        <v>40.189999</v>
      </c>
      <c r="I703">
        <v>40.860000999999997</v>
      </c>
      <c r="J703">
        <v>39.93</v>
      </c>
    </row>
    <row r="704" spans="1:10" x14ac:dyDescent="0.25">
      <c r="A704" s="9">
        <v>42541</v>
      </c>
      <c r="B704">
        <v>41.040000999999997</v>
      </c>
      <c r="C704">
        <v>42.23</v>
      </c>
      <c r="D704">
        <v>40.529998999999997</v>
      </c>
      <c r="E704">
        <v>41.52</v>
      </c>
      <c r="G704" s="9">
        <v>42541</v>
      </c>
      <c r="H704">
        <v>41.040000999999997</v>
      </c>
      <c r="I704">
        <v>42.23</v>
      </c>
      <c r="J704">
        <v>40.529998999999997</v>
      </c>
    </row>
    <row r="705" spans="1:10" x14ac:dyDescent="0.25">
      <c r="A705" s="9">
        <v>42548</v>
      </c>
      <c r="B705">
        <v>41.290000999999997</v>
      </c>
      <c r="C705">
        <v>43.549999</v>
      </c>
      <c r="D705">
        <v>41.290000999999997</v>
      </c>
      <c r="E705">
        <v>43.470001000000003</v>
      </c>
      <c r="G705" s="9">
        <v>42548</v>
      </c>
      <c r="H705">
        <v>41.290000999999997</v>
      </c>
      <c r="I705">
        <v>43.549999</v>
      </c>
      <c r="J705">
        <v>41.290000999999997</v>
      </c>
    </row>
    <row r="706" spans="1:10" x14ac:dyDescent="0.25">
      <c r="A706" s="9">
        <v>42555</v>
      </c>
      <c r="B706">
        <v>43.5</v>
      </c>
      <c r="C706">
        <v>43.889999000000003</v>
      </c>
      <c r="D706">
        <v>41.700001</v>
      </c>
      <c r="E706">
        <v>42.610000999999997</v>
      </c>
      <c r="G706" s="9">
        <v>42555</v>
      </c>
      <c r="H706">
        <v>43.5</v>
      </c>
      <c r="I706">
        <v>43.889999000000003</v>
      </c>
      <c r="J706">
        <v>41.700001</v>
      </c>
    </row>
    <row r="707" spans="1:10" x14ac:dyDescent="0.25">
      <c r="A707" s="9">
        <v>42562</v>
      </c>
      <c r="B707">
        <v>42.470001000000003</v>
      </c>
      <c r="C707">
        <v>43.080002</v>
      </c>
      <c r="D707">
        <v>42.209999000000003</v>
      </c>
      <c r="E707">
        <v>42.889999000000003</v>
      </c>
      <c r="G707" s="9">
        <v>42562</v>
      </c>
      <c r="H707">
        <v>42.470001000000003</v>
      </c>
      <c r="I707">
        <v>43.080002</v>
      </c>
      <c r="J707">
        <v>42.209999000000003</v>
      </c>
    </row>
    <row r="708" spans="1:10" x14ac:dyDescent="0.25">
      <c r="A708" s="9">
        <v>42569</v>
      </c>
      <c r="B708">
        <v>42.860000999999997</v>
      </c>
      <c r="C708">
        <v>43.439999</v>
      </c>
      <c r="D708">
        <v>42.34</v>
      </c>
      <c r="E708">
        <v>43.110000999999997</v>
      </c>
      <c r="G708" s="9">
        <v>42569</v>
      </c>
      <c r="H708">
        <v>42.860000999999997</v>
      </c>
      <c r="I708">
        <v>43.439999</v>
      </c>
      <c r="J708">
        <v>42.34</v>
      </c>
    </row>
    <row r="709" spans="1:10" x14ac:dyDescent="0.25">
      <c r="A709" s="9">
        <v>42576</v>
      </c>
      <c r="B709">
        <v>42.93</v>
      </c>
      <c r="C709">
        <v>43.389999000000003</v>
      </c>
      <c r="D709">
        <v>42.279998999999997</v>
      </c>
      <c r="E709">
        <v>43.290000999999997</v>
      </c>
      <c r="G709" s="9">
        <v>42576</v>
      </c>
      <c r="H709">
        <v>42.93</v>
      </c>
      <c r="I709">
        <v>43.389999000000003</v>
      </c>
      <c r="J709">
        <v>42.279998999999997</v>
      </c>
    </row>
    <row r="710" spans="1:10" x14ac:dyDescent="0.25">
      <c r="A710" s="9">
        <v>42583</v>
      </c>
      <c r="B710">
        <v>43.25</v>
      </c>
      <c r="C710">
        <v>43.5</v>
      </c>
      <c r="D710">
        <v>42.77</v>
      </c>
      <c r="E710">
        <v>43.16</v>
      </c>
      <c r="G710" s="9">
        <v>42583</v>
      </c>
      <c r="H710">
        <v>43.25</v>
      </c>
      <c r="I710">
        <v>43.5</v>
      </c>
      <c r="J710">
        <v>42.77</v>
      </c>
    </row>
    <row r="711" spans="1:10" x14ac:dyDescent="0.25">
      <c r="A711" s="9">
        <v>42590</v>
      </c>
      <c r="B711">
        <v>43.169998</v>
      </c>
      <c r="C711">
        <v>43.48</v>
      </c>
      <c r="D711">
        <v>42.779998999999997</v>
      </c>
      <c r="E711">
        <v>43.279998999999997</v>
      </c>
      <c r="G711" s="9">
        <v>42590</v>
      </c>
      <c r="H711">
        <v>43.169998</v>
      </c>
      <c r="I711">
        <v>43.48</v>
      </c>
      <c r="J711">
        <v>42.779998999999997</v>
      </c>
    </row>
    <row r="712" spans="1:10" x14ac:dyDescent="0.25">
      <c r="A712" s="9">
        <v>42597</v>
      </c>
      <c r="B712">
        <v>43.209999000000003</v>
      </c>
      <c r="C712">
        <v>43.32</v>
      </c>
      <c r="D712">
        <v>40.689999</v>
      </c>
      <c r="E712">
        <v>41.009998000000003</v>
      </c>
      <c r="G712" s="9">
        <v>42597</v>
      </c>
      <c r="H712">
        <v>43.209999000000003</v>
      </c>
      <c r="I712">
        <v>43.32</v>
      </c>
      <c r="J712">
        <v>40.689999</v>
      </c>
    </row>
    <row r="713" spans="1:10" x14ac:dyDescent="0.25">
      <c r="A713" s="9">
        <v>42604</v>
      </c>
      <c r="B713">
        <v>40.919998</v>
      </c>
      <c r="C713">
        <v>41.290000999999997</v>
      </c>
      <c r="D713">
        <v>40.549999</v>
      </c>
      <c r="E713">
        <v>40.68</v>
      </c>
      <c r="G713" s="9">
        <v>42604</v>
      </c>
      <c r="H713">
        <v>40.919998</v>
      </c>
      <c r="I713">
        <v>41.290000999999997</v>
      </c>
      <c r="J713">
        <v>40.549999</v>
      </c>
    </row>
    <row r="714" spans="1:10" x14ac:dyDescent="0.25">
      <c r="A714" s="9">
        <v>42611</v>
      </c>
      <c r="B714">
        <v>40.799999</v>
      </c>
      <c r="C714">
        <v>41.380001</v>
      </c>
      <c r="D714">
        <v>40.650002000000001</v>
      </c>
      <c r="E714">
        <v>40.950001</v>
      </c>
      <c r="G714" s="9">
        <v>42611</v>
      </c>
      <c r="H714">
        <v>40.799999</v>
      </c>
      <c r="I714">
        <v>41.380001</v>
      </c>
      <c r="J714">
        <v>40.650002000000001</v>
      </c>
    </row>
    <row r="715" spans="1:10" x14ac:dyDescent="0.25">
      <c r="A715" s="9">
        <v>42618</v>
      </c>
      <c r="B715">
        <v>41.02</v>
      </c>
      <c r="C715">
        <v>41.389999000000003</v>
      </c>
      <c r="D715">
        <v>39.68</v>
      </c>
      <c r="E715">
        <v>39.709999000000003</v>
      </c>
      <c r="G715" s="9">
        <v>42618</v>
      </c>
      <c r="H715">
        <v>41.02</v>
      </c>
      <c r="I715">
        <v>41.389999000000003</v>
      </c>
      <c r="J715">
        <v>39.68</v>
      </c>
    </row>
    <row r="716" spans="1:10" x14ac:dyDescent="0.25">
      <c r="A716" s="9">
        <v>42625</v>
      </c>
      <c r="B716">
        <v>39.57</v>
      </c>
      <c r="C716">
        <v>40.849997999999999</v>
      </c>
      <c r="D716">
        <v>39.549999</v>
      </c>
      <c r="E716">
        <v>40.200001</v>
      </c>
      <c r="G716" s="9">
        <v>42625</v>
      </c>
      <c r="H716">
        <v>39.57</v>
      </c>
      <c r="I716">
        <v>40.849997999999999</v>
      </c>
      <c r="J716">
        <v>39.549999</v>
      </c>
    </row>
    <row r="717" spans="1:10" x14ac:dyDescent="0.25">
      <c r="A717" s="9">
        <v>42632</v>
      </c>
      <c r="B717">
        <v>40.200001</v>
      </c>
      <c r="C717">
        <v>41.389999000000003</v>
      </c>
      <c r="D717">
        <v>39.860000999999997</v>
      </c>
      <c r="E717">
        <v>41.279998999999997</v>
      </c>
      <c r="G717" s="9">
        <v>42632</v>
      </c>
      <c r="H717">
        <v>40.200001</v>
      </c>
      <c r="I717">
        <v>41.389999000000003</v>
      </c>
      <c r="J717">
        <v>39.860000999999997</v>
      </c>
    </row>
    <row r="718" spans="1:10" x14ac:dyDescent="0.25">
      <c r="A718" s="9">
        <v>42639</v>
      </c>
      <c r="B718">
        <v>41.279998999999997</v>
      </c>
      <c r="C718">
        <v>41.700001</v>
      </c>
      <c r="D718">
        <v>40.439999</v>
      </c>
      <c r="E718">
        <v>40.610000999999997</v>
      </c>
      <c r="G718" s="9">
        <v>42639</v>
      </c>
      <c r="H718">
        <v>41.279998999999997</v>
      </c>
      <c r="I718">
        <v>41.700001</v>
      </c>
      <c r="J718">
        <v>40.439999</v>
      </c>
    </row>
    <row r="719" spans="1:10" x14ac:dyDescent="0.25">
      <c r="A719" s="9">
        <v>42646</v>
      </c>
      <c r="B719">
        <v>40.619999</v>
      </c>
      <c r="C719">
        <v>41.040000999999997</v>
      </c>
      <c r="D719">
        <v>38.709999000000003</v>
      </c>
      <c r="E719">
        <v>38.869999</v>
      </c>
      <c r="G719" s="9">
        <v>42646</v>
      </c>
      <c r="H719">
        <v>40.619999</v>
      </c>
      <c r="I719">
        <v>41.040000999999997</v>
      </c>
      <c r="J719">
        <v>38.709999000000003</v>
      </c>
    </row>
    <row r="720" spans="1:10" x14ac:dyDescent="0.25">
      <c r="A720" s="9">
        <v>42653</v>
      </c>
      <c r="B720">
        <v>38.93</v>
      </c>
      <c r="C720">
        <v>39.580002</v>
      </c>
      <c r="D720">
        <v>38.209999000000003</v>
      </c>
      <c r="E720">
        <v>39.220001000000003</v>
      </c>
      <c r="G720" s="9">
        <v>42653</v>
      </c>
      <c r="H720">
        <v>38.93</v>
      </c>
      <c r="I720">
        <v>39.580002</v>
      </c>
      <c r="J720">
        <v>38.209999000000003</v>
      </c>
    </row>
    <row r="721" spans="1:10" x14ac:dyDescent="0.25">
      <c r="A721" s="9">
        <v>42660</v>
      </c>
      <c r="B721">
        <v>39.099997999999999</v>
      </c>
      <c r="C721">
        <v>39.57</v>
      </c>
      <c r="D721">
        <v>36.959999000000003</v>
      </c>
      <c r="E721">
        <v>37.490001999999997</v>
      </c>
      <c r="G721" s="9">
        <v>42660</v>
      </c>
      <c r="H721">
        <v>39.099997999999999</v>
      </c>
      <c r="I721">
        <v>39.57</v>
      </c>
      <c r="J721">
        <v>36.959999000000003</v>
      </c>
    </row>
    <row r="722" spans="1:10" x14ac:dyDescent="0.25">
      <c r="A722" s="9">
        <v>42667</v>
      </c>
      <c r="B722">
        <v>36.509998000000003</v>
      </c>
      <c r="C722">
        <v>37.330002</v>
      </c>
      <c r="D722">
        <v>36.270000000000003</v>
      </c>
      <c r="E722">
        <v>36.509998000000003</v>
      </c>
      <c r="G722" s="9">
        <v>42667</v>
      </c>
      <c r="H722">
        <v>36.509998000000003</v>
      </c>
      <c r="I722">
        <v>37.330002</v>
      </c>
      <c r="J722">
        <v>36.270000000000003</v>
      </c>
    </row>
    <row r="723" spans="1:10" x14ac:dyDescent="0.25">
      <c r="A723" s="9">
        <v>42674</v>
      </c>
      <c r="B723">
        <v>36.610000999999997</v>
      </c>
      <c r="C723">
        <v>37.189999</v>
      </c>
      <c r="D723">
        <v>36.299999</v>
      </c>
      <c r="E723">
        <v>36.5</v>
      </c>
      <c r="G723" s="9">
        <v>42674</v>
      </c>
      <c r="H723">
        <v>36.610000999999997</v>
      </c>
      <c r="I723">
        <v>37.189999</v>
      </c>
      <c r="J723">
        <v>36.299999</v>
      </c>
    </row>
    <row r="724" spans="1:10" x14ac:dyDescent="0.25">
      <c r="A724" s="9">
        <v>42681</v>
      </c>
      <c r="B724">
        <v>36.790000999999997</v>
      </c>
      <c r="C724">
        <v>37.529998999999997</v>
      </c>
      <c r="D724">
        <v>36.299999</v>
      </c>
      <c r="E724">
        <v>36.509998000000003</v>
      </c>
      <c r="G724" s="9">
        <v>42681</v>
      </c>
      <c r="H724">
        <v>36.790000999999997</v>
      </c>
      <c r="I724">
        <v>37.529998999999997</v>
      </c>
      <c r="J724">
        <v>36.299999</v>
      </c>
    </row>
    <row r="725" spans="1:10" x14ac:dyDescent="0.25">
      <c r="A725" s="9">
        <v>42688</v>
      </c>
      <c r="B725">
        <v>36.610000999999997</v>
      </c>
      <c r="C725">
        <v>37.689999</v>
      </c>
      <c r="D725">
        <v>36.099997999999999</v>
      </c>
      <c r="E725">
        <v>37.560001</v>
      </c>
      <c r="G725" s="9">
        <v>42688</v>
      </c>
      <c r="H725">
        <v>36.610000999999997</v>
      </c>
      <c r="I725">
        <v>37.689999</v>
      </c>
      <c r="J725">
        <v>36.099997999999999</v>
      </c>
    </row>
    <row r="726" spans="1:10" x14ac:dyDescent="0.25">
      <c r="A726" s="9">
        <v>42695</v>
      </c>
      <c r="B726">
        <v>37.669998</v>
      </c>
      <c r="C726">
        <v>39.209999000000003</v>
      </c>
      <c r="D726">
        <v>37.459999000000003</v>
      </c>
      <c r="E726">
        <v>39.209999000000003</v>
      </c>
      <c r="G726" s="9">
        <v>42695</v>
      </c>
      <c r="H726">
        <v>37.669998</v>
      </c>
      <c r="I726">
        <v>39.209999000000003</v>
      </c>
      <c r="J726">
        <v>37.459999000000003</v>
      </c>
    </row>
    <row r="727" spans="1:10" x14ac:dyDescent="0.25">
      <c r="A727" s="9">
        <v>42702</v>
      </c>
      <c r="B727">
        <v>39.18</v>
      </c>
      <c r="C727">
        <v>39.669998</v>
      </c>
      <c r="D727">
        <v>38.159999999999997</v>
      </c>
      <c r="E727">
        <v>38.610000999999997</v>
      </c>
      <c r="G727" s="9">
        <v>42702</v>
      </c>
      <c r="H727">
        <v>39.18</v>
      </c>
      <c r="I727">
        <v>39.669998</v>
      </c>
      <c r="J727">
        <v>38.159999999999997</v>
      </c>
    </row>
    <row r="728" spans="1:10" x14ac:dyDescent="0.25">
      <c r="A728" s="9">
        <v>42709</v>
      </c>
      <c r="B728">
        <v>38.700001</v>
      </c>
      <c r="C728">
        <v>40.75</v>
      </c>
      <c r="D728">
        <v>38.630001</v>
      </c>
      <c r="E728">
        <v>40.380001</v>
      </c>
      <c r="G728" s="9">
        <v>42709</v>
      </c>
      <c r="H728">
        <v>38.700001</v>
      </c>
      <c r="I728">
        <v>40.75</v>
      </c>
      <c r="J728">
        <v>38.630001</v>
      </c>
    </row>
    <row r="729" spans="1:10" x14ac:dyDescent="0.25">
      <c r="A729" s="9">
        <v>42716</v>
      </c>
      <c r="B729">
        <v>40.560001</v>
      </c>
      <c r="C729">
        <v>41.75</v>
      </c>
      <c r="D729">
        <v>40.529998999999997</v>
      </c>
      <c r="E729">
        <v>41.669998</v>
      </c>
      <c r="G729" s="9">
        <v>42716</v>
      </c>
      <c r="H729">
        <v>40.560001</v>
      </c>
      <c r="I729">
        <v>41.75</v>
      </c>
      <c r="J729">
        <v>40.529998999999997</v>
      </c>
    </row>
    <row r="730" spans="1:10" x14ac:dyDescent="0.25">
      <c r="A730" s="9">
        <v>42723</v>
      </c>
      <c r="B730">
        <v>41.669998</v>
      </c>
      <c r="C730">
        <v>42.799999</v>
      </c>
      <c r="D730">
        <v>41.450001</v>
      </c>
      <c r="E730">
        <v>42.73</v>
      </c>
      <c r="G730" s="9">
        <v>42723</v>
      </c>
      <c r="H730">
        <v>41.669998</v>
      </c>
      <c r="I730">
        <v>42.799999</v>
      </c>
      <c r="J730">
        <v>41.450001</v>
      </c>
    </row>
    <row r="731" spans="1:10" x14ac:dyDescent="0.25">
      <c r="A731" s="9">
        <v>42730</v>
      </c>
      <c r="B731">
        <v>42.73</v>
      </c>
      <c r="C731">
        <v>42.84</v>
      </c>
      <c r="D731">
        <v>42.450001</v>
      </c>
      <c r="E731">
        <v>42.529998999999997</v>
      </c>
      <c r="G731" s="9">
        <v>42730</v>
      </c>
      <c r="H731">
        <v>42.73</v>
      </c>
      <c r="I731">
        <v>42.84</v>
      </c>
      <c r="J731">
        <v>42.450001</v>
      </c>
    </row>
    <row r="732" spans="1:10" x14ac:dyDescent="0.25">
      <c r="A732" s="9">
        <v>42737</v>
      </c>
      <c r="B732">
        <v>42.689999</v>
      </c>
      <c r="C732">
        <v>43.029998999999997</v>
      </c>
      <c r="D732">
        <v>41.209999000000003</v>
      </c>
      <c r="E732">
        <v>41.32</v>
      </c>
      <c r="G732" s="9">
        <v>42737</v>
      </c>
      <c r="H732">
        <v>42.689999</v>
      </c>
      <c r="I732">
        <v>43.029998999999997</v>
      </c>
      <c r="J732">
        <v>41.209999000000003</v>
      </c>
    </row>
    <row r="733" spans="1:10" x14ac:dyDescent="0.25">
      <c r="A733" s="9">
        <v>42744</v>
      </c>
      <c r="B733">
        <v>41.290000999999997</v>
      </c>
      <c r="C733">
        <v>41.400002000000001</v>
      </c>
      <c r="D733">
        <v>40.240001999999997</v>
      </c>
      <c r="E733">
        <v>40.959999000000003</v>
      </c>
      <c r="G733" s="9">
        <v>42744</v>
      </c>
      <c r="H733">
        <v>41.290000999999997</v>
      </c>
      <c r="I733">
        <v>41.400002000000001</v>
      </c>
      <c r="J733">
        <v>40.240001999999997</v>
      </c>
    </row>
    <row r="734" spans="1:10" x14ac:dyDescent="0.25">
      <c r="A734" s="9">
        <v>42751</v>
      </c>
      <c r="B734">
        <v>41</v>
      </c>
      <c r="C734">
        <v>41.869999</v>
      </c>
      <c r="D734">
        <v>40.709999000000003</v>
      </c>
      <c r="E734">
        <v>41.450001</v>
      </c>
      <c r="G734" s="9">
        <v>42751</v>
      </c>
      <c r="H734">
        <v>41</v>
      </c>
      <c r="I734">
        <v>41.869999</v>
      </c>
      <c r="J734">
        <v>40.709999000000003</v>
      </c>
    </row>
    <row r="735" spans="1:10" x14ac:dyDescent="0.25">
      <c r="A735" s="9">
        <v>42758</v>
      </c>
      <c r="B735">
        <v>41.459999000000003</v>
      </c>
      <c r="C735">
        <v>42.299999</v>
      </c>
      <c r="D735">
        <v>40.889999000000003</v>
      </c>
      <c r="E735">
        <v>42.009998000000003</v>
      </c>
      <c r="G735" s="9">
        <v>42758</v>
      </c>
      <c r="H735">
        <v>41.459999000000003</v>
      </c>
      <c r="I735">
        <v>42.299999</v>
      </c>
      <c r="J735">
        <v>40.889999000000003</v>
      </c>
    </row>
    <row r="736" spans="1:10" x14ac:dyDescent="0.25">
      <c r="A736" s="9">
        <v>42765</v>
      </c>
      <c r="B736">
        <v>41.939999</v>
      </c>
      <c r="C736">
        <v>42.459999000000003</v>
      </c>
      <c r="D736">
        <v>40.950001</v>
      </c>
      <c r="E736">
        <v>41.25</v>
      </c>
      <c r="G736" s="9">
        <v>42765</v>
      </c>
      <c r="H736">
        <v>41.939999</v>
      </c>
      <c r="I736">
        <v>42.459999000000003</v>
      </c>
      <c r="J736">
        <v>40.950001</v>
      </c>
    </row>
    <row r="737" spans="1:10" x14ac:dyDescent="0.25">
      <c r="A737" s="9">
        <v>42772</v>
      </c>
      <c r="B737">
        <v>41.27</v>
      </c>
      <c r="C737">
        <v>41.43</v>
      </c>
      <c r="D737">
        <v>40.82</v>
      </c>
      <c r="E737">
        <v>41.380001</v>
      </c>
      <c r="G737" s="9">
        <v>42772</v>
      </c>
      <c r="H737">
        <v>41.27</v>
      </c>
      <c r="I737">
        <v>41.43</v>
      </c>
      <c r="J737">
        <v>40.82</v>
      </c>
    </row>
    <row r="738" spans="1:10" x14ac:dyDescent="0.25">
      <c r="A738" s="9">
        <v>42779</v>
      </c>
      <c r="B738">
        <v>40.82</v>
      </c>
      <c r="C738">
        <v>41.540000999999997</v>
      </c>
      <c r="D738">
        <v>40.409999999999997</v>
      </c>
      <c r="E738">
        <v>41.48</v>
      </c>
      <c r="G738" s="9">
        <v>42779</v>
      </c>
      <c r="H738">
        <v>40.82</v>
      </c>
      <c r="I738">
        <v>41.540000999999997</v>
      </c>
      <c r="J738">
        <v>40.409999999999997</v>
      </c>
    </row>
    <row r="739" spans="1:10" x14ac:dyDescent="0.25">
      <c r="A739" s="9">
        <v>42786</v>
      </c>
      <c r="B739">
        <v>41.369999</v>
      </c>
      <c r="C739">
        <v>42.360000999999997</v>
      </c>
      <c r="D739">
        <v>41.32</v>
      </c>
      <c r="E739">
        <v>42.360000999999997</v>
      </c>
      <c r="G739" s="9">
        <v>42786</v>
      </c>
      <c r="H739">
        <v>41.369999</v>
      </c>
      <c r="I739">
        <v>42.360000999999997</v>
      </c>
      <c r="J739">
        <v>41.32</v>
      </c>
    </row>
    <row r="740" spans="1:10" x14ac:dyDescent="0.25">
      <c r="A740" s="9">
        <v>42793</v>
      </c>
      <c r="B740">
        <v>42.299999</v>
      </c>
      <c r="C740">
        <v>42.299999</v>
      </c>
      <c r="D740">
        <v>41.560001</v>
      </c>
      <c r="E740">
        <v>42.009998000000003</v>
      </c>
      <c r="G740" s="9">
        <v>42793</v>
      </c>
      <c r="H740">
        <v>42.299999</v>
      </c>
      <c r="I740">
        <v>42.299999</v>
      </c>
      <c r="J740">
        <v>41.560001</v>
      </c>
    </row>
    <row r="741" spans="1:10" x14ac:dyDescent="0.25">
      <c r="A741" s="9">
        <v>42800</v>
      </c>
      <c r="B741">
        <v>41.830002</v>
      </c>
      <c r="C741">
        <v>42.43</v>
      </c>
      <c r="D741">
        <v>41.68</v>
      </c>
      <c r="E741">
        <v>42.349997999999999</v>
      </c>
      <c r="G741" s="9">
        <v>42800</v>
      </c>
      <c r="H741">
        <v>41.830002</v>
      </c>
      <c r="I741">
        <v>42.43</v>
      </c>
      <c r="J741">
        <v>41.68</v>
      </c>
    </row>
    <row r="742" spans="1:10" x14ac:dyDescent="0.25">
      <c r="A742" s="9">
        <v>42807</v>
      </c>
      <c r="B742">
        <v>42.220001000000003</v>
      </c>
      <c r="C742">
        <v>42.66</v>
      </c>
      <c r="D742">
        <v>42.049999</v>
      </c>
      <c r="E742">
        <v>42.610000999999997</v>
      </c>
      <c r="G742" s="9">
        <v>42807</v>
      </c>
      <c r="H742">
        <v>42.220001000000003</v>
      </c>
      <c r="I742">
        <v>42.66</v>
      </c>
      <c r="J742">
        <v>42.049999</v>
      </c>
    </row>
    <row r="743" spans="1:10" x14ac:dyDescent="0.25">
      <c r="A743" s="9">
        <v>42814</v>
      </c>
      <c r="B743">
        <v>42.610000999999997</v>
      </c>
      <c r="C743">
        <v>42.700001</v>
      </c>
      <c r="D743">
        <v>41.41</v>
      </c>
      <c r="E743">
        <v>41.68</v>
      </c>
      <c r="G743" s="9">
        <v>42814</v>
      </c>
      <c r="H743">
        <v>42.610000999999997</v>
      </c>
      <c r="I743">
        <v>42.700001</v>
      </c>
      <c r="J743">
        <v>41.41</v>
      </c>
    </row>
    <row r="744" spans="1:10" x14ac:dyDescent="0.25">
      <c r="A744" s="9">
        <v>42821</v>
      </c>
      <c r="B744">
        <v>41.59</v>
      </c>
      <c r="C744">
        <v>41.889999000000003</v>
      </c>
      <c r="D744">
        <v>41.259998000000003</v>
      </c>
      <c r="E744">
        <v>41.549999</v>
      </c>
      <c r="G744" s="9">
        <v>42821</v>
      </c>
      <c r="H744">
        <v>41.59</v>
      </c>
      <c r="I744">
        <v>41.889999000000003</v>
      </c>
      <c r="J744">
        <v>41.259998000000003</v>
      </c>
    </row>
    <row r="745" spans="1:10" x14ac:dyDescent="0.25">
      <c r="A745" s="9">
        <v>42828</v>
      </c>
      <c r="B745">
        <v>41.599997999999999</v>
      </c>
      <c r="C745">
        <v>41.77</v>
      </c>
      <c r="D745">
        <v>40.520000000000003</v>
      </c>
      <c r="E745">
        <v>40.590000000000003</v>
      </c>
      <c r="G745" s="9">
        <v>42828</v>
      </c>
      <c r="H745">
        <v>41.599997999999999</v>
      </c>
      <c r="I745">
        <v>41.77</v>
      </c>
      <c r="J745">
        <v>40.520000000000003</v>
      </c>
    </row>
    <row r="746" spans="1:10" x14ac:dyDescent="0.25">
      <c r="A746" s="9">
        <v>42835</v>
      </c>
      <c r="B746">
        <v>40.599997999999999</v>
      </c>
      <c r="C746">
        <v>40.759998000000003</v>
      </c>
      <c r="D746">
        <v>40.07</v>
      </c>
      <c r="E746">
        <v>40.279998999999997</v>
      </c>
      <c r="G746" s="9">
        <v>42835</v>
      </c>
      <c r="H746">
        <v>40.599997999999999</v>
      </c>
      <c r="I746">
        <v>40.759998000000003</v>
      </c>
      <c r="J746">
        <v>40.07</v>
      </c>
    </row>
    <row r="747" spans="1:10" x14ac:dyDescent="0.25">
      <c r="A747" s="9">
        <v>42842</v>
      </c>
      <c r="B747">
        <v>40.299999</v>
      </c>
      <c r="C747">
        <v>40.509998000000003</v>
      </c>
      <c r="D747">
        <v>39.810001</v>
      </c>
      <c r="E747">
        <v>39.93</v>
      </c>
      <c r="G747" s="9">
        <v>42842</v>
      </c>
      <c r="H747">
        <v>40.299999</v>
      </c>
      <c r="I747">
        <v>40.509998000000003</v>
      </c>
      <c r="J747">
        <v>39.810001</v>
      </c>
    </row>
    <row r="748" spans="1:10" x14ac:dyDescent="0.25">
      <c r="A748" s="9">
        <v>42849</v>
      </c>
      <c r="B748">
        <v>40.099997999999999</v>
      </c>
      <c r="C748">
        <v>40.560001</v>
      </c>
      <c r="D748">
        <v>39.520000000000003</v>
      </c>
      <c r="E748">
        <v>39.630001</v>
      </c>
      <c r="G748" s="9">
        <v>42849</v>
      </c>
      <c r="H748">
        <v>40.099997999999999</v>
      </c>
      <c r="I748">
        <v>40.560001</v>
      </c>
      <c r="J748">
        <v>39.520000000000003</v>
      </c>
    </row>
    <row r="749" spans="1:10" x14ac:dyDescent="0.25">
      <c r="A749" s="9">
        <v>42856</v>
      </c>
      <c r="B749">
        <v>39.68</v>
      </c>
      <c r="C749">
        <v>39.700001</v>
      </c>
      <c r="D749">
        <v>37.630001</v>
      </c>
      <c r="E749">
        <v>38.560001</v>
      </c>
      <c r="G749" s="9">
        <v>42856</v>
      </c>
      <c r="H749">
        <v>39.68</v>
      </c>
      <c r="I749">
        <v>39.700001</v>
      </c>
      <c r="J749">
        <v>37.630001</v>
      </c>
    </row>
    <row r="750" spans="1:10" x14ac:dyDescent="0.25">
      <c r="A750" s="9">
        <v>42863</v>
      </c>
      <c r="B750">
        <v>38.779998999999997</v>
      </c>
      <c r="C750">
        <v>38.779998999999997</v>
      </c>
      <c r="D750">
        <v>38.130001</v>
      </c>
      <c r="E750">
        <v>38.490001999999997</v>
      </c>
      <c r="G750" s="9">
        <v>42863</v>
      </c>
      <c r="H750">
        <v>38.779998999999997</v>
      </c>
      <c r="I750">
        <v>38.779998999999997</v>
      </c>
      <c r="J750">
        <v>38.130001</v>
      </c>
    </row>
    <row r="751" spans="1:10" x14ac:dyDescent="0.25">
      <c r="A751" s="9">
        <v>42870</v>
      </c>
      <c r="B751">
        <v>38.520000000000003</v>
      </c>
      <c r="C751">
        <v>38.759998000000003</v>
      </c>
      <c r="D751">
        <v>37.450001</v>
      </c>
      <c r="E751">
        <v>38.240001999999997</v>
      </c>
      <c r="G751" s="9">
        <v>42870</v>
      </c>
      <c r="H751">
        <v>38.520000000000003</v>
      </c>
      <c r="I751">
        <v>38.759998000000003</v>
      </c>
      <c r="J751">
        <v>37.450001</v>
      </c>
    </row>
    <row r="752" spans="1:10" x14ac:dyDescent="0.25">
      <c r="A752" s="9">
        <v>42877</v>
      </c>
      <c r="B752">
        <v>38.240001999999997</v>
      </c>
      <c r="C752">
        <v>38.419998</v>
      </c>
      <c r="D752">
        <v>38.009998000000003</v>
      </c>
      <c r="E752">
        <v>38.119999</v>
      </c>
      <c r="G752" s="9">
        <v>42877</v>
      </c>
      <c r="H752">
        <v>38.240001999999997</v>
      </c>
      <c r="I752">
        <v>38.419998</v>
      </c>
      <c r="J752">
        <v>38.009998000000003</v>
      </c>
    </row>
    <row r="753" spans="1:10" x14ac:dyDescent="0.25">
      <c r="A753" s="9">
        <v>42884</v>
      </c>
      <c r="B753">
        <v>38.189999</v>
      </c>
      <c r="C753">
        <v>39.080002</v>
      </c>
      <c r="D753">
        <v>38.189999</v>
      </c>
      <c r="E753">
        <v>38.869999</v>
      </c>
      <c r="G753" s="9">
        <v>42884</v>
      </c>
      <c r="H753">
        <v>38.189999</v>
      </c>
      <c r="I753">
        <v>39.080002</v>
      </c>
      <c r="J753">
        <v>38.189999</v>
      </c>
    </row>
    <row r="754" spans="1:10" x14ac:dyDescent="0.25">
      <c r="A754" s="9">
        <v>42891</v>
      </c>
      <c r="B754">
        <v>38.810001</v>
      </c>
      <c r="C754">
        <v>38.919998</v>
      </c>
      <c r="D754">
        <v>38.419998</v>
      </c>
      <c r="E754">
        <v>38.790000999999997</v>
      </c>
      <c r="G754" s="9">
        <v>42891</v>
      </c>
      <c r="H754">
        <v>38.810001</v>
      </c>
      <c r="I754">
        <v>38.919998</v>
      </c>
      <c r="J754">
        <v>38.419998</v>
      </c>
    </row>
    <row r="755" spans="1:10" x14ac:dyDescent="0.25">
      <c r="A755" s="9">
        <v>42898</v>
      </c>
      <c r="B755">
        <v>38.790000999999997</v>
      </c>
      <c r="C755">
        <v>39.369999</v>
      </c>
      <c r="D755">
        <v>38.5</v>
      </c>
      <c r="E755">
        <v>38.959999000000003</v>
      </c>
      <c r="G755" s="9">
        <v>42898</v>
      </c>
      <c r="H755">
        <v>38.790000999999997</v>
      </c>
      <c r="I755">
        <v>39.369999</v>
      </c>
      <c r="J755">
        <v>38.5</v>
      </c>
    </row>
    <row r="756" spans="1:10" x14ac:dyDescent="0.25">
      <c r="A756" s="9">
        <v>42905</v>
      </c>
      <c r="B756">
        <v>38.979999999999997</v>
      </c>
      <c r="C756">
        <v>38.979999999999997</v>
      </c>
      <c r="D756">
        <v>37.82</v>
      </c>
      <c r="E756">
        <v>37.950001</v>
      </c>
      <c r="G756" s="9">
        <v>42905</v>
      </c>
      <c r="H756">
        <v>38.979999999999997</v>
      </c>
      <c r="I756">
        <v>38.979999999999997</v>
      </c>
      <c r="J756">
        <v>37.82</v>
      </c>
    </row>
    <row r="757" spans="1:10" x14ac:dyDescent="0.25">
      <c r="A757" s="9">
        <v>42912</v>
      </c>
      <c r="B757">
        <v>37.939999</v>
      </c>
      <c r="C757">
        <v>38.279998999999997</v>
      </c>
      <c r="D757">
        <v>37.540000999999997</v>
      </c>
      <c r="E757">
        <v>37.729999999999997</v>
      </c>
      <c r="G757" s="9">
        <v>42912</v>
      </c>
      <c r="H757">
        <v>37.939999</v>
      </c>
      <c r="I757">
        <v>38.279998999999997</v>
      </c>
      <c r="J757">
        <v>37.540000999999997</v>
      </c>
    </row>
    <row r="758" spans="1:10" x14ac:dyDescent="0.25">
      <c r="A758" s="9">
        <v>42919</v>
      </c>
      <c r="B758">
        <v>37.840000000000003</v>
      </c>
      <c r="C758">
        <v>38.209999000000003</v>
      </c>
      <c r="D758">
        <v>36.82</v>
      </c>
      <c r="E758">
        <v>36.979999999999997</v>
      </c>
      <c r="G758" s="9">
        <v>42919</v>
      </c>
      <c r="H758">
        <v>37.840000000000003</v>
      </c>
      <c r="I758">
        <v>38.209999000000003</v>
      </c>
      <c r="J758">
        <v>36.82</v>
      </c>
    </row>
    <row r="759" spans="1:10" x14ac:dyDescent="0.25">
      <c r="A759" s="9">
        <v>42926</v>
      </c>
      <c r="B759">
        <v>36.959999000000003</v>
      </c>
      <c r="C759">
        <v>37.080002</v>
      </c>
      <c r="D759">
        <v>36.169998</v>
      </c>
      <c r="E759">
        <v>36.299999</v>
      </c>
      <c r="G759" s="9">
        <v>42926</v>
      </c>
      <c r="H759">
        <v>36.959999000000003</v>
      </c>
      <c r="I759">
        <v>37.080002</v>
      </c>
      <c r="J759">
        <v>36.169998</v>
      </c>
    </row>
    <row r="760" spans="1:10" x14ac:dyDescent="0.25">
      <c r="A760" s="9">
        <v>42933</v>
      </c>
      <c r="B760">
        <v>36.32</v>
      </c>
      <c r="C760">
        <v>36.720001000000003</v>
      </c>
      <c r="D760">
        <v>35.810001</v>
      </c>
      <c r="E760">
        <v>36.509998000000003</v>
      </c>
      <c r="G760" s="9">
        <v>42933</v>
      </c>
      <c r="H760">
        <v>36.32</v>
      </c>
      <c r="I760">
        <v>36.720001000000003</v>
      </c>
      <c r="J760">
        <v>35.810001</v>
      </c>
    </row>
    <row r="761" spans="1:10" x14ac:dyDescent="0.25">
      <c r="A761" s="9">
        <v>42940</v>
      </c>
      <c r="B761">
        <v>36.509998000000003</v>
      </c>
      <c r="C761">
        <v>39.669998</v>
      </c>
      <c r="D761">
        <v>36.130001</v>
      </c>
      <c r="E761">
        <v>39</v>
      </c>
      <c r="G761" s="9">
        <v>42940</v>
      </c>
      <c r="H761">
        <v>36.509998000000003</v>
      </c>
      <c r="I761">
        <v>39.669998</v>
      </c>
      <c r="J761">
        <v>36.130001</v>
      </c>
    </row>
    <row r="762" spans="1:10" x14ac:dyDescent="0.25">
      <c r="A762" s="9">
        <v>42947</v>
      </c>
      <c r="B762">
        <v>38.970001000000003</v>
      </c>
      <c r="C762">
        <v>39.270000000000003</v>
      </c>
      <c r="D762">
        <v>38.040000999999997</v>
      </c>
      <c r="E762">
        <v>38.43</v>
      </c>
      <c r="G762" s="9">
        <v>42947</v>
      </c>
      <c r="H762">
        <v>38.970001000000003</v>
      </c>
      <c r="I762">
        <v>39.270000000000003</v>
      </c>
      <c r="J762">
        <v>38.040000999999997</v>
      </c>
    </row>
    <row r="763" spans="1:10" x14ac:dyDescent="0.25">
      <c r="A763" s="9">
        <v>42954</v>
      </c>
      <c r="B763">
        <v>38.439999</v>
      </c>
      <c r="C763">
        <v>38.740001999999997</v>
      </c>
      <c r="D763">
        <v>38.060001</v>
      </c>
      <c r="E763">
        <v>38.099997999999999</v>
      </c>
      <c r="G763" s="9">
        <v>42954</v>
      </c>
      <c r="H763">
        <v>38.439999</v>
      </c>
      <c r="I763">
        <v>38.740001999999997</v>
      </c>
      <c r="J763">
        <v>38.060001</v>
      </c>
    </row>
    <row r="764" spans="1:10" x14ac:dyDescent="0.25">
      <c r="A764" s="9">
        <v>42961</v>
      </c>
      <c r="B764">
        <v>38.240001999999997</v>
      </c>
      <c r="C764">
        <v>38.560001</v>
      </c>
      <c r="D764">
        <v>37.200001</v>
      </c>
      <c r="E764">
        <v>37.369999</v>
      </c>
      <c r="G764" s="9">
        <v>42961</v>
      </c>
      <c r="H764">
        <v>38.240001999999997</v>
      </c>
      <c r="I764">
        <v>38.560001</v>
      </c>
      <c r="J764">
        <v>37.200001</v>
      </c>
    </row>
    <row r="765" spans="1:10" x14ac:dyDescent="0.25">
      <c r="A765" s="9">
        <v>42968</v>
      </c>
      <c r="B765">
        <v>37.490001999999997</v>
      </c>
      <c r="C765">
        <v>38.130001</v>
      </c>
      <c r="D765">
        <v>37.409999999999997</v>
      </c>
      <c r="E765">
        <v>37.990001999999997</v>
      </c>
      <c r="G765" s="9">
        <v>42968</v>
      </c>
      <c r="H765">
        <v>37.490001999999997</v>
      </c>
      <c r="I765">
        <v>38.130001</v>
      </c>
      <c r="J765">
        <v>37.409999999999997</v>
      </c>
    </row>
    <row r="766" spans="1:10" x14ac:dyDescent="0.25">
      <c r="A766" s="9">
        <v>42975</v>
      </c>
      <c r="B766">
        <v>38</v>
      </c>
      <c r="C766">
        <v>38.07</v>
      </c>
      <c r="D766">
        <v>37.419998</v>
      </c>
      <c r="E766">
        <v>37.479999999999997</v>
      </c>
      <c r="G766" s="9">
        <v>42975</v>
      </c>
      <c r="H766">
        <v>38</v>
      </c>
      <c r="I766">
        <v>38.07</v>
      </c>
      <c r="J766">
        <v>37.419998</v>
      </c>
    </row>
    <row r="767" spans="1:10" x14ac:dyDescent="0.25">
      <c r="A767" s="9">
        <v>42982</v>
      </c>
      <c r="B767">
        <v>37.400002000000001</v>
      </c>
      <c r="C767">
        <v>37.43</v>
      </c>
      <c r="D767">
        <v>35.099997999999999</v>
      </c>
      <c r="E767">
        <v>35.590000000000003</v>
      </c>
      <c r="G767" s="9">
        <v>42982</v>
      </c>
      <c r="H767">
        <v>37.400002000000001</v>
      </c>
      <c r="I767">
        <v>37.43</v>
      </c>
      <c r="J767">
        <v>35.099997999999999</v>
      </c>
    </row>
    <row r="768" spans="1:10" x14ac:dyDescent="0.25">
      <c r="A768" s="9">
        <v>42989</v>
      </c>
      <c r="B768">
        <v>35.68</v>
      </c>
      <c r="C768">
        <v>37.110000999999997</v>
      </c>
      <c r="D768">
        <v>35.520000000000003</v>
      </c>
      <c r="E768">
        <v>37.099997999999999</v>
      </c>
      <c r="G768" s="9">
        <v>42989</v>
      </c>
      <c r="H768">
        <v>35.68</v>
      </c>
      <c r="I768">
        <v>37.110000999999997</v>
      </c>
      <c r="J768">
        <v>35.520000000000003</v>
      </c>
    </row>
    <row r="769" spans="1:10" x14ac:dyDescent="0.25">
      <c r="A769" s="9">
        <v>42996</v>
      </c>
      <c r="B769">
        <v>37.110000999999997</v>
      </c>
      <c r="C769">
        <v>38.740001999999997</v>
      </c>
      <c r="D769">
        <v>37.020000000000003</v>
      </c>
      <c r="E769">
        <v>38.590000000000003</v>
      </c>
      <c r="G769" s="9">
        <v>42996</v>
      </c>
      <c r="H769">
        <v>37.110000999999997</v>
      </c>
      <c r="I769">
        <v>38.740001999999997</v>
      </c>
      <c r="J769">
        <v>37.020000000000003</v>
      </c>
    </row>
    <row r="770" spans="1:10" x14ac:dyDescent="0.25">
      <c r="A770" s="9">
        <v>43003</v>
      </c>
      <c r="B770">
        <v>38.529998999999997</v>
      </c>
      <c r="C770">
        <v>39.310001</v>
      </c>
      <c r="D770">
        <v>38.5</v>
      </c>
      <c r="E770">
        <v>39.169998</v>
      </c>
      <c r="G770" s="9">
        <v>43003</v>
      </c>
      <c r="H770">
        <v>38.529998999999997</v>
      </c>
      <c r="I770">
        <v>39.310001</v>
      </c>
      <c r="J770">
        <v>38.5</v>
      </c>
    </row>
    <row r="771" spans="1:10" x14ac:dyDescent="0.25">
      <c r="A771" s="9">
        <v>43010</v>
      </c>
      <c r="B771">
        <v>39.200001</v>
      </c>
      <c r="C771">
        <v>39.799999</v>
      </c>
      <c r="D771">
        <v>38.540000999999997</v>
      </c>
      <c r="E771">
        <v>38.590000000000003</v>
      </c>
      <c r="G771" s="9">
        <v>43010</v>
      </c>
      <c r="H771">
        <v>39.200001</v>
      </c>
      <c r="I771">
        <v>39.799999</v>
      </c>
      <c r="J771">
        <v>38.540000999999997</v>
      </c>
    </row>
    <row r="772" spans="1:10" x14ac:dyDescent="0.25">
      <c r="A772" s="9">
        <v>43017</v>
      </c>
      <c r="B772">
        <v>38.650002000000001</v>
      </c>
      <c r="C772">
        <v>38.669998</v>
      </c>
      <c r="D772">
        <v>35.25</v>
      </c>
      <c r="E772">
        <v>35.700001</v>
      </c>
      <c r="G772" s="9">
        <v>43017</v>
      </c>
      <c r="H772">
        <v>38.650002000000001</v>
      </c>
      <c r="I772">
        <v>38.669998</v>
      </c>
      <c r="J772">
        <v>35.25</v>
      </c>
    </row>
    <row r="773" spans="1:10" x14ac:dyDescent="0.25">
      <c r="A773" s="9">
        <v>43024</v>
      </c>
      <c r="B773">
        <v>35.82</v>
      </c>
      <c r="C773">
        <v>36.450001</v>
      </c>
      <c r="D773">
        <v>35.400002000000001</v>
      </c>
      <c r="E773">
        <v>35.540000999999997</v>
      </c>
      <c r="G773" s="9">
        <v>43024</v>
      </c>
      <c r="H773">
        <v>35.82</v>
      </c>
      <c r="I773">
        <v>36.450001</v>
      </c>
      <c r="J773">
        <v>35.400002000000001</v>
      </c>
    </row>
    <row r="774" spans="1:10" x14ac:dyDescent="0.25">
      <c r="A774" s="9">
        <v>43031</v>
      </c>
      <c r="B774">
        <v>35.419998</v>
      </c>
      <c r="C774">
        <v>35.659999999999997</v>
      </c>
      <c r="D774">
        <v>33.330002</v>
      </c>
      <c r="E774">
        <v>33.970001000000003</v>
      </c>
      <c r="G774" s="9">
        <v>43031</v>
      </c>
      <c r="H774">
        <v>35.419998</v>
      </c>
      <c r="I774">
        <v>35.659999999999997</v>
      </c>
      <c r="J774">
        <v>33.330002</v>
      </c>
    </row>
    <row r="775" spans="1:10" x14ac:dyDescent="0.25">
      <c r="A775" s="9">
        <v>43038</v>
      </c>
      <c r="B775">
        <v>34.020000000000003</v>
      </c>
      <c r="C775">
        <v>34.419998</v>
      </c>
      <c r="D775">
        <v>32.93</v>
      </c>
      <c r="E775">
        <v>33.299999</v>
      </c>
      <c r="G775" s="9">
        <v>43038</v>
      </c>
      <c r="H775">
        <v>34.020000000000003</v>
      </c>
      <c r="I775">
        <v>34.419998</v>
      </c>
      <c r="J775">
        <v>32.93</v>
      </c>
    </row>
    <row r="776" spans="1:10" x14ac:dyDescent="0.25">
      <c r="A776" s="9">
        <v>43045</v>
      </c>
      <c r="B776">
        <v>33.07</v>
      </c>
      <c r="C776">
        <v>34.479999999999997</v>
      </c>
      <c r="D776">
        <v>32.549999</v>
      </c>
      <c r="E776">
        <v>34.220001000000003</v>
      </c>
      <c r="G776" s="9">
        <v>43045</v>
      </c>
      <c r="H776">
        <v>33.07</v>
      </c>
      <c r="I776">
        <v>34.479999999999997</v>
      </c>
      <c r="J776">
        <v>32.549999</v>
      </c>
    </row>
    <row r="777" spans="1:10" x14ac:dyDescent="0.25">
      <c r="A777" s="9">
        <v>43052</v>
      </c>
      <c r="B777">
        <v>34.279998999999997</v>
      </c>
      <c r="C777">
        <v>34.880001</v>
      </c>
      <c r="D777">
        <v>33.580002</v>
      </c>
      <c r="E777">
        <v>34.509998000000003</v>
      </c>
      <c r="G777" s="9">
        <v>43052</v>
      </c>
      <c r="H777">
        <v>34.279998999999997</v>
      </c>
      <c r="I777">
        <v>34.880001</v>
      </c>
      <c r="J777">
        <v>33.580002</v>
      </c>
    </row>
    <row r="778" spans="1:10" x14ac:dyDescent="0.25">
      <c r="A778" s="9">
        <v>43059</v>
      </c>
      <c r="B778">
        <v>34.549999</v>
      </c>
      <c r="C778">
        <v>34.950001</v>
      </c>
      <c r="D778">
        <v>34.200001</v>
      </c>
      <c r="E778">
        <v>34.810001</v>
      </c>
      <c r="G778" s="9">
        <v>43059</v>
      </c>
      <c r="H778">
        <v>34.549999</v>
      </c>
      <c r="I778">
        <v>34.950001</v>
      </c>
      <c r="J778">
        <v>34.200001</v>
      </c>
    </row>
    <row r="779" spans="1:10" x14ac:dyDescent="0.25">
      <c r="A779" s="9">
        <v>43066</v>
      </c>
      <c r="B779">
        <v>34.840000000000003</v>
      </c>
      <c r="C779">
        <v>36.900002000000001</v>
      </c>
      <c r="D779">
        <v>34.549999</v>
      </c>
      <c r="E779">
        <v>36.5</v>
      </c>
      <c r="G779" s="9">
        <v>43066</v>
      </c>
      <c r="H779">
        <v>34.840000000000003</v>
      </c>
      <c r="I779">
        <v>36.900002000000001</v>
      </c>
      <c r="J779">
        <v>34.549999</v>
      </c>
    </row>
    <row r="780" spans="1:10" x14ac:dyDescent="0.25">
      <c r="A780" s="9">
        <v>43073</v>
      </c>
      <c r="B780">
        <v>36.799999</v>
      </c>
      <c r="C780">
        <v>37.540000999999997</v>
      </c>
      <c r="D780">
        <v>35.810001</v>
      </c>
      <c r="E780">
        <v>36.729999999999997</v>
      </c>
      <c r="G780" s="9">
        <v>43073</v>
      </c>
      <c r="H780">
        <v>36.799999</v>
      </c>
      <c r="I780">
        <v>37.540000999999997</v>
      </c>
      <c r="J780">
        <v>35.810001</v>
      </c>
    </row>
    <row r="781" spans="1:10" x14ac:dyDescent="0.25">
      <c r="A781" s="9">
        <v>43080</v>
      </c>
      <c r="B781">
        <v>36.689999</v>
      </c>
      <c r="C781">
        <v>38.290000999999997</v>
      </c>
      <c r="D781">
        <v>36.520000000000003</v>
      </c>
      <c r="E781">
        <v>38.240001999999997</v>
      </c>
      <c r="G781" s="9">
        <v>43080</v>
      </c>
      <c r="H781">
        <v>36.689999</v>
      </c>
      <c r="I781">
        <v>38.290000999999997</v>
      </c>
      <c r="J781">
        <v>36.520000000000003</v>
      </c>
    </row>
    <row r="782" spans="1:10" x14ac:dyDescent="0.25">
      <c r="A782" s="9">
        <v>43087</v>
      </c>
      <c r="B782">
        <v>38.5</v>
      </c>
      <c r="C782">
        <v>39.290000999999997</v>
      </c>
      <c r="D782">
        <v>38.029998999999997</v>
      </c>
      <c r="E782">
        <v>38.939999</v>
      </c>
      <c r="G782" s="9">
        <v>43087</v>
      </c>
      <c r="H782">
        <v>38.5</v>
      </c>
      <c r="I782">
        <v>39.290000999999997</v>
      </c>
      <c r="J782">
        <v>38.029998999999997</v>
      </c>
    </row>
    <row r="783" spans="1:10" x14ac:dyDescent="0.25">
      <c r="A783" s="9">
        <v>43094</v>
      </c>
      <c r="B783">
        <v>38.950001</v>
      </c>
      <c r="C783">
        <v>39.330002</v>
      </c>
      <c r="D783">
        <v>38.709999000000003</v>
      </c>
      <c r="E783">
        <v>38.880001</v>
      </c>
      <c r="G783" s="9">
        <v>43094</v>
      </c>
      <c r="H783">
        <v>38.950001</v>
      </c>
      <c r="I783">
        <v>39.330002</v>
      </c>
      <c r="J783">
        <v>38.709999000000003</v>
      </c>
    </row>
    <row r="784" spans="1:10" x14ac:dyDescent="0.25">
      <c r="A784" s="9">
        <v>43101</v>
      </c>
      <c r="B784">
        <v>39.060001</v>
      </c>
      <c r="C784">
        <v>39.060001</v>
      </c>
      <c r="D784">
        <v>37.259998000000003</v>
      </c>
      <c r="E784">
        <v>38.139999000000003</v>
      </c>
      <c r="G784" s="9">
        <v>43101</v>
      </c>
      <c r="H784">
        <v>39.060001</v>
      </c>
      <c r="I784">
        <v>39.060001</v>
      </c>
      <c r="J784">
        <v>37.259998000000003</v>
      </c>
    </row>
    <row r="785" spans="1:10" x14ac:dyDescent="0.25">
      <c r="A785" s="9">
        <v>43108</v>
      </c>
      <c r="B785">
        <v>38.150002000000001</v>
      </c>
      <c r="C785">
        <v>38.479999999999997</v>
      </c>
      <c r="D785">
        <v>36.32</v>
      </c>
      <c r="E785">
        <v>36.900002000000001</v>
      </c>
      <c r="G785" s="9">
        <v>43108</v>
      </c>
      <c r="H785">
        <v>38.150002000000001</v>
      </c>
      <c r="I785">
        <v>38.479999999999997</v>
      </c>
      <c r="J785">
        <v>36.32</v>
      </c>
    </row>
    <row r="786" spans="1:10" x14ac:dyDescent="0.25">
      <c r="A786" s="9">
        <v>43115</v>
      </c>
      <c r="B786">
        <v>36.900002000000001</v>
      </c>
      <c r="C786">
        <v>37.380001</v>
      </c>
      <c r="D786">
        <v>36.490001999999997</v>
      </c>
      <c r="E786">
        <v>37.209999000000003</v>
      </c>
      <c r="G786" s="9">
        <v>43115</v>
      </c>
      <c r="H786">
        <v>36.900002000000001</v>
      </c>
      <c r="I786">
        <v>37.380001</v>
      </c>
      <c r="J786">
        <v>36.490001999999997</v>
      </c>
    </row>
    <row r="787" spans="1:10" x14ac:dyDescent="0.25">
      <c r="A787" s="9">
        <v>43122</v>
      </c>
      <c r="B787">
        <v>37.200001</v>
      </c>
      <c r="C787">
        <v>38.220001000000003</v>
      </c>
      <c r="D787">
        <v>36.840000000000003</v>
      </c>
      <c r="E787">
        <v>37.82</v>
      </c>
      <c r="G787" s="9">
        <v>43122</v>
      </c>
      <c r="H787">
        <v>37.200001</v>
      </c>
      <c r="I787">
        <v>38.220001000000003</v>
      </c>
      <c r="J787">
        <v>36.840000000000003</v>
      </c>
    </row>
    <row r="788" spans="1:10" x14ac:dyDescent="0.25">
      <c r="A788" s="9">
        <v>43129</v>
      </c>
      <c r="B788">
        <v>37.130001</v>
      </c>
      <c r="C788">
        <v>39.290000999999997</v>
      </c>
      <c r="D788">
        <v>36.979999999999997</v>
      </c>
      <c r="E788">
        <v>38.07</v>
      </c>
      <c r="G788" s="9">
        <v>43129</v>
      </c>
      <c r="H788">
        <v>37.130001</v>
      </c>
      <c r="I788">
        <v>39.290000999999997</v>
      </c>
      <c r="J788">
        <v>36.979999999999997</v>
      </c>
    </row>
    <row r="789" spans="1:10" x14ac:dyDescent="0.25">
      <c r="A789" s="9">
        <v>43136</v>
      </c>
      <c r="B789">
        <v>37.810001</v>
      </c>
      <c r="C789">
        <v>38.310001</v>
      </c>
      <c r="D789">
        <v>35.029998999999997</v>
      </c>
      <c r="E789">
        <v>36.049999</v>
      </c>
      <c r="G789" s="9">
        <v>43136</v>
      </c>
      <c r="H789">
        <v>37.810001</v>
      </c>
      <c r="I789">
        <v>38.310001</v>
      </c>
      <c r="J789">
        <v>35.029998999999997</v>
      </c>
    </row>
    <row r="790" spans="1:10" x14ac:dyDescent="0.25">
      <c r="A790" s="9">
        <v>43143</v>
      </c>
      <c r="B790">
        <v>36.330002</v>
      </c>
      <c r="C790">
        <v>37.389999000000003</v>
      </c>
      <c r="D790">
        <v>35.970001000000003</v>
      </c>
      <c r="E790">
        <v>37.139999000000003</v>
      </c>
      <c r="G790" s="9">
        <v>43143</v>
      </c>
      <c r="H790">
        <v>36.330002</v>
      </c>
      <c r="I790">
        <v>37.389999000000003</v>
      </c>
      <c r="J790">
        <v>35.970001000000003</v>
      </c>
    </row>
    <row r="791" spans="1:10" x14ac:dyDescent="0.25">
      <c r="A791" s="9">
        <v>43150</v>
      </c>
      <c r="B791">
        <v>36.880001</v>
      </c>
      <c r="C791">
        <v>37.090000000000003</v>
      </c>
      <c r="D791">
        <v>36.279998999999997</v>
      </c>
      <c r="E791">
        <v>36.720001000000003</v>
      </c>
      <c r="G791" s="9">
        <v>43150</v>
      </c>
      <c r="H791">
        <v>36.880001</v>
      </c>
      <c r="I791">
        <v>37.090000000000003</v>
      </c>
      <c r="J791">
        <v>36.279998999999997</v>
      </c>
    </row>
    <row r="792" spans="1:10" x14ac:dyDescent="0.25">
      <c r="A792" s="9">
        <v>43157</v>
      </c>
      <c r="B792">
        <v>36.93</v>
      </c>
      <c r="C792">
        <v>37.639999000000003</v>
      </c>
      <c r="D792">
        <v>35.869999</v>
      </c>
      <c r="E792">
        <v>36.349997999999999</v>
      </c>
      <c r="G792" s="9">
        <v>43157</v>
      </c>
      <c r="H792">
        <v>36.93</v>
      </c>
      <c r="I792">
        <v>37.639999000000003</v>
      </c>
      <c r="J792">
        <v>35.869999</v>
      </c>
    </row>
    <row r="793" spans="1:10" x14ac:dyDescent="0.25">
      <c r="A793" s="9">
        <v>43164</v>
      </c>
      <c r="B793">
        <v>36.200001</v>
      </c>
      <c r="C793">
        <v>37.220001000000003</v>
      </c>
      <c r="D793">
        <v>36.099997999999999</v>
      </c>
      <c r="E793">
        <v>37.049999</v>
      </c>
      <c r="G793" s="9">
        <v>43164</v>
      </c>
      <c r="H793">
        <v>36.200001</v>
      </c>
      <c r="I793">
        <v>37.220001000000003</v>
      </c>
      <c r="J793">
        <v>36.099997999999999</v>
      </c>
    </row>
    <row r="794" spans="1:10" x14ac:dyDescent="0.25">
      <c r="A794" s="9">
        <v>43171</v>
      </c>
      <c r="B794">
        <v>37.049999</v>
      </c>
      <c r="C794">
        <v>37.810001</v>
      </c>
      <c r="D794">
        <v>36.900002000000001</v>
      </c>
      <c r="E794">
        <v>37</v>
      </c>
      <c r="G794" s="9">
        <v>43171</v>
      </c>
      <c r="H794">
        <v>37.049999</v>
      </c>
      <c r="I794">
        <v>37.810001</v>
      </c>
      <c r="J794">
        <v>36.900002000000001</v>
      </c>
    </row>
    <row r="795" spans="1:10" x14ac:dyDescent="0.25">
      <c r="A795" s="9">
        <v>43178</v>
      </c>
      <c r="B795">
        <v>36.979999999999997</v>
      </c>
      <c r="C795">
        <v>37.099997999999999</v>
      </c>
      <c r="D795">
        <v>34.549999</v>
      </c>
      <c r="E795">
        <v>34.700001</v>
      </c>
      <c r="G795" s="9">
        <v>43178</v>
      </c>
      <c r="H795">
        <v>36.979999999999997</v>
      </c>
      <c r="I795">
        <v>37.099997999999999</v>
      </c>
      <c r="J795">
        <v>34.549999</v>
      </c>
    </row>
    <row r="796" spans="1:10" x14ac:dyDescent="0.25">
      <c r="A796" s="9">
        <v>43185</v>
      </c>
      <c r="B796">
        <v>35.060001</v>
      </c>
      <c r="C796">
        <v>35.889999000000003</v>
      </c>
      <c r="D796">
        <v>34.439999</v>
      </c>
      <c r="E796">
        <v>35.650002000000001</v>
      </c>
      <c r="G796" s="9">
        <v>43185</v>
      </c>
      <c r="H796">
        <v>35.060001</v>
      </c>
      <c r="I796">
        <v>35.889999000000003</v>
      </c>
      <c r="J796">
        <v>34.439999</v>
      </c>
    </row>
    <row r="797" spans="1:10" x14ac:dyDescent="0.25">
      <c r="A797" s="9">
        <v>43192</v>
      </c>
      <c r="B797">
        <v>35.580002</v>
      </c>
      <c r="C797">
        <v>36.209999000000003</v>
      </c>
      <c r="D797">
        <v>34.830002</v>
      </c>
      <c r="E797">
        <v>35.630001</v>
      </c>
      <c r="G797" s="9">
        <v>43192</v>
      </c>
      <c r="H797">
        <v>35.580002</v>
      </c>
      <c r="I797">
        <v>36.209999000000003</v>
      </c>
      <c r="J797">
        <v>34.830002</v>
      </c>
    </row>
    <row r="798" spans="1:10" x14ac:dyDescent="0.25">
      <c r="A798" s="9">
        <v>43199</v>
      </c>
      <c r="B798">
        <v>35.240001999999997</v>
      </c>
      <c r="C798">
        <v>36.389999000000003</v>
      </c>
      <c r="D798">
        <v>35.020000000000003</v>
      </c>
      <c r="E798">
        <v>35.139999000000003</v>
      </c>
      <c r="G798" s="9">
        <v>43199</v>
      </c>
      <c r="H798">
        <v>35.240001999999997</v>
      </c>
      <c r="I798">
        <v>36.389999000000003</v>
      </c>
      <c r="J798">
        <v>35.020000000000003</v>
      </c>
    </row>
    <row r="799" spans="1:10" x14ac:dyDescent="0.25">
      <c r="A799" s="9">
        <v>43206</v>
      </c>
      <c r="B799">
        <v>35.369999</v>
      </c>
      <c r="C799">
        <v>35.82</v>
      </c>
      <c r="D799">
        <v>34.150002000000001</v>
      </c>
      <c r="E799">
        <v>34.669998</v>
      </c>
      <c r="G799" s="9">
        <v>43206</v>
      </c>
      <c r="H799">
        <v>35.369999</v>
      </c>
      <c r="I799">
        <v>35.82</v>
      </c>
      <c r="J799">
        <v>34.150002000000001</v>
      </c>
    </row>
    <row r="800" spans="1:10" x14ac:dyDescent="0.25">
      <c r="A800" s="9">
        <v>43213</v>
      </c>
      <c r="B800">
        <v>34.709999000000003</v>
      </c>
      <c r="C800">
        <v>35.330002</v>
      </c>
      <c r="D800">
        <v>32.470001000000003</v>
      </c>
      <c r="E800">
        <v>33.040000999999997</v>
      </c>
      <c r="G800" s="9">
        <v>43213</v>
      </c>
      <c r="H800">
        <v>34.709999000000003</v>
      </c>
      <c r="I800">
        <v>35.330002</v>
      </c>
      <c r="J800">
        <v>32.470001000000003</v>
      </c>
    </row>
    <row r="801" spans="1:10" x14ac:dyDescent="0.25">
      <c r="A801" s="9">
        <v>43220</v>
      </c>
      <c r="B801">
        <v>33.270000000000003</v>
      </c>
      <c r="C801">
        <v>33.409999999999997</v>
      </c>
      <c r="D801">
        <v>31.610001</v>
      </c>
      <c r="E801">
        <v>32.139999000000003</v>
      </c>
      <c r="G801" s="9">
        <v>43220</v>
      </c>
      <c r="H801">
        <v>33.270000000000003</v>
      </c>
      <c r="I801">
        <v>33.409999999999997</v>
      </c>
      <c r="J801">
        <v>31.610001</v>
      </c>
    </row>
    <row r="802" spans="1:10" x14ac:dyDescent="0.25">
      <c r="A802" s="9">
        <v>43227</v>
      </c>
      <c r="B802">
        <v>32.220001000000003</v>
      </c>
      <c r="C802">
        <v>32.310001</v>
      </c>
      <c r="D802">
        <v>31.17</v>
      </c>
      <c r="E802">
        <v>32.290000999999997</v>
      </c>
      <c r="G802" s="9">
        <v>43227</v>
      </c>
      <c r="H802">
        <v>32.220001000000003</v>
      </c>
      <c r="I802">
        <v>32.310001</v>
      </c>
      <c r="J802">
        <v>31.17</v>
      </c>
    </row>
    <row r="803" spans="1:10" x14ac:dyDescent="0.25">
      <c r="A803" s="9">
        <v>43234</v>
      </c>
      <c r="B803">
        <v>32.389999000000003</v>
      </c>
      <c r="C803">
        <v>32.479999999999997</v>
      </c>
      <c r="D803">
        <v>31.780000999999999</v>
      </c>
      <c r="E803">
        <v>32.049999</v>
      </c>
      <c r="G803" s="9">
        <v>43234</v>
      </c>
      <c r="H803">
        <v>32.389999000000003</v>
      </c>
      <c r="I803">
        <v>32.479999999999997</v>
      </c>
      <c r="J803">
        <v>31.780000999999999</v>
      </c>
    </row>
    <row r="804" spans="1:10" x14ac:dyDescent="0.25">
      <c r="A804" s="9">
        <v>43241</v>
      </c>
      <c r="B804">
        <v>32.159999999999997</v>
      </c>
      <c r="C804">
        <v>32.810001</v>
      </c>
      <c r="D804">
        <v>31.9</v>
      </c>
      <c r="E804">
        <v>32.509998000000003</v>
      </c>
      <c r="G804" s="9">
        <v>43241</v>
      </c>
      <c r="H804">
        <v>32.159999999999997</v>
      </c>
      <c r="I804">
        <v>32.810001</v>
      </c>
      <c r="J804">
        <v>31.9</v>
      </c>
    </row>
    <row r="805" spans="1:10" x14ac:dyDescent="0.25">
      <c r="A805" s="9">
        <v>43248</v>
      </c>
      <c r="B805">
        <v>32.459999000000003</v>
      </c>
      <c r="C805">
        <v>32.639999000000003</v>
      </c>
      <c r="D805">
        <v>32.139999000000003</v>
      </c>
      <c r="E805">
        <v>32.470001000000003</v>
      </c>
      <c r="G805" s="9">
        <v>43248</v>
      </c>
      <c r="H805">
        <v>32.459999000000003</v>
      </c>
      <c r="I805">
        <v>32.639999000000003</v>
      </c>
      <c r="J805">
        <v>32.139999000000003</v>
      </c>
    </row>
    <row r="806" spans="1:10" x14ac:dyDescent="0.25">
      <c r="A806" s="9">
        <v>43255</v>
      </c>
      <c r="B806">
        <v>32.580002</v>
      </c>
      <c r="C806">
        <v>34.029998999999997</v>
      </c>
      <c r="D806">
        <v>32.299999</v>
      </c>
      <c r="E806">
        <v>33.830002</v>
      </c>
      <c r="G806" s="9">
        <v>43255</v>
      </c>
      <c r="H806">
        <v>32.580002</v>
      </c>
      <c r="I806">
        <v>34.029998999999997</v>
      </c>
      <c r="J806">
        <v>32.299999</v>
      </c>
    </row>
    <row r="807" spans="1:10" x14ac:dyDescent="0.25">
      <c r="A807" s="9">
        <v>43262</v>
      </c>
      <c r="B807">
        <v>33.970001000000003</v>
      </c>
      <c r="C807">
        <v>34.529998999999997</v>
      </c>
      <c r="D807">
        <v>32.099997999999999</v>
      </c>
      <c r="E807">
        <v>33.150002000000001</v>
      </c>
      <c r="G807" s="9">
        <v>43262</v>
      </c>
      <c r="H807">
        <v>33.970001000000003</v>
      </c>
      <c r="I807">
        <v>34.529998999999997</v>
      </c>
      <c r="J807">
        <v>32.099997999999999</v>
      </c>
    </row>
    <row r="808" spans="1:10" x14ac:dyDescent="0.25">
      <c r="A808" s="9">
        <v>43269</v>
      </c>
      <c r="B808">
        <v>33.020000000000003</v>
      </c>
      <c r="C808">
        <v>33.040000999999997</v>
      </c>
      <c r="D808">
        <v>31.51</v>
      </c>
      <c r="E808">
        <v>31.690000999999999</v>
      </c>
      <c r="G808" s="9">
        <v>43269</v>
      </c>
      <c r="H808">
        <v>33.020000000000003</v>
      </c>
      <c r="I808">
        <v>33.040000999999997</v>
      </c>
      <c r="J808">
        <v>31.51</v>
      </c>
    </row>
    <row r="809" spans="1:10" x14ac:dyDescent="0.25">
      <c r="A809" s="9">
        <v>43276</v>
      </c>
      <c r="B809">
        <v>31.65</v>
      </c>
      <c r="C809">
        <v>32.490001999999997</v>
      </c>
      <c r="D809">
        <v>31.4</v>
      </c>
      <c r="E809">
        <v>32.110000999999997</v>
      </c>
      <c r="G809" s="9">
        <v>43276</v>
      </c>
      <c r="H809">
        <v>31.65</v>
      </c>
      <c r="I809">
        <v>32.490001999999997</v>
      </c>
      <c r="J809">
        <v>31.4</v>
      </c>
    </row>
    <row r="810" spans="1:10" x14ac:dyDescent="0.25">
      <c r="A810" s="9">
        <v>43283</v>
      </c>
      <c r="B810">
        <v>32.159999999999997</v>
      </c>
      <c r="C810">
        <v>32.799999</v>
      </c>
      <c r="D810">
        <v>32</v>
      </c>
      <c r="E810">
        <v>32.68</v>
      </c>
      <c r="G810" s="9">
        <v>43283</v>
      </c>
      <c r="H810">
        <v>32.159999999999997</v>
      </c>
      <c r="I810">
        <v>32.799999</v>
      </c>
      <c r="J810">
        <v>32</v>
      </c>
    </row>
    <row r="811" spans="1:10" x14ac:dyDescent="0.25">
      <c r="A811" s="9">
        <v>43290</v>
      </c>
      <c r="B811">
        <v>32.240001999999997</v>
      </c>
      <c r="C811">
        <v>32.5</v>
      </c>
      <c r="D811">
        <v>31.5</v>
      </c>
      <c r="E811">
        <v>31.67</v>
      </c>
      <c r="G811" s="9">
        <v>43290</v>
      </c>
      <c r="H811">
        <v>32.240001999999997</v>
      </c>
      <c r="I811">
        <v>32.5</v>
      </c>
      <c r="J811">
        <v>31.5</v>
      </c>
    </row>
    <row r="812" spans="1:10" x14ac:dyDescent="0.25">
      <c r="A812" s="9">
        <v>43297</v>
      </c>
      <c r="B812">
        <v>31.709999</v>
      </c>
      <c r="C812">
        <v>32.110000999999997</v>
      </c>
      <c r="D812">
        <v>31.040001</v>
      </c>
      <c r="E812">
        <v>31.1</v>
      </c>
      <c r="G812" s="9">
        <v>43297</v>
      </c>
      <c r="H812">
        <v>31.709999</v>
      </c>
      <c r="I812">
        <v>32.110000999999997</v>
      </c>
      <c r="J812">
        <v>31.040001</v>
      </c>
    </row>
    <row r="813" spans="1:10" x14ac:dyDescent="0.25">
      <c r="A813" s="9">
        <v>43304</v>
      </c>
      <c r="B813">
        <v>31.139999</v>
      </c>
      <c r="C813">
        <v>31.68</v>
      </c>
      <c r="D813">
        <v>30.129999000000002</v>
      </c>
      <c r="E813">
        <v>31.08</v>
      </c>
      <c r="G813" s="9">
        <v>43304</v>
      </c>
      <c r="H813">
        <v>31.139999</v>
      </c>
      <c r="I813">
        <v>31.68</v>
      </c>
      <c r="J813">
        <v>30.129999000000002</v>
      </c>
    </row>
    <row r="814" spans="1:10" x14ac:dyDescent="0.25">
      <c r="A814" s="9">
        <v>43311</v>
      </c>
      <c r="B814">
        <v>31.559999000000001</v>
      </c>
      <c r="C814">
        <v>32.340000000000003</v>
      </c>
      <c r="D814">
        <v>31.450001</v>
      </c>
      <c r="E814">
        <v>32.270000000000003</v>
      </c>
      <c r="G814" s="9">
        <v>43311</v>
      </c>
      <c r="H814">
        <v>31.559999000000001</v>
      </c>
      <c r="I814">
        <v>32.340000000000003</v>
      </c>
      <c r="J814">
        <v>31.450001</v>
      </c>
    </row>
    <row r="815" spans="1:10" x14ac:dyDescent="0.25">
      <c r="A815" s="9">
        <v>43318</v>
      </c>
      <c r="B815">
        <v>32.209999000000003</v>
      </c>
      <c r="C815">
        <v>32.529998999999997</v>
      </c>
      <c r="D815">
        <v>31.969999000000001</v>
      </c>
      <c r="E815">
        <v>32.259998000000003</v>
      </c>
      <c r="G815" s="9">
        <v>43318</v>
      </c>
      <c r="H815">
        <v>32.209999000000003</v>
      </c>
      <c r="I815">
        <v>32.529998999999997</v>
      </c>
      <c r="J815">
        <v>31.969999000000001</v>
      </c>
    </row>
    <row r="816" spans="1:10" x14ac:dyDescent="0.25">
      <c r="A816" s="9">
        <v>43325</v>
      </c>
      <c r="B816">
        <v>32.259998000000003</v>
      </c>
      <c r="C816">
        <v>33.259998000000003</v>
      </c>
      <c r="D816">
        <v>32.130001</v>
      </c>
      <c r="E816">
        <v>33.029998999999997</v>
      </c>
      <c r="G816" s="9">
        <v>43325</v>
      </c>
      <c r="H816">
        <v>32.259998000000003</v>
      </c>
      <c r="I816">
        <v>33.259998000000003</v>
      </c>
      <c r="J816">
        <v>32.130001</v>
      </c>
    </row>
    <row r="817" spans="1:10" x14ac:dyDescent="0.25">
      <c r="A817" s="9">
        <v>43332</v>
      </c>
      <c r="B817">
        <v>33.139999000000003</v>
      </c>
      <c r="C817">
        <v>33.580002</v>
      </c>
      <c r="D817">
        <v>32.409999999999997</v>
      </c>
      <c r="E817">
        <v>32.639999000000003</v>
      </c>
      <c r="G817" s="9">
        <v>43332</v>
      </c>
      <c r="H817">
        <v>33.139999000000003</v>
      </c>
      <c r="I817">
        <v>33.580002</v>
      </c>
      <c r="J817">
        <v>32.409999999999997</v>
      </c>
    </row>
    <row r="818" spans="1:10" x14ac:dyDescent="0.25">
      <c r="A818" s="9">
        <v>43339</v>
      </c>
      <c r="B818">
        <v>32.740001999999997</v>
      </c>
      <c r="C818">
        <v>33.029998999999997</v>
      </c>
      <c r="D818">
        <v>31.719999000000001</v>
      </c>
      <c r="E818">
        <v>31.940000999999999</v>
      </c>
      <c r="G818" s="9">
        <v>43339</v>
      </c>
      <c r="H818">
        <v>32.740001999999997</v>
      </c>
      <c r="I818">
        <v>33.029998999999997</v>
      </c>
      <c r="J818">
        <v>31.719999000000001</v>
      </c>
    </row>
    <row r="819" spans="1:10" x14ac:dyDescent="0.25">
      <c r="A819" s="9">
        <v>43346</v>
      </c>
      <c r="B819">
        <v>31.780000999999999</v>
      </c>
      <c r="C819">
        <v>32.389999000000003</v>
      </c>
      <c r="D819">
        <v>31.48</v>
      </c>
      <c r="E819">
        <v>32.119999</v>
      </c>
      <c r="G819" s="9">
        <v>43346</v>
      </c>
      <c r="H819">
        <v>31.780000999999999</v>
      </c>
      <c r="I819">
        <v>32.389999000000003</v>
      </c>
      <c r="J819">
        <v>31.48</v>
      </c>
    </row>
    <row r="820" spans="1:10" x14ac:dyDescent="0.25">
      <c r="A820" s="9">
        <v>43353</v>
      </c>
      <c r="B820">
        <v>32.279998999999997</v>
      </c>
      <c r="C820">
        <v>33.689999</v>
      </c>
      <c r="D820">
        <v>32.200001</v>
      </c>
      <c r="E820">
        <v>33.599997999999999</v>
      </c>
      <c r="G820" s="9">
        <v>43353</v>
      </c>
      <c r="H820">
        <v>32.279998999999997</v>
      </c>
      <c r="I820">
        <v>33.689999</v>
      </c>
      <c r="J820">
        <v>32.200001</v>
      </c>
    </row>
    <row r="821" spans="1:10" x14ac:dyDescent="0.25">
      <c r="A821" s="9">
        <v>43360</v>
      </c>
      <c r="B821">
        <v>33.599997999999999</v>
      </c>
      <c r="C821">
        <v>34.240001999999997</v>
      </c>
      <c r="D821">
        <v>33.150002000000001</v>
      </c>
      <c r="E821">
        <v>33.779998999999997</v>
      </c>
      <c r="G821" s="9">
        <v>43360</v>
      </c>
      <c r="H821">
        <v>33.599997999999999</v>
      </c>
      <c r="I821">
        <v>34.240001999999997</v>
      </c>
      <c r="J821">
        <v>33.150002000000001</v>
      </c>
    </row>
    <row r="822" spans="1:10" x14ac:dyDescent="0.25">
      <c r="A822" s="9">
        <v>43367</v>
      </c>
      <c r="B822">
        <v>34.25</v>
      </c>
      <c r="C822">
        <v>34.279998999999997</v>
      </c>
      <c r="D822">
        <v>33.270000000000003</v>
      </c>
      <c r="E822">
        <v>33.580002</v>
      </c>
      <c r="G822" s="9">
        <v>43367</v>
      </c>
      <c r="H822">
        <v>34.25</v>
      </c>
      <c r="I822">
        <v>34.279998999999997</v>
      </c>
      <c r="J822">
        <v>33.270000000000003</v>
      </c>
    </row>
    <row r="823" spans="1:10" x14ac:dyDescent="0.25">
      <c r="A823" s="9">
        <v>43374</v>
      </c>
      <c r="B823">
        <v>33.659999999999997</v>
      </c>
      <c r="C823">
        <v>34.299999</v>
      </c>
      <c r="D823">
        <v>33.389999000000003</v>
      </c>
      <c r="E823">
        <v>33.990001999999997</v>
      </c>
      <c r="G823" s="9">
        <v>43374</v>
      </c>
      <c r="H823">
        <v>33.659999999999997</v>
      </c>
      <c r="I823">
        <v>34.299999</v>
      </c>
      <c r="J823">
        <v>33.389999000000003</v>
      </c>
    </row>
    <row r="824" spans="1:10" x14ac:dyDescent="0.25">
      <c r="A824" s="9">
        <v>43381</v>
      </c>
      <c r="B824">
        <v>34.009998000000003</v>
      </c>
      <c r="C824">
        <v>34.18</v>
      </c>
      <c r="D824">
        <v>31.66</v>
      </c>
      <c r="E824">
        <v>32.25</v>
      </c>
      <c r="G824" s="9">
        <v>43381</v>
      </c>
      <c r="H824">
        <v>34.009998000000003</v>
      </c>
      <c r="I824">
        <v>34.18</v>
      </c>
      <c r="J824">
        <v>31.66</v>
      </c>
    </row>
    <row r="825" spans="1:10" x14ac:dyDescent="0.25">
      <c r="A825" s="9">
        <v>43388</v>
      </c>
      <c r="B825">
        <v>32.270000000000003</v>
      </c>
      <c r="C825">
        <v>32.950001</v>
      </c>
      <c r="D825">
        <v>32.150002000000001</v>
      </c>
      <c r="E825">
        <v>32.869999</v>
      </c>
      <c r="G825" s="9">
        <v>43388</v>
      </c>
      <c r="H825">
        <v>32.270000000000003</v>
      </c>
      <c r="I825">
        <v>32.950001</v>
      </c>
      <c r="J825">
        <v>32.150002000000001</v>
      </c>
    </row>
    <row r="826" spans="1:10" x14ac:dyDescent="0.25">
      <c r="A826" s="9">
        <v>43395</v>
      </c>
      <c r="B826">
        <v>32.909999999999997</v>
      </c>
      <c r="C826">
        <v>33.279998999999997</v>
      </c>
      <c r="D826">
        <v>28.85</v>
      </c>
      <c r="E826">
        <v>29.09</v>
      </c>
      <c r="G826" s="9">
        <v>43395</v>
      </c>
      <c r="H826">
        <v>32.909999999999997</v>
      </c>
      <c r="I826">
        <v>33.279998999999997</v>
      </c>
      <c r="J826">
        <v>28.85</v>
      </c>
    </row>
    <row r="827" spans="1:10" x14ac:dyDescent="0.25">
      <c r="A827" s="9">
        <v>43402</v>
      </c>
      <c r="B827">
        <v>29.59</v>
      </c>
      <c r="C827">
        <v>31.049999</v>
      </c>
      <c r="D827">
        <v>29.290001</v>
      </c>
      <c r="E827">
        <v>30.52</v>
      </c>
      <c r="G827" s="9">
        <v>43402</v>
      </c>
      <c r="H827">
        <v>29.59</v>
      </c>
      <c r="I827">
        <v>31.049999</v>
      </c>
      <c r="J827">
        <v>29.290001</v>
      </c>
    </row>
    <row r="828" spans="1:10" x14ac:dyDescent="0.25">
      <c r="A828" s="9">
        <v>43409</v>
      </c>
      <c r="B828">
        <v>30.629999000000002</v>
      </c>
      <c r="C828">
        <v>31.16</v>
      </c>
      <c r="D828">
        <v>30.440000999999999</v>
      </c>
      <c r="E828">
        <v>30.690000999999999</v>
      </c>
      <c r="G828" s="9">
        <v>43409</v>
      </c>
      <c r="H828">
        <v>30.629999000000002</v>
      </c>
      <c r="I828">
        <v>31.16</v>
      </c>
      <c r="J828">
        <v>30.440000999999999</v>
      </c>
    </row>
    <row r="829" spans="1:10" x14ac:dyDescent="0.25">
      <c r="A829" s="9">
        <v>43416</v>
      </c>
      <c r="B829">
        <v>30.700001</v>
      </c>
      <c r="C829">
        <v>31.23</v>
      </c>
      <c r="D829">
        <v>29.9</v>
      </c>
      <c r="E829">
        <v>30.290001</v>
      </c>
      <c r="G829" s="9">
        <v>43416</v>
      </c>
      <c r="H829">
        <v>30.700001</v>
      </c>
      <c r="I829">
        <v>31.23</v>
      </c>
      <c r="J829">
        <v>29.9</v>
      </c>
    </row>
    <row r="830" spans="1:10" x14ac:dyDescent="0.25">
      <c r="A830" s="9">
        <v>43423</v>
      </c>
      <c r="B830">
        <v>30.34</v>
      </c>
      <c r="C830">
        <v>30.700001</v>
      </c>
      <c r="D830">
        <v>29.35</v>
      </c>
      <c r="E830">
        <v>29.360001</v>
      </c>
      <c r="G830" s="9">
        <v>43423</v>
      </c>
      <c r="H830">
        <v>30.34</v>
      </c>
      <c r="I830">
        <v>30.700001</v>
      </c>
      <c r="J830">
        <v>29.35</v>
      </c>
    </row>
    <row r="831" spans="1:10" x14ac:dyDescent="0.25">
      <c r="A831" s="9">
        <v>43430</v>
      </c>
      <c r="B831">
        <v>29.65</v>
      </c>
      <c r="C831">
        <v>31.43</v>
      </c>
      <c r="D831">
        <v>29.639999</v>
      </c>
      <c r="E831">
        <v>31.24</v>
      </c>
      <c r="G831" s="9">
        <v>43430</v>
      </c>
      <c r="H831">
        <v>29.65</v>
      </c>
      <c r="I831">
        <v>31.43</v>
      </c>
      <c r="J831">
        <v>29.639999</v>
      </c>
    </row>
    <row r="832" spans="1:10" x14ac:dyDescent="0.25">
      <c r="A832" s="9">
        <v>43437</v>
      </c>
      <c r="B832">
        <v>31.74</v>
      </c>
      <c r="C832">
        <v>32.009998000000003</v>
      </c>
      <c r="D832">
        <v>29.85</v>
      </c>
      <c r="E832">
        <v>30.139999</v>
      </c>
      <c r="G832" s="9">
        <v>43437</v>
      </c>
      <c r="H832">
        <v>31.74</v>
      </c>
      <c r="I832">
        <v>32.009998000000003</v>
      </c>
      <c r="J832">
        <v>29.85</v>
      </c>
    </row>
    <row r="833" spans="1:10" x14ac:dyDescent="0.25">
      <c r="A833" s="9">
        <v>43444</v>
      </c>
      <c r="B833">
        <v>30.08</v>
      </c>
      <c r="C833">
        <v>30.67</v>
      </c>
      <c r="D833">
        <v>29.17</v>
      </c>
      <c r="E833">
        <v>30.219999000000001</v>
      </c>
      <c r="G833" s="9">
        <v>43444</v>
      </c>
      <c r="H833">
        <v>30.08</v>
      </c>
      <c r="I833">
        <v>30.67</v>
      </c>
      <c r="J833">
        <v>29.17</v>
      </c>
    </row>
    <row r="834" spans="1:10" x14ac:dyDescent="0.25">
      <c r="A834" s="9">
        <v>43451</v>
      </c>
      <c r="B834">
        <v>30.129999000000002</v>
      </c>
      <c r="C834">
        <v>30.299999</v>
      </c>
      <c r="D834">
        <v>28.139999</v>
      </c>
      <c r="E834">
        <v>28.309999000000001</v>
      </c>
      <c r="G834" s="9">
        <v>43451</v>
      </c>
      <c r="H834">
        <v>30.129999000000002</v>
      </c>
      <c r="I834">
        <v>30.299999</v>
      </c>
      <c r="J834">
        <v>28.139999</v>
      </c>
    </row>
    <row r="835" spans="1:10" x14ac:dyDescent="0.25">
      <c r="A835" s="9">
        <v>43458</v>
      </c>
      <c r="B835">
        <v>28.209999</v>
      </c>
      <c r="C835">
        <v>28.799999</v>
      </c>
      <c r="D835">
        <v>26.799999</v>
      </c>
      <c r="E835">
        <v>28.459999</v>
      </c>
      <c r="G835" s="9">
        <v>43458</v>
      </c>
      <c r="H835">
        <v>28.209999</v>
      </c>
      <c r="I835">
        <v>28.799999</v>
      </c>
      <c r="J835">
        <v>26.799999</v>
      </c>
    </row>
    <row r="836" spans="1:10" x14ac:dyDescent="0.25">
      <c r="A836" s="9">
        <v>43465</v>
      </c>
      <c r="B836">
        <v>28.57</v>
      </c>
      <c r="C836">
        <v>30.379999000000002</v>
      </c>
      <c r="D836">
        <v>28.09</v>
      </c>
      <c r="E836">
        <v>30.34</v>
      </c>
      <c r="G836" s="9">
        <v>43465</v>
      </c>
      <c r="H836">
        <v>28.57</v>
      </c>
      <c r="I836">
        <v>30.379999000000002</v>
      </c>
      <c r="J836">
        <v>28.09</v>
      </c>
    </row>
    <row r="837" spans="1:10" x14ac:dyDescent="0.25">
      <c r="A837" s="9">
        <v>43472</v>
      </c>
      <c r="B837">
        <v>30.73</v>
      </c>
      <c r="C837">
        <v>31.379999000000002</v>
      </c>
      <c r="D837">
        <v>29.82</v>
      </c>
      <c r="E837">
        <v>30.870000999999998</v>
      </c>
      <c r="G837" s="9">
        <v>43472</v>
      </c>
      <c r="H837">
        <v>30.73</v>
      </c>
      <c r="I837">
        <v>31.379999000000002</v>
      </c>
      <c r="J837">
        <v>29.82</v>
      </c>
    </row>
    <row r="838" spans="1:10" x14ac:dyDescent="0.25">
      <c r="A838" s="9">
        <v>43479</v>
      </c>
      <c r="B838">
        <v>30.700001</v>
      </c>
      <c r="C838">
        <v>31.030000999999999</v>
      </c>
      <c r="D838">
        <v>30.23</v>
      </c>
      <c r="E838">
        <v>30.959999</v>
      </c>
      <c r="G838" s="9">
        <v>43479</v>
      </c>
      <c r="H838">
        <v>30.700001</v>
      </c>
      <c r="I838">
        <v>31.030000999999999</v>
      </c>
      <c r="J838">
        <v>30.23</v>
      </c>
    </row>
    <row r="839" spans="1:10" x14ac:dyDescent="0.25">
      <c r="A839" s="9">
        <v>43486</v>
      </c>
      <c r="B839">
        <v>30.92</v>
      </c>
      <c r="C839">
        <v>31.040001</v>
      </c>
      <c r="D839">
        <v>30.27</v>
      </c>
      <c r="E839">
        <v>30.66</v>
      </c>
      <c r="G839" s="9">
        <v>43486</v>
      </c>
      <c r="H839">
        <v>30.92</v>
      </c>
      <c r="I839">
        <v>31.040001</v>
      </c>
      <c r="J839">
        <v>30.27</v>
      </c>
    </row>
    <row r="840" spans="1:10" x14ac:dyDescent="0.25">
      <c r="A840" s="9">
        <v>43493</v>
      </c>
      <c r="B840">
        <v>30.620000999999998</v>
      </c>
      <c r="C840">
        <v>30.700001</v>
      </c>
      <c r="D840">
        <v>29.01</v>
      </c>
      <c r="E840">
        <v>30</v>
      </c>
      <c r="G840" s="9">
        <v>43493</v>
      </c>
      <c r="H840">
        <v>30.620000999999998</v>
      </c>
      <c r="I840">
        <v>30.700001</v>
      </c>
      <c r="J840">
        <v>29.01</v>
      </c>
    </row>
    <row r="841" spans="1:10" x14ac:dyDescent="0.25">
      <c r="A841" s="9">
        <v>43500</v>
      </c>
      <c r="B841">
        <v>30.030000999999999</v>
      </c>
      <c r="C841">
        <v>30.030000999999999</v>
      </c>
      <c r="D841">
        <v>28.92</v>
      </c>
      <c r="E841">
        <v>29.549999</v>
      </c>
      <c r="G841" s="9">
        <v>43500</v>
      </c>
      <c r="H841">
        <v>30.030000999999999</v>
      </c>
      <c r="I841">
        <v>30.030000999999999</v>
      </c>
      <c r="J841">
        <v>28.92</v>
      </c>
    </row>
    <row r="842" spans="1:10" x14ac:dyDescent="0.25">
      <c r="A842" s="9">
        <v>43507</v>
      </c>
      <c r="B842">
        <v>29.58</v>
      </c>
      <c r="C842">
        <v>30.52</v>
      </c>
      <c r="D842">
        <v>29.459999</v>
      </c>
      <c r="E842">
        <v>30.469999000000001</v>
      </c>
      <c r="G842" s="9">
        <v>43507</v>
      </c>
      <c r="H842">
        <v>29.58</v>
      </c>
      <c r="I842">
        <v>30.52</v>
      </c>
      <c r="J842">
        <v>29.459999</v>
      </c>
    </row>
    <row r="843" spans="1:10" x14ac:dyDescent="0.25">
      <c r="A843" s="9">
        <v>43514</v>
      </c>
      <c r="B843">
        <v>30.459999</v>
      </c>
      <c r="C843">
        <v>31.190000999999999</v>
      </c>
      <c r="D843">
        <v>30.309999000000001</v>
      </c>
      <c r="E843">
        <v>31.15</v>
      </c>
      <c r="G843" s="9">
        <v>43514</v>
      </c>
      <c r="H843">
        <v>30.459999</v>
      </c>
      <c r="I843">
        <v>31.190000999999999</v>
      </c>
      <c r="J843">
        <v>30.309999000000001</v>
      </c>
    </row>
    <row r="844" spans="1:10" x14ac:dyDescent="0.25">
      <c r="A844" s="9">
        <v>43521</v>
      </c>
      <c r="B844">
        <v>31.25</v>
      </c>
      <c r="C844">
        <v>31.43</v>
      </c>
      <c r="D844">
        <v>30.639999</v>
      </c>
      <c r="E844">
        <v>30.82</v>
      </c>
      <c r="G844" s="9">
        <v>43521</v>
      </c>
      <c r="H844">
        <v>31.25</v>
      </c>
      <c r="I844">
        <v>31.43</v>
      </c>
      <c r="J844">
        <v>30.639999</v>
      </c>
    </row>
    <row r="845" spans="1:10" x14ac:dyDescent="0.25">
      <c r="A845" s="9">
        <v>43528</v>
      </c>
      <c r="B845">
        <v>30.950001</v>
      </c>
      <c r="C845">
        <v>30.950001</v>
      </c>
      <c r="D845">
        <v>29.67</v>
      </c>
      <c r="E845">
        <v>29.959999</v>
      </c>
      <c r="G845" s="9">
        <v>43528</v>
      </c>
      <c r="H845">
        <v>30.950001</v>
      </c>
      <c r="I845">
        <v>30.950001</v>
      </c>
      <c r="J845">
        <v>29.67</v>
      </c>
    </row>
    <row r="846" spans="1:10" x14ac:dyDescent="0.25">
      <c r="A846" s="9">
        <v>43535</v>
      </c>
      <c r="B846">
        <v>29.98</v>
      </c>
      <c r="C846">
        <v>30.9</v>
      </c>
      <c r="D846">
        <v>29.950001</v>
      </c>
      <c r="E846">
        <v>30.67</v>
      </c>
      <c r="G846" s="9">
        <v>43535</v>
      </c>
      <c r="H846">
        <v>29.98</v>
      </c>
      <c r="I846">
        <v>30.9</v>
      </c>
      <c r="J846">
        <v>29.950001</v>
      </c>
    </row>
    <row r="847" spans="1:10" x14ac:dyDescent="0.25">
      <c r="A847" s="9">
        <v>43542</v>
      </c>
      <c r="B847">
        <v>30.68</v>
      </c>
      <c r="C847">
        <v>31.34</v>
      </c>
      <c r="D847">
        <v>30.4</v>
      </c>
      <c r="E847">
        <v>31.07</v>
      </c>
      <c r="G847" s="9">
        <v>43542</v>
      </c>
      <c r="H847">
        <v>30.68</v>
      </c>
      <c r="I847">
        <v>31.34</v>
      </c>
      <c r="J847">
        <v>30.4</v>
      </c>
    </row>
    <row r="848" spans="1:10" x14ac:dyDescent="0.25">
      <c r="A848" s="9">
        <v>43549</v>
      </c>
      <c r="B848">
        <v>31.1</v>
      </c>
      <c r="C848">
        <v>31.639999</v>
      </c>
      <c r="D848">
        <v>30.65</v>
      </c>
      <c r="E848">
        <v>31.360001</v>
      </c>
      <c r="G848" s="9">
        <v>43549</v>
      </c>
      <c r="H848">
        <v>31.1</v>
      </c>
      <c r="I848">
        <v>31.639999</v>
      </c>
      <c r="J848">
        <v>30.65</v>
      </c>
    </row>
    <row r="849" spans="1:10" x14ac:dyDescent="0.25">
      <c r="A849" s="9">
        <v>43556</v>
      </c>
      <c r="B849">
        <v>31.6</v>
      </c>
      <c r="C849">
        <v>32.360000999999997</v>
      </c>
      <c r="D849">
        <v>31.540001</v>
      </c>
      <c r="E849">
        <v>32.349997999999999</v>
      </c>
      <c r="G849" s="9">
        <v>43556</v>
      </c>
      <c r="H849">
        <v>31.6</v>
      </c>
      <c r="I849">
        <v>32.360000999999997</v>
      </c>
      <c r="J849">
        <v>31.540001</v>
      </c>
    </row>
    <row r="850" spans="1:10" x14ac:dyDescent="0.25">
      <c r="A850" s="9">
        <v>43563</v>
      </c>
      <c r="B850">
        <v>32.450001</v>
      </c>
      <c r="C850">
        <v>32.520000000000003</v>
      </c>
      <c r="D850">
        <v>31.540001</v>
      </c>
      <c r="E850">
        <v>32.200001</v>
      </c>
      <c r="G850" s="9">
        <v>43563</v>
      </c>
      <c r="H850">
        <v>32.450001</v>
      </c>
      <c r="I850">
        <v>32.520000000000003</v>
      </c>
      <c r="J850">
        <v>31.540001</v>
      </c>
    </row>
    <row r="851" spans="1:10" x14ac:dyDescent="0.25">
      <c r="A851" s="9">
        <v>43570</v>
      </c>
      <c r="B851">
        <v>32.209999000000003</v>
      </c>
      <c r="C851">
        <v>32.25</v>
      </c>
      <c r="D851">
        <v>31.85</v>
      </c>
      <c r="E851">
        <v>32.029998999999997</v>
      </c>
      <c r="G851" s="9">
        <v>43570</v>
      </c>
      <c r="H851">
        <v>32.209999000000003</v>
      </c>
      <c r="I851">
        <v>32.25</v>
      </c>
      <c r="J851">
        <v>31.85</v>
      </c>
    </row>
    <row r="852" spans="1:10" x14ac:dyDescent="0.25">
      <c r="A852" s="9">
        <v>43577</v>
      </c>
      <c r="B852">
        <v>32.020000000000003</v>
      </c>
      <c r="C852">
        <v>32.279998999999997</v>
      </c>
      <c r="D852">
        <v>30.049999</v>
      </c>
      <c r="E852">
        <v>30.68</v>
      </c>
      <c r="G852" s="9">
        <v>43577</v>
      </c>
      <c r="H852">
        <v>32.020000000000003</v>
      </c>
      <c r="I852">
        <v>32.279998999999997</v>
      </c>
      <c r="J852">
        <v>30.049999</v>
      </c>
    </row>
    <row r="853" spans="1:10" x14ac:dyDescent="0.25">
      <c r="A853" s="9">
        <v>43584</v>
      </c>
      <c r="B853">
        <v>30.91</v>
      </c>
      <c r="C853">
        <v>31.309999000000001</v>
      </c>
      <c r="D853">
        <v>30.57</v>
      </c>
      <c r="E853">
        <v>30.700001</v>
      </c>
      <c r="G853" s="9">
        <v>43584</v>
      </c>
      <c r="H853">
        <v>30.91</v>
      </c>
      <c r="I853">
        <v>31.309999000000001</v>
      </c>
      <c r="J853">
        <v>30.57</v>
      </c>
    </row>
    <row r="854" spans="1:10" x14ac:dyDescent="0.25">
      <c r="A854" s="9">
        <v>43591</v>
      </c>
      <c r="B854">
        <v>30.459999</v>
      </c>
      <c r="C854">
        <v>30.719999000000001</v>
      </c>
      <c r="D854">
        <v>30.129999000000002</v>
      </c>
      <c r="E854">
        <v>30.620000999999998</v>
      </c>
      <c r="G854" s="9">
        <v>43591</v>
      </c>
      <c r="H854">
        <v>30.459999</v>
      </c>
      <c r="I854">
        <v>30.719999000000001</v>
      </c>
      <c r="J854">
        <v>30.129999000000002</v>
      </c>
    </row>
    <row r="855" spans="1:10" x14ac:dyDescent="0.25">
      <c r="A855" s="9">
        <v>43598</v>
      </c>
      <c r="B855">
        <v>30.35</v>
      </c>
      <c r="C855">
        <v>32</v>
      </c>
      <c r="D855">
        <v>30.34</v>
      </c>
      <c r="E855">
        <v>31.799999</v>
      </c>
      <c r="G855" s="9">
        <v>43598</v>
      </c>
      <c r="H855">
        <v>30.35</v>
      </c>
      <c r="I855">
        <v>32</v>
      </c>
      <c r="J855">
        <v>30.34</v>
      </c>
    </row>
    <row r="856" spans="1:10" x14ac:dyDescent="0.25">
      <c r="A856" s="9">
        <v>43605</v>
      </c>
      <c r="B856">
        <v>32.279998999999997</v>
      </c>
      <c r="C856">
        <v>33.080002</v>
      </c>
      <c r="D856">
        <v>31.93</v>
      </c>
      <c r="E856">
        <v>32.270000000000003</v>
      </c>
      <c r="G856" s="9">
        <v>43605</v>
      </c>
      <c r="H856">
        <v>32.279998999999997</v>
      </c>
      <c r="I856">
        <v>33.080002</v>
      </c>
      <c r="J856">
        <v>31.93</v>
      </c>
    </row>
    <row r="857" spans="1:10" x14ac:dyDescent="0.25">
      <c r="A857" s="9">
        <v>43612</v>
      </c>
      <c r="B857">
        <v>32.330002</v>
      </c>
      <c r="C857">
        <v>32.419998</v>
      </c>
      <c r="D857">
        <v>30.379999000000002</v>
      </c>
      <c r="E857">
        <v>30.58</v>
      </c>
      <c r="G857" s="9">
        <v>43612</v>
      </c>
      <c r="H857">
        <v>32.330002</v>
      </c>
      <c r="I857">
        <v>32.419998</v>
      </c>
      <c r="J857">
        <v>30.379999000000002</v>
      </c>
    </row>
    <row r="858" spans="1:10" x14ac:dyDescent="0.25">
      <c r="A858" s="9">
        <v>43619</v>
      </c>
      <c r="B858">
        <v>30.719999000000001</v>
      </c>
      <c r="C858">
        <v>32.700001</v>
      </c>
      <c r="D858">
        <v>30.68</v>
      </c>
      <c r="E858">
        <v>32.490001999999997</v>
      </c>
      <c r="G858" s="9">
        <v>43619</v>
      </c>
      <c r="H858">
        <v>30.719999000000001</v>
      </c>
      <c r="I858">
        <v>32.700001</v>
      </c>
      <c r="J858">
        <v>30.68</v>
      </c>
    </row>
    <row r="859" spans="1:10" x14ac:dyDescent="0.25">
      <c r="A859" s="9">
        <v>43626</v>
      </c>
      <c r="B859">
        <v>32.689999</v>
      </c>
      <c r="C859">
        <v>33</v>
      </c>
      <c r="D859">
        <v>31.860001</v>
      </c>
      <c r="E859">
        <v>32.349997999999999</v>
      </c>
      <c r="G859" s="9">
        <v>43626</v>
      </c>
      <c r="H859">
        <v>32.689999</v>
      </c>
      <c r="I859">
        <v>33</v>
      </c>
      <c r="J859">
        <v>31.860001</v>
      </c>
    </row>
    <row r="860" spans="1:10" x14ac:dyDescent="0.25">
      <c r="A860" s="9">
        <v>43633</v>
      </c>
      <c r="B860">
        <v>32.25</v>
      </c>
      <c r="C860">
        <v>32.700001</v>
      </c>
      <c r="D860">
        <v>32.169998</v>
      </c>
      <c r="E860">
        <v>32.450001</v>
      </c>
      <c r="G860" s="9">
        <v>43633</v>
      </c>
      <c r="H860">
        <v>32.25</v>
      </c>
      <c r="I860">
        <v>32.700001</v>
      </c>
      <c r="J860">
        <v>32.169998</v>
      </c>
    </row>
    <row r="861" spans="1:10" x14ac:dyDescent="0.25">
      <c r="A861" s="9">
        <v>43640</v>
      </c>
      <c r="B861">
        <v>32.490001999999997</v>
      </c>
      <c r="C861">
        <v>33.549999</v>
      </c>
      <c r="D861">
        <v>32.450001</v>
      </c>
      <c r="E861">
        <v>33.509998000000003</v>
      </c>
      <c r="G861" s="9">
        <v>43640</v>
      </c>
      <c r="H861">
        <v>32.490001999999997</v>
      </c>
      <c r="I861">
        <v>33.549999</v>
      </c>
      <c r="J861">
        <v>32.450001</v>
      </c>
    </row>
    <row r="862" spans="1:10" x14ac:dyDescent="0.25">
      <c r="A862" s="9">
        <v>43647</v>
      </c>
      <c r="B862">
        <v>33.810001</v>
      </c>
      <c r="C862">
        <v>34.369999</v>
      </c>
      <c r="D862">
        <v>33.369999</v>
      </c>
      <c r="E862">
        <v>34.299999</v>
      </c>
      <c r="G862" s="9">
        <v>43647</v>
      </c>
      <c r="H862">
        <v>33.810001</v>
      </c>
      <c r="I862">
        <v>34.369999</v>
      </c>
      <c r="J862">
        <v>33.369999</v>
      </c>
    </row>
    <row r="863" spans="1:10" x14ac:dyDescent="0.25">
      <c r="A863" s="9">
        <v>43654</v>
      </c>
      <c r="B863">
        <v>34.130001</v>
      </c>
      <c r="C863">
        <v>34.360000999999997</v>
      </c>
      <c r="D863">
        <v>33.259998000000003</v>
      </c>
      <c r="E863">
        <v>33.650002000000001</v>
      </c>
      <c r="G863" s="9">
        <v>43654</v>
      </c>
      <c r="H863">
        <v>34.130001</v>
      </c>
      <c r="I863">
        <v>34.360000999999997</v>
      </c>
      <c r="J863">
        <v>33.259998000000003</v>
      </c>
    </row>
    <row r="864" spans="1:10" x14ac:dyDescent="0.25">
      <c r="A864" s="9">
        <v>43661</v>
      </c>
      <c r="B864">
        <v>33.659999999999997</v>
      </c>
      <c r="C864">
        <v>33.740001999999997</v>
      </c>
      <c r="D864">
        <v>32.770000000000003</v>
      </c>
      <c r="E864">
        <v>32.790000999999997</v>
      </c>
      <c r="G864" s="9">
        <v>43661</v>
      </c>
      <c r="H864">
        <v>33.659999999999997</v>
      </c>
      <c r="I864">
        <v>33.740001999999997</v>
      </c>
      <c r="J864">
        <v>32.770000000000003</v>
      </c>
    </row>
    <row r="865" spans="1:10" x14ac:dyDescent="0.25">
      <c r="A865" s="9">
        <v>43668</v>
      </c>
      <c r="B865">
        <v>32.75</v>
      </c>
      <c r="C865">
        <v>34.229999999999997</v>
      </c>
      <c r="D865">
        <v>31.52</v>
      </c>
      <c r="E865">
        <v>34.150002000000001</v>
      </c>
      <c r="G865" s="9">
        <v>43668</v>
      </c>
      <c r="H865">
        <v>32.75</v>
      </c>
      <c r="I865">
        <v>34.229999999999997</v>
      </c>
      <c r="J865">
        <v>31.52</v>
      </c>
    </row>
    <row r="866" spans="1:10" x14ac:dyDescent="0.25">
      <c r="A866" s="9">
        <v>43675</v>
      </c>
      <c r="B866">
        <v>34.07</v>
      </c>
      <c r="C866">
        <v>34.639999000000003</v>
      </c>
      <c r="D866">
        <v>33.540000999999997</v>
      </c>
      <c r="E866">
        <v>34.169998</v>
      </c>
      <c r="G866" s="9">
        <v>43675</v>
      </c>
      <c r="H866">
        <v>34.07</v>
      </c>
      <c r="I866">
        <v>34.639999000000003</v>
      </c>
      <c r="J866">
        <v>33.540000999999997</v>
      </c>
    </row>
    <row r="867" spans="1:10" x14ac:dyDescent="0.25">
      <c r="A867" s="9">
        <v>43682</v>
      </c>
      <c r="B867">
        <v>33.700001</v>
      </c>
      <c r="C867">
        <v>34.590000000000003</v>
      </c>
      <c r="D867">
        <v>33.189999</v>
      </c>
      <c r="E867">
        <v>34.540000999999997</v>
      </c>
      <c r="G867" s="9">
        <v>43682</v>
      </c>
      <c r="H867">
        <v>33.700001</v>
      </c>
      <c r="I867">
        <v>34.590000000000003</v>
      </c>
      <c r="J867">
        <v>33.189999</v>
      </c>
    </row>
    <row r="868" spans="1:10" x14ac:dyDescent="0.25">
      <c r="A868" s="9">
        <v>43689</v>
      </c>
      <c r="B868">
        <v>34.470001000000003</v>
      </c>
      <c r="C868">
        <v>35</v>
      </c>
      <c r="D868">
        <v>33.959999000000003</v>
      </c>
      <c r="E868">
        <v>34.970001000000003</v>
      </c>
      <c r="G868" s="9">
        <v>43689</v>
      </c>
      <c r="H868">
        <v>34.470001000000003</v>
      </c>
      <c r="I868">
        <v>35</v>
      </c>
      <c r="J868">
        <v>33.959999000000003</v>
      </c>
    </row>
    <row r="869" spans="1:10" x14ac:dyDescent="0.25">
      <c r="A869" s="9">
        <v>43696</v>
      </c>
      <c r="B869">
        <v>35.009998000000003</v>
      </c>
      <c r="C869">
        <v>35.5</v>
      </c>
      <c r="D869">
        <v>34.639999000000003</v>
      </c>
      <c r="E869">
        <v>34.82</v>
      </c>
      <c r="G869" s="9">
        <v>43696</v>
      </c>
      <c r="H869">
        <v>35.009998000000003</v>
      </c>
      <c r="I869">
        <v>35.5</v>
      </c>
      <c r="J869">
        <v>34.639999000000003</v>
      </c>
    </row>
    <row r="870" spans="1:10" x14ac:dyDescent="0.25">
      <c r="A870" s="9">
        <v>43703</v>
      </c>
      <c r="B870">
        <v>34.970001000000003</v>
      </c>
      <c r="C870">
        <v>35.349997999999999</v>
      </c>
      <c r="D870">
        <v>34.529998999999997</v>
      </c>
      <c r="E870">
        <v>35.259998000000003</v>
      </c>
      <c r="G870" s="9">
        <v>43703</v>
      </c>
      <c r="H870">
        <v>34.970001000000003</v>
      </c>
      <c r="I870">
        <v>35.349997999999999</v>
      </c>
      <c r="J870">
        <v>34.529998999999997</v>
      </c>
    </row>
    <row r="871" spans="1:10" x14ac:dyDescent="0.25">
      <c r="A871" s="9">
        <v>43710</v>
      </c>
      <c r="B871">
        <v>35.080002</v>
      </c>
      <c r="C871">
        <v>36.369999</v>
      </c>
      <c r="D871">
        <v>34.919998</v>
      </c>
      <c r="E871">
        <v>36.25</v>
      </c>
      <c r="G871" s="9">
        <v>43710</v>
      </c>
      <c r="H871">
        <v>35.080002</v>
      </c>
      <c r="I871">
        <v>36.369999</v>
      </c>
      <c r="J871">
        <v>34.919998</v>
      </c>
    </row>
    <row r="872" spans="1:10" x14ac:dyDescent="0.25">
      <c r="A872" s="9">
        <v>43717</v>
      </c>
      <c r="B872">
        <v>37.82</v>
      </c>
      <c r="C872">
        <v>38.75</v>
      </c>
      <c r="D872">
        <v>36.709999000000003</v>
      </c>
      <c r="E872">
        <v>37.909999999999997</v>
      </c>
      <c r="G872" s="9">
        <v>43717</v>
      </c>
      <c r="H872">
        <v>37.82</v>
      </c>
      <c r="I872">
        <v>38.75</v>
      </c>
      <c r="J872">
        <v>36.709999000000003</v>
      </c>
    </row>
    <row r="873" spans="1:10" x14ac:dyDescent="0.25">
      <c r="A873" s="9">
        <v>43724</v>
      </c>
      <c r="B873">
        <v>37.700001</v>
      </c>
      <c r="C873">
        <v>38.009998000000003</v>
      </c>
      <c r="D873">
        <v>36.490001999999997</v>
      </c>
      <c r="E873">
        <v>37.909999999999997</v>
      </c>
      <c r="G873" s="9">
        <v>43724</v>
      </c>
      <c r="H873">
        <v>37.700001</v>
      </c>
      <c r="I873">
        <v>38.009998000000003</v>
      </c>
      <c r="J873">
        <v>36.490001999999997</v>
      </c>
    </row>
    <row r="874" spans="1:10" x14ac:dyDescent="0.25">
      <c r="A874" s="9">
        <v>43731</v>
      </c>
      <c r="B874">
        <v>37.619999</v>
      </c>
      <c r="C874">
        <v>37.849997999999999</v>
      </c>
      <c r="D874">
        <v>37.18</v>
      </c>
      <c r="E874">
        <v>37.43</v>
      </c>
      <c r="G874" s="9">
        <v>43731</v>
      </c>
      <c r="H874">
        <v>37.619999</v>
      </c>
      <c r="I874">
        <v>37.849997999999999</v>
      </c>
      <c r="J874">
        <v>37.18</v>
      </c>
    </row>
    <row r="875" spans="1:10" x14ac:dyDescent="0.25">
      <c r="A875" s="9">
        <v>43738</v>
      </c>
      <c r="B875">
        <v>37.590000000000003</v>
      </c>
      <c r="C875">
        <v>37.959999000000003</v>
      </c>
      <c r="D875">
        <v>36.659999999999997</v>
      </c>
      <c r="E875">
        <v>37.509998000000003</v>
      </c>
      <c r="G875" s="9">
        <v>43738</v>
      </c>
      <c r="H875">
        <v>37.590000000000003</v>
      </c>
      <c r="I875">
        <v>37.959999000000003</v>
      </c>
      <c r="J875">
        <v>36.659999999999997</v>
      </c>
    </row>
    <row r="876" spans="1:10" x14ac:dyDescent="0.25">
      <c r="A876" s="9">
        <v>43745</v>
      </c>
      <c r="B876">
        <v>37.580002</v>
      </c>
      <c r="C876">
        <v>37.869999</v>
      </c>
      <c r="D876">
        <v>36.889999000000003</v>
      </c>
      <c r="E876">
        <v>37.580002</v>
      </c>
      <c r="G876" s="9">
        <v>43745</v>
      </c>
      <c r="H876">
        <v>37.580002</v>
      </c>
      <c r="I876">
        <v>37.869999</v>
      </c>
      <c r="J876">
        <v>36.889999000000003</v>
      </c>
    </row>
    <row r="877" spans="1:10" x14ac:dyDescent="0.25">
      <c r="A877" s="9">
        <v>43752</v>
      </c>
      <c r="B877">
        <v>37.580002</v>
      </c>
      <c r="C877">
        <v>38.529998999999997</v>
      </c>
      <c r="D877">
        <v>37.310001</v>
      </c>
      <c r="E877">
        <v>38.470001000000003</v>
      </c>
      <c r="G877" s="9">
        <v>43752</v>
      </c>
      <c r="H877">
        <v>37.580002</v>
      </c>
      <c r="I877">
        <v>38.529998999999997</v>
      </c>
      <c r="J877">
        <v>37.310001</v>
      </c>
    </row>
    <row r="878" spans="1:10" x14ac:dyDescent="0.25">
      <c r="A878" s="9">
        <v>43759</v>
      </c>
      <c r="B878">
        <v>38.419998</v>
      </c>
      <c r="C878">
        <v>38.619999</v>
      </c>
      <c r="D878">
        <v>36.540000999999997</v>
      </c>
      <c r="E878">
        <v>36.909999999999997</v>
      </c>
      <c r="G878" s="9">
        <v>43759</v>
      </c>
      <c r="H878">
        <v>38.419998</v>
      </c>
      <c r="I878">
        <v>38.619999</v>
      </c>
      <c r="J878">
        <v>36.540000999999997</v>
      </c>
    </row>
    <row r="879" spans="1:10" x14ac:dyDescent="0.25">
      <c r="A879" s="9">
        <v>43766</v>
      </c>
      <c r="B879">
        <v>38.299999</v>
      </c>
      <c r="C879">
        <v>39.020000000000003</v>
      </c>
      <c r="D879">
        <v>37.880001</v>
      </c>
      <c r="E879">
        <v>38.950001</v>
      </c>
      <c r="G879" s="9">
        <v>43766</v>
      </c>
      <c r="H879">
        <v>38.299999</v>
      </c>
      <c r="I879">
        <v>39.020000000000003</v>
      </c>
      <c r="J879">
        <v>37.880001</v>
      </c>
    </row>
    <row r="880" spans="1:10" x14ac:dyDescent="0.25">
      <c r="A880" s="9">
        <v>43773</v>
      </c>
      <c r="B880">
        <v>39.099997999999999</v>
      </c>
      <c r="C880">
        <v>39.580002</v>
      </c>
      <c r="D880">
        <v>38.790000999999997</v>
      </c>
      <c r="E880">
        <v>39.380001</v>
      </c>
      <c r="G880" s="9">
        <v>43773</v>
      </c>
      <c r="H880">
        <v>39.099997999999999</v>
      </c>
      <c r="I880">
        <v>39.580002</v>
      </c>
      <c r="J880">
        <v>38.790000999999997</v>
      </c>
    </row>
    <row r="881" spans="1:10" x14ac:dyDescent="0.25">
      <c r="A881" s="9">
        <v>43780</v>
      </c>
      <c r="B881">
        <v>39.259998000000003</v>
      </c>
      <c r="C881">
        <v>39.509998000000003</v>
      </c>
      <c r="D881">
        <v>38.689999</v>
      </c>
      <c r="E881">
        <v>39.5</v>
      </c>
      <c r="G881" s="9">
        <v>43780</v>
      </c>
      <c r="H881">
        <v>39.259998000000003</v>
      </c>
      <c r="I881">
        <v>39.509998000000003</v>
      </c>
      <c r="J881">
        <v>38.689999</v>
      </c>
    </row>
    <row r="882" spans="1:10" x14ac:dyDescent="0.25">
      <c r="A882" s="9">
        <v>43787</v>
      </c>
      <c r="B882">
        <v>39.299999</v>
      </c>
      <c r="C882">
        <v>39.700001</v>
      </c>
      <c r="D882">
        <v>36.400002000000001</v>
      </c>
      <c r="E882">
        <v>37.75</v>
      </c>
      <c r="G882" s="9">
        <v>43787</v>
      </c>
      <c r="H882">
        <v>39.299999</v>
      </c>
      <c r="I882">
        <v>39.700001</v>
      </c>
      <c r="J882">
        <v>36.400002000000001</v>
      </c>
    </row>
    <row r="883" spans="1:10" x14ac:dyDescent="0.25">
      <c r="A883" s="9">
        <v>43794</v>
      </c>
      <c r="B883">
        <v>37.900002000000001</v>
      </c>
      <c r="C883">
        <v>37.959999000000003</v>
      </c>
      <c r="D883">
        <v>36.770000000000003</v>
      </c>
      <c r="E883">
        <v>37.380001</v>
      </c>
      <c r="G883" s="9">
        <v>43794</v>
      </c>
      <c r="H883">
        <v>37.900002000000001</v>
      </c>
      <c r="I883">
        <v>37.959999000000003</v>
      </c>
      <c r="J883">
        <v>36.770000000000003</v>
      </c>
    </row>
    <row r="884" spans="1:10" x14ac:dyDescent="0.25">
      <c r="A884" s="9">
        <v>43801</v>
      </c>
      <c r="B884">
        <v>37.479999999999997</v>
      </c>
      <c r="C884">
        <v>38.580002</v>
      </c>
      <c r="D884">
        <v>36.909999999999997</v>
      </c>
      <c r="E884">
        <v>38.200001</v>
      </c>
      <c r="G884" s="9">
        <v>43801</v>
      </c>
      <c r="H884">
        <v>37.479999999999997</v>
      </c>
      <c r="I884">
        <v>38.580002</v>
      </c>
      <c r="J884">
        <v>36.909999999999997</v>
      </c>
    </row>
    <row r="885" spans="1:10" x14ac:dyDescent="0.25">
      <c r="A885" s="9">
        <v>43808</v>
      </c>
      <c r="B885">
        <v>38.119999</v>
      </c>
      <c r="C885">
        <v>38.57</v>
      </c>
      <c r="D885">
        <v>37.82</v>
      </c>
      <c r="E885">
        <v>38.259998000000003</v>
      </c>
      <c r="G885" s="9">
        <v>43808</v>
      </c>
      <c r="H885">
        <v>38.119999</v>
      </c>
      <c r="I885">
        <v>38.57</v>
      </c>
      <c r="J885">
        <v>37.82</v>
      </c>
    </row>
    <row r="886" spans="1:10" x14ac:dyDescent="0.25">
      <c r="A886" s="9">
        <v>43815</v>
      </c>
      <c r="B886">
        <v>38.369999</v>
      </c>
      <c r="C886">
        <v>39.259998000000003</v>
      </c>
      <c r="D886">
        <v>38.369999</v>
      </c>
      <c r="E886">
        <v>39.150002000000001</v>
      </c>
      <c r="G886" s="9">
        <v>43815</v>
      </c>
      <c r="H886">
        <v>38.369999</v>
      </c>
      <c r="I886">
        <v>39.259998000000003</v>
      </c>
      <c r="J886">
        <v>38.369999</v>
      </c>
    </row>
    <row r="887" spans="1:10" x14ac:dyDescent="0.25">
      <c r="A887" s="9">
        <v>43822</v>
      </c>
      <c r="B887">
        <v>39.25</v>
      </c>
      <c r="C887">
        <v>39.43</v>
      </c>
      <c r="D887">
        <v>38.900002000000001</v>
      </c>
      <c r="E887">
        <v>39.240001999999997</v>
      </c>
      <c r="G887" s="9">
        <v>43822</v>
      </c>
      <c r="H887">
        <v>39.25</v>
      </c>
      <c r="I887">
        <v>39.43</v>
      </c>
      <c r="J887">
        <v>38.900002000000001</v>
      </c>
    </row>
    <row r="888" spans="1:10" x14ac:dyDescent="0.25">
      <c r="A888" s="9">
        <v>43829</v>
      </c>
      <c r="B888">
        <v>39.270000000000003</v>
      </c>
      <c r="C888">
        <v>39.279998999999997</v>
      </c>
      <c r="D888">
        <v>38.57</v>
      </c>
      <c r="E888">
        <v>39.060001</v>
      </c>
      <c r="G888" s="9">
        <v>43829</v>
      </c>
      <c r="H888">
        <v>39.270000000000003</v>
      </c>
      <c r="I888">
        <v>39.279998999999997</v>
      </c>
      <c r="J888">
        <v>38.57</v>
      </c>
    </row>
    <row r="889" spans="1:10" x14ac:dyDescent="0.25">
      <c r="A889" s="9">
        <v>43836</v>
      </c>
      <c r="B889">
        <v>38.990001999999997</v>
      </c>
      <c r="C889">
        <v>39.549999</v>
      </c>
      <c r="D889">
        <v>38.549999</v>
      </c>
      <c r="E889">
        <v>38.57</v>
      </c>
      <c r="G889" s="9">
        <v>43836</v>
      </c>
      <c r="H889">
        <v>38.990001999999997</v>
      </c>
      <c r="I889">
        <v>39.549999</v>
      </c>
      <c r="J889">
        <v>38.549999</v>
      </c>
    </row>
    <row r="890" spans="1:10" x14ac:dyDescent="0.25">
      <c r="A890" s="9">
        <v>43843</v>
      </c>
      <c r="B890">
        <v>38.540000999999997</v>
      </c>
      <c r="C890">
        <v>38.549999</v>
      </c>
      <c r="D890">
        <v>37.770000000000003</v>
      </c>
      <c r="E890">
        <v>38.380001</v>
      </c>
      <c r="G890" s="9">
        <v>43843</v>
      </c>
      <c r="H890">
        <v>38.540000999999997</v>
      </c>
      <c r="I890">
        <v>38.549999</v>
      </c>
      <c r="J890">
        <v>37.770000000000003</v>
      </c>
    </row>
    <row r="891" spans="1:10" x14ac:dyDescent="0.25">
      <c r="A891" s="9">
        <v>43850</v>
      </c>
      <c r="B891">
        <v>38.349997999999999</v>
      </c>
      <c r="C891">
        <v>39.139999000000003</v>
      </c>
      <c r="D891">
        <v>38.18</v>
      </c>
      <c r="E891">
        <v>38.5</v>
      </c>
      <c r="G891" s="9">
        <v>43850</v>
      </c>
      <c r="H891">
        <v>38.349997999999999</v>
      </c>
      <c r="I891">
        <v>39.139999000000003</v>
      </c>
      <c r="J891">
        <v>38.18</v>
      </c>
    </row>
    <row r="892" spans="1:10" x14ac:dyDescent="0.25">
      <c r="A892" s="9">
        <v>43857</v>
      </c>
      <c r="B892">
        <v>38.020000000000003</v>
      </c>
      <c r="C892">
        <v>38.799999</v>
      </c>
      <c r="D892">
        <v>36.32</v>
      </c>
      <c r="E892">
        <v>37.619999</v>
      </c>
      <c r="G892" s="9">
        <v>43857</v>
      </c>
      <c r="H892">
        <v>38.020000000000003</v>
      </c>
      <c r="I892">
        <v>38.799999</v>
      </c>
      <c r="J892">
        <v>36.32</v>
      </c>
    </row>
    <row r="893" spans="1:10" x14ac:dyDescent="0.25">
      <c r="A893" s="9">
        <v>43864</v>
      </c>
      <c r="B893">
        <v>37.959999000000003</v>
      </c>
      <c r="C893">
        <v>38.720001000000003</v>
      </c>
      <c r="D893">
        <v>36.799999</v>
      </c>
      <c r="E893">
        <v>38.450001</v>
      </c>
      <c r="G893" s="9">
        <v>43864</v>
      </c>
      <c r="H893">
        <v>37.959999000000003</v>
      </c>
      <c r="I893">
        <v>38.720001000000003</v>
      </c>
      <c r="J893">
        <v>36.799999</v>
      </c>
    </row>
    <row r="894" spans="1:10" x14ac:dyDescent="0.25">
      <c r="A894" s="9">
        <v>43871</v>
      </c>
      <c r="B894">
        <v>38.419998</v>
      </c>
      <c r="C894">
        <v>38.82</v>
      </c>
      <c r="D894">
        <v>37.849997999999999</v>
      </c>
      <c r="E894">
        <v>38.25</v>
      </c>
      <c r="G894" s="9">
        <v>43871</v>
      </c>
      <c r="H894">
        <v>38.419998</v>
      </c>
      <c r="I894">
        <v>38.82</v>
      </c>
      <c r="J894">
        <v>37.849997999999999</v>
      </c>
    </row>
    <row r="895" spans="1:10" x14ac:dyDescent="0.25">
      <c r="A895" s="9">
        <v>43878</v>
      </c>
      <c r="B895">
        <v>38.18</v>
      </c>
      <c r="C895">
        <v>38.68</v>
      </c>
      <c r="D895">
        <v>38.040000999999997</v>
      </c>
      <c r="E895">
        <v>38.549999</v>
      </c>
      <c r="G895" s="9">
        <v>43878</v>
      </c>
      <c r="H895">
        <v>38.18</v>
      </c>
      <c r="I895">
        <v>38.68</v>
      </c>
      <c r="J895">
        <v>38.040000999999997</v>
      </c>
    </row>
    <row r="896" spans="1:10" x14ac:dyDescent="0.25">
      <c r="A896" s="9">
        <v>43885</v>
      </c>
      <c r="B896">
        <v>37.990001999999997</v>
      </c>
      <c r="C896">
        <v>38.509998000000003</v>
      </c>
      <c r="D896">
        <v>33.009998000000003</v>
      </c>
      <c r="E896">
        <v>35.220001000000003</v>
      </c>
      <c r="G896" s="9">
        <v>43885</v>
      </c>
      <c r="H896">
        <v>37.990001999999997</v>
      </c>
      <c r="I896">
        <v>38.509998000000003</v>
      </c>
      <c r="J896">
        <v>33.009998000000003</v>
      </c>
    </row>
    <row r="897" spans="1:10" x14ac:dyDescent="0.25">
      <c r="A897" s="9">
        <v>43892</v>
      </c>
      <c r="B897">
        <v>35.369999</v>
      </c>
      <c r="C897">
        <v>38.220001000000003</v>
      </c>
      <c r="D897">
        <v>35.290000999999997</v>
      </c>
      <c r="E897">
        <v>37.029998999999997</v>
      </c>
      <c r="G897" s="9">
        <v>43892</v>
      </c>
      <c r="H897">
        <v>35.369999</v>
      </c>
      <c r="I897">
        <v>38.220001000000003</v>
      </c>
      <c r="J897">
        <v>35.290000999999997</v>
      </c>
    </row>
    <row r="898" spans="1:10" x14ac:dyDescent="0.25">
      <c r="A898" s="9">
        <v>43899</v>
      </c>
      <c r="B898">
        <v>35.009998000000003</v>
      </c>
      <c r="C898">
        <v>36.150002000000001</v>
      </c>
      <c r="D898">
        <v>31.059999000000001</v>
      </c>
      <c r="E898">
        <v>34.470001000000003</v>
      </c>
      <c r="G898" s="9">
        <v>43899</v>
      </c>
      <c r="H898">
        <v>35.009998000000003</v>
      </c>
      <c r="I898">
        <v>36.150002000000001</v>
      </c>
      <c r="J898">
        <v>31.059999000000001</v>
      </c>
    </row>
    <row r="899" spans="1:10" x14ac:dyDescent="0.25">
      <c r="A899" s="9">
        <v>43906</v>
      </c>
      <c r="B899">
        <v>31</v>
      </c>
      <c r="C899">
        <v>34.060001</v>
      </c>
      <c r="D899">
        <v>28.18</v>
      </c>
      <c r="E899">
        <v>28.450001</v>
      </c>
      <c r="G899" s="9">
        <v>43906</v>
      </c>
      <c r="H899">
        <v>31</v>
      </c>
      <c r="I899">
        <v>34.060001</v>
      </c>
      <c r="J899">
        <v>28.18</v>
      </c>
    </row>
    <row r="900" spans="1:10" x14ac:dyDescent="0.25">
      <c r="A900" s="9">
        <v>43913</v>
      </c>
      <c r="B900">
        <v>27.389999</v>
      </c>
      <c r="C900">
        <v>28.299999</v>
      </c>
      <c r="D900">
        <v>26.08</v>
      </c>
      <c r="E900">
        <v>28.09</v>
      </c>
      <c r="G900" s="9">
        <v>43913</v>
      </c>
      <c r="H900">
        <v>27.389999</v>
      </c>
      <c r="I900">
        <v>28.299999</v>
      </c>
      <c r="J900">
        <v>26.08</v>
      </c>
    </row>
  </sheetData>
  <autoFilter ref="A1:E1" xr:uid="{B42E2234-CD19-4B35-A681-886AF2D47766}"/>
  <sortState xmlns:xlrd2="http://schemas.microsoft.com/office/spreadsheetml/2017/richdata2" ref="A2:E900">
    <sortCondition ref="A2:A90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DD4D-360B-4E85-805D-EC88EA3BF7D3}">
  <sheetPr codeName="Sheet3"/>
  <dimension ref="A1:W70"/>
  <sheetViews>
    <sheetView workbookViewId="0">
      <pane ySplit="1" topLeftCell="A2" activePane="bottomLeft" state="frozen"/>
      <selection activeCell="E20" sqref="E20:E21"/>
      <selection pane="bottomLeft" sqref="A1:A1048576"/>
    </sheetView>
  </sheetViews>
  <sheetFormatPr defaultRowHeight="15" x14ac:dyDescent="0.25"/>
  <cols>
    <col min="1" max="1" width="14.28515625" style="10" customWidth="1"/>
    <col min="2" max="2" width="14.28515625" style="12" customWidth="1"/>
    <col min="3" max="3" width="14.28515625" style="13" customWidth="1"/>
    <col min="4" max="4" width="2.85546875" customWidth="1"/>
    <col min="5" max="5" width="14.28515625" style="10" customWidth="1"/>
    <col min="6" max="6" width="14.28515625" style="12" customWidth="1"/>
    <col min="7" max="7" width="14.28515625" style="13" customWidth="1"/>
    <col min="8" max="8" width="2.85546875" customWidth="1"/>
    <col min="9" max="9" width="14.28515625" style="10" customWidth="1"/>
    <col min="10" max="10" width="14.28515625" style="12" customWidth="1"/>
    <col min="11" max="11" width="14.28515625" style="13" customWidth="1"/>
    <col min="12" max="12" width="2.85546875" customWidth="1"/>
    <col min="13" max="13" width="14.28515625" style="10" customWidth="1"/>
    <col min="14" max="14" width="14.28515625" style="12" customWidth="1"/>
    <col min="15" max="15" width="14.28515625" style="13" customWidth="1"/>
    <col min="16" max="16" width="2.85546875" customWidth="1"/>
    <col min="17" max="17" width="14.28515625" style="10" customWidth="1"/>
    <col min="18" max="18" width="14.28515625" style="12" customWidth="1"/>
    <col min="19" max="19" width="14.28515625" style="13" customWidth="1"/>
    <col min="20" max="20" width="2.85546875" customWidth="1"/>
    <col min="21" max="21" width="14.28515625" style="10" customWidth="1"/>
    <col min="22" max="22" width="14.28515625" style="12" customWidth="1"/>
    <col min="23" max="23" width="14.28515625" style="13" customWidth="1"/>
  </cols>
  <sheetData>
    <row r="1" spans="1:23" x14ac:dyDescent="0.25">
      <c r="A1" t="s">
        <v>0</v>
      </c>
      <c r="B1" t="s">
        <v>32</v>
      </c>
    </row>
    <row r="2" spans="1:23" x14ac:dyDescent="0.25">
      <c r="A2" s="11">
        <v>37629</v>
      </c>
      <c r="B2" s="12">
        <v>0.27</v>
      </c>
      <c r="C2" s="13" t="str">
        <f t="shared" ref="C2:C33" si="0">WEEKNUM(A2)&amp;YEAR(A2)</f>
        <v>22003</v>
      </c>
      <c r="E2" s="11">
        <v>37629</v>
      </c>
      <c r="F2" s="12">
        <v>0.27</v>
      </c>
      <c r="G2" s="13" t="str">
        <f t="shared" ref="G2:G33" si="1">WEEKNUM(E2)&amp;YEAR(E2)</f>
        <v>22003</v>
      </c>
      <c r="I2" s="11">
        <v>37629</v>
      </c>
      <c r="J2" s="12">
        <v>0.27</v>
      </c>
      <c r="K2" s="13" t="str">
        <f t="shared" ref="K2:K33" si="2">WEEKNUM(I2)&amp;YEAR(I2)</f>
        <v>22003</v>
      </c>
      <c r="M2" s="11">
        <v>37629</v>
      </c>
      <c r="N2" s="12">
        <v>0.27</v>
      </c>
      <c r="O2" s="13" t="str">
        <f t="shared" ref="O2:O33" si="3">WEEKNUM(M2)&amp;YEAR(M2)</f>
        <v>22003</v>
      </c>
      <c r="Q2" s="11">
        <v>37629</v>
      </c>
      <c r="R2" s="12">
        <v>0.27</v>
      </c>
      <c r="S2" s="13" t="str">
        <f t="shared" ref="S2:S33" si="4">WEEKNUM(Q2)&amp;YEAR(Q2)</f>
        <v>22003</v>
      </c>
      <c r="U2" s="11">
        <v>37629</v>
      </c>
      <c r="V2" s="12">
        <v>0.27</v>
      </c>
      <c r="W2" s="13" t="str">
        <f t="shared" ref="W2:W33" si="5">WEEKNUM(U2)&amp;YEAR(U2)</f>
        <v>22003</v>
      </c>
    </row>
    <row r="3" spans="1:23" x14ac:dyDescent="0.25">
      <c r="A3" s="11">
        <v>37719</v>
      </c>
      <c r="B3" s="12">
        <v>0.28249999999999997</v>
      </c>
      <c r="C3" s="13" t="str">
        <f t="shared" si="0"/>
        <v>152003</v>
      </c>
      <c r="E3" s="11">
        <v>37719</v>
      </c>
      <c r="F3" s="12">
        <v>0.28249999999999997</v>
      </c>
      <c r="G3" s="13" t="str">
        <f t="shared" si="1"/>
        <v>152003</v>
      </c>
      <c r="I3" s="11">
        <v>37719</v>
      </c>
      <c r="J3" s="12">
        <v>0.28249999999999997</v>
      </c>
      <c r="K3" s="13" t="str">
        <f t="shared" si="2"/>
        <v>152003</v>
      </c>
      <c r="M3" s="11">
        <v>37719</v>
      </c>
      <c r="N3" s="12">
        <v>0.28249999999999997</v>
      </c>
      <c r="O3" s="13" t="str">
        <f t="shared" si="3"/>
        <v>152003</v>
      </c>
      <c r="Q3" s="11">
        <v>37719</v>
      </c>
      <c r="R3" s="12">
        <v>0.28249999999999997</v>
      </c>
      <c r="S3" s="13" t="str">
        <f t="shared" si="4"/>
        <v>152003</v>
      </c>
      <c r="U3" s="11">
        <v>37719</v>
      </c>
      <c r="V3" s="12">
        <v>0.28249999999999997</v>
      </c>
      <c r="W3" s="13" t="str">
        <f t="shared" si="5"/>
        <v>152003</v>
      </c>
    </row>
    <row r="4" spans="1:23" x14ac:dyDescent="0.25">
      <c r="A4" s="11">
        <v>37810</v>
      </c>
      <c r="B4" s="12">
        <v>0.28249999999999997</v>
      </c>
      <c r="C4" s="13" t="str">
        <f t="shared" si="0"/>
        <v>282003</v>
      </c>
      <c r="E4" s="11">
        <v>37810</v>
      </c>
      <c r="F4" s="12">
        <v>0.28249999999999997</v>
      </c>
      <c r="G4" s="13" t="str">
        <f t="shared" si="1"/>
        <v>282003</v>
      </c>
      <c r="I4" s="11">
        <v>37810</v>
      </c>
      <c r="J4" s="12">
        <v>0.28249999999999997</v>
      </c>
      <c r="K4" s="13" t="str">
        <f t="shared" si="2"/>
        <v>282003</v>
      </c>
      <c r="M4" s="11">
        <v>37810</v>
      </c>
      <c r="N4" s="12">
        <v>0.28249999999999997</v>
      </c>
      <c r="O4" s="13" t="str">
        <f t="shared" si="3"/>
        <v>282003</v>
      </c>
      <c r="Q4" s="11">
        <v>37810</v>
      </c>
      <c r="R4" s="12">
        <v>0.28249999999999997</v>
      </c>
      <c r="S4" s="13" t="str">
        <f t="shared" si="4"/>
        <v>282003</v>
      </c>
      <c r="U4" s="11">
        <v>37810</v>
      </c>
      <c r="V4" s="12">
        <v>0.28249999999999997</v>
      </c>
      <c r="W4" s="13" t="str">
        <f t="shared" si="5"/>
        <v>282003</v>
      </c>
    </row>
    <row r="5" spans="1:23" x14ac:dyDescent="0.25">
      <c r="A5" s="11">
        <v>37902</v>
      </c>
      <c r="B5" s="12">
        <v>0.28249999999999997</v>
      </c>
      <c r="C5" s="13" t="str">
        <f t="shared" si="0"/>
        <v>412003</v>
      </c>
      <c r="E5" s="11">
        <v>37902</v>
      </c>
      <c r="F5" s="12">
        <v>0.28249999999999997</v>
      </c>
      <c r="G5" s="13" t="str">
        <f t="shared" si="1"/>
        <v>412003</v>
      </c>
      <c r="I5" s="11">
        <v>37902</v>
      </c>
      <c r="J5" s="12">
        <v>0.28249999999999997</v>
      </c>
      <c r="K5" s="13" t="str">
        <f t="shared" si="2"/>
        <v>412003</v>
      </c>
      <c r="M5" s="11">
        <v>37902</v>
      </c>
      <c r="N5" s="12">
        <v>0.28249999999999997</v>
      </c>
      <c r="O5" s="13" t="str">
        <f t="shared" si="3"/>
        <v>412003</v>
      </c>
      <c r="Q5" s="11">
        <v>37902</v>
      </c>
      <c r="R5" s="12">
        <v>0.28249999999999997</v>
      </c>
      <c r="S5" s="13" t="str">
        <f t="shared" si="4"/>
        <v>412003</v>
      </c>
      <c r="U5" s="11">
        <v>37902</v>
      </c>
      <c r="V5" s="12">
        <v>0.28249999999999997</v>
      </c>
      <c r="W5" s="13" t="str">
        <f t="shared" si="5"/>
        <v>412003</v>
      </c>
    </row>
    <row r="6" spans="1:23" x14ac:dyDescent="0.25">
      <c r="A6" s="11">
        <v>37993</v>
      </c>
      <c r="B6" s="12">
        <v>0.3125</v>
      </c>
      <c r="C6" s="13" t="str">
        <f t="shared" si="0"/>
        <v>22004</v>
      </c>
      <c r="E6" s="11">
        <v>37993</v>
      </c>
      <c r="F6" s="12">
        <v>0.3125</v>
      </c>
      <c r="G6" s="13" t="str">
        <f t="shared" si="1"/>
        <v>22004</v>
      </c>
      <c r="I6" s="11">
        <v>37993</v>
      </c>
      <c r="J6" s="12">
        <v>0.3125</v>
      </c>
      <c r="K6" s="13" t="str">
        <f t="shared" si="2"/>
        <v>22004</v>
      </c>
      <c r="M6" s="11">
        <v>37993</v>
      </c>
      <c r="N6" s="12">
        <v>0.3125</v>
      </c>
      <c r="O6" s="13" t="str">
        <f t="shared" si="3"/>
        <v>22004</v>
      </c>
      <c r="Q6" s="11">
        <v>37993</v>
      </c>
      <c r="R6" s="12">
        <v>0.3125</v>
      </c>
      <c r="S6" s="13" t="str">
        <f t="shared" si="4"/>
        <v>22004</v>
      </c>
      <c r="U6" s="11">
        <v>37993</v>
      </c>
      <c r="V6" s="12">
        <v>0.3125</v>
      </c>
      <c r="W6" s="13" t="str">
        <f t="shared" si="5"/>
        <v>22004</v>
      </c>
    </row>
    <row r="7" spans="1:23" x14ac:dyDescent="0.25">
      <c r="A7" s="11">
        <v>38083</v>
      </c>
      <c r="B7" s="12">
        <v>0.3125</v>
      </c>
      <c r="C7" s="13" t="str">
        <f t="shared" si="0"/>
        <v>152004</v>
      </c>
      <c r="E7" s="11">
        <v>38083</v>
      </c>
      <c r="F7" s="12">
        <v>0.3125</v>
      </c>
      <c r="G7" s="13" t="str">
        <f t="shared" si="1"/>
        <v>152004</v>
      </c>
      <c r="I7" s="11">
        <v>38083</v>
      </c>
      <c r="J7" s="12">
        <v>0.3125</v>
      </c>
      <c r="K7" s="13" t="str">
        <f t="shared" si="2"/>
        <v>152004</v>
      </c>
      <c r="M7" s="11">
        <v>38083</v>
      </c>
      <c r="N7" s="12">
        <v>0.3125</v>
      </c>
      <c r="O7" s="13" t="str">
        <f t="shared" si="3"/>
        <v>152004</v>
      </c>
      <c r="Q7" s="11">
        <v>38083</v>
      </c>
      <c r="R7" s="12">
        <v>0.3125</v>
      </c>
      <c r="S7" s="13" t="str">
        <f t="shared" si="4"/>
        <v>152004</v>
      </c>
      <c r="U7" s="11">
        <v>38083</v>
      </c>
      <c r="V7" s="12">
        <v>0.3125</v>
      </c>
      <c r="W7" s="13" t="str">
        <f t="shared" si="5"/>
        <v>152004</v>
      </c>
    </row>
    <row r="8" spans="1:23" x14ac:dyDescent="0.25">
      <c r="A8" s="11">
        <v>38175</v>
      </c>
      <c r="B8" s="12">
        <v>0.3125</v>
      </c>
      <c r="C8" s="13" t="str">
        <f t="shared" si="0"/>
        <v>282004</v>
      </c>
      <c r="E8" s="11">
        <v>38175</v>
      </c>
      <c r="F8" s="12">
        <v>0.3125</v>
      </c>
      <c r="G8" s="13" t="str">
        <f t="shared" si="1"/>
        <v>282004</v>
      </c>
      <c r="I8" s="11">
        <v>38175</v>
      </c>
      <c r="J8" s="12">
        <v>0.3125</v>
      </c>
      <c r="K8" s="13" t="str">
        <f t="shared" si="2"/>
        <v>282004</v>
      </c>
      <c r="M8" s="11">
        <v>38175</v>
      </c>
      <c r="N8" s="12">
        <v>0.3125</v>
      </c>
      <c r="O8" s="13" t="str">
        <f t="shared" si="3"/>
        <v>282004</v>
      </c>
      <c r="Q8" s="11">
        <v>38175</v>
      </c>
      <c r="R8" s="12">
        <v>0.3125</v>
      </c>
      <c r="S8" s="13" t="str">
        <f t="shared" si="4"/>
        <v>282004</v>
      </c>
      <c r="U8" s="11">
        <v>38175</v>
      </c>
      <c r="V8" s="12">
        <v>0.3125</v>
      </c>
      <c r="W8" s="13" t="str">
        <f t="shared" si="5"/>
        <v>282004</v>
      </c>
    </row>
    <row r="9" spans="1:23" x14ac:dyDescent="0.25">
      <c r="A9" s="11">
        <v>38266</v>
      </c>
      <c r="B9" s="12">
        <v>0.3125</v>
      </c>
      <c r="C9" s="13" t="str">
        <f t="shared" si="0"/>
        <v>412004</v>
      </c>
      <c r="E9" s="11">
        <v>38266</v>
      </c>
      <c r="F9" s="12">
        <v>0.3125</v>
      </c>
      <c r="G9" s="13" t="str">
        <f t="shared" si="1"/>
        <v>412004</v>
      </c>
      <c r="I9" s="11">
        <v>38266</v>
      </c>
      <c r="J9" s="12">
        <v>0.3125</v>
      </c>
      <c r="K9" s="13" t="str">
        <f t="shared" si="2"/>
        <v>412004</v>
      </c>
      <c r="M9" s="11">
        <v>38266</v>
      </c>
      <c r="N9" s="12">
        <v>0.3125</v>
      </c>
      <c r="O9" s="13" t="str">
        <f t="shared" si="3"/>
        <v>412004</v>
      </c>
      <c r="Q9" s="11">
        <v>38266</v>
      </c>
      <c r="R9" s="12">
        <v>0.3125</v>
      </c>
      <c r="S9" s="13" t="str">
        <f t="shared" si="4"/>
        <v>412004</v>
      </c>
      <c r="U9" s="11">
        <v>38266</v>
      </c>
      <c r="V9" s="12">
        <v>0.3125</v>
      </c>
      <c r="W9" s="13" t="str">
        <f t="shared" si="5"/>
        <v>412004</v>
      </c>
    </row>
    <row r="10" spans="1:23" x14ac:dyDescent="0.25">
      <c r="A10" s="11">
        <v>38358</v>
      </c>
      <c r="B10" s="12">
        <v>0.32250000000000001</v>
      </c>
      <c r="C10" s="13" t="str">
        <f t="shared" si="0"/>
        <v>22005</v>
      </c>
      <c r="E10" s="11">
        <v>38358</v>
      </c>
      <c r="F10" s="12">
        <v>0.32250000000000001</v>
      </c>
      <c r="G10" s="13" t="str">
        <f t="shared" si="1"/>
        <v>22005</v>
      </c>
      <c r="I10" s="11">
        <v>38358</v>
      </c>
      <c r="J10" s="12">
        <v>0.32250000000000001</v>
      </c>
      <c r="K10" s="13" t="str">
        <f t="shared" si="2"/>
        <v>22005</v>
      </c>
      <c r="M10" s="11">
        <v>38358</v>
      </c>
      <c r="N10" s="12">
        <v>0.32250000000000001</v>
      </c>
      <c r="O10" s="13" t="str">
        <f t="shared" si="3"/>
        <v>22005</v>
      </c>
      <c r="Q10" s="11">
        <v>38358</v>
      </c>
      <c r="R10" s="12">
        <v>0.32250000000000001</v>
      </c>
      <c r="S10" s="13" t="str">
        <f t="shared" si="4"/>
        <v>22005</v>
      </c>
      <c r="U10" s="11">
        <v>38358</v>
      </c>
      <c r="V10" s="12">
        <v>0.32250000000000001</v>
      </c>
      <c r="W10" s="13" t="str">
        <f t="shared" si="5"/>
        <v>22005</v>
      </c>
    </row>
    <row r="11" spans="1:23" x14ac:dyDescent="0.25">
      <c r="A11" s="11">
        <v>38448</v>
      </c>
      <c r="B11" s="12">
        <v>0.32250000000000001</v>
      </c>
      <c r="C11" s="13" t="str">
        <f t="shared" si="0"/>
        <v>152005</v>
      </c>
      <c r="E11" s="11">
        <v>38448</v>
      </c>
      <c r="F11" s="12">
        <v>0.32250000000000001</v>
      </c>
      <c r="G11" s="13" t="str">
        <f t="shared" si="1"/>
        <v>152005</v>
      </c>
      <c r="I11" s="11">
        <v>38448</v>
      </c>
      <c r="J11" s="12">
        <v>0.32250000000000001</v>
      </c>
      <c r="K11" s="13" t="str">
        <f t="shared" si="2"/>
        <v>152005</v>
      </c>
      <c r="M11" s="11">
        <v>38448</v>
      </c>
      <c r="N11" s="12">
        <v>0.32250000000000001</v>
      </c>
      <c r="O11" s="13" t="str">
        <f t="shared" si="3"/>
        <v>152005</v>
      </c>
      <c r="Q11" s="11">
        <v>38448</v>
      </c>
      <c r="R11" s="12">
        <v>0.32250000000000001</v>
      </c>
      <c r="S11" s="13" t="str">
        <f t="shared" si="4"/>
        <v>152005</v>
      </c>
      <c r="U11" s="11">
        <v>38448</v>
      </c>
      <c r="V11" s="12">
        <v>0.32250000000000001</v>
      </c>
      <c r="W11" s="13" t="str">
        <f t="shared" si="5"/>
        <v>152005</v>
      </c>
    </row>
    <row r="12" spans="1:23" x14ac:dyDescent="0.25">
      <c r="A12" s="11">
        <v>38539</v>
      </c>
      <c r="B12" s="12">
        <v>0.32250000000000001</v>
      </c>
      <c r="C12" s="13" t="str">
        <f t="shared" si="0"/>
        <v>282005</v>
      </c>
      <c r="E12" s="11">
        <v>38539</v>
      </c>
      <c r="F12" s="12">
        <v>0.32250000000000001</v>
      </c>
      <c r="G12" s="13" t="str">
        <f t="shared" si="1"/>
        <v>282005</v>
      </c>
      <c r="I12" s="11">
        <v>38539</v>
      </c>
      <c r="J12" s="12">
        <v>0.32250000000000001</v>
      </c>
      <c r="K12" s="13" t="str">
        <f t="shared" si="2"/>
        <v>282005</v>
      </c>
      <c r="M12" s="11">
        <v>38539</v>
      </c>
      <c r="N12" s="12">
        <v>0.32250000000000001</v>
      </c>
      <c r="O12" s="13" t="str">
        <f t="shared" si="3"/>
        <v>282005</v>
      </c>
      <c r="Q12" s="11">
        <v>38539</v>
      </c>
      <c r="R12" s="12">
        <v>0.32250000000000001</v>
      </c>
      <c r="S12" s="13" t="str">
        <f t="shared" si="4"/>
        <v>282005</v>
      </c>
      <c r="U12" s="11">
        <v>38539</v>
      </c>
      <c r="V12" s="12">
        <v>0.32250000000000001</v>
      </c>
      <c r="W12" s="13" t="str">
        <f t="shared" si="5"/>
        <v>282005</v>
      </c>
    </row>
    <row r="13" spans="1:23" x14ac:dyDescent="0.25">
      <c r="A13" s="11">
        <v>38630</v>
      </c>
      <c r="B13" s="12">
        <v>0.32250000000000001</v>
      </c>
      <c r="C13" s="13" t="str">
        <f t="shared" si="0"/>
        <v>412005</v>
      </c>
      <c r="E13" s="11">
        <v>38630</v>
      </c>
      <c r="F13" s="12">
        <v>0.32250000000000001</v>
      </c>
      <c r="G13" s="13" t="str">
        <f t="shared" si="1"/>
        <v>412005</v>
      </c>
      <c r="I13" s="11">
        <v>38630</v>
      </c>
      <c r="J13" s="12">
        <v>0.32250000000000001</v>
      </c>
      <c r="K13" s="13" t="str">
        <f t="shared" si="2"/>
        <v>412005</v>
      </c>
      <c r="M13" s="11">
        <v>38630</v>
      </c>
      <c r="N13" s="12">
        <v>0.32250000000000001</v>
      </c>
      <c r="O13" s="13" t="str">
        <f t="shared" si="3"/>
        <v>412005</v>
      </c>
      <c r="Q13" s="11">
        <v>38630</v>
      </c>
      <c r="R13" s="12">
        <v>0.32250000000000001</v>
      </c>
      <c r="S13" s="13" t="str">
        <f t="shared" si="4"/>
        <v>412005</v>
      </c>
      <c r="U13" s="11">
        <v>38630</v>
      </c>
      <c r="V13" s="12">
        <v>0.32250000000000001</v>
      </c>
      <c r="W13" s="13" t="str">
        <f t="shared" si="5"/>
        <v>412005</v>
      </c>
    </row>
    <row r="14" spans="1:23" x14ac:dyDescent="0.25">
      <c r="A14" s="11">
        <v>38723</v>
      </c>
      <c r="B14" s="12">
        <v>0.33250000000000002</v>
      </c>
      <c r="C14" s="13" t="str">
        <f t="shared" si="0"/>
        <v>12006</v>
      </c>
      <c r="E14" s="11">
        <v>38723</v>
      </c>
      <c r="F14" s="12">
        <v>0.33250000000000002</v>
      </c>
      <c r="G14" s="13" t="str">
        <f t="shared" si="1"/>
        <v>12006</v>
      </c>
      <c r="I14" s="11">
        <v>38723</v>
      </c>
      <c r="J14" s="12">
        <v>0.33250000000000002</v>
      </c>
      <c r="K14" s="13" t="str">
        <f t="shared" si="2"/>
        <v>12006</v>
      </c>
      <c r="M14" s="11">
        <v>38723</v>
      </c>
      <c r="N14" s="12">
        <v>0.33250000000000002</v>
      </c>
      <c r="O14" s="13" t="str">
        <f t="shared" si="3"/>
        <v>12006</v>
      </c>
      <c r="Q14" s="11">
        <v>38723</v>
      </c>
      <c r="R14" s="12">
        <v>0.33250000000000002</v>
      </c>
      <c r="S14" s="13" t="str">
        <f t="shared" si="4"/>
        <v>12006</v>
      </c>
      <c r="U14" s="11">
        <v>38723</v>
      </c>
      <c r="V14" s="12">
        <v>0.33250000000000002</v>
      </c>
      <c r="W14" s="13" t="str">
        <f t="shared" si="5"/>
        <v>12006</v>
      </c>
    </row>
    <row r="15" spans="1:23" x14ac:dyDescent="0.25">
      <c r="A15" s="11">
        <v>38813</v>
      </c>
      <c r="B15" s="12">
        <v>0.33250000000000002</v>
      </c>
      <c r="C15" s="13" t="str">
        <f t="shared" si="0"/>
        <v>142006</v>
      </c>
      <c r="E15" s="11">
        <v>38813</v>
      </c>
      <c r="F15" s="12">
        <v>0.33250000000000002</v>
      </c>
      <c r="G15" s="13" t="str">
        <f t="shared" si="1"/>
        <v>142006</v>
      </c>
      <c r="I15" s="11">
        <v>38813</v>
      </c>
      <c r="J15" s="12">
        <v>0.33250000000000002</v>
      </c>
      <c r="K15" s="13" t="str">
        <f t="shared" si="2"/>
        <v>142006</v>
      </c>
      <c r="M15" s="11">
        <v>38813</v>
      </c>
      <c r="N15" s="12">
        <v>0.33250000000000002</v>
      </c>
      <c r="O15" s="13" t="str">
        <f t="shared" si="3"/>
        <v>142006</v>
      </c>
      <c r="Q15" s="11">
        <v>38813</v>
      </c>
      <c r="R15" s="12">
        <v>0.33250000000000002</v>
      </c>
      <c r="S15" s="13" t="str">
        <f t="shared" si="4"/>
        <v>142006</v>
      </c>
      <c r="U15" s="11">
        <v>38813</v>
      </c>
      <c r="V15" s="12">
        <v>0.33250000000000002</v>
      </c>
      <c r="W15" s="13" t="str">
        <f t="shared" si="5"/>
        <v>142006</v>
      </c>
    </row>
    <row r="16" spans="1:23" x14ac:dyDescent="0.25">
      <c r="A16" s="11">
        <v>38904</v>
      </c>
      <c r="B16" s="12">
        <v>0.33250000000000002</v>
      </c>
      <c r="C16" s="13" t="str">
        <f t="shared" si="0"/>
        <v>272006</v>
      </c>
      <c r="E16" s="11">
        <v>38904</v>
      </c>
      <c r="F16" s="12">
        <v>0.33250000000000002</v>
      </c>
      <c r="G16" s="13" t="str">
        <f t="shared" si="1"/>
        <v>272006</v>
      </c>
      <c r="I16" s="11">
        <v>38904</v>
      </c>
      <c r="J16" s="12">
        <v>0.33250000000000002</v>
      </c>
      <c r="K16" s="13" t="str">
        <f t="shared" si="2"/>
        <v>272006</v>
      </c>
      <c r="M16" s="11">
        <v>38904</v>
      </c>
      <c r="N16" s="12">
        <v>0.33250000000000002</v>
      </c>
      <c r="O16" s="13" t="str">
        <f t="shared" si="3"/>
        <v>272006</v>
      </c>
      <c r="Q16" s="11">
        <v>38904</v>
      </c>
      <c r="R16" s="12">
        <v>0.33250000000000002</v>
      </c>
      <c r="S16" s="13" t="str">
        <f t="shared" si="4"/>
        <v>272006</v>
      </c>
      <c r="U16" s="11">
        <v>38904</v>
      </c>
      <c r="V16" s="12">
        <v>0.33250000000000002</v>
      </c>
      <c r="W16" s="13" t="str">
        <f t="shared" si="5"/>
        <v>272006</v>
      </c>
    </row>
    <row r="17" spans="1:23" x14ac:dyDescent="0.25">
      <c r="A17" s="11">
        <v>38995</v>
      </c>
      <c r="B17" s="12">
        <v>0.33250000000000002</v>
      </c>
      <c r="C17" s="13" t="str">
        <f t="shared" si="0"/>
        <v>402006</v>
      </c>
      <c r="E17" s="11">
        <v>38995</v>
      </c>
      <c r="F17" s="12">
        <v>0.33250000000000002</v>
      </c>
      <c r="G17" s="13" t="str">
        <f t="shared" si="1"/>
        <v>402006</v>
      </c>
      <c r="I17" s="11">
        <v>38995</v>
      </c>
      <c r="J17" s="12">
        <v>0.33250000000000002</v>
      </c>
      <c r="K17" s="13" t="str">
        <f t="shared" si="2"/>
        <v>402006</v>
      </c>
      <c r="M17" s="11">
        <v>38995</v>
      </c>
      <c r="N17" s="12">
        <v>0.33250000000000002</v>
      </c>
      <c r="O17" s="13" t="str">
        <f t="shared" si="3"/>
        <v>402006</v>
      </c>
      <c r="Q17" s="11">
        <v>38995</v>
      </c>
      <c r="R17" s="12">
        <v>0.33250000000000002</v>
      </c>
      <c r="S17" s="13" t="str">
        <f t="shared" si="4"/>
        <v>402006</v>
      </c>
      <c r="U17" s="11">
        <v>38995</v>
      </c>
      <c r="V17" s="12">
        <v>0.33250000000000002</v>
      </c>
      <c r="W17" s="13" t="str">
        <f t="shared" si="5"/>
        <v>402006</v>
      </c>
    </row>
    <row r="18" spans="1:23" x14ac:dyDescent="0.25">
      <c r="A18" s="11">
        <v>39090</v>
      </c>
      <c r="B18" s="12">
        <v>0.35499999999999998</v>
      </c>
      <c r="C18" s="13" t="str">
        <f t="shared" si="0"/>
        <v>22007</v>
      </c>
      <c r="E18" s="11">
        <v>39090</v>
      </c>
      <c r="F18" s="12">
        <v>0.35499999999999998</v>
      </c>
      <c r="G18" s="13" t="str">
        <f t="shared" si="1"/>
        <v>22007</v>
      </c>
      <c r="I18" s="11">
        <v>39090</v>
      </c>
      <c r="J18" s="12">
        <v>0.35499999999999998</v>
      </c>
      <c r="K18" s="13" t="str">
        <f t="shared" si="2"/>
        <v>22007</v>
      </c>
      <c r="M18" s="11">
        <v>39090</v>
      </c>
      <c r="N18" s="12">
        <v>0.35499999999999998</v>
      </c>
      <c r="O18" s="13" t="str">
        <f t="shared" si="3"/>
        <v>22007</v>
      </c>
      <c r="Q18" s="11">
        <v>39090</v>
      </c>
      <c r="R18" s="12">
        <v>0.35499999999999998</v>
      </c>
      <c r="S18" s="13" t="str">
        <f t="shared" si="4"/>
        <v>22007</v>
      </c>
      <c r="U18" s="11">
        <v>39090</v>
      </c>
      <c r="V18" s="12">
        <v>0.35499999999999998</v>
      </c>
      <c r="W18" s="13" t="str">
        <f t="shared" si="5"/>
        <v>22007</v>
      </c>
    </row>
    <row r="19" spans="1:23" x14ac:dyDescent="0.25">
      <c r="A19" s="11">
        <v>39177</v>
      </c>
      <c r="B19" s="12">
        <v>0.35499999999999998</v>
      </c>
      <c r="C19" s="13" t="str">
        <f t="shared" si="0"/>
        <v>142007</v>
      </c>
      <c r="E19" s="11">
        <v>39177</v>
      </c>
      <c r="F19" s="12">
        <v>0.35499999999999998</v>
      </c>
      <c r="G19" s="13" t="str">
        <f t="shared" si="1"/>
        <v>142007</v>
      </c>
      <c r="I19" s="11">
        <v>39177</v>
      </c>
      <c r="J19" s="12">
        <v>0.35499999999999998</v>
      </c>
      <c r="K19" s="13" t="str">
        <f t="shared" si="2"/>
        <v>142007</v>
      </c>
      <c r="M19" s="11">
        <v>39177</v>
      </c>
      <c r="N19" s="12">
        <v>0.35499999999999998</v>
      </c>
      <c r="O19" s="13" t="str">
        <f t="shared" si="3"/>
        <v>142007</v>
      </c>
      <c r="Q19" s="11">
        <v>39177</v>
      </c>
      <c r="R19" s="12">
        <v>0.35499999999999998</v>
      </c>
      <c r="S19" s="13" t="str">
        <f t="shared" si="4"/>
        <v>142007</v>
      </c>
      <c r="U19" s="11">
        <v>39177</v>
      </c>
      <c r="V19" s="12">
        <v>0.35499999999999998</v>
      </c>
      <c r="W19" s="13" t="str">
        <f t="shared" si="5"/>
        <v>142007</v>
      </c>
    </row>
    <row r="20" spans="1:23" x14ac:dyDescent="0.25">
      <c r="A20" s="11">
        <v>39269</v>
      </c>
      <c r="B20" s="12">
        <v>0.35499999999999998</v>
      </c>
      <c r="C20" s="13" t="str">
        <f t="shared" si="0"/>
        <v>272007</v>
      </c>
      <c r="E20" s="11">
        <v>39269</v>
      </c>
      <c r="F20" s="12">
        <v>0.35499999999999998</v>
      </c>
      <c r="G20" s="13" t="str">
        <f t="shared" si="1"/>
        <v>272007</v>
      </c>
      <c r="I20" s="11">
        <v>39269</v>
      </c>
      <c r="J20" s="12">
        <v>0.35499999999999998</v>
      </c>
      <c r="K20" s="13" t="str">
        <f t="shared" si="2"/>
        <v>272007</v>
      </c>
      <c r="M20" s="11">
        <v>39269</v>
      </c>
      <c r="N20" s="12">
        <v>0.35499999999999998</v>
      </c>
      <c r="O20" s="13" t="str">
        <f t="shared" si="3"/>
        <v>272007</v>
      </c>
      <c r="Q20" s="11">
        <v>39269</v>
      </c>
      <c r="R20" s="12">
        <v>0.35499999999999998</v>
      </c>
      <c r="S20" s="13" t="str">
        <f t="shared" si="4"/>
        <v>272007</v>
      </c>
      <c r="U20" s="11">
        <v>39269</v>
      </c>
      <c r="V20" s="12">
        <v>0.35499999999999998</v>
      </c>
      <c r="W20" s="13" t="str">
        <f t="shared" si="5"/>
        <v>272007</v>
      </c>
    </row>
    <row r="21" spans="1:23" x14ac:dyDescent="0.25">
      <c r="A21" s="11">
        <v>39360</v>
      </c>
      <c r="B21" s="12">
        <v>0.35499999999999998</v>
      </c>
      <c r="C21" s="13" t="str">
        <f t="shared" si="0"/>
        <v>402007</v>
      </c>
      <c r="E21" s="11">
        <v>39360</v>
      </c>
      <c r="F21" s="12">
        <v>0.35499999999999998</v>
      </c>
      <c r="G21" s="13" t="str">
        <f t="shared" si="1"/>
        <v>402007</v>
      </c>
      <c r="I21" s="11">
        <v>39360</v>
      </c>
      <c r="J21" s="12">
        <v>0.35499999999999998</v>
      </c>
      <c r="K21" s="13" t="str">
        <f t="shared" si="2"/>
        <v>402007</v>
      </c>
      <c r="M21" s="11">
        <v>39360</v>
      </c>
      <c r="N21" s="12">
        <v>0.35499999999999998</v>
      </c>
      <c r="O21" s="13" t="str">
        <f t="shared" si="3"/>
        <v>402007</v>
      </c>
      <c r="Q21" s="11">
        <v>39360</v>
      </c>
      <c r="R21" s="12">
        <v>0.35499999999999998</v>
      </c>
      <c r="S21" s="13" t="str">
        <f t="shared" si="4"/>
        <v>402007</v>
      </c>
      <c r="U21" s="11">
        <v>39360</v>
      </c>
      <c r="V21" s="12">
        <v>0.35499999999999998</v>
      </c>
      <c r="W21" s="13" t="str">
        <f t="shared" si="5"/>
        <v>402007</v>
      </c>
    </row>
    <row r="22" spans="1:23" x14ac:dyDescent="0.25">
      <c r="A22" s="11">
        <v>39455</v>
      </c>
      <c r="B22" s="12">
        <v>0.4</v>
      </c>
      <c r="C22" s="13" t="str">
        <f t="shared" si="0"/>
        <v>22008</v>
      </c>
      <c r="E22" s="11">
        <v>39455</v>
      </c>
      <c r="F22" s="12">
        <v>0.4</v>
      </c>
      <c r="G22" s="13" t="str">
        <f t="shared" si="1"/>
        <v>22008</v>
      </c>
      <c r="I22" s="11">
        <v>39455</v>
      </c>
      <c r="J22" s="12">
        <v>0.4</v>
      </c>
      <c r="K22" s="13" t="str">
        <f t="shared" si="2"/>
        <v>22008</v>
      </c>
      <c r="M22" s="11">
        <v>39455</v>
      </c>
      <c r="N22" s="12">
        <v>0.4</v>
      </c>
      <c r="O22" s="13" t="str">
        <f t="shared" si="3"/>
        <v>22008</v>
      </c>
      <c r="Q22" s="11">
        <v>39455</v>
      </c>
      <c r="R22" s="12">
        <v>0.4</v>
      </c>
      <c r="S22" s="13" t="str">
        <f t="shared" si="4"/>
        <v>22008</v>
      </c>
      <c r="U22" s="11">
        <v>39455</v>
      </c>
      <c r="V22" s="12">
        <v>0.4</v>
      </c>
      <c r="W22" s="13" t="str">
        <f t="shared" si="5"/>
        <v>22008</v>
      </c>
    </row>
    <row r="23" spans="1:23" x14ac:dyDescent="0.25">
      <c r="A23" s="11">
        <v>39546</v>
      </c>
      <c r="B23" s="12">
        <v>0.4</v>
      </c>
      <c r="C23" s="13" t="str">
        <f t="shared" si="0"/>
        <v>152008</v>
      </c>
      <c r="E23" s="11">
        <v>39546</v>
      </c>
      <c r="F23" s="12">
        <v>0.4</v>
      </c>
      <c r="G23" s="13" t="str">
        <f t="shared" si="1"/>
        <v>152008</v>
      </c>
      <c r="I23" s="11">
        <v>39546</v>
      </c>
      <c r="J23" s="12">
        <v>0.4</v>
      </c>
      <c r="K23" s="13" t="str">
        <f t="shared" si="2"/>
        <v>152008</v>
      </c>
      <c r="M23" s="11">
        <v>39546</v>
      </c>
      <c r="N23" s="12">
        <v>0.4</v>
      </c>
      <c r="O23" s="13" t="str">
        <f t="shared" si="3"/>
        <v>152008</v>
      </c>
      <c r="Q23" s="11">
        <v>39546</v>
      </c>
      <c r="R23" s="12">
        <v>0.4</v>
      </c>
      <c r="S23" s="13" t="str">
        <f t="shared" si="4"/>
        <v>152008</v>
      </c>
      <c r="U23" s="11">
        <v>39546</v>
      </c>
      <c r="V23" s="12">
        <v>0.4</v>
      </c>
      <c r="W23" s="13" t="str">
        <f t="shared" si="5"/>
        <v>152008</v>
      </c>
    </row>
    <row r="24" spans="1:23" x14ac:dyDescent="0.25">
      <c r="A24" s="11">
        <v>39637</v>
      </c>
      <c r="B24" s="12">
        <v>0.4</v>
      </c>
      <c r="C24" s="13" t="str">
        <f t="shared" si="0"/>
        <v>282008</v>
      </c>
      <c r="E24" s="11">
        <v>39637</v>
      </c>
      <c r="F24" s="12">
        <v>0.4</v>
      </c>
      <c r="G24" s="13" t="str">
        <f t="shared" si="1"/>
        <v>282008</v>
      </c>
      <c r="I24" s="11">
        <v>39637</v>
      </c>
      <c r="J24" s="12">
        <v>0.4</v>
      </c>
      <c r="K24" s="13" t="str">
        <f t="shared" si="2"/>
        <v>282008</v>
      </c>
      <c r="M24" s="11">
        <v>39637</v>
      </c>
      <c r="N24" s="12">
        <v>0.4</v>
      </c>
      <c r="O24" s="13" t="str">
        <f t="shared" si="3"/>
        <v>282008</v>
      </c>
      <c r="Q24" s="11">
        <v>39637</v>
      </c>
      <c r="R24" s="12">
        <v>0.4</v>
      </c>
      <c r="S24" s="13" t="str">
        <f t="shared" si="4"/>
        <v>282008</v>
      </c>
      <c r="U24" s="11">
        <v>39637</v>
      </c>
      <c r="V24" s="12">
        <v>0.4</v>
      </c>
      <c r="W24" s="13" t="str">
        <f t="shared" si="5"/>
        <v>282008</v>
      </c>
    </row>
    <row r="25" spans="1:23" x14ac:dyDescent="0.25">
      <c r="A25" s="11">
        <v>39729</v>
      </c>
      <c r="B25" s="12">
        <v>0.4</v>
      </c>
      <c r="C25" s="13" t="str">
        <f t="shared" si="0"/>
        <v>412008</v>
      </c>
      <c r="E25" s="11">
        <v>39729</v>
      </c>
      <c r="F25" s="12">
        <v>0.4</v>
      </c>
      <c r="G25" s="13" t="str">
        <f t="shared" si="1"/>
        <v>412008</v>
      </c>
      <c r="I25" s="11">
        <v>39729</v>
      </c>
      <c r="J25" s="12">
        <v>0.4</v>
      </c>
      <c r="K25" s="13" t="str">
        <f t="shared" si="2"/>
        <v>412008</v>
      </c>
      <c r="M25" s="11">
        <v>39729</v>
      </c>
      <c r="N25" s="12">
        <v>0.4</v>
      </c>
      <c r="O25" s="13" t="str">
        <f t="shared" si="3"/>
        <v>412008</v>
      </c>
      <c r="Q25" s="11">
        <v>39729</v>
      </c>
      <c r="R25" s="12">
        <v>0.4</v>
      </c>
      <c r="S25" s="13" t="str">
        <f t="shared" si="4"/>
        <v>412008</v>
      </c>
      <c r="U25" s="11">
        <v>39729</v>
      </c>
      <c r="V25" s="12">
        <v>0.4</v>
      </c>
      <c r="W25" s="13" t="str">
        <f t="shared" si="5"/>
        <v>412008</v>
      </c>
    </row>
    <row r="26" spans="1:23" x14ac:dyDescent="0.25">
      <c r="A26" s="11">
        <v>39820</v>
      </c>
      <c r="B26" s="12">
        <v>0.41</v>
      </c>
      <c r="C26" s="13" t="str">
        <f t="shared" si="0"/>
        <v>22009</v>
      </c>
      <c r="E26" s="11">
        <v>39820</v>
      </c>
      <c r="F26" s="12">
        <v>0.41</v>
      </c>
      <c r="G26" s="13" t="str">
        <f t="shared" si="1"/>
        <v>22009</v>
      </c>
      <c r="I26" s="11">
        <v>39820</v>
      </c>
      <c r="J26" s="12">
        <v>0.41</v>
      </c>
      <c r="K26" s="13" t="str">
        <f t="shared" si="2"/>
        <v>22009</v>
      </c>
      <c r="M26" s="11">
        <v>39820</v>
      </c>
      <c r="N26" s="12">
        <v>0.41</v>
      </c>
      <c r="O26" s="13" t="str">
        <f t="shared" si="3"/>
        <v>22009</v>
      </c>
      <c r="Q26" s="11">
        <v>39820</v>
      </c>
      <c r="R26" s="12">
        <v>0.41</v>
      </c>
      <c r="S26" s="13" t="str">
        <f t="shared" si="4"/>
        <v>22009</v>
      </c>
      <c r="U26" s="11">
        <v>39820</v>
      </c>
      <c r="V26" s="12">
        <v>0.41</v>
      </c>
      <c r="W26" s="13" t="str">
        <f t="shared" si="5"/>
        <v>22009</v>
      </c>
    </row>
    <row r="27" spans="1:23" x14ac:dyDescent="0.25">
      <c r="A27" s="11">
        <v>39910</v>
      </c>
      <c r="B27" s="12">
        <v>0.41</v>
      </c>
      <c r="C27" s="13" t="str">
        <f t="shared" si="0"/>
        <v>152009</v>
      </c>
      <c r="E27" s="11">
        <v>39910</v>
      </c>
      <c r="F27" s="12">
        <v>0.41</v>
      </c>
      <c r="G27" s="13" t="str">
        <f t="shared" si="1"/>
        <v>152009</v>
      </c>
      <c r="I27" s="11">
        <v>39910</v>
      </c>
      <c r="J27" s="12">
        <v>0.41</v>
      </c>
      <c r="K27" s="13" t="str">
        <f t="shared" si="2"/>
        <v>152009</v>
      </c>
      <c r="M27" s="11">
        <v>39910</v>
      </c>
      <c r="N27" s="12">
        <v>0.41</v>
      </c>
      <c r="O27" s="13" t="str">
        <f t="shared" si="3"/>
        <v>152009</v>
      </c>
      <c r="Q27" s="11">
        <v>39910</v>
      </c>
      <c r="R27" s="12">
        <v>0.41</v>
      </c>
      <c r="S27" s="13" t="str">
        <f t="shared" si="4"/>
        <v>152009</v>
      </c>
      <c r="U27" s="11">
        <v>39910</v>
      </c>
      <c r="V27" s="12">
        <v>0.41</v>
      </c>
      <c r="W27" s="13" t="str">
        <f t="shared" si="5"/>
        <v>152009</v>
      </c>
    </row>
    <row r="28" spans="1:23" x14ac:dyDescent="0.25">
      <c r="A28" s="11">
        <v>40002</v>
      </c>
      <c r="B28" s="12">
        <v>0.41</v>
      </c>
      <c r="C28" s="13" t="str">
        <f t="shared" si="0"/>
        <v>282009</v>
      </c>
      <c r="E28" s="11">
        <v>40002</v>
      </c>
      <c r="F28" s="12">
        <v>0.41</v>
      </c>
      <c r="G28" s="13" t="str">
        <f t="shared" si="1"/>
        <v>282009</v>
      </c>
      <c r="I28" s="11">
        <v>40002</v>
      </c>
      <c r="J28" s="12">
        <v>0.41</v>
      </c>
      <c r="K28" s="13" t="str">
        <f t="shared" si="2"/>
        <v>282009</v>
      </c>
      <c r="M28" s="11">
        <v>40002</v>
      </c>
      <c r="N28" s="12">
        <v>0.41</v>
      </c>
      <c r="O28" s="13" t="str">
        <f t="shared" si="3"/>
        <v>282009</v>
      </c>
      <c r="Q28" s="11">
        <v>40002</v>
      </c>
      <c r="R28" s="12">
        <v>0.41</v>
      </c>
      <c r="S28" s="13" t="str">
        <f t="shared" si="4"/>
        <v>282009</v>
      </c>
      <c r="U28" s="11">
        <v>40002</v>
      </c>
      <c r="V28" s="12">
        <v>0.41</v>
      </c>
      <c r="W28" s="13" t="str">
        <f t="shared" si="5"/>
        <v>282009</v>
      </c>
    </row>
    <row r="29" spans="1:23" x14ac:dyDescent="0.25">
      <c r="A29" s="11">
        <v>40093</v>
      </c>
      <c r="B29" s="12">
        <v>0.41</v>
      </c>
      <c r="C29" s="13" t="str">
        <f t="shared" si="0"/>
        <v>412009</v>
      </c>
      <c r="E29" s="11">
        <v>40093</v>
      </c>
      <c r="F29" s="12">
        <v>0.41</v>
      </c>
      <c r="G29" s="13" t="str">
        <f t="shared" si="1"/>
        <v>412009</v>
      </c>
      <c r="I29" s="11">
        <v>40093</v>
      </c>
      <c r="J29" s="12">
        <v>0.41</v>
      </c>
      <c r="K29" s="13" t="str">
        <f t="shared" si="2"/>
        <v>412009</v>
      </c>
      <c r="M29" s="11">
        <v>40093</v>
      </c>
      <c r="N29" s="12">
        <v>0.41</v>
      </c>
      <c r="O29" s="13" t="str">
        <f t="shared" si="3"/>
        <v>412009</v>
      </c>
      <c r="Q29" s="11">
        <v>40093</v>
      </c>
      <c r="R29" s="12">
        <v>0.41</v>
      </c>
      <c r="S29" s="13" t="str">
        <f t="shared" si="4"/>
        <v>412009</v>
      </c>
      <c r="U29" s="11">
        <v>40093</v>
      </c>
      <c r="V29" s="12">
        <v>0.41</v>
      </c>
      <c r="W29" s="13" t="str">
        <f t="shared" si="5"/>
        <v>412009</v>
      </c>
    </row>
    <row r="30" spans="1:23" x14ac:dyDescent="0.25">
      <c r="A30" s="11">
        <v>40184</v>
      </c>
      <c r="B30" s="12">
        <v>0.42</v>
      </c>
      <c r="C30" s="13" t="str">
        <f t="shared" si="0"/>
        <v>22010</v>
      </c>
      <c r="E30" s="11">
        <v>40184</v>
      </c>
      <c r="F30" s="12">
        <v>0.42</v>
      </c>
      <c r="G30" s="13" t="str">
        <f t="shared" si="1"/>
        <v>22010</v>
      </c>
      <c r="I30" s="11">
        <v>40184</v>
      </c>
      <c r="J30" s="12">
        <v>0.42</v>
      </c>
      <c r="K30" s="13" t="str">
        <f t="shared" si="2"/>
        <v>22010</v>
      </c>
      <c r="M30" s="11">
        <v>40184</v>
      </c>
      <c r="N30" s="12">
        <v>0.42</v>
      </c>
      <c r="O30" s="13" t="str">
        <f t="shared" si="3"/>
        <v>22010</v>
      </c>
      <c r="Q30" s="11">
        <v>40184</v>
      </c>
      <c r="R30" s="12">
        <v>0.42</v>
      </c>
      <c r="S30" s="13" t="str">
        <f t="shared" si="4"/>
        <v>22010</v>
      </c>
      <c r="U30" s="11">
        <v>40184</v>
      </c>
      <c r="V30" s="12">
        <v>0.42</v>
      </c>
      <c r="W30" s="13" t="str">
        <f t="shared" si="5"/>
        <v>22010</v>
      </c>
    </row>
    <row r="31" spans="1:23" x14ac:dyDescent="0.25">
      <c r="A31" s="11">
        <v>40275</v>
      </c>
      <c r="B31" s="12">
        <v>0.42</v>
      </c>
      <c r="C31" s="13" t="str">
        <f t="shared" si="0"/>
        <v>152010</v>
      </c>
      <c r="E31" s="11">
        <v>40275</v>
      </c>
      <c r="F31" s="12">
        <v>0.42</v>
      </c>
      <c r="G31" s="13" t="str">
        <f t="shared" si="1"/>
        <v>152010</v>
      </c>
      <c r="I31" s="11">
        <v>40275</v>
      </c>
      <c r="J31" s="12">
        <v>0.42</v>
      </c>
      <c r="K31" s="13" t="str">
        <f t="shared" si="2"/>
        <v>152010</v>
      </c>
      <c r="M31" s="11">
        <v>40275</v>
      </c>
      <c r="N31" s="12">
        <v>0.42</v>
      </c>
      <c r="O31" s="13" t="str">
        <f t="shared" si="3"/>
        <v>152010</v>
      </c>
      <c r="Q31" s="11">
        <v>40275</v>
      </c>
      <c r="R31" s="12">
        <v>0.42</v>
      </c>
      <c r="S31" s="13" t="str">
        <f t="shared" si="4"/>
        <v>152010</v>
      </c>
      <c r="U31" s="11">
        <v>40275</v>
      </c>
      <c r="V31" s="12">
        <v>0.42</v>
      </c>
      <c r="W31" s="13" t="str">
        <f t="shared" si="5"/>
        <v>152010</v>
      </c>
    </row>
    <row r="32" spans="1:23" x14ac:dyDescent="0.25">
      <c r="A32" s="11">
        <v>40366</v>
      </c>
      <c r="B32" s="12">
        <v>0.42</v>
      </c>
      <c r="C32" s="13" t="str">
        <f t="shared" si="0"/>
        <v>282010</v>
      </c>
      <c r="E32" s="11">
        <v>40366</v>
      </c>
      <c r="F32" s="12">
        <v>0.42</v>
      </c>
      <c r="G32" s="13" t="str">
        <f t="shared" si="1"/>
        <v>282010</v>
      </c>
      <c r="I32" s="11">
        <v>40366</v>
      </c>
      <c r="J32" s="12">
        <v>0.42</v>
      </c>
      <c r="K32" s="13" t="str">
        <f t="shared" si="2"/>
        <v>282010</v>
      </c>
      <c r="M32" s="11">
        <v>40366</v>
      </c>
      <c r="N32" s="12">
        <v>0.42</v>
      </c>
      <c r="O32" s="13" t="str">
        <f t="shared" si="3"/>
        <v>282010</v>
      </c>
      <c r="Q32" s="11">
        <v>40366</v>
      </c>
      <c r="R32" s="12">
        <v>0.42</v>
      </c>
      <c r="S32" s="13" t="str">
        <f t="shared" si="4"/>
        <v>282010</v>
      </c>
      <c r="U32" s="11">
        <v>40366</v>
      </c>
      <c r="V32" s="12">
        <v>0.42</v>
      </c>
      <c r="W32" s="13" t="str">
        <f t="shared" si="5"/>
        <v>282010</v>
      </c>
    </row>
    <row r="33" spans="1:23" x14ac:dyDescent="0.25">
      <c r="A33" s="11">
        <v>40457</v>
      </c>
      <c r="B33" s="12">
        <v>0.42</v>
      </c>
      <c r="C33" s="13" t="str">
        <f t="shared" si="0"/>
        <v>412010</v>
      </c>
      <c r="E33" s="11">
        <v>40457</v>
      </c>
      <c r="F33" s="12">
        <v>0.42</v>
      </c>
      <c r="G33" s="13" t="str">
        <f t="shared" si="1"/>
        <v>412010</v>
      </c>
      <c r="I33" s="11">
        <v>40457</v>
      </c>
      <c r="J33" s="12">
        <v>0.42</v>
      </c>
      <c r="K33" s="13" t="str">
        <f t="shared" si="2"/>
        <v>412010</v>
      </c>
      <c r="M33" s="11">
        <v>40457</v>
      </c>
      <c r="N33" s="12">
        <v>0.42</v>
      </c>
      <c r="O33" s="13" t="str">
        <f t="shared" si="3"/>
        <v>412010</v>
      </c>
      <c r="Q33" s="11">
        <v>40457</v>
      </c>
      <c r="R33" s="12">
        <v>0.42</v>
      </c>
      <c r="S33" s="13" t="str">
        <f t="shared" si="4"/>
        <v>412010</v>
      </c>
      <c r="U33" s="11">
        <v>40457</v>
      </c>
      <c r="V33" s="12">
        <v>0.42</v>
      </c>
      <c r="W33" s="13" t="str">
        <f t="shared" si="5"/>
        <v>412010</v>
      </c>
    </row>
    <row r="34" spans="1:23" x14ac:dyDescent="0.25">
      <c r="A34" s="11">
        <v>40549</v>
      </c>
      <c r="B34" s="12">
        <v>0.43</v>
      </c>
      <c r="C34" s="13" t="str">
        <f t="shared" ref="C34:C70" si="6">WEEKNUM(A34)&amp;YEAR(A34)</f>
        <v>22011</v>
      </c>
      <c r="E34" s="11">
        <v>40549</v>
      </c>
      <c r="F34" s="12">
        <v>0.43</v>
      </c>
      <c r="G34" s="13" t="str">
        <f t="shared" ref="G34:G70" si="7">WEEKNUM(E34)&amp;YEAR(E34)</f>
        <v>22011</v>
      </c>
      <c r="I34" s="11">
        <v>40549</v>
      </c>
      <c r="J34" s="12">
        <v>0.43</v>
      </c>
      <c r="K34" s="13" t="str">
        <f t="shared" ref="K34:K70" si="8">WEEKNUM(I34)&amp;YEAR(I34)</f>
        <v>22011</v>
      </c>
      <c r="M34" s="11">
        <v>40549</v>
      </c>
      <c r="N34" s="12">
        <v>0.43</v>
      </c>
      <c r="O34" s="13" t="str">
        <f t="shared" ref="O34:O70" si="9">WEEKNUM(M34)&amp;YEAR(M34)</f>
        <v>22011</v>
      </c>
      <c r="Q34" s="11">
        <v>40549</v>
      </c>
      <c r="R34" s="12">
        <v>0.43</v>
      </c>
      <c r="S34" s="13" t="str">
        <f t="shared" ref="S34:S70" si="10">WEEKNUM(Q34)&amp;YEAR(Q34)</f>
        <v>22011</v>
      </c>
      <c r="U34" s="11">
        <v>40549</v>
      </c>
      <c r="V34" s="12">
        <v>0.43</v>
      </c>
      <c r="W34" s="13" t="str">
        <f t="shared" ref="W34:W70" si="11">WEEKNUM(U34)&amp;YEAR(U34)</f>
        <v>22011</v>
      </c>
    </row>
    <row r="35" spans="1:23" x14ac:dyDescent="0.25">
      <c r="A35" s="11">
        <v>40639</v>
      </c>
      <c r="B35" s="12">
        <v>0.43</v>
      </c>
      <c r="C35" s="13" t="str">
        <f t="shared" si="6"/>
        <v>152011</v>
      </c>
      <c r="E35" s="11">
        <v>40639</v>
      </c>
      <c r="F35" s="12">
        <v>0.43</v>
      </c>
      <c r="G35" s="13" t="str">
        <f t="shared" si="7"/>
        <v>152011</v>
      </c>
      <c r="I35" s="11">
        <v>40639</v>
      </c>
      <c r="J35" s="12">
        <v>0.43</v>
      </c>
      <c r="K35" s="13" t="str">
        <f t="shared" si="8"/>
        <v>152011</v>
      </c>
      <c r="M35" s="11">
        <v>40639</v>
      </c>
      <c r="N35" s="12">
        <v>0.43</v>
      </c>
      <c r="O35" s="13" t="str">
        <f t="shared" si="9"/>
        <v>152011</v>
      </c>
      <c r="Q35" s="11">
        <v>40639</v>
      </c>
      <c r="R35" s="12">
        <v>0.43</v>
      </c>
      <c r="S35" s="13" t="str">
        <f t="shared" si="10"/>
        <v>152011</v>
      </c>
      <c r="U35" s="11">
        <v>40639</v>
      </c>
      <c r="V35" s="12">
        <v>0.43</v>
      </c>
      <c r="W35" s="13" t="str">
        <f t="shared" si="11"/>
        <v>152011</v>
      </c>
    </row>
    <row r="36" spans="1:23" x14ac:dyDescent="0.25">
      <c r="A36" s="11">
        <v>40730</v>
      </c>
      <c r="B36" s="12">
        <v>0.43</v>
      </c>
      <c r="C36" s="13" t="str">
        <f t="shared" si="6"/>
        <v>282011</v>
      </c>
      <c r="E36" s="11">
        <v>40730</v>
      </c>
      <c r="F36" s="12">
        <v>0.43</v>
      </c>
      <c r="G36" s="13" t="str">
        <f t="shared" si="7"/>
        <v>282011</v>
      </c>
      <c r="I36" s="11">
        <v>40730</v>
      </c>
      <c r="J36" s="12">
        <v>0.43</v>
      </c>
      <c r="K36" s="13" t="str">
        <f t="shared" si="8"/>
        <v>282011</v>
      </c>
      <c r="M36" s="11">
        <v>40730</v>
      </c>
      <c r="N36" s="12">
        <v>0.43</v>
      </c>
      <c r="O36" s="13" t="str">
        <f t="shared" si="9"/>
        <v>282011</v>
      </c>
      <c r="Q36" s="11">
        <v>40730</v>
      </c>
      <c r="R36" s="12">
        <v>0.43</v>
      </c>
      <c r="S36" s="13" t="str">
        <f t="shared" si="10"/>
        <v>282011</v>
      </c>
      <c r="U36" s="11">
        <v>40730</v>
      </c>
      <c r="V36" s="12">
        <v>0.43</v>
      </c>
      <c r="W36" s="13" t="str">
        <f t="shared" si="11"/>
        <v>282011</v>
      </c>
    </row>
    <row r="37" spans="1:23" x14ac:dyDescent="0.25">
      <c r="A37" s="11">
        <v>40821</v>
      </c>
      <c r="B37" s="12">
        <v>0.43</v>
      </c>
      <c r="C37" s="13" t="str">
        <f t="shared" si="6"/>
        <v>412011</v>
      </c>
      <c r="E37" s="11">
        <v>40821</v>
      </c>
      <c r="F37" s="12">
        <v>0.43</v>
      </c>
      <c r="G37" s="13" t="str">
        <f t="shared" si="7"/>
        <v>412011</v>
      </c>
      <c r="I37" s="11">
        <v>40821</v>
      </c>
      <c r="J37" s="12">
        <v>0.43</v>
      </c>
      <c r="K37" s="13" t="str">
        <f t="shared" si="8"/>
        <v>412011</v>
      </c>
      <c r="M37" s="11">
        <v>40821</v>
      </c>
      <c r="N37" s="12">
        <v>0.43</v>
      </c>
      <c r="O37" s="13" t="str">
        <f t="shared" si="9"/>
        <v>412011</v>
      </c>
      <c r="Q37" s="11">
        <v>40821</v>
      </c>
      <c r="R37" s="12">
        <v>0.43</v>
      </c>
      <c r="S37" s="13" t="str">
        <f t="shared" si="10"/>
        <v>412011</v>
      </c>
      <c r="U37" s="11">
        <v>40821</v>
      </c>
      <c r="V37" s="12">
        <v>0.43</v>
      </c>
      <c r="W37" s="13" t="str">
        <f t="shared" si="11"/>
        <v>412011</v>
      </c>
    </row>
    <row r="38" spans="1:23" x14ac:dyDescent="0.25">
      <c r="A38" s="11">
        <v>40914</v>
      </c>
      <c r="B38" s="12">
        <v>0.44</v>
      </c>
      <c r="C38" s="13" t="str">
        <f t="shared" si="6"/>
        <v>12012</v>
      </c>
      <c r="E38" s="11">
        <v>40914</v>
      </c>
      <c r="F38" s="12">
        <v>0.44</v>
      </c>
      <c r="G38" s="13" t="str">
        <f t="shared" si="7"/>
        <v>12012</v>
      </c>
      <c r="I38" s="11">
        <v>40914</v>
      </c>
      <c r="J38" s="12">
        <v>0.44</v>
      </c>
      <c r="K38" s="13" t="str">
        <f t="shared" si="8"/>
        <v>12012</v>
      </c>
      <c r="M38" s="11">
        <v>40914</v>
      </c>
      <c r="N38" s="12">
        <v>0.44</v>
      </c>
      <c r="O38" s="13" t="str">
        <f t="shared" si="9"/>
        <v>12012</v>
      </c>
      <c r="Q38" s="11">
        <v>40914</v>
      </c>
      <c r="R38" s="12">
        <v>0.44</v>
      </c>
      <c r="S38" s="13" t="str">
        <f t="shared" si="10"/>
        <v>12012</v>
      </c>
      <c r="U38" s="11">
        <v>40914</v>
      </c>
      <c r="V38" s="12">
        <v>0.44</v>
      </c>
      <c r="W38" s="13" t="str">
        <f t="shared" si="11"/>
        <v>12012</v>
      </c>
    </row>
    <row r="39" spans="1:23" x14ac:dyDescent="0.25">
      <c r="A39" s="11">
        <v>41004</v>
      </c>
      <c r="B39" s="12">
        <v>0.44</v>
      </c>
      <c r="C39" s="13" t="str">
        <f t="shared" si="6"/>
        <v>142012</v>
      </c>
      <c r="E39" s="11">
        <v>41004</v>
      </c>
      <c r="F39" s="12">
        <v>0.44</v>
      </c>
      <c r="G39" s="13" t="str">
        <f t="shared" si="7"/>
        <v>142012</v>
      </c>
      <c r="I39" s="11">
        <v>41004</v>
      </c>
      <c r="J39" s="12">
        <v>0.44</v>
      </c>
      <c r="K39" s="13" t="str">
        <f t="shared" si="8"/>
        <v>142012</v>
      </c>
      <c r="M39" s="11">
        <v>41004</v>
      </c>
      <c r="N39" s="12">
        <v>0.44</v>
      </c>
      <c r="O39" s="13" t="str">
        <f t="shared" si="9"/>
        <v>142012</v>
      </c>
      <c r="Q39" s="11">
        <v>41004</v>
      </c>
      <c r="R39" s="12">
        <v>0.44</v>
      </c>
      <c r="S39" s="13" t="str">
        <f t="shared" si="10"/>
        <v>142012</v>
      </c>
      <c r="U39" s="11">
        <v>41004</v>
      </c>
      <c r="V39" s="12">
        <v>0.44</v>
      </c>
      <c r="W39" s="13" t="str">
        <f t="shared" si="11"/>
        <v>142012</v>
      </c>
    </row>
    <row r="40" spans="1:23" x14ac:dyDescent="0.25">
      <c r="A40" s="11">
        <v>41096</v>
      </c>
      <c r="B40" s="12">
        <v>0.44</v>
      </c>
      <c r="C40" s="13" t="str">
        <f t="shared" si="6"/>
        <v>272012</v>
      </c>
      <c r="E40" s="11">
        <v>41096</v>
      </c>
      <c r="F40" s="12">
        <v>0.44</v>
      </c>
      <c r="G40" s="13" t="str">
        <f t="shared" si="7"/>
        <v>272012</v>
      </c>
      <c r="I40" s="11">
        <v>41096</v>
      </c>
      <c r="J40" s="12">
        <v>0.44</v>
      </c>
      <c r="K40" s="13" t="str">
        <f t="shared" si="8"/>
        <v>272012</v>
      </c>
      <c r="M40" s="11">
        <v>41096</v>
      </c>
      <c r="N40" s="12">
        <v>0.44</v>
      </c>
      <c r="O40" s="13" t="str">
        <f t="shared" si="9"/>
        <v>272012</v>
      </c>
      <c r="Q40" s="11">
        <v>41096</v>
      </c>
      <c r="R40" s="12">
        <v>0.44</v>
      </c>
      <c r="S40" s="13" t="str">
        <f t="shared" si="10"/>
        <v>272012</v>
      </c>
      <c r="U40" s="11">
        <v>41096</v>
      </c>
      <c r="V40" s="12">
        <v>0.44</v>
      </c>
      <c r="W40" s="13" t="str">
        <f t="shared" si="11"/>
        <v>272012</v>
      </c>
    </row>
    <row r="41" spans="1:23" x14ac:dyDescent="0.25">
      <c r="A41" s="11">
        <v>41187</v>
      </c>
      <c r="B41" s="12">
        <v>0.44</v>
      </c>
      <c r="C41" s="13" t="str">
        <f t="shared" si="6"/>
        <v>402012</v>
      </c>
      <c r="E41" s="11">
        <v>41187</v>
      </c>
      <c r="F41" s="12">
        <v>0.44</v>
      </c>
      <c r="G41" s="13" t="str">
        <f t="shared" si="7"/>
        <v>402012</v>
      </c>
      <c r="I41" s="11">
        <v>41187</v>
      </c>
      <c r="J41" s="12">
        <v>0.44</v>
      </c>
      <c r="K41" s="13" t="str">
        <f t="shared" si="8"/>
        <v>402012</v>
      </c>
      <c r="M41" s="11">
        <v>41187</v>
      </c>
      <c r="N41" s="12">
        <v>0.44</v>
      </c>
      <c r="O41" s="13" t="str">
        <f t="shared" si="9"/>
        <v>402012</v>
      </c>
      <c r="Q41" s="11">
        <v>41187</v>
      </c>
      <c r="R41" s="12">
        <v>0.44</v>
      </c>
      <c r="S41" s="13" t="str">
        <f t="shared" si="10"/>
        <v>402012</v>
      </c>
      <c r="U41" s="11">
        <v>41187</v>
      </c>
      <c r="V41" s="12">
        <v>0.44</v>
      </c>
      <c r="W41" s="13" t="str">
        <f t="shared" si="11"/>
        <v>402012</v>
      </c>
    </row>
    <row r="42" spans="1:23" x14ac:dyDescent="0.25">
      <c r="A42" s="11">
        <v>41282</v>
      </c>
      <c r="B42" s="12">
        <v>0.45</v>
      </c>
      <c r="C42" s="13" t="str">
        <f t="shared" si="6"/>
        <v>22013</v>
      </c>
      <c r="E42" s="11">
        <v>41282</v>
      </c>
      <c r="F42" s="12">
        <v>0.45</v>
      </c>
      <c r="G42" s="13" t="str">
        <f t="shared" si="7"/>
        <v>22013</v>
      </c>
      <c r="I42" s="11">
        <v>41282</v>
      </c>
      <c r="J42" s="12">
        <v>0.45</v>
      </c>
      <c r="K42" s="13" t="str">
        <f t="shared" si="8"/>
        <v>22013</v>
      </c>
      <c r="M42" s="11">
        <v>41282</v>
      </c>
      <c r="N42" s="12">
        <v>0.45</v>
      </c>
      <c r="O42" s="13" t="str">
        <f t="shared" si="9"/>
        <v>22013</v>
      </c>
      <c r="Q42" s="11">
        <v>41282</v>
      </c>
      <c r="R42" s="12">
        <v>0.45</v>
      </c>
      <c r="S42" s="13" t="str">
        <f t="shared" si="10"/>
        <v>22013</v>
      </c>
      <c r="U42" s="11">
        <v>41282</v>
      </c>
      <c r="V42" s="12">
        <v>0.45</v>
      </c>
      <c r="W42" s="13" t="str">
        <f t="shared" si="11"/>
        <v>22013</v>
      </c>
    </row>
    <row r="43" spans="1:23" x14ac:dyDescent="0.25">
      <c r="A43" s="11">
        <v>41372</v>
      </c>
      <c r="B43" s="12">
        <v>0.45</v>
      </c>
      <c r="C43" s="13" t="str">
        <f t="shared" si="6"/>
        <v>152013</v>
      </c>
      <c r="E43" s="11">
        <v>41372</v>
      </c>
      <c r="F43" s="12">
        <v>0.45</v>
      </c>
      <c r="G43" s="13" t="str">
        <f t="shared" si="7"/>
        <v>152013</v>
      </c>
      <c r="I43" s="11">
        <v>41372</v>
      </c>
      <c r="J43" s="12">
        <v>0.45</v>
      </c>
      <c r="K43" s="13" t="str">
        <f t="shared" si="8"/>
        <v>152013</v>
      </c>
      <c r="M43" s="11">
        <v>41372</v>
      </c>
      <c r="N43" s="12">
        <v>0.45</v>
      </c>
      <c r="O43" s="13" t="str">
        <f t="shared" si="9"/>
        <v>152013</v>
      </c>
      <c r="Q43" s="11">
        <v>41372</v>
      </c>
      <c r="R43" s="12">
        <v>0.45</v>
      </c>
      <c r="S43" s="13" t="str">
        <f t="shared" si="10"/>
        <v>152013</v>
      </c>
      <c r="U43" s="11">
        <v>41372</v>
      </c>
      <c r="V43" s="12">
        <v>0.45</v>
      </c>
      <c r="W43" s="13" t="str">
        <f t="shared" si="11"/>
        <v>152013</v>
      </c>
    </row>
    <row r="44" spans="1:23" x14ac:dyDescent="0.25">
      <c r="A44" s="11">
        <v>41463</v>
      </c>
      <c r="B44" s="12">
        <v>0.45</v>
      </c>
      <c r="C44" s="13" t="str">
        <f t="shared" si="6"/>
        <v>282013</v>
      </c>
      <c r="E44" s="11">
        <v>41463</v>
      </c>
      <c r="F44" s="12">
        <v>0.45</v>
      </c>
      <c r="G44" s="13" t="str">
        <f t="shared" si="7"/>
        <v>282013</v>
      </c>
      <c r="I44" s="11">
        <v>41463</v>
      </c>
      <c r="J44" s="12">
        <v>0.45</v>
      </c>
      <c r="K44" s="13" t="str">
        <f t="shared" si="8"/>
        <v>282013</v>
      </c>
      <c r="M44" s="11">
        <v>41463</v>
      </c>
      <c r="N44" s="12">
        <v>0.45</v>
      </c>
      <c r="O44" s="13" t="str">
        <f t="shared" si="9"/>
        <v>282013</v>
      </c>
      <c r="Q44" s="11">
        <v>41463</v>
      </c>
      <c r="R44" s="12">
        <v>0.45</v>
      </c>
      <c r="S44" s="13" t="str">
        <f t="shared" si="10"/>
        <v>282013</v>
      </c>
      <c r="U44" s="11">
        <v>41463</v>
      </c>
      <c r="V44" s="12">
        <v>0.45</v>
      </c>
      <c r="W44" s="13" t="str">
        <f t="shared" si="11"/>
        <v>282013</v>
      </c>
    </row>
    <row r="45" spans="1:23" x14ac:dyDescent="0.25">
      <c r="A45" s="11">
        <v>41555</v>
      </c>
      <c r="B45" s="12">
        <v>0.45</v>
      </c>
      <c r="C45" s="13" t="str">
        <f t="shared" si="6"/>
        <v>412013</v>
      </c>
      <c r="E45" s="11">
        <v>41555</v>
      </c>
      <c r="F45" s="12">
        <v>0.45</v>
      </c>
      <c r="G45" s="13" t="str">
        <f t="shared" si="7"/>
        <v>412013</v>
      </c>
      <c r="I45" s="11">
        <v>41555</v>
      </c>
      <c r="J45" s="12">
        <v>0.45</v>
      </c>
      <c r="K45" s="13" t="str">
        <f t="shared" si="8"/>
        <v>412013</v>
      </c>
      <c r="M45" s="11">
        <v>41555</v>
      </c>
      <c r="N45" s="12">
        <v>0.45</v>
      </c>
      <c r="O45" s="13" t="str">
        <f t="shared" si="9"/>
        <v>412013</v>
      </c>
      <c r="Q45" s="11">
        <v>41555</v>
      </c>
      <c r="R45" s="12">
        <v>0.45</v>
      </c>
      <c r="S45" s="13" t="str">
        <f t="shared" si="10"/>
        <v>412013</v>
      </c>
      <c r="U45" s="11">
        <v>41555</v>
      </c>
      <c r="V45" s="12">
        <v>0.45</v>
      </c>
      <c r="W45" s="13" t="str">
        <f t="shared" si="11"/>
        <v>412013</v>
      </c>
    </row>
    <row r="46" spans="1:23" x14ac:dyDescent="0.25">
      <c r="A46" s="11">
        <v>41647</v>
      </c>
      <c r="B46" s="12">
        <v>0.46</v>
      </c>
      <c r="C46" s="13" t="str">
        <f t="shared" si="6"/>
        <v>22014</v>
      </c>
      <c r="E46" s="11">
        <v>41647</v>
      </c>
      <c r="F46" s="12">
        <v>0.46</v>
      </c>
      <c r="G46" s="13" t="str">
        <f t="shared" si="7"/>
        <v>22014</v>
      </c>
      <c r="I46" s="11">
        <v>41647</v>
      </c>
      <c r="J46" s="12">
        <v>0.46</v>
      </c>
      <c r="K46" s="13" t="str">
        <f t="shared" si="8"/>
        <v>22014</v>
      </c>
      <c r="M46" s="11">
        <v>41647</v>
      </c>
      <c r="N46" s="12">
        <v>0.46</v>
      </c>
      <c r="O46" s="13" t="str">
        <f t="shared" si="9"/>
        <v>22014</v>
      </c>
      <c r="Q46" s="11">
        <v>41647</v>
      </c>
      <c r="R46" s="12">
        <v>0.46</v>
      </c>
      <c r="S46" s="13" t="str">
        <f t="shared" si="10"/>
        <v>22014</v>
      </c>
      <c r="U46" s="11">
        <v>41647</v>
      </c>
      <c r="V46" s="12">
        <v>0.46</v>
      </c>
      <c r="W46" s="13" t="str">
        <f t="shared" si="11"/>
        <v>22014</v>
      </c>
    </row>
    <row r="47" spans="1:23" x14ac:dyDescent="0.25">
      <c r="A47" s="11">
        <v>41737</v>
      </c>
      <c r="B47" s="12">
        <v>0.46</v>
      </c>
      <c r="C47" s="13" t="str">
        <f t="shared" si="6"/>
        <v>152014</v>
      </c>
      <c r="E47" s="11">
        <v>41737</v>
      </c>
      <c r="F47" s="12">
        <v>0.46</v>
      </c>
      <c r="G47" s="13" t="str">
        <f t="shared" si="7"/>
        <v>152014</v>
      </c>
      <c r="I47" s="11">
        <v>41737</v>
      </c>
      <c r="J47" s="12">
        <v>0.46</v>
      </c>
      <c r="K47" s="13" t="str">
        <f t="shared" si="8"/>
        <v>152014</v>
      </c>
      <c r="M47" s="11">
        <v>41737</v>
      </c>
      <c r="N47" s="12">
        <v>0.46</v>
      </c>
      <c r="O47" s="13" t="str">
        <f t="shared" si="9"/>
        <v>152014</v>
      </c>
      <c r="Q47" s="11">
        <v>41737</v>
      </c>
      <c r="R47" s="12">
        <v>0.46</v>
      </c>
      <c r="S47" s="13" t="str">
        <f t="shared" si="10"/>
        <v>152014</v>
      </c>
      <c r="U47" s="11">
        <v>41737</v>
      </c>
      <c r="V47" s="12">
        <v>0.46</v>
      </c>
      <c r="W47" s="13" t="str">
        <f t="shared" si="11"/>
        <v>152014</v>
      </c>
    </row>
    <row r="48" spans="1:23" x14ac:dyDescent="0.25">
      <c r="A48" s="11">
        <v>41828</v>
      </c>
      <c r="B48" s="12">
        <v>0.46</v>
      </c>
      <c r="C48" s="13" t="str">
        <f t="shared" si="6"/>
        <v>282014</v>
      </c>
      <c r="E48" s="11">
        <v>41828</v>
      </c>
      <c r="F48" s="12">
        <v>0.46</v>
      </c>
      <c r="G48" s="13" t="str">
        <f t="shared" si="7"/>
        <v>282014</v>
      </c>
      <c r="I48" s="11">
        <v>41828</v>
      </c>
      <c r="J48" s="12">
        <v>0.46</v>
      </c>
      <c r="K48" s="13" t="str">
        <f t="shared" si="8"/>
        <v>282014</v>
      </c>
      <c r="M48" s="11">
        <v>41828</v>
      </c>
      <c r="N48" s="12">
        <v>0.46</v>
      </c>
      <c r="O48" s="13" t="str">
        <f t="shared" si="9"/>
        <v>282014</v>
      </c>
      <c r="Q48" s="11">
        <v>41828</v>
      </c>
      <c r="R48" s="12">
        <v>0.46</v>
      </c>
      <c r="S48" s="13" t="str">
        <f t="shared" si="10"/>
        <v>282014</v>
      </c>
      <c r="U48" s="11">
        <v>41828</v>
      </c>
      <c r="V48" s="12">
        <v>0.46</v>
      </c>
      <c r="W48" s="13" t="str">
        <f t="shared" si="11"/>
        <v>282014</v>
      </c>
    </row>
    <row r="49" spans="1:23" x14ac:dyDescent="0.25">
      <c r="A49" s="11">
        <v>41920</v>
      </c>
      <c r="B49" s="12">
        <v>0.46</v>
      </c>
      <c r="C49" s="13" t="str">
        <f t="shared" si="6"/>
        <v>412014</v>
      </c>
      <c r="E49" s="11">
        <v>41920</v>
      </c>
      <c r="F49" s="12">
        <v>0.46</v>
      </c>
      <c r="G49" s="13" t="str">
        <f t="shared" si="7"/>
        <v>412014</v>
      </c>
      <c r="I49" s="11">
        <v>41920</v>
      </c>
      <c r="J49" s="12">
        <v>0.46</v>
      </c>
      <c r="K49" s="13" t="str">
        <f t="shared" si="8"/>
        <v>412014</v>
      </c>
      <c r="M49" s="11">
        <v>41920</v>
      </c>
      <c r="N49" s="12">
        <v>0.46</v>
      </c>
      <c r="O49" s="13" t="str">
        <f t="shared" si="9"/>
        <v>412014</v>
      </c>
      <c r="Q49" s="11">
        <v>41920</v>
      </c>
      <c r="R49" s="12">
        <v>0.46</v>
      </c>
      <c r="S49" s="13" t="str">
        <f t="shared" si="10"/>
        <v>412014</v>
      </c>
      <c r="U49" s="11">
        <v>41920</v>
      </c>
      <c r="V49" s="12">
        <v>0.46</v>
      </c>
      <c r="W49" s="13" t="str">
        <f t="shared" si="11"/>
        <v>412014</v>
      </c>
    </row>
    <row r="50" spans="1:23" x14ac:dyDescent="0.25">
      <c r="A50" s="11">
        <v>42011</v>
      </c>
      <c r="B50" s="12">
        <v>0.47</v>
      </c>
      <c r="C50" s="13" t="str">
        <f t="shared" si="6"/>
        <v>22015</v>
      </c>
      <c r="E50" s="11">
        <v>42011</v>
      </c>
      <c r="F50" s="12">
        <v>0.47</v>
      </c>
      <c r="G50" s="13" t="str">
        <f t="shared" si="7"/>
        <v>22015</v>
      </c>
      <c r="I50" s="11">
        <v>42011</v>
      </c>
      <c r="J50" s="12">
        <v>0.47</v>
      </c>
      <c r="K50" s="13" t="str">
        <f t="shared" si="8"/>
        <v>22015</v>
      </c>
      <c r="M50" s="11">
        <v>42011</v>
      </c>
      <c r="N50" s="12">
        <v>0.47</v>
      </c>
      <c r="O50" s="13" t="str">
        <f t="shared" si="9"/>
        <v>22015</v>
      </c>
      <c r="Q50" s="11">
        <v>42011</v>
      </c>
      <c r="R50" s="12">
        <v>0.47</v>
      </c>
      <c r="S50" s="13" t="str">
        <f t="shared" si="10"/>
        <v>22015</v>
      </c>
      <c r="U50" s="11">
        <v>42011</v>
      </c>
      <c r="V50" s="12">
        <v>0.47</v>
      </c>
      <c r="W50" s="13" t="str">
        <f t="shared" si="11"/>
        <v>22015</v>
      </c>
    </row>
    <row r="51" spans="1:23" x14ac:dyDescent="0.25">
      <c r="A51" s="11">
        <v>42102</v>
      </c>
      <c r="B51" s="12">
        <v>0.47</v>
      </c>
      <c r="C51" s="13" t="str">
        <f t="shared" si="6"/>
        <v>152015</v>
      </c>
      <c r="E51" s="11">
        <v>42102</v>
      </c>
      <c r="F51" s="12">
        <v>0.47</v>
      </c>
      <c r="G51" s="13" t="str">
        <f t="shared" si="7"/>
        <v>152015</v>
      </c>
      <c r="I51" s="11">
        <v>42102</v>
      </c>
      <c r="J51" s="12">
        <v>0.47</v>
      </c>
      <c r="K51" s="13" t="str">
        <f t="shared" si="8"/>
        <v>152015</v>
      </c>
      <c r="M51" s="11">
        <v>42102</v>
      </c>
      <c r="N51" s="12">
        <v>0.47</v>
      </c>
      <c r="O51" s="13" t="str">
        <f t="shared" si="9"/>
        <v>152015</v>
      </c>
      <c r="Q51" s="11">
        <v>42102</v>
      </c>
      <c r="R51" s="12">
        <v>0.47</v>
      </c>
      <c r="S51" s="13" t="str">
        <f t="shared" si="10"/>
        <v>152015</v>
      </c>
      <c r="U51" s="11">
        <v>42102</v>
      </c>
      <c r="V51" s="12">
        <v>0.47</v>
      </c>
      <c r="W51" s="13" t="str">
        <f t="shared" si="11"/>
        <v>152015</v>
      </c>
    </row>
    <row r="52" spans="1:23" x14ac:dyDescent="0.25">
      <c r="A52" s="11">
        <v>42193</v>
      </c>
      <c r="B52" s="12">
        <v>0.47</v>
      </c>
      <c r="C52" s="13" t="str">
        <f t="shared" si="6"/>
        <v>282015</v>
      </c>
      <c r="E52" s="11">
        <v>42193</v>
      </c>
      <c r="F52" s="12">
        <v>0.47</v>
      </c>
      <c r="G52" s="13" t="str">
        <f t="shared" si="7"/>
        <v>282015</v>
      </c>
      <c r="I52" s="11">
        <v>42193</v>
      </c>
      <c r="J52" s="12">
        <v>0.47</v>
      </c>
      <c r="K52" s="13" t="str">
        <f t="shared" si="8"/>
        <v>282015</v>
      </c>
      <c r="M52" s="11">
        <v>42193</v>
      </c>
      <c r="N52" s="12">
        <v>0.47</v>
      </c>
      <c r="O52" s="13" t="str">
        <f t="shared" si="9"/>
        <v>282015</v>
      </c>
      <c r="Q52" s="11">
        <v>42193</v>
      </c>
      <c r="R52" s="12">
        <v>0.47</v>
      </c>
      <c r="S52" s="13" t="str">
        <f t="shared" si="10"/>
        <v>282015</v>
      </c>
      <c r="U52" s="11">
        <v>42193</v>
      </c>
      <c r="V52" s="12">
        <v>0.47</v>
      </c>
      <c r="W52" s="13" t="str">
        <f t="shared" si="11"/>
        <v>282015</v>
      </c>
    </row>
    <row r="53" spans="1:23" x14ac:dyDescent="0.25">
      <c r="A53" s="11">
        <v>42284</v>
      </c>
      <c r="B53" s="12">
        <v>0.47</v>
      </c>
      <c r="C53" s="13" t="str">
        <f t="shared" si="6"/>
        <v>412015</v>
      </c>
      <c r="E53" s="11">
        <v>42284</v>
      </c>
      <c r="F53" s="12">
        <v>0.47</v>
      </c>
      <c r="G53" s="13" t="str">
        <f t="shared" si="7"/>
        <v>412015</v>
      </c>
      <c r="I53" s="11">
        <v>42284</v>
      </c>
      <c r="J53" s="12">
        <v>0.47</v>
      </c>
      <c r="K53" s="13" t="str">
        <f t="shared" si="8"/>
        <v>412015</v>
      </c>
      <c r="M53" s="11">
        <v>42284</v>
      </c>
      <c r="N53" s="12">
        <v>0.47</v>
      </c>
      <c r="O53" s="13" t="str">
        <f t="shared" si="9"/>
        <v>412015</v>
      </c>
      <c r="Q53" s="11">
        <v>42284</v>
      </c>
      <c r="R53" s="12">
        <v>0.47</v>
      </c>
      <c r="S53" s="13" t="str">
        <f t="shared" si="10"/>
        <v>412015</v>
      </c>
      <c r="U53" s="11">
        <v>42284</v>
      </c>
      <c r="V53" s="12">
        <v>0.47</v>
      </c>
      <c r="W53" s="13" t="str">
        <f t="shared" si="11"/>
        <v>412015</v>
      </c>
    </row>
    <row r="54" spans="1:23" x14ac:dyDescent="0.25">
      <c r="A54" s="11">
        <v>42375</v>
      </c>
      <c r="B54" s="12">
        <v>0.48</v>
      </c>
      <c r="C54" s="13" t="str">
        <f t="shared" si="6"/>
        <v>22016</v>
      </c>
      <c r="E54" s="11">
        <v>42375</v>
      </c>
      <c r="F54" s="12">
        <v>0.48</v>
      </c>
      <c r="G54" s="13" t="str">
        <f t="shared" si="7"/>
        <v>22016</v>
      </c>
      <c r="I54" s="11">
        <v>42375</v>
      </c>
      <c r="J54" s="12">
        <v>0.48</v>
      </c>
      <c r="K54" s="13" t="str">
        <f t="shared" si="8"/>
        <v>22016</v>
      </c>
      <c r="M54" s="11">
        <v>42375</v>
      </c>
      <c r="N54" s="12">
        <v>0.48</v>
      </c>
      <c r="O54" s="13" t="str">
        <f t="shared" si="9"/>
        <v>22016</v>
      </c>
      <c r="Q54" s="11">
        <v>42375</v>
      </c>
      <c r="R54" s="12">
        <v>0.48</v>
      </c>
      <c r="S54" s="13" t="str">
        <f t="shared" si="10"/>
        <v>22016</v>
      </c>
      <c r="U54" s="11">
        <v>42375</v>
      </c>
      <c r="V54" s="12">
        <v>0.48</v>
      </c>
      <c r="W54" s="13" t="str">
        <f t="shared" si="11"/>
        <v>22016</v>
      </c>
    </row>
    <row r="55" spans="1:23" x14ac:dyDescent="0.25">
      <c r="A55" s="11">
        <v>42466</v>
      </c>
      <c r="B55" s="12">
        <v>0.48</v>
      </c>
      <c r="C55" s="13" t="str">
        <f t="shared" si="6"/>
        <v>152016</v>
      </c>
      <c r="E55" s="11">
        <v>42466</v>
      </c>
      <c r="F55" s="12">
        <v>0.48</v>
      </c>
      <c r="G55" s="13" t="str">
        <f t="shared" si="7"/>
        <v>152016</v>
      </c>
      <c r="I55" s="11">
        <v>42466</v>
      </c>
      <c r="J55" s="12">
        <v>0.48</v>
      </c>
      <c r="K55" s="13" t="str">
        <f t="shared" si="8"/>
        <v>152016</v>
      </c>
      <c r="M55" s="11">
        <v>42466</v>
      </c>
      <c r="N55" s="12">
        <v>0.48</v>
      </c>
      <c r="O55" s="13" t="str">
        <f t="shared" si="9"/>
        <v>152016</v>
      </c>
      <c r="Q55" s="11">
        <v>42466</v>
      </c>
      <c r="R55" s="12">
        <v>0.48</v>
      </c>
      <c r="S55" s="13" t="str">
        <f t="shared" si="10"/>
        <v>152016</v>
      </c>
      <c r="U55" s="11">
        <v>42466</v>
      </c>
      <c r="V55" s="12">
        <v>0.48</v>
      </c>
      <c r="W55" s="13" t="str">
        <f t="shared" si="11"/>
        <v>152016</v>
      </c>
    </row>
    <row r="56" spans="1:23" x14ac:dyDescent="0.25">
      <c r="A56" s="11">
        <v>42557</v>
      </c>
      <c r="B56" s="12">
        <v>0.48</v>
      </c>
      <c r="C56" s="13" t="str">
        <f t="shared" si="6"/>
        <v>282016</v>
      </c>
      <c r="E56" s="11">
        <v>42557</v>
      </c>
      <c r="F56" s="12">
        <v>0.48</v>
      </c>
      <c r="G56" s="13" t="str">
        <f t="shared" si="7"/>
        <v>282016</v>
      </c>
      <c r="I56" s="11">
        <v>42557</v>
      </c>
      <c r="J56" s="12">
        <v>0.48</v>
      </c>
      <c r="K56" s="13" t="str">
        <f t="shared" si="8"/>
        <v>282016</v>
      </c>
      <c r="M56" s="11">
        <v>42557</v>
      </c>
      <c r="N56" s="12">
        <v>0.48</v>
      </c>
      <c r="O56" s="13" t="str">
        <f t="shared" si="9"/>
        <v>282016</v>
      </c>
      <c r="Q56" s="11">
        <v>42557</v>
      </c>
      <c r="R56" s="12">
        <v>0.48</v>
      </c>
      <c r="S56" s="13" t="str">
        <f t="shared" si="10"/>
        <v>282016</v>
      </c>
      <c r="U56" s="11">
        <v>42557</v>
      </c>
      <c r="V56" s="12">
        <v>0.48</v>
      </c>
      <c r="W56" s="13" t="str">
        <f t="shared" si="11"/>
        <v>282016</v>
      </c>
    </row>
    <row r="57" spans="1:23" x14ac:dyDescent="0.25">
      <c r="A57" s="11">
        <v>42648</v>
      </c>
      <c r="B57" s="12">
        <v>0.48</v>
      </c>
      <c r="C57" s="13" t="str">
        <f t="shared" si="6"/>
        <v>412016</v>
      </c>
      <c r="E57" s="11">
        <v>42648</v>
      </c>
      <c r="F57" s="12">
        <v>0.48</v>
      </c>
      <c r="G57" s="13" t="str">
        <f t="shared" si="7"/>
        <v>412016</v>
      </c>
      <c r="I57" s="11">
        <v>42648</v>
      </c>
      <c r="J57" s="12">
        <v>0.48</v>
      </c>
      <c r="K57" s="13" t="str">
        <f t="shared" si="8"/>
        <v>412016</v>
      </c>
      <c r="M57" s="11">
        <v>42648</v>
      </c>
      <c r="N57" s="12">
        <v>0.48</v>
      </c>
      <c r="O57" s="13" t="str">
        <f t="shared" si="9"/>
        <v>412016</v>
      </c>
      <c r="Q57" s="11">
        <v>42648</v>
      </c>
      <c r="R57" s="12">
        <v>0.48</v>
      </c>
      <c r="S57" s="13" t="str">
        <f t="shared" si="10"/>
        <v>412016</v>
      </c>
      <c r="U57" s="11">
        <v>42648</v>
      </c>
      <c r="V57" s="12">
        <v>0.48</v>
      </c>
      <c r="W57" s="13" t="str">
        <f t="shared" si="11"/>
        <v>412016</v>
      </c>
    </row>
    <row r="58" spans="1:23" x14ac:dyDescent="0.25">
      <c r="A58" s="11">
        <v>42741</v>
      </c>
      <c r="B58" s="12">
        <v>0.49</v>
      </c>
      <c r="C58" s="13" t="str">
        <f t="shared" si="6"/>
        <v>12017</v>
      </c>
      <c r="E58" s="11">
        <v>42741</v>
      </c>
      <c r="F58" s="12">
        <v>0.49</v>
      </c>
      <c r="G58" s="13" t="str">
        <f t="shared" si="7"/>
        <v>12017</v>
      </c>
      <c r="I58" s="11">
        <v>42741</v>
      </c>
      <c r="J58" s="12">
        <v>0.49</v>
      </c>
      <c r="K58" s="13" t="str">
        <f t="shared" si="8"/>
        <v>12017</v>
      </c>
      <c r="M58" s="11">
        <v>42741</v>
      </c>
      <c r="N58" s="12">
        <v>0.49</v>
      </c>
      <c r="O58" s="13" t="str">
        <f t="shared" si="9"/>
        <v>12017</v>
      </c>
      <c r="Q58" s="11">
        <v>42741</v>
      </c>
      <c r="R58" s="12">
        <v>0.49</v>
      </c>
      <c r="S58" s="13" t="str">
        <f t="shared" si="10"/>
        <v>12017</v>
      </c>
      <c r="U58" s="11">
        <v>42741</v>
      </c>
      <c r="V58" s="12">
        <v>0.49</v>
      </c>
      <c r="W58" s="13" t="str">
        <f t="shared" si="11"/>
        <v>12017</v>
      </c>
    </row>
    <row r="59" spans="1:23" x14ac:dyDescent="0.25">
      <c r="A59" s="11">
        <v>42831</v>
      </c>
      <c r="B59" s="12">
        <v>0.49</v>
      </c>
      <c r="C59" s="13" t="str">
        <f t="shared" si="6"/>
        <v>142017</v>
      </c>
      <c r="E59" s="11">
        <v>42831</v>
      </c>
      <c r="F59" s="12">
        <v>0.49</v>
      </c>
      <c r="G59" s="13" t="str">
        <f t="shared" si="7"/>
        <v>142017</v>
      </c>
      <c r="I59" s="11">
        <v>42831</v>
      </c>
      <c r="J59" s="12">
        <v>0.49</v>
      </c>
      <c r="K59" s="13" t="str">
        <f t="shared" si="8"/>
        <v>142017</v>
      </c>
      <c r="M59" s="11">
        <v>42831</v>
      </c>
      <c r="N59" s="12">
        <v>0.49</v>
      </c>
      <c r="O59" s="13" t="str">
        <f t="shared" si="9"/>
        <v>142017</v>
      </c>
      <c r="Q59" s="11">
        <v>42831</v>
      </c>
      <c r="R59" s="12">
        <v>0.49</v>
      </c>
      <c r="S59" s="13" t="str">
        <f t="shared" si="10"/>
        <v>142017</v>
      </c>
      <c r="U59" s="11">
        <v>42831</v>
      </c>
      <c r="V59" s="12">
        <v>0.49</v>
      </c>
      <c r="W59" s="13" t="str">
        <f t="shared" si="11"/>
        <v>142017</v>
      </c>
    </row>
    <row r="60" spans="1:23" x14ac:dyDescent="0.25">
      <c r="A60" s="11">
        <v>42922</v>
      </c>
      <c r="B60" s="12">
        <v>0.49</v>
      </c>
      <c r="C60" s="13" t="str">
        <f t="shared" si="6"/>
        <v>272017</v>
      </c>
      <c r="E60" s="11">
        <v>42922</v>
      </c>
      <c r="F60" s="12">
        <v>0.49</v>
      </c>
      <c r="G60" s="13" t="str">
        <f t="shared" si="7"/>
        <v>272017</v>
      </c>
      <c r="I60" s="11">
        <v>42922</v>
      </c>
      <c r="J60" s="12">
        <v>0.49</v>
      </c>
      <c r="K60" s="13" t="str">
        <f t="shared" si="8"/>
        <v>272017</v>
      </c>
      <c r="M60" s="11">
        <v>42922</v>
      </c>
      <c r="N60" s="12">
        <v>0.49</v>
      </c>
      <c r="O60" s="13" t="str">
        <f t="shared" si="9"/>
        <v>272017</v>
      </c>
      <c r="Q60" s="11">
        <v>42922</v>
      </c>
      <c r="R60" s="12">
        <v>0.49</v>
      </c>
      <c r="S60" s="13" t="str">
        <f t="shared" si="10"/>
        <v>272017</v>
      </c>
      <c r="U60" s="11">
        <v>42922</v>
      </c>
      <c r="V60" s="12">
        <v>0.49</v>
      </c>
      <c r="W60" s="13" t="str">
        <f t="shared" si="11"/>
        <v>272017</v>
      </c>
    </row>
    <row r="61" spans="1:23" x14ac:dyDescent="0.25">
      <c r="A61" s="11">
        <v>43014</v>
      </c>
      <c r="B61" s="12">
        <v>0.49</v>
      </c>
      <c r="C61" s="13" t="str">
        <f t="shared" si="6"/>
        <v>402017</v>
      </c>
      <c r="E61" s="11">
        <v>43014</v>
      </c>
      <c r="F61" s="12">
        <v>0.49</v>
      </c>
      <c r="G61" s="13" t="str">
        <f t="shared" si="7"/>
        <v>402017</v>
      </c>
      <c r="I61" s="11">
        <v>43014</v>
      </c>
      <c r="J61" s="12">
        <v>0.49</v>
      </c>
      <c r="K61" s="13" t="str">
        <f t="shared" si="8"/>
        <v>402017</v>
      </c>
      <c r="M61" s="11">
        <v>43014</v>
      </c>
      <c r="N61" s="12">
        <v>0.49</v>
      </c>
      <c r="O61" s="13" t="str">
        <f t="shared" si="9"/>
        <v>402017</v>
      </c>
      <c r="Q61" s="11">
        <v>43014</v>
      </c>
      <c r="R61" s="12">
        <v>0.49</v>
      </c>
      <c r="S61" s="13" t="str">
        <f t="shared" si="10"/>
        <v>402017</v>
      </c>
      <c r="U61" s="11">
        <v>43014</v>
      </c>
      <c r="V61" s="12">
        <v>0.49</v>
      </c>
      <c r="W61" s="13" t="str">
        <f t="shared" si="11"/>
        <v>402017</v>
      </c>
    </row>
    <row r="62" spans="1:23" x14ac:dyDescent="0.25">
      <c r="A62" s="11">
        <v>43109</v>
      </c>
      <c r="B62" s="12">
        <v>0.5</v>
      </c>
      <c r="C62" s="13" t="str">
        <f t="shared" si="6"/>
        <v>22018</v>
      </c>
      <c r="E62" s="11">
        <v>43109</v>
      </c>
      <c r="F62" s="12">
        <v>0.5</v>
      </c>
      <c r="G62" s="13" t="str">
        <f t="shared" si="7"/>
        <v>22018</v>
      </c>
      <c r="I62" s="11">
        <v>43109</v>
      </c>
      <c r="J62" s="12">
        <v>0.5</v>
      </c>
      <c r="K62" s="13" t="str">
        <f t="shared" si="8"/>
        <v>22018</v>
      </c>
      <c r="M62" s="11">
        <v>43109</v>
      </c>
      <c r="N62" s="12">
        <v>0.5</v>
      </c>
      <c r="O62" s="13" t="str">
        <f t="shared" si="9"/>
        <v>22018</v>
      </c>
      <c r="Q62" s="11">
        <v>43109</v>
      </c>
      <c r="R62" s="12">
        <v>0.5</v>
      </c>
      <c r="S62" s="13" t="str">
        <f t="shared" si="10"/>
        <v>22018</v>
      </c>
      <c r="U62" s="11">
        <v>43109</v>
      </c>
      <c r="V62" s="12">
        <v>0.5</v>
      </c>
      <c r="W62" s="13" t="str">
        <f t="shared" si="11"/>
        <v>22018</v>
      </c>
    </row>
    <row r="63" spans="1:23" x14ac:dyDescent="0.25">
      <c r="A63" s="11">
        <v>43199</v>
      </c>
      <c r="B63" s="12">
        <v>0.5</v>
      </c>
      <c r="C63" s="13" t="str">
        <f t="shared" si="6"/>
        <v>152018</v>
      </c>
      <c r="E63" s="11">
        <v>43199</v>
      </c>
      <c r="F63" s="12">
        <v>0.5</v>
      </c>
      <c r="G63" s="13" t="str">
        <f t="shared" si="7"/>
        <v>152018</v>
      </c>
      <c r="I63" s="11">
        <v>43199</v>
      </c>
      <c r="J63" s="12">
        <v>0.5</v>
      </c>
      <c r="K63" s="13" t="str">
        <f t="shared" si="8"/>
        <v>152018</v>
      </c>
      <c r="M63" s="11">
        <v>43199</v>
      </c>
      <c r="N63" s="12">
        <v>0.5</v>
      </c>
      <c r="O63" s="13" t="str">
        <f t="shared" si="9"/>
        <v>152018</v>
      </c>
      <c r="Q63" s="11">
        <v>43199</v>
      </c>
      <c r="R63" s="12">
        <v>0.5</v>
      </c>
      <c r="S63" s="13" t="str">
        <f t="shared" si="10"/>
        <v>152018</v>
      </c>
      <c r="U63" s="11">
        <v>43199</v>
      </c>
      <c r="V63" s="12">
        <v>0.5</v>
      </c>
      <c r="W63" s="13" t="str">
        <f t="shared" si="11"/>
        <v>152018</v>
      </c>
    </row>
    <row r="64" spans="1:23" x14ac:dyDescent="0.25">
      <c r="A64" s="11">
        <v>43290</v>
      </c>
      <c r="B64" s="12">
        <v>0.5</v>
      </c>
      <c r="C64" s="13" t="str">
        <f t="shared" si="6"/>
        <v>282018</v>
      </c>
      <c r="E64" s="11">
        <v>43290</v>
      </c>
      <c r="F64" s="12">
        <v>0.5</v>
      </c>
      <c r="G64" s="13" t="str">
        <f t="shared" si="7"/>
        <v>282018</v>
      </c>
      <c r="I64" s="11">
        <v>43290</v>
      </c>
      <c r="J64" s="12">
        <v>0.5</v>
      </c>
      <c r="K64" s="13" t="str">
        <f t="shared" si="8"/>
        <v>282018</v>
      </c>
      <c r="M64" s="11">
        <v>43290</v>
      </c>
      <c r="N64" s="12">
        <v>0.5</v>
      </c>
      <c r="O64" s="13" t="str">
        <f t="shared" si="9"/>
        <v>282018</v>
      </c>
      <c r="Q64" s="11">
        <v>43290</v>
      </c>
      <c r="R64" s="12">
        <v>0.5</v>
      </c>
      <c r="S64" s="13" t="str">
        <f t="shared" si="10"/>
        <v>282018</v>
      </c>
      <c r="U64" s="11">
        <v>43290</v>
      </c>
      <c r="V64" s="12">
        <v>0.5</v>
      </c>
      <c r="W64" s="13" t="str">
        <f t="shared" si="11"/>
        <v>282018</v>
      </c>
    </row>
    <row r="65" spans="1:23" x14ac:dyDescent="0.25">
      <c r="A65" s="11">
        <v>43382</v>
      </c>
      <c r="B65" s="12">
        <v>0.5</v>
      </c>
      <c r="C65" s="13" t="str">
        <f t="shared" si="6"/>
        <v>412018</v>
      </c>
      <c r="E65" s="11">
        <v>43382</v>
      </c>
      <c r="F65" s="12">
        <v>0.5</v>
      </c>
      <c r="G65" s="13" t="str">
        <f t="shared" si="7"/>
        <v>412018</v>
      </c>
      <c r="I65" s="11">
        <v>43382</v>
      </c>
      <c r="J65" s="12">
        <v>0.5</v>
      </c>
      <c r="K65" s="13" t="str">
        <f t="shared" si="8"/>
        <v>412018</v>
      </c>
      <c r="M65" s="11">
        <v>43382</v>
      </c>
      <c r="N65" s="12">
        <v>0.5</v>
      </c>
      <c r="O65" s="13" t="str">
        <f t="shared" si="9"/>
        <v>412018</v>
      </c>
      <c r="Q65" s="11">
        <v>43382</v>
      </c>
      <c r="R65" s="12">
        <v>0.5</v>
      </c>
      <c r="S65" s="13" t="str">
        <f t="shared" si="10"/>
        <v>412018</v>
      </c>
      <c r="U65" s="11">
        <v>43382</v>
      </c>
      <c r="V65" s="12">
        <v>0.5</v>
      </c>
      <c r="W65" s="13" t="str">
        <f t="shared" si="11"/>
        <v>412018</v>
      </c>
    </row>
    <row r="66" spans="1:23" x14ac:dyDescent="0.25">
      <c r="A66" s="11">
        <v>43474</v>
      </c>
      <c r="B66" s="12">
        <v>0.51</v>
      </c>
      <c r="C66" s="13" t="str">
        <f t="shared" si="6"/>
        <v>22019</v>
      </c>
      <c r="E66" s="11">
        <v>43474</v>
      </c>
      <c r="F66" s="12">
        <v>0.51</v>
      </c>
      <c r="G66" s="13" t="str">
        <f t="shared" si="7"/>
        <v>22019</v>
      </c>
      <c r="I66" s="11">
        <v>43474</v>
      </c>
      <c r="J66" s="12">
        <v>0.51</v>
      </c>
      <c r="K66" s="13" t="str">
        <f t="shared" si="8"/>
        <v>22019</v>
      </c>
      <c r="M66" s="11">
        <v>43474</v>
      </c>
      <c r="N66" s="12">
        <v>0.51</v>
      </c>
      <c r="O66" s="13" t="str">
        <f t="shared" si="9"/>
        <v>22019</v>
      </c>
      <c r="Q66" s="11">
        <v>43474</v>
      </c>
      <c r="R66" s="12">
        <v>0.51</v>
      </c>
      <c r="S66" s="13" t="str">
        <f t="shared" si="10"/>
        <v>22019</v>
      </c>
      <c r="U66" s="11">
        <v>43474</v>
      </c>
      <c r="V66" s="12">
        <v>0.51</v>
      </c>
      <c r="W66" s="13" t="str">
        <f t="shared" si="11"/>
        <v>22019</v>
      </c>
    </row>
    <row r="67" spans="1:23" x14ac:dyDescent="0.25">
      <c r="A67" s="11">
        <v>43564</v>
      </c>
      <c r="B67" s="12">
        <v>0.51</v>
      </c>
      <c r="C67" s="13" t="str">
        <f t="shared" si="6"/>
        <v>152019</v>
      </c>
      <c r="E67" s="11">
        <v>43564</v>
      </c>
      <c r="F67" s="12">
        <v>0.51</v>
      </c>
      <c r="G67" s="13" t="str">
        <f t="shared" si="7"/>
        <v>152019</v>
      </c>
      <c r="I67" s="11">
        <v>43564</v>
      </c>
      <c r="J67" s="12">
        <v>0.51</v>
      </c>
      <c r="K67" s="13" t="str">
        <f t="shared" si="8"/>
        <v>152019</v>
      </c>
      <c r="M67" s="11">
        <v>43564</v>
      </c>
      <c r="N67" s="12">
        <v>0.51</v>
      </c>
      <c r="O67" s="13" t="str">
        <f t="shared" si="9"/>
        <v>152019</v>
      </c>
      <c r="Q67" s="11">
        <v>43564</v>
      </c>
      <c r="R67" s="12">
        <v>0.51</v>
      </c>
      <c r="S67" s="13" t="str">
        <f t="shared" si="10"/>
        <v>152019</v>
      </c>
      <c r="U67" s="11">
        <v>43564</v>
      </c>
      <c r="V67" s="12">
        <v>0.51</v>
      </c>
      <c r="W67" s="13" t="str">
        <f t="shared" si="11"/>
        <v>152019</v>
      </c>
    </row>
    <row r="68" spans="1:23" x14ac:dyDescent="0.25">
      <c r="A68" s="11">
        <v>43655</v>
      </c>
      <c r="B68" s="12">
        <v>0.51</v>
      </c>
      <c r="C68" s="13" t="str">
        <f t="shared" si="6"/>
        <v>282019</v>
      </c>
      <c r="E68" s="11">
        <v>43655</v>
      </c>
      <c r="F68" s="12">
        <v>0.51</v>
      </c>
      <c r="G68" s="13" t="str">
        <f t="shared" si="7"/>
        <v>282019</v>
      </c>
      <c r="I68" s="11">
        <v>43655</v>
      </c>
      <c r="J68" s="12">
        <v>0.51</v>
      </c>
      <c r="K68" s="13" t="str">
        <f t="shared" si="8"/>
        <v>282019</v>
      </c>
      <c r="M68" s="11">
        <v>43655</v>
      </c>
      <c r="N68" s="12">
        <v>0.51</v>
      </c>
      <c r="O68" s="13" t="str">
        <f t="shared" si="9"/>
        <v>282019</v>
      </c>
      <c r="Q68" s="11">
        <v>43655</v>
      </c>
      <c r="R68" s="12">
        <v>0.51</v>
      </c>
      <c r="S68" s="13" t="str">
        <f t="shared" si="10"/>
        <v>282019</v>
      </c>
      <c r="U68" s="11">
        <v>43655</v>
      </c>
      <c r="V68" s="12">
        <v>0.51</v>
      </c>
      <c r="W68" s="13" t="str">
        <f t="shared" si="11"/>
        <v>282019</v>
      </c>
    </row>
    <row r="69" spans="1:23" x14ac:dyDescent="0.25">
      <c r="A69" s="11">
        <v>43747</v>
      </c>
      <c r="B69" s="12">
        <v>0.51</v>
      </c>
      <c r="C69" s="13" t="str">
        <f t="shared" si="6"/>
        <v>412019</v>
      </c>
      <c r="E69" s="11">
        <v>43747</v>
      </c>
      <c r="F69" s="12">
        <v>0.51</v>
      </c>
      <c r="G69" s="13" t="str">
        <f t="shared" si="7"/>
        <v>412019</v>
      </c>
      <c r="I69" s="11">
        <v>43747</v>
      </c>
      <c r="J69" s="12">
        <v>0.51</v>
      </c>
      <c r="K69" s="13" t="str">
        <f t="shared" si="8"/>
        <v>412019</v>
      </c>
      <c r="M69" s="11">
        <v>43747</v>
      </c>
      <c r="N69" s="12">
        <v>0.51</v>
      </c>
      <c r="O69" s="13" t="str">
        <f t="shared" si="9"/>
        <v>412019</v>
      </c>
      <c r="Q69" s="11">
        <v>43747</v>
      </c>
      <c r="R69" s="12">
        <v>0.51</v>
      </c>
      <c r="S69" s="13" t="str">
        <f t="shared" si="10"/>
        <v>412019</v>
      </c>
      <c r="U69" s="11">
        <v>43747</v>
      </c>
      <c r="V69" s="12">
        <v>0.51</v>
      </c>
      <c r="W69" s="13" t="str">
        <f t="shared" si="11"/>
        <v>412019</v>
      </c>
    </row>
    <row r="70" spans="1:23" x14ac:dyDescent="0.25">
      <c r="A70" s="11">
        <v>43839</v>
      </c>
      <c r="B70" s="12">
        <v>0.52</v>
      </c>
      <c r="C70" s="13" t="str">
        <f t="shared" si="6"/>
        <v>22020</v>
      </c>
      <c r="E70" s="11">
        <v>43839</v>
      </c>
      <c r="F70" s="12">
        <v>0.52</v>
      </c>
      <c r="G70" s="13" t="str">
        <f t="shared" si="7"/>
        <v>22020</v>
      </c>
      <c r="I70" s="11">
        <v>43839</v>
      </c>
      <c r="J70" s="12">
        <v>0.52</v>
      </c>
      <c r="K70" s="13" t="str">
        <f t="shared" si="8"/>
        <v>22020</v>
      </c>
      <c r="M70" s="11">
        <v>43839</v>
      </c>
      <c r="N70" s="12">
        <v>0.52</v>
      </c>
      <c r="O70" s="13" t="str">
        <f t="shared" si="9"/>
        <v>22020</v>
      </c>
      <c r="Q70" s="11">
        <v>43839</v>
      </c>
      <c r="R70" s="12">
        <v>0.52</v>
      </c>
      <c r="S70" s="13" t="str">
        <f t="shared" si="10"/>
        <v>22020</v>
      </c>
      <c r="U70" s="11">
        <v>43839</v>
      </c>
      <c r="V70" s="12">
        <v>0.52</v>
      </c>
      <c r="W70" s="13" t="str">
        <f t="shared" si="11"/>
        <v>22020</v>
      </c>
    </row>
  </sheetData>
  <sortState xmlns:xlrd2="http://schemas.microsoft.com/office/spreadsheetml/2017/richdata2" ref="A3:B900">
    <sortCondition ref="A2:A900"/>
  </sortState>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Q497"/>
  <sheetViews>
    <sheetView workbookViewId="0">
      <selection activeCell="E20" sqref="E20:E21"/>
    </sheetView>
  </sheetViews>
  <sheetFormatPr defaultColWidth="11.42578125" defaultRowHeight="12" x14ac:dyDescent="0.25"/>
  <cols>
    <col min="1" max="16384" width="11.42578125" style="3"/>
  </cols>
  <sheetData>
    <row r="1" spans="1:17" s="1" customFormat="1" ht="21.75" customHeight="1" x14ac:dyDescent="0.25">
      <c r="A1" s="95" t="s">
        <v>17</v>
      </c>
      <c r="B1" s="95"/>
      <c r="C1" s="95"/>
      <c r="D1" s="96" t="s">
        <v>13</v>
      </c>
      <c r="E1" s="96"/>
      <c r="F1" s="96"/>
      <c r="G1" s="97" t="s">
        <v>14</v>
      </c>
      <c r="H1" s="97"/>
      <c r="I1" s="97"/>
      <c r="J1" s="98" t="s">
        <v>18</v>
      </c>
      <c r="K1" s="98"/>
      <c r="L1" s="98"/>
      <c r="M1" s="99" t="s">
        <v>26</v>
      </c>
      <c r="N1" s="99"/>
      <c r="O1" s="99"/>
    </row>
    <row r="2" spans="1:17" x14ac:dyDescent="0.25">
      <c r="A2" s="3" t="s">
        <v>2</v>
      </c>
      <c r="B2" s="94">
        <f>B497/B6-1</f>
        <v>0.56227233041598579</v>
      </c>
      <c r="C2" s="94"/>
      <c r="D2" s="3" t="s">
        <v>2</v>
      </c>
      <c r="E2" s="94">
        <f>E494/E6-1</f>
        <v>0.12570833001966486</v>
      </c>
      <c r="F2" s="94"/>
      <c r="G2" s="3" t="s">
        <v>2</v>
      </c>
      <c r="H2" s="94">
        <f>H497/H6-1</f>
        <v>-0.35654969730411445</v>
      </c>
      <c r="I2" s="94"/>
      <c r="J2" s="3" t="s">
        <v>2</v>
      </c>
      <c r="K2" s="94">
        <f>K497/K6-1</f>
        <v>-0.4795744680851064</v>
      </c>
      <c r="L2" s="94"/>
      <c r="M2" s="3" t="s">
        <v>2</v>
      </c>
      <c r="N2" s="94">
        <f>N497/N6-1</f>
        <v>0.49922123388200101</v>
      </c>
      <c r="O2" s="94"/>
      <c r="Q2" s="7" t="s">
        <v>6</v>
      </c>
    </row>
    <row r="3" spans="1:17" x14ac:dyDescent="0.25">
      <c r="A3" s="3" t="s">
        <v>25</v>
      </c>
      <c r="B3" s="94">
        <f>((B497/ABS(B6))^(1/(COUNT(B6:B497)/52)))-1</f>
        <v>4.8282545819225309E-2</v>
      </c>
      <c r="C3" s="94"/>
      <c r="D3" s="3" t="s">
        <v>25</v>
      </c>
      <c r="E3" s="94">
        <f>((E494/ABS(E6))^(1/(COUNT(E6:E494)/52)))-1</f>
        <v>1.2671530494980932E-2</v>
      </c>
      <c r="F3" s="94"/>
      <c r="G3" s="3" t="s">
        <v>25</v>
      </c>
      <c r="H3" s="94">
        <f>((H497/ABS(H6))^(1/(COUNT(H6:H497)/52)))-1</f>
        <v>-4.5531172798243924E-2</v>
      </c>
      <c r="I3" s="94"/>
      <c r="J3" s="3" t="s">
        <v>25</v>
      </c>
      <c r="K3" s="94">
        <f>((K497/ABS(K6))^(1/(COUNT(K6:K497)/52)))-1</f>
        <v>-6.6699195695218094E-2</v>
      </c>
      <c r="L3" s="94"/>
      <c r="M3" s="3" t="s">
        <v>25</v>
      </c>
      <c r="N3" s="94">
        <f>((N497/ABS(N6))^(1/(COUNT(N6:N497)/52)))-1</f>
        <v>4.3728240100517235E-2</v>
      </c>
      <c r="O3" s="94"/>
      <c r="Q3" s="7" t="s">
        <v>11</v>
      </c>
    </row>
    <row r="4" spans="1:17" x14ac:dyDescent="0.25">
      <c r="Q4" s="7" t="s">
        <v>7</v>
      </c>
    </row>
    <row r="5" spans="1:17" ht="16.5" customHeight="1" x14ac:dyDescent="0.2">
      <c r="A5" s="5" t="s">
        <v>0</v>
      </c>
      <c r="B5" s="5" t="s">
        <v>4</v>
      </c>
      <c r="C5" s="5" t="s">
        <v>5</v>
      </c>
      <c r="D5" s="5" t="s">
        <v>0</v>
      </c>
      <c r="E5" s="5" t="s">
        <v>4</v>
      </c>
      <c r="F5" s="5" t="s">
        <v>5</v>
      </c>
      <c r="G5" s="5" t="s">
        <v>0</v>
      </c>
      <c r="H5" s="5" t="s">
        <v>4</v>
      </c>
      <c r="I5" s="5" t="s">
        <v>5</v>
      </c>
      <c r="J5" s="5" t="s">
        <v>0</v>
      </c>
      <c r="K5" s="5" t="s">
        <v>4</v>
      </c>
      <c r="L5" s="5" t="s">
        <v>5</v>
      </c>
      <c r="M5" s="5" t="s">
        <v>0</v>
      </c>
      <c r="N5" s="5" t="s">
        <v>4</v>
      </c>
      <c r="O5" s="5" t="s">
        <v>5</v>
      </c>
      <c r="Q5" s="7" t="s">
        <v>8</v>
      </c>
    </row>
    <row r="6" spans="1:17" x14ac:dyDescent="0.25">
      <c r="A6" s="6">
        <v>39293</v>
      </c>
      <c r="B6" s="3">
        <v>1433.0600589999999</v>
      </c>
      <c r="C6" s="2">
        <f>(B7-$B$6)/$B$6</f>
        <v>1.436084682616923E-2</v>
      </c>
      <c r="D6" s="4">
        <v>39293</v>
      </c>
      <c r="E6" s="3">
        <v>16979.859375</v>
      </c>
      <c r="F6" s="2">
        <f t="shared" ref="F6:F69" si="0">(E7-$E$6)/$E$6</f>
        <v>-1.270738032834867E-2</v>
      </c>
      <c r="G6" s="4">
        <v>39293</v>
      </c>
      <c r="H6" s="3">
        <v>14534.299805000001</v>
      </c>
      <c r="I6" s="2">
        <f t="shared" ref="I6:I69" si="1">(H7-$H$6)/$H$6</f>
        <v>-5.5317019105621335E-3</v>
      </c>
      <c r="J6" s="4">
        <v>39293</v>
      </c>
      <c r="K6" s="3">
        <v>4.7</v>
      </c>
      <c r="L6" s="2">
        <f t="shared" ref="L6:L69" si="2">(K7-$K$6)/$K$6</f>
        <v>1.6170212765957367E-2</v>
      </c>
      <c r="M6" s="4">
        <v>39293</v>
      </c>
      <c r="N6" s="3">
        <v>13181.910156</v>
      </c>
      <c r="O6" s="2">
        <f>(N7-$N$6)/$N$6</f>
        <v>4.3718916543948874E-3</v>
      </c>
      <c r="Q6" s="8" t="s">
        <v>10</v>
      </c>
    </row>
    <row r="7" spans="1:17" x14ac:dyDescent="0.25">
      <c r="A7" s="6">
        <v>39300</v>
      </c>
      <c r="B7" s="3">
        <v>1453.6400149999999</v>
      </c>
      <c r="C7" s="2">
        <f t="shared" ref="C7:C70" si="3">(B8-$B$6)/$B$6</f>
        <v>8.9876777453331991E-3</v>
      </c>
      <c r="D7" s="4">
        <v>39300</v>
      </c>
      <c r="E7" s="3">
        <v>16764.089843999998</v>
      </c>
      <c r="F7" s="2">
        <f t="shared" si="0"/>
        <v>-0.10048255697052849</v>
      </c>
      <c r="G7" s="4">
        <v>39300</v>
      </c>
      <c r="H7" s="3">
        <v>14453.900390999999</v>
      </c>
      <c r="I7" s="2">
        <f t="shared" si="1"/>
        <v>-2.0420646951144997E-2</v>
      </c>
      <c r="J7" s="4">
        <v>39300</v>
      </c>
      <c r="K7" s="3">
        <v>4.7759999999999998</v>
      </c>
      <c r="L7" s="2">
        <f t="shared" si="2"/>
        <v>-5.7446808510638585E-3</v>
      </c>
      <c r="M7" s="4">
        <v>39300</v>
      </c>
      <c r="N7" s="3">
        <v>13239.540039</v>
      </c>
      <c r="O7" s="2">
        <f t="shared" ref="O7:O70" si="4">(N8-$N$6)/$N$6</f>
        <v>-7.8008480397049251E-3</v>
      </c>
      <c r="Q7" s="7" t="s">
        <v>9</v>
      </c>
    </row>
    <row r="8" spans="1:17" x14ac:dyDescent="0.25">
      <c r="A8" s="6">
        <v>39307</v>
      </c>
      <c r="B8" s="3">
        <v>1445.9399410000001</v>
      </c>
      <c r="C8" s="2">
        <f t="shared" si="3"/>
        <v>3.2315418819442589E-2</v>
      </c>
      <c r="D8" s="4">
        <v>39307</v>
      </c>
      <c r="E8" s="3">
        <v>15273.679688</v>
      </c>
      <c r="F8" s="2">
        <f t="shared" si="0"/>
        <v>-4.3044505367112344E-2</v>
      </c>
      <c r="G8" s="4">
        <v>39307</v>
      </c>
      <c r="H8" s="3">
        <v>14237.5</v>
      </c>
      <c r="I8" s="2">
        <f t="shared" si="1"/>
        <v>-1.375363221358852E-2</v>
      </c>
      <c r="J8" s="4">
        <v>39307</v>
      </c>
      <c r="K8" s="3">
        <v>4.673</v>
      </c>
      <c r="L8" s="2">
        <f t="shared" si="2"/>
        <v>-1.4255319148936206E-2</v>
      </c>
      <c r="M8" s="4">
        <v>39307</v>
      </c>
      <c r="N8" s="3">
        <v>13079.080078000001</v>
      </c>
      <c r="O8" s="2">
        <f t="shared" si="4"/>
        <v>1.4941685891429806E-2</v>
      </c>
    </row>
    <row r="9" spans="1:17" x14ac:dyDescent="0.25">
      <c r="A9" s="6">
        <v>39314</v>
      </c>
      <c r="B9" s="3">
        <v>1479.369995</v>
      </c>
      <c r="C9" s="2">
        <f t="shared" si="3"/>
        <v>2.8561211194847856E-2</v>
      </c>
      <c r="D9" s="4">
        <v>39314</v>
      </c>
      <c r="E9" s="3">
        <v>16248.969727</v>
      </c>
      <c r="F9" s="2">
        <f t="shared" si="0"/>
        <v>-2.4191574378100628E-2</v>
      </c>
      <c r="G9" s="4">
        <v>39314</v>
      </c>
      <c r="H9" s="3">
        <v>14334.400390999999</v>
      </c>
      <c r="I9" s="2">
        <f t="shared" si="1"/>
        <v>-3.7497506402923686E-3</v>
      </c>
      <c r="J9" s="4">
        <v>39314</v>
      </c>
      <c r="K9" s="3">
        <v>4.633</v>
      </c>
      <c r="L9" s="2">
        <f t="shared" si="2"/>
        <v>-3.4680851063829843E-2</v>
      </c>
      <c r="M9" s="4">
        <v>39314</v>
      </c>
      <c r="N9" s="3">
        <v>13378.870117</v>
      </c>
      <c r="O9" s="2">
        <f t="shared" si="4"/>
        <v>1.3338740434364775E-2</v>
      </c>
    </row>
    <row r="10" spans="1:17" x14ac:dyDescent="0.25">
      <c r="A10" s="6">
        <v>39321</v>
      </c>
      <c r="B10" s="3">
        <v>1473.98999</v>
      </c>
      <c r="C10" s="2">
        <f t="shared" si="3"/>
        <v>1.4298067880210201E-2</v>
      </c>
      <c r="D10" s="4">
        <v>39321</v>
      </c>
      <c r="E10" s="3">
        <v>16569.089843999998</v>
      </c>
      <c r="F10" s="2">
        <f t="shared" si="0"/>
        <v>-5.0512739832393343E-2</v>
      </c>
      <c r="G10" s="4">
        <v>39321</v>
      </c>
      <c r="H10" s="3">
        <v>14479.799805000001</v>
      </c>
      <c r="I10" s="2">
        <f t="shared" si="1"/>
        <v>-4.5471706436979016E-2</v>
      </c>
      <c r="J10" s="4">
        <v>39321</v>
      </c>
      <c r="K10" s="3">
        <v>4.5369999999999999</v>
      </c>
      <c r="L10" s="2">
        <f t="shared" si="2"/>
        <v>-7.0638297872340397E-2</v>
      </c>
      <c r="M10" s="4">
        <v>39321</v>
      </c>
      <c r="N10" s="3">
        <v>13357.740234000001</v>
      </c>
      <c r="O10" s="2">
        <f t="shared" si="4"/>
        <v>-5.1988120226117178E-3</v>
      </c>
    </row>
    <row r="11" spans="1:17" x14ac:dyDescent="0.25">
      <c r="A11" s="6">
        <v>39329</v>
      </c>
      <c r="B11" s="3">
        <v>1453.5500489999999</v>
      </c>
      <c r="C11" s="2">
        <f t="shared" si="3"/>
        <v>3.5720722713966931E-2</v>
      </c>
      <c r="D11" s="4">
        <v>39328</v>
      </c>
      <c r="E11" s="3">
        <v>16122.160156</v>
      </c>
      <c r="F11" s="2">
        <f t="shared" si="0"/>
        <v>-5.0202974840597048E-2</v>
      </c>
      <c r="G11" s="4">
        <v>39328</v>
      </c>
      <c r="H11" s="3">
        <v>13873.400390999999</v>
      </c>
      <c r="I11" s="2">
        <f t="shared" si="1"/>
        <v>-4.6324887612981265E-2</v>
      </c>
      <c r="J11" s="4">
        <v>39329</v>
      </c>
      <c r="K11" s="3">
        <v>4.3680000000000003</v>
      </c>
      <c r="L11" s="2">
        <f t="shared" si="2"/>
        <v>-5.0638297872340518E-2</v>
      </c>
      <c r="M11" s="4">
        <v>39329</v>
      </c>
      <c r="N11" s="3">
        <v>13113.379883</v>
      </c>
      <c r="O11" s="2">
        <f t="shared" si="4"/>
        <v>1.9770228435472884E-2</v>
      </c>
    </row>
    <row r="12" spans="1:17" x14ac:dyDescent="0.25">
      <c r="A12" s="6">
        <v>39335</v>
      </c>
      <c r="B12" s="3">
        <v>1484.25</v>
      </c>
      <c r="C12" s="2">
        <f t="shared" si="3"/>
        <v>6.4679732309809695E-2</v>
      </c>
      <c r="D12" s="4">
        <v>39335</v>
      </c>
      <c r="E12" s="3">
        <v>16127.419921999999</v>
      </c>
      <c r="F12" s="2">
        <f t="shared" si="0"/>
        <v>-3.9296498767381595E-2</v>
      </c>
      <c r="G12" s="4">
        <v>39335</v>
      </c>
      <c r="H12" s="3">
        <v>13861</v>
      </c>
      <c r="I12" s="2">
        <f t="shared" si="1"/>
        <v>-5.7588048356623104E-3</v>
      </c>
      <c r="J12" s="4">
        <v>39335</v>
      </c>
      <c r="K12" s="3">
        <v>4.4619999999999997</v>
      </c>
      <c r="L12" s="2">
        <f t="shared" si="2"/>
        <v>-1.4468085106383085E-2</v>
      </c>
      <c r="M12" s="4">
        <v>39335</v>
      </c>
      <c r="N12" s="3">
        <v>13442.519531</v>
      </c>
      <c r="O12" s="2">
        <f t="shared" si="4"/>
        <v>4.8420924315697535E-2</v>
      </c>
    </row>
    <row r="13" spans="1:17" x14ac:dyDescent="0.25">
      <c r="A13" s="6">
        <v>39342</v>
      </c>
      <c r="B13" s="3">
        <v>1525.75</v>
      </c>
      <c r="C13" s="2">
        <f t="shared" si="3"/>
        <v>6.5377539769950491E-2</v>
      </c>
      <c r="D13" s="4">
        <v>39343</v>
      </c>
      <c r="E13" s="3">
        <v>16312.610352</v>
      </c>
      <c r="F13" s="2">
        <f t="shared" si="0"/>
        <v>-1.1435308014734424E-2</v>
      </c>
      <c r="G13" s="4">
        <v>39342</v>
      </c>
      <c r="H13" s="3">
        <v>14450.599609000001</v>
      </c>
      <c r="I13" s="2">
        <f t="shared" si="1"/>
        <v>2.903490059113958E-3</v>
      </c>
      <c r="J13" s="4">
        <v>39342</v>
      </c>
      <c r="K13" s="3">
        <v>4.6319999999999997</v>
      </c>
      <c r="L13" s="2">
        <f t="shared" si="2"/>
        <v>-2.5744680851063923E-2</v>
      </c>
      <c r="M13" s="4">
        <v>39342</v>
      </c>
      <c r="N13" s="3">
        <v>13820.190430000001</v>
      </c>
      <c r="O13" s="2">
        <f t="shared" si="4"/>
        <v>5.4143877370847991E-2</v>
      </c>
    </row>
    <row r="14" spans="1:17" x14ac:dyDescent="0.25">
      <c r="A14" s="6">
        <v>39349</v>
      </c>
      <c r="B14" s="3">
        <v>1526.75</v>
      </c>
      <c r="C14" s="2">
        <f t="shared" si="3"/>
        <v>8.6897898115238792E-2</v>
      </c>
      <c r="D14" s="4">
        <v>39350</v>
      </c>
      <c r="E14" s="3">
        <v>16785.689452999999</v>
      </c>
      <c r="F14" s="2">
        <f t="shared" si="0"/>
        <v>5.0165131005391397E-3</v>
      </c>
      <c r="G14" s="4">
        <v>39349</v>
      </c>
      <c r="H14" s="3">
        <v>14576.5</v>
      </c>
      <c r="I14" s="2">
        <f t="shared" si="1"/>
        <v>2.4617615488907979E-2</v>
      </c>
      <c r="J14" s="4">
        <v>39349</v>
      </c>
      <c r="K14" s="3">
        <v>4.5789999999999997</v>
      </c>
      <c r="L14" s="2">
        <f t="shared" si="2"/>
        <v>-1.2765957446808616E-2</v>
      </c>
      <c r="M14" s="4">
        <v>39349</v>
      </c>
      <c r="N14" s="3">
        <v>13895.629883</v>
      </c>
      <c r="O14" s="2">
        <f t="shared" si="4"/>
        <v>6.7069157621104283E-2</v>
      </c>
    </row>
    <row r="15" spans="1:17" x14ac:dyDescent="0.25">
      <c r="A15" s="6">
        <v>39356</v>
      </c>
      <c r="B15" s="3">
        <v>1557.589966</v>
      </c>
      <c r="C15" s="2">
        <f t="shared" si="3"/>
        <v>8.9835725440450667E-2</v>
      </c>
      <c r="D15" s="4">
        <v>39356</v>
      </c>
      <c r="E15" s="3">
        <v>17065.039062</v>
      </c>
      <c r="F15" s="2">
        <f t="shared" si="0"/>
        <v>2.0689838428064187E-2</v>
      </c>
      <c r="G15" s="4">
        <v>39356</v>
      </c>
      <c r="H15" s="3">
        <v>14892.099609000001</v>
      </c>
      <c r="I15" s="2">
        <f t="shared" si="1"/>
        <v>5.0019609458578938E-2</v>
      </c>
      <c r="J15" s="4">
        <v>39356</v>
      </c>
      <c r="K15" s="3">
        <v>4.6399999999999997</v>
      </c>
      <c r="L15" s="2">
        <f t="shared" si="2"/>
        <v>-2.7659574468084894E-3</v>
      </c>
      <c r="M15" s="4">
        <v>39356</v>
      </c>
      <c r="N15" s="3">
        <v>14066.009765999999</v>
      </c>
      <c r="O15" s="2">
        <f t="shared" si="4"/>
        <v>6.9122753168308043E-2</v>
      </c>
    </row>
    <row r="16" spans="1:17" x14ac:dyDescent="0.25">
      <c r="A16" s="6">
        <v>39363</v>
      </c>
      <c r="B16" s="3">
        <v>1561.8000489999999</v>
      </c>
      <c r="C16" s="2">
        <f t="shared" si="3"/>
        <v>4.7150812400110355E-2</v>
      </c>
      <c r="D16" s="4">
        <v>39364</v>
      </c>
      <c r="E16" s="3">
        <v>17331.169922000001</v>
      </c>
      <c r="F16" s="2">
        <f t="shared" si="0"/>
        <v>-9.7462664645890668E-3</v>
      </c>
      <c r="G16" s="4">
        <v>39363</v>
      </c>
      <c r="H16" s="3">
        <v>15261.299805000001</v>
      </c>
      <c r="I16" s="2">
        <f t="shared" si="1"/>
        <v>6.848629816054623E-2</v>
      </c>
      <c r="J16" s="4">
        <v>39363</v>
      </c>
      <c r="K16" s="3">
        <v>4.6870000000000003</v>
      </c>
      <c r="L16" s="2">
        <f t="shared" si="2"/>
        <v>-6.3617021276595825E-2</v>
      </c>
      <c r="M16" s="4">
        <v>39363</v>
      </c>
      <c r="N16" s="3">
        <v>14093.080078000001</v>
      </c>
      <c r="O16" s="2">
        <f t="shared" si="4"/>
        <v>2.5801220837876268E-2</v>
      </c>
    </row>
    <row r="17" spans="1:15" x14ac:dyDescent="0.25">
      <c r="A17" s="6">
        <v>39370</v>
      </c>
      <c r="B17" s="3">
        <v>1500.630005</v>
      </c>
      <c r="C17" s="2">
        <f t="shared" si="3"/>
        <v>7.1329857641367775E-2</v>
      </c>
      <c r="D17" s="4">
        <v>39370</v>
      </c>
      <c r="E17" s="3">
        <v>16814.369140999999</v>
      </c>
      <c r="F17" s="2">
        <f t="shared" si="0"/>
        <v>-2.7928883598307138E-2</v>
      </c>
      <c r="G17" s="4">
        <v>39370</v>
      </c>
      <c r="H17" s="3">
        <v>15529.700194999999</v>
      </c>
      <c r="I17" s="2">
        <f t="shared" si="1"/>
        <v>7.3591476737808942E-2</v>
      </c>
      <c r="J17" s="4">
        <v>39370</v>
      </c>
      <c r="K17" s="3">
        <v>4.4009999999999998</v>
      </c>
      <c r="L17" s="2">
        <f t="shared" si="2"/>
        <v>-6.6170212765957429E-2</v>
      </c>
      <c r="M17" s="4">
        <v>39370</v>
      </c>
      <c r="N17" s="3">
        <v>13522.019531</v>
      </c>
      <c r="O17" s="2">
        <f t="shared" si="4"/>
        <v>4.7397534318318377E-2</v>
      </c>
    </row>
    <row r="18" spans="1:15" x14ac:dyDescent="0.25">
      <c r="A18" s="6">
        <v>39377</v>
      </c>
      <c r="B18" s="3">
        <v>1535.280029</v>
      </c>
      <c r="C18" s="2">
        <f t="shared" si="3"/>
        <v>5.3445048948922054E-2</v>
      </c>
      <c r="D18" s="4">
        <v>39377</v>
      </c>
      <c r="E18" s="3">
        <v>16505.630859000001</v>
      </c>
      <c r="F18" s="2">
        <f t="shared" si="0"/>
        <v>-2.7231020928287383E-2</v>
      </c>
      <c r="G18" s="4">
        <v>39377</v>
      </c>
      <c r="H18" s="3">
        <v>15603.900390999999</v>
      </c>
      <c r="I18" s="2">
        <f t="shared" si="1"/>
        <v>8.8714310788912398E-2</v>
      </c>
      <c r="J18" s="4">
        <v>39377</v>
      </c>
      <c r="K18" s="3">
        <v>4.3890000000000002</v>
      </c>
      <c r="L18" s="2">
        <f t="shared" si="2"/>
        <v>-8.7021276595744643E-2</v>
      </c>
      <c r="M18" s="4">
        <v>39377</v>
      </c>
      <c r="N18" s="3">
        <v>13806.700194999999</v>
      </c>
      <c r="O18" s="2">
        <f t="shared" si="4"/>
        <v>3.134518807290837E-2</v>
      </c>
    </row>
    <row r="19" spans="1:15" x14ac:dyDescent="0.25">
      <c r="A19" s="6">
        <v>39384</v>
      </c>
      <c r="B19" s="3">
        <v>1509.650024</v>
      </c>
      <c r="C19" s="2">
        <f t="shared" si="3"/>
        <v>1.4402670614100303E-2</v>
      </c>
      <c r="D19" s="4">
        <v>39384</v>
      </c>
      <c r="E19" s="3">
        <v>16517.480468999998</v>
      </c>
      <c r="F19" s="2">
        <f t="shared" si="0"/>
        <v>-8.2240931574264042E-2</v>
      </c>
      <c r="G19" s="4">
        <v>39384</v>
      </c>
      <c r="H19" s="3">
        <v>15823.700194999999</v>
      </c>
      <c r="I19" s="2">
        <f t="shared" si="1"/>
        <v>8.2350055115021678E-2</v>
      </c>
      <c r="J19" s="4">
        <v>39384</v>
      </c>
      <c r="K19" s="3">
        <v>4.2910000000000004</v>
      </c>
      <c r="L19" s="2">
        <f t="shared" si="2"/>
        <v>-0.10106382978723415</v>
      </c>
      <c r="M19" s="4">
        <v>39384</v>
      </c>
      <c r="N19" s="3">
        <v>13595.099609000001</v>
      </c>
      <c r="O19" s="2">
        <f t="shared" si="4"/>
        <v>-1.0557644556290142E-2</v>
      </c>
    </row>
    <row r="20" spans="1:15" x14ac:dyDescent="0.25">
      <c r="A20" s="6">
        <v>39391</v>
      </c>
      <c r="B20" s="3">
        <v>1453.6999510000001</v>
      </c>
      <c r="C20" s="2">
        <f t="shared" si="3"/>
        <v>1.7919647427700813E-2</v>
      </c>
      <c r="D20" s="4">
        <v>39391</v>
      </c>
      <c r="E20" s="3">
        <v>15583.419921999999</v>
      </c>
      <c r="F20" s="2">
        <f t="shared" si="0"/>
        <v>-0.10749494343206245</v>
      </c>
      <c r="G20" s="4">
        <v>39391</v>
      </c>
      <c r="H20" s="3">
        <v>15731.200194999999</v>
      </c>
      <c r="I20" s="2">
        <f t="shared" si="1"/>
        <v>8.4950786179272667E-2</v>
      </c>
      <c r="J20" s="4">
        <v>39391</v>
      </c>
      <c r="K20" s="3">
        <v>4.2249999999999996</v>
      </c>
      <c r="L20" s="2">
        <f t="shared" si="2"/>
        <v>-0.11702127659574464</v>
      </c>
      <c r="M20" s="4">
        <v>39391</v>
      </c>
      <c r="N20" s="3">
        <v>13042.740234000001</v>
      </c>
      <c r="O20" s="2">
        <f t="shared" si="4"/>
        <v>-3.8841995882287752E-4</v>
      </c>
    </row>
    <row r="21" spans="1:15" x14ac:dyDescent="0.25">
      <c r="A21" s="6">
        <v>39398</v>
      </c>
      <c r="B21" s="3">
        <v>1458.73999</v>
      </c>
      <c r="C21" s="2">
        <f t="shared" si="3"/>
        <v>5.3311736322700382E-3</v>
      </c>
      <c r="D21" s="4">
        <v>39398</v>
      </c>
      <c r="E21" s="3">
        <v>15154.610352</v>
      </c>
      <c r="F21" s="2">
        <f t="shared" si="0"/>
        <v>-0.12315118740493103</v>
      </c>
      <c r="G21" s="4">
        <v>39398</v>
      </c>
      <c r="H21" s="3">
        <v>15769</v>
      </c>
      <c r="I21" s="2">
        <f t="shared" si="1"/>
        <v>5.9025918104762723E-2</v>
      </c>
      <c r="J21" s="4">
        <v>39398</v>
      </c>
      <c r="K21" s="3">
        <v>4.1500000000000004</v>
      </c>
      <c r="L21" s="2">
        <f t="shared" si="2"/>
        <v>-0.14638297872340439</v>
      </c>
      <c r="M21" s="4">
        <v>39398</v>
      </c>
      <c r="N21" s="3">
        <v>13176.790039</v>
      </c>
      <c r="O21" s="2">
        <f t="shared" si="4"/>
        <v>-1.5250466026617357E-2</v>
      </c>
    </row>
    <row r="22" spans="1:15" x14ac:dyDescent="0.25">
      <c r="A22" s="6">
        <v>39405</v>
      </c>
      <c r="B22" s="3">
        <v>1440.6999510000001</v>
      </c>
      <c r="C22" s="2">
        <f t="shared" si="3"/>
        <v>3.3550551980040942E-2</v>
      </c>
      <c r="D22" s="4">
        <v>39405</v>
      </c>
      <c r="E22" s="3">
        <v>14888.769531</v>
      </c>
      <c r="F22" s="2">
        <f t="shared" si="0"/>
        <v>-7.6513557875092883E-2</v>
      </c>
      <c r="G22" s="4">
        <v>39405</v>
      </c>
      <c r="H22" s="3">
        <v>15392.200194999999</v>
      </c>
      <c r="I22" s="2">
        <f t="shared" si="1"/>
        <v>8.4324707928370587E-2</v>
      </c>
      <c r="J22" s="4">
        <v>39405</v>
      </c>
      <c r="K22" s="3">
        <v>4.0119999999999996</v>
      </c>
      <c r="L22" s="2">
        <f t="shared" si="2"/>
        <v>-0.15489361702127663</v>
      </c>
      <c r="M22" s="4">
        <v>39405</v>
      </c>
      <c r="N22" s="3">
        <v>12980.879883</v>
      </c>
      <c r="O22" s="2">
        <f t="shared" si="4"/>
        <v>1.4399246296911248E-2</v>
      </c>
    </row>
    <row r="23" spans="1:15" x14ac:dyDescent="0.25">
      <c r="A23" s="6">
        <v>39412</v>
      </c>
      <c r="B23" s="3">
        <v>1481.1400149999999</v>
      </c>
      <c r="C23" s="2">
        <f t="shared" si="3"/>
        <v>4.9962996700894088E-2</v>
      </c>
      <c r="D23" s="4">
        <v>39412</v>
      </c>
      <c r="E23" s="3">
        <v>15680.669921999999</v>
      </c>
      <c r="F23" s="2">
        <f t="shared" si="0"/>
        <v>-6.0276662803634064E-2</v>
      </c>
      <c r="G23" s="4">
        <v>39412</v>
      </c>
      <c r="H23" s="3">
        <v>15759.900390999999</v>
      </c>
      <c r="I23" s="2">
        <f t="shared" si="1"/>
        <v>8.84321791379203E-2</v>
      </c>
      <c r="J23" s="4">
        <v>39412</v>
      </c>
      <c r="K23" s="3">
        <v>3.972</v>
      </c>
      <c r="L23" s="2">
        <f t="shared" si="2"/>
        <v>-0.12340425531914895</v>
      </c>
      <c r="M23" s="4">
        <v>39412</v>
      </c>
      <c r="N23" s="3">
        <v>13371.719727</v>
      </c>
      <c r="O23" s="2">
        <f t="shared" si="4"/>
        <v>3.3657483380590034E-2</v>
      </c>
    </row>
    <row r="24" spans="1:15" x14ac:dyDescent="0.25">
      <c r="A24" s="6">
        <v>39419</v>
      </c>
      <c r="B24" s="3">
        <v>1504.660034</v>
      </c>
      <c r="C24" s="2">
        <f t="shared" si="3"/>
        <v>2.4346426921106553E-2</v>
      </c>
      <c r="D24" s="4">
        <v>39419</v>
      </c>
      <c r="E24" s="3">
        <v>15956.370117</v>
      </c>
      <c r="F24" s="2">
        <f t="shared" si="0"/>
        <v>-8.6299278258893164E-2</v>
      </c>
      <c r="G24" s="4">
        <v>39419</v>
      </c>
      <c r="H24" s="3">
        <v>15819.599609000001</v>
      </c>
      <c r="I24" s="2">
        <f t="shared" si="1"/>
        <v>7.1651225306481062E-2</v>
      </c>
      <c r="J24" s="4">
        <v>39419</v>
      </c>
      <c r="K24" s="3">
        <v>4.12</v>
      </c>
      <c r="L24" s="2">
        <f t="shared" si="2"/>
        <v>-9.957446808510638E-2</v>
      </c>
      <c r="M24" s="4">
        <v>39419</v>
      </c>
      <c r="N24" s="3">
        <v>13625.580078000001</v>
      </c>
      <c r="O24" s="2">
        <f t="shared" si="4"/>
        <v>1.1981530076512597E-2</v>
      </c>
    </row>
    <row r="25" spans="1:15" x14ac:dyDescent="0.25">
      <c r="A25" s="6">
        <v>39426</v>
      </c>
      <c r="B25" s="3">
        <v>1467.9499510000001</v>
      </c>
      <c r="C25" s="2">
        <f t="shared" si="3"/>
        <v>3.586723506610557E-2</v>
      </c>
      <c r="D25" s="4">
        <v>39426</v>
      </c>
      <c r="E25" s="3">
        <v>15514.509765999999</v>
      </c>
      <c r="F25" s="2">
        <f t="shared" si="0"/>
        <v>-0.10146487888684295</v>
      </c>
      <c r="G25" s="4">
        <v>39426</v>
      </c>
      <c r="H25" s="3">
        <v>15575.700194999999</v>
      </c>
      <c r="I25" s="2">
        <f t="shared" si="1"/>
        <v>5.1946086851756668E-2</v>
      </c>
      <c r="J25" s="4">
        <v>39426</v>
      </c>
      <c r="K25" s="3">
        <v>4.2320000000000002</v>
      </c>
      <c r="L25" s="2">
        <f t="shared" si="2"/>
        <v>-0.11319148936170213</v>
      </c>
      <c r="M25" s="4">
        <v>39426</v>
      </c>
      <c r="N25" s="3">
        <v>13339.849609000001</v>
      </c>
      <c r="O25" s="2">
        <f t="shared" si="4"/>
        <v>2.0387047993774787E-2</v>
      </c>
    </row>
    <row r="26" spans="1:15" x14ac:dyDescent="0.25">
      <c r="A26" s="6">
        <v>39433</v>
      </c>
      <c r="B26" s="3">
        <v>1484.459961</v>
      </c>
      <c r="C26" s="2">
        <f t="shared" si="3"/>
        <v>3.1701344765481407E-2</v>
      </c>
      <c r="D26" s="4">
        <v>39433</v>
      </c>
      <c r="E26" s="3">
        <v>15257</v>
      </c>
      <c r="F26" s="2">
        <f t="shared" si="0"/>
        <v>-0.13477433284102214</v>
      </c>
      <c r="G26" s="4">
        <v>39433</v>
      </c>
      <c r="H26" s="3">
        <v>15289.299805000001</v>
      </c>
      <c r="I26" s="2">
        <f t="shared" si="1"/>
        <v>4.458419109925605E-2</v>
      </c>
      <c r="J26" s="4">
        <v>39433</v>
      </c>
      <c r="K26" s="3">
        <v>4.1680000000000001</v>
      </c>
      <c r="L26" s="2">
        <f t="shared" si="2"/>
        <v>-0.12851063829787235</v>
      </c>
      <c r="M26" s="4">
        <v>39433</v>
      </c>
      <c r="N26" s="3">
        <v>13450.650390999999</v>
      </c>
      <c r="O26" s="2">
        <f t="shared" si="4"/>
        <v>1.3955485875942461E-2</v>
      </c>
    </row>
    <row r="27" spans="1:15" x14ac:dyDescent="0.25">
      <c r="A27" s="6">
        <v>39440</v>
      </c>
      <c r="B27" s="3">
        <v>1478.48999</v>
      </c>
      <c r="C27" s="2">
        <f t="shared" si="3"/>
        <v>-1.4954051552419918E-2</v>
      </c>
      <c r="D27" s="4">
        <v>39441</v>
      </c>
      <c r="E27" s="3">
        <v>14691.410156</v>
      </c>
      <c r="F27" s="2">
        <f t="shared" si="0"/>
        <v>-0.16896896921444618</v>
      </c>
      <c r="G27" s="4">
        <v>39443</v>
      </c>
      <c r="H27" s="3">
        <v>15182.299805000001</v>
      </c>
      <c r="I27" s="2">
        <f t="shared" si="1"/>
        <v>4.6785879548602027E-3</v>
      </c>
      <c r="J27" s="4">
        <v>39440</v>
      </c>
      <c r="K27" s="3">
        <v>4.0960000000000001</v>
      </c>
      <c r="L27" s="2">
        <f t="shared" si="2"/>
        <v>-0.18000000000000002</v>
      </c>
      <c r="M27" s="4">
        <v>39440</v>
      </c>
      <c r="N27" s="3">
        <v>13365.870117</v>
      </c>
      <c r="O27" s="2">
        <f t="shared" si="4"/>
        <v>-2.8958661034891652E-2</v>
      </c>
    </row>
    <row r="28" spans="1:15" x14ac:dyDescent="0.25">
      <c r="A28" s="6">
        <v>39447</v>
      </c>
      <c r="B28" s="3">
        <v>1411.630005</v>
      </c>
      <c r="C28" s="2">
        <f t="shared" si="3"/>
        <v>-2.2357778237401829E-2</v>
      </c>
      <c r="D28" s="4">
        <v>39454</v>
      </c>
      <c r="E28" s="3">
        <v>14110.790039</v>
      </c>
      <c r="F28" s="2">
        <f t="shared" si="0"/>
        <v>-0.18366284826784676</v>
      </c>
      <c r="G28" s="4">
        <v>39449</v>
      </c>
      <c r="H28" s="3">
        <v>14602.299805000001</v>
      </c>
      <c r="I28" s="2">
        <f t="shared" si="1"/>
        <v>-5.2496374798703662E-3</v>
      </c>
      <c r="J28" s="4">
        <v>39447</v>
      </c>
      <c r="K28" s="3">
        <v>3.8540000000000001</v>
      </c>
      <c r="L28" s="2">
        <f t="shared" si="2"/>
        <v>-0.1893617021276596</v>
      </c>
      <c r="M28" s="4">
        <v>39447</v>
      </c>
      <c r="N28" s="3">
        <v>12800.179688</v>
      </c>
      <c r="O28" s="2">
        <f t="shared" si="4"/>
        <v>-4.3666687466990449E-2</v>
      </c>
    </row>
    <row r="29" spans="1:15" x14ac:dyDescent="0.25">
      <c r="A29" s="6">
        <v>39454</v>
      </c>
      <c r="B29" s="3">
        <v>1401.0200199999999</v>
      </c>
      <c r="C29" s="2">
        <f t="shared" si="3"/>
        <v>-7.5272573066667139E-2</v>
      </c>
      <c r="D29" s="4">
        <v>39462</v>
      </c>
      <c r="E29" s="3">
        <v>13861.290039</v>
      </c>
      <c r="F29" s="2">
        <f t="shared" si="0"/>
        <v>-0.19733374376076068</v>
      </c>
      <c r="G29" s="4">
        <v>39454</v>
      </c>
      <c r="H29" s="3">
        <v>14458</v>
      </c>
      <c r="I29" s="2">
        <f t="shared" si="1"/>
        <v>-6.0470708998148485E-2</v>
      </c>
      <c r="J29" s="4">
        <v>39454</v>
      </c>
      <c r="K29" s="3">
        <v>3.81</v>
      </c>
      <c r="L29" s="2">
        <f t="shared" si="2"/>
        <v>-0.22382978723404257</v>
      </c>
      <c r="M29" s="4">
        <v>39454</v>
      </c>
      <c r="N29" s="3">
        <v>12606.299805000001</v>
      </c>
      <c r="O29" s="2">
        <f t="shared" si="4"/>
        <v>-8.212848807099693E-2</v>
      </c>
    </row>
    <row r="30" spans="1:15" x14ac:dyDescent="0.25">
      <c r="A30" s="6">
        <v>39461</v>
      </c>
      <c r="B30" s="3">
        <v>1325.1899410000001</v>
      </c>
      <c r="C30" s="2">
        <f t="shared" si="3"/>
        <v>-7.1490425929175844E-2</v>
      </c>
      <c r="D30" s="4">
        <v>39468</v>
      </c>
      <c r="E30" s="3">
        <v>13629.160156</v>
      </c>
      <c r="F30" s="2">
        <f t="shared" si="0"/>
        <v>-0.20510765973290046</v>
      </c>
      <c r="G30" s="4">
        <v>39461</v>
      </c>
      <c r="H30" s="3">
        <v>13655.400390999999</v>
      </c>
      <c r="I30" s="2">
        <f t="shared" si="1"/>
        <v>-9.5856024348742255E-2</v>
      </c>
      <c r="J30" s="4">
        <v>39461</v>
      </c>
      <c r="K30" s="3">
        <v>3.6480000000000001</v>
      </c>
      <c r="L30" s="2">
        <f t="shared" si="2"/>
        <v>-0.23744680851063832</v>
      </c>
      <c r="M30" s="4">
        <v>39461</v>
      </c>
      <c r="N30" s="3">
        <v>12099.299805000001</v>
      </c>
      <c r="O30" s="2">
        <f t="shared" si="4"/>
        <v>-7.3945294912841519E-2</v>
      </c>
    </row>
    <row r="31" spans="1:15" x14ac:dyDescent="0.25">
      <c r="A31" s="6">
        <v>39469</v>
      </c>
      <c r="B31" s="3">
        <v>1330.6099850000001</v>
      </c>
      <c r="C31" s="2">
        <f t="shared" si="3"/>
        <v>-2.6265483266811187E-2</v>
      </c>
      <c r="D31" s="4">
        <v>39475</v>
      </c>
      <c r="E31" s="3">
        <v>13497.160156</v>
      </c>
      <c r="F31" s="2">
        <f t="shared" si="0"/>
        <v>-0.23337172902823286</v>
      </c>
      <c r="G31" s="4">
        <v>39468</v>
      </c>
      <c r="H31" s="3">
        <v>13141.099609000001</v>
      </c>
      <c r="I31" s="2">
        <f t="shared" si="1"/>
        <v>-7.1527326665049559E-2</v>
      </c>
      <c r="J31" s="4">
        <v>39469</v>
      </c>
      <c r="K31" s="3">
        <v>3.5840000000000001</v>
      </c>
      <c r="L31" s="2">
        <f t="shared" si="2"/>
        <v>-0.23404255319148937</v>
      </c>
      <c r="M31" s="4">
        <v>39469</v>
      </c>
      <c r="N31" s="3">
        <v>12207.169921999999</v>
      </c>
      <c r="O31" s="2">
        <f t="shared" si="4"/>
        <v>-3.3281953890446421E-2</v>
      </c>
    </row>
    <row r="32" spans="1:15" x14ac:dyDescent="0.25">
      <c r="A32" s="6">
        <v>39475</v>
      </c>
      <c r="B32" s="3">
        <v>1395.420044</v>
      </c>
      <c r="C32" s="2">
        <f t="shared" si="3"/>
        <v>-7.1015879174677304E-2</v>
      </c>
      <c r="D32" s="4">
        <v>39482</v>
      </c>
      <c r="E32" s="3">
        <v>13017.240234000001</v>
      </c>
      <c r="F32" s="2">
        <f t="shared" si="0"/>
        <v>-0.19772247407084315</v>
      </c>
      <c r="G32" s="4">
        <v>39475</v>
      </c>
      <c r="H32" s="3">
        <v>13494.700194999999</v>
      </c>
      <c r="I32" s="2">
        <f t="shared" si="1"/>
        <v>-0.11005002108527787</v>
      </c>
      <c r="J32" s="4">
        <v>39475</v>
      </c>
      <c r="K32" s="3">
        <v>3.6</v>
      </c>
      <c r="L32" s="2">
        <f t="shared" si="2"/>
        <v>-0.22255319148936176</v>
      </c>
      <c r="M32" s="4">
        <v>39475</v>
      </c>
      <c r="N32" s="3">
        <v>12743.190430000001</v>
      </c>
      <c r="O32" s="2">
        <f t="shared" si="4"/>
        <v>-7.5844870824349472E-2</v>
      </c>
    </row>
    <row r="33" spans="1:15" x14ac:dyDescent="0.25">
      <c r="A33" s="6">
        <v>39482</v>
      </c>
      <c r="B33" s="3">
        <v>1331.290039</v>
      </c>
      <c r="C33" s="2">
        <f t="shared" si="3"/>
        <v>-5.7966913862610055E-2</v>
      </c>
      <c r="D33" s="4">
        <v>39490</v>
      </c>
      <c r="E33" s="3">
        <v>13622.559569999999</v>
      </c>
      <c r="F33" s="2">
        <f t="shared" si="0"/>
        <v>-0.204913323317791</v>
      </c>
      <c r="G33" s="4">
        <v>39482</v>
      </c>
      <c r="H33" s="3">
        <v>12934.799805000001</v>
      </c>
      <c r="I33" s="2">
        <f t="shared" si="1"/>
        <v>-0.10047951628860743</v>
      </c>
      <c r="J33" s="4">
        <v>39482</v>
      </c>
      <c r="K33" s="3">
        <v>3.6539999999999999</v>
      </c>
      <c r="L33" s="2">
        <f t="shared" si="2"/>
        <v>-0.19574468085106389</v>
      </c>
      <c r="M33" s="4">
        <v>39482</v>
      </c>
      <c r="N33" s="3">
        <v>12182.129883</v>
      </c>
      <c r="O33" s="2">
        <f t="shared" si="4"/>
        <v>-6.3245780401600199E-2</v>
      </c>
    </row>
    <row r="34" spans="1:15" x14ac:dyDescent="0.25">
      <c r="A34" s="6">
        <v>39489</v>
      </c>
      <c r="B34" s="3">
        <v>1349.98999</v>
      </c>
      <c r="C34" s="2">
        <f t="shared" si="3"/>
        <v>-5.5789758076008077E-2</v>
      </c>
      <c r="D34" s="4">
        <v>39496</v>
      </c>
      <c r="E34" s="3">
        <v>13500.459961</v>
      </c>
      <c r="F34" s="2">
        <f t="shared" si="0"/>
        <v>-0.19887325150476989</v>
      </c>
      <c r="G34" s="4">
        <v>39489</v>
      </c>
      <c r="H34" s="3">
        <v>13073.900390999999</v>
      </c>
      <c r="I34" s="2">
        <f t="shared" si="1"/>
        <v>-0.1043600190824604</v>
      </c>
      <c r="J34" s="4">
        <v>39489</v>
      </c>
      <c r="K34" s="3">
        <v>3.78</v>
      </c>
      <c r="L34" s="2">
        <f t="shared" si="2"/>
        <v>-0.19361702127659577</v>
      </c>
      <c r="M34" s="4">
        <v>39489</v>
      </c>
      <c r="N34" s="3">
        <v>12348.209961</v>
      </c>
      <c r="O34" s="2">
        <f t="shared" si="4"/>
        <v>-6.0756795906051542E-2</v>
      </c>
    </row>
    <row r="35" spans="1:15" x14ac:dyDescent="0.25">
      <c r="A35" s="6">
        <v>39497</v>
      </c>
      <c r="B35" s="3">
        <v>1353.1099850000001</v>
      </c>
      <c r="C35" s="2">
        <f t="shared" si="3"/>
        <v>-7.1476455823823878E-2</v>
      </c>
      <c r="D35" s="4">
        <v>39503</v>
      </c>
      <c r="E35" s="3">
        <v>13603.019531</v>
      </c>
      <c r="F35" s="2">
        <f t="shared" si="0"/>
        <v>-0.24717870020640259</v>
      </c>
      <c r="G35" s="4">
        <v>39496</v>
      </c>
      <c r="H35" s="3">
        <v>13017.5</v>
      </c>
      <c r="I35" s="2">
        <f t="shared" si="1"/>
        <v>-9.3840049558548466E-2</v>
      </c>
      <c r="J35" s="4">
        <v>39497</v>
      </c>
      <c r="K35" s="3">
        <v>3.79</v>
      </c>
      <c r="L35" s="2">
        <f t="shared" si="2"/>
        <v>-0.24808510638297879</v>
      </c>
      <c r="M35" s="4">
        <v>39497</v>
      </c>
      <c r="N35" s="3">
        <v>12381.019531</v>
      </c>
      <c r="O35" s="2">
        <f t="shared" si="4"/>
        <v>-6.9452795320660177E-2</v>
      </c>
    </row>
    <row r="36" spans="1:15" x14ac:dyDescent="0.25">
      <c r="A36" s="6">
        <v>39503</v>
      </c>
      <c r="B36" s="3">
        <v>1330.630005</v>
      </c>
      <c r="C36" s="2">
        <f t="shared" si="3"/>
        <v>-9.7476768766744271E-2</v>
      </c>
      <c r="D36" s="4">
        <v>39510</v>
      </c>
      <c r="E36" s="3">
        <v>12782.799805000001</v>
      </c>
      <c r="F36" s="2">
        <f t="shared" si="0"/>
        <v>-0.27905176723526304</v>
      </c>
      <c r="G36" s="4">
        <v>39503</v>
      </c>
      <c r="H36" s="3">
        <v>13170.400390999999</v>
      </c>
      <c r="I36" s="2">
        <f t="shared" si="1"/>
        <v>-0.12680349412951991</v>
      </c>
      <c r="J36" s="4">
        <v>39503</v>
      </c>
      <c r="K36" s="3">
        <v>3.5339999999999998</v>
      </c>
      <c r="L36" s="2">
        <f t="shared" si="2"/>
        <v>-0.2465957446808511</v>
      </c>
      <c r="M36" s="4">
        <v>39503</v>
      </c>
      <c r="N36" s="3">
        <v>12266.389648</v>
      </c>
      <c r="O36" s="2">
        <f t="shared" si="4"/>
        <v>-9.7726331825561813E-2</v>
      </c>
    </row>
    <row r="37" spans="1:15" x14ac:dyDescent="0.25">
      <c r="A37" s="6">
        <v>39510</v>
      </c>
      <c r="B37" s="3">
        <v>1293.369995</v>
      </c>
      <c r="C37" s="2">
        <f t="shared" si="3"/>
        <v>-0.10112628782713144</v>
      </c>
      <c r="D37" s="4">
        <v>39517</v>
      </c>
      <c r="E37" s="3">
        <v>12241.599609000001</v>
      </c>
      <c r="F37" s="2">
        <f t="shared" si="0"/>
        <v>-0.26486020665291876</v>
      </c>
      <c r="G37" s="4">
        <v>39510</v>
      </c>
      <c r="H37" s="3">
        <v>12691.299805000001</v>
      </c>
      <c r="I37" s="2">
        <f t="shared" si="1"/>
        <v>-0.10409166140081567</v>
      </c>
      <c r="J37" s="4">
        <v>39510</v>
      </c>
      <c r="K37" s="3">
        <v>3.5409999999999999</v>
      </c>
      <c r="L37" s="2">
        <f t="shared" si="2"/>
        <v>-0.27212765957446816</v>
      </c>
      <c r="M37" s="4">
        <v>39510</v>
      </c>
      <c r="N37" s="3">
        <v>11893.690430000001</v>
      </c>
      <c r="O37" s="2">
        <f t="shared" si="4"/>
        <v>-9.3371923904349202E-2</v>
      </c>
    </row>
    <row r="38" spans="1:15" x14ac:dyDescent="0.25">
      <c r="A38" s="6">
        <v>39517</v>
      </c>
      <c r="B38" s="3">
        <v>1288.1400149999999</v>
      </c>
      <c r="C38" s="2">
        <f t="shared" si="3"/>
        <v>-7.2257996690144266E-2</v>
      </c>
      <c r="D38" s="4">
        <v>39524</v>
      </c>
      <c r="E38" s="3">
        <v>12482.570312</v>
      </c>
      <c r="F38" s="2">
        <f t="shared" si="0"/>
        <v>-0.24496019408287945</v>
      </c>
      <c r="G38" s="4">
        <v>39517</v>
      </c>
      <c r="H38" s="3">
        <v>13021.400390999999</v>
      </c>
      <c r="I38" s="2">
        <f t="shared" si="1"/>
        <v>-0.10802719298936335</v>
      </c>
      <c r="J38" s="4">
        <v>39517</v>
      </c>
      <c r="K38" s="3">
        <v>3.4209999999999998</v>
      </c>
      <c r="L38" s="2">
        <f t="shared" si="2"/>
        <v>-0.29191489361702133</v>
      </c>
      <c r="M38" s="4">
        <v>39517</v>
      </c>
      <c r="N38" s="3">
        <v>11951.089844</v>
      </c>
      <c r="O38" s="2">
        <f t="shared" si="4"/>
        <v>-6.2251208989350673E-2</v>
      </c>
    </row>
    <row r="39" spans="1:15" x14ac:dyDescent="0.25">
      <c r="A39" s="6">
        <v>39524</v>
      </c>
      <c r="B39" s="3">
        <v>1329.51001</v>
      </c>
      <c r="C39" s="2">
        <f t="shared" si="3"/>
        <v>-8.2229692510047081E-2</v>
      </c>
      <c r="D39" s="4">
        <v>39531</v>
      </c>
      <c r="E39" s="3">
        <v>12820.469727</v>
      </c>
      <c r="F39" s="2">
        <f t="shared" si="0"/>
        <v>-0.21711838517508336</v>
      </c>
      <c r="G39" s="4">
        <v>39524</v>
      </c>
      <c r="H39" s="3">
        <v>12964.200194999999</v>
      </c>
      <c r="I39" s="2">
        <f t="shared" si="1"/>
        <v>-7.5125697739107655E-2</v>
      </c>
      <c r="J39" s="4">
        <v>39524</v>
      </c>
      <c r="K39" s="3">
        <v>3.3279999999999998</v>
      </c>
      <c r="L39" s="2">
        <f t="shared" si="2"/>
        <v>-0.26255319148936168</v>
      </c>
      <c r="M39" s="4">
        <v>39524</v>
      </c>
      <c r="N39" s="3">
        <v>12361.320312</v>
      </c>
      <c r="O39" s="2">
        <f t="shared" si="4"/>
        <v>-7.32450573227834E-2</v>
      </c>
    </row>
    <row r="40" spans="1:15" x14ac:dyDescent="0.25">
      <c r="A40" s="6">
        <v>39531</v>
      </c>
      <c r="B40" s="3">
        <v>1315.219971</v>
      </c>
      <c r="C40" s="2">
        <f t="shared" si="3"/>
        <v>-4.3724639875682897E-2</v>
      </c>
      <c r="D40" s="4">
        <v>39538</v>
      </c>
      <c r="E40" s="3">
        <v>13293.219727</v>
      </c>
      <c r="F40" s="2">
        <f t="shared" si="0"/>
        <v>-0.21532150680723761</v>
      </c>
      <c r="G40" s="4">
        <v>39532</v>
      </c>
      <c r="H40" s="3">
        <v>13442.400390999999</v>
      </c>
      <c r="I40" s="2">
        <f t="shared" si="1"/>
        <v>-4.732938106611468E-2</v>
      </c>
      <c r="J40" s="4">
        <v>39531</v>
      </c>
      <c r="K40" s="3">
        <v>3.4660000000000002</v>
      </c>
      <c r="L40" s="2">
        <f t="shared" si="2"/>
        <v>-0.25936170212765963</v>
      </c>
      <c r="M40" s="4">
        <v>39531</v>
      </c>
      <c r="N40" s="3">
        <v>12216.400390999999</v>
      </c>
      <c r="O40" s="2">
        <f t="shared" si="4"/>
        <v>-4.342999058747346E-2</v>
      </c>
    </row>
    <row r="41" spans="1:15" x14ac:dyDescent="0.25">
      <c r="A41" s="6">
        <v>39538</v>
      </c>
      <c r="B41" s="3">
        <v>1370.400024</v>
      </c>
      <c r="C41" s="2">
        <f t="shared" si="3"/>
        <v>-6.9941313604079638E-2</v>
      </c>
      <c r="D41" s="4">
        <v>39545</v>
      </c>
      <c r="E41" s="3">
        <v>13323.730469</v>
      </c>
      <c r="F41" s="2">
        <f t="shared" si="0"/>
        <v>-0.20632733773744816</v>
      </c>
      <c r="G41" s="4">
        <v>39538</v>
      </c>
      <c r="H41" s="3">
        <v>13846.400390999999</v>
      </c>
      <c r="I41" s="2">
        <f t="shared" si="1"/>
        <v>-8.6416271636829634E-2</v>
      </c>
      <c r="J41" s="4">
        <v>39538</v>
      </c>
      <c r="K41" s="3">
        <v>3.4809999999999999</v>
      </c>
      <c r="L41" s="2">
        <f t="shared" si="2"/>
        <v>-0.26148936170212767</v>
      </c>
      <c r="M41" s="4">
        <v>39538</v>
      </c>
      <c r="N41" s="3">
        <v>12609.419921999999</v>
      </c>
      <c r="O41" s="2">
        <f t="shared" si="4"/>
        <v>-6.497466784888932E-2</v>
      </c>
    </row>
    <row r="42" spans="1:15" x14ac:dyDescent="0.25">
      <c r="A42" s="6">
        <v>39545</v>
      </c>
      <c r="B42" s="3">
        <v>1332.829956</v>
      </c>
      <c r="C42" s="2">
        <f t="shared" si="3"/>
        <v>-2.9817384645984244E-2</v>
      </c>
      <c r="D42" s="4">
        <v>39552</v>
      </c>
      <c r="E42" s="3">
        <v>13476.450194999999</v>
      </c>
      <c r="F42" s="2">
        <f t="shared" si="0"/>
        <v>-0.18353447924241129</v>
      </c>
      <c r="G42" s="4">
        <v>39545</v>
      </c>
      <c r="H42" s="3">
        <v>13278.299805000001</v>
      </c>
      <c r="I42" s="2">
        <f t="shared" si="1"/>
        <v>-4.1928364088812828E-2</v>
      </c>
      <c r="J42" s="4">
        <v>39545</v>
      </c>
      <c r="K42" s="3">
        <v>3.4710000000000001</v>
      </c>
      <c r="L42" s="2">
        <f t="shared" si="2"/>
        <v>-0.20361702127659581</v>
      </c>
      <c r="M42" s="4">
        <v>39545</v>
      </c>
      <c r="N42" s="3">
        <v>12325.419921999999</v>
      </c>
      <c r="O42" s="2">
        <f t="shared" si="4"/>
        <v>-2.5227740142701079E-2</v>
      </c>
    </row>
    <row r="43" spans="1:15" x14ac:dyDescent="0.25">
      <c r="A43" s="6">
        <v>39552</v>
      </c>
      <c r="B43" s="3">
        <v>1390.329956</v>
      </c>
      <c r="C43" s="2">
        <f t="shared" si="3"/>
        <v>-2.4576843642252336E-2</v>
      </c>
      <c r="D43" s="4">
        <v>39559</v>
      </c>
      <c r="E43" s="3">
        <v>13863.469727</v>
      </c>
      <c r="F43" s="2">
        <f t="shared" si="0"/>
        <v>-0.17259269021478577</v>
      </c>
      <c r="G43" s="4">
        <v>39552</v>
      </c>
      <c r="H43" s="3">
        <v>13924.900390999999</v>
      </c>
      <c r="I43" s="2">
        <f t="shared" si="1"/>
        <v>-5.2393304818030069E-2</v>
      </c>
      <c r="J43" s="4">
        <v>39552</v>
      </c>
      <c r="K43" s="3">
        <v>3.7429999999999999</v>
      </c>
      <c r="L43" s="2">
        <f t="shared" si="2"/>
        <v>-0.17744680851063832</v>
      </c>
      <c r="M43" s="4">
        <v>39552</v>
      </c>
      <c r="N43" s="3">
        <v>12849.360352</v>
      </c>
      <c r="O43" s="2">
        <f t="shared" si="4"/>
        <v>-2.2003624707453987E-2</v>
      </c>
    </row>
    <row r="44" spans="1:15" x14ac:dyDescent="0.25">
      <c r="A44" s="6">
        <v>39559</v>
      </c>
      <c r="B44" s="3">
        <v>1397.839966</v>
      </c>
      <c r="C44" s="2">
        <f t="shared" si="3"/>
        <v>-1.3370015359558549E-2</v>
      </c>
      <c r="D44" s="4">
        <v>39566</v>
      </c>
      <c r="E44" s="3">
        <v>14049.259765999999</v>
      </c>
      <c r="F44" s="2">
        <f t="shared" si="0"/>
        <v>-0.19579193546766344</v>
      </c>
      <c r="G44" s="4">
        <v>39559</v>
      </c>
      <c r="H44" s="3">
        <v>13772.799805000001</v>
      </c>
      <c r="I44" s="2">
        <f t="shared" si="1"/>
        <v>-3.2633137568610963E-2</v>
      </c>
      <c r="J44" s="4">
        <v>39559</v>
      </c>
      <c r="K44" s="3">
        <v>3.8660000000000001</v>
      </c>
      <c r="L44" s="2">
        <f t="shared" si="2"/>
        <v>-0.18191489361702126</v>
      </c>
      <c r="M44" s="4">
        <v>39559</v>
      </c>
      <c r="N44" s="3">
        <v>12891.860352</v>
      </c>
      <c r="O44" s="2">
        <f t="shared" si="4"/>
        <v>-9.3848281118568775E-3</v>
      </c>
    </row>
    <row r="45" spans="1:15" x14ac:dyDescent="0.25">
      <c r="A45" s="6">
        <v>39566</v>
      </c>
      <c r="B45" s="3">
        <v>1413.900024</v>
      </c>
      <c r="C45" s="2">
        <f t="shared" si="3"/>
        <v>-3.124783899932829E-2</v>
      </c>
      <c r="D45" s="4">
        <v>39575</v>
      </c>
      <c r="E45" s="3">
        <v>13655.339844</v>
      </c>
      <c r="F45" s="2">
        <f t="shared" si="0"/>
        <v>-0.16256783080690265</v>
      </c>
      <c r="G45" s="4">
        <v>39566</v>
      </c>
      <c r="H45" s="3">
        <v>14060</v>
      </c>
      <c r="I45" s="2">
        <f t="shared" si="1"/>
        <v>-4.0538602058924553E-2</v>
      </c>
      <c r="J45" s="4">
        <v>39566</v>
      </c>
      <c r="K45" s="3">
        <v>3.8450000000000002</v>
      </c>
      <c r="L45" s="2">
        <f t="shared" si="2"/>
        <v>-0.19851063829787238</v>
      </c>
      <c r="M45" s="4">
        <v>39566</v>
      </c>
      <c r="N45" s="3">
        <v>13058.200194999999</v>
      </c>
      <c r="O45" s="2">
        <f t="shared" si="4"/>
        <v>-3.3077927845042453E-2</v>
      </c>
    </row>
    <row r="46" spans="1:15" x14ac:dyDescent="0.25">
      <c r="A46" s="6">
        <v>39573</v>
      </c>
      <c r="B46" s="3">
        <v>1388.280029</v>
      </c>
      <c r="C46" s="2">
        <f t="shared" si="3"/>
        <v>-5.3801534357046377E-3</v>
      </c>
      <c r="D46" s="4">
        <v>39580</v>
      </c>
      <c r="E46" s="3">
        <v>14219.480469</v>
      </c>
      <c r="F46" s="2">
        <f t="shared" si="0"/>
        <v>-0.1747752507520399</v>
      </c>
      <c r="G46" s="4">
        <v>39573</v>
      </c>
      <c r="H46" s="3">
        <v>13945.099609000001</v>
      </c>
      <c r="I46" s="2">
        <f t="shared" si="1"/>
        <v>-2.8174731875224311E-2</v>
      </c>
      <c r="J46" s="4">
        <v>39573</v>
      </c>
      <c r="K46" s="3">
        <v>3.7669999999999999</v>
      </c>
      <c r="L46" s="2">
        <f t="shared" si="2"/>
        <v>-0.18085106382978725</v>
      </c>
      <c r="M46" s="4">
        <v>39573</v>
      </c>
      <c r="N46" s="3">
        <v>12745.879883</v>
      </c>
      <c r="O46" s="2">
        <f t="shared" si="4"/>
        <v>-1.4801371629072371E-2</v>
      </c>
    </row>
    <row r="47" spans="1:15" x14ac:dyDescent="0.25">
      <c r="A47" s="6">
        <v>39580</v>
      </c>
      <c r="B47" s="3">
        <v>1425.349976</v>
      </c>
      <c r="C47" s="2">
        <f t="shared" si="3"/>
        <v>-3.9865743686880596E-2</v>
      </c>
      <c r="D47" s="4">
        <v>39587</v>
      </c>
      <c r="E47" s="3">
        <v>14012.200194999999</v>
      </c>
      <c r="F47" s="2">
        <f t="shared" si="0"/>
        <v>-0.15555601949736408</v>
      </c>
      <c r="G47" s="4">
        <v>39580</v>
      </c>
      <c r="H47" s="3">
        <v>14124.799805000001</v>
      </c>
      <c r="I47" s="2">
        <f t="shared" si="1"/>
        <v>-6.5823617844382273E-2</v>
      </c>
      <c r="J47" s="4">
        <v>39580</v>
      </c>
      <c r="K47" s="3">
        <v>3.85</v>
      </c>
      <c r="L47" s="2">
        <f t="shared" si="2"/>
        <v>-0.18489361702127663</v>
      </c>
      <c r="M47" s="4">
        <v>39580</v>
      </c>
      <c r="N47" s="3">
        <v>12986.799805000001</v>
      </c>
      <c r="O47" s="2">
        <f t="shared" si="4"/>
        <v>-5.3276062777619822E-2</v>
      </c>
    </row>
    <row r="48" spans="1:15" x14ac:dyDescent="0.25">
      <c r="A48" s="6">
        <v>39587</v>
      </c>
      <c r="B48" s="3">
        <v>1375.9300539999999</v>
      </c>
      <c r="C48" s="2">
        <f t="shared" si="3"/>
        <v>-2.2804385479003802E-2</v>
      </c>
      <c r="D48" s="4">
        <v>39594</v>
      </c>
      <c r="E48" s="3">
        <v>14338.540039</v>
      </c>
      <c r="F48" s="2">
        <f t="shared" si="0"/>
        <v>-0.14666899707465919</v>
      </c>
      <c r="G48" s="4">
        <v>39587</v>
      </c>
      <c r="H48" s="3">
        <v>13577.599609000001</v>
      </c>
      <c r="I48" s="2">
        <f t="shared" si="1"/>
        <v>-6.4220459638440849E-2</v>
      </c>
      <c r="J48" s="4">
        <v>39587</v>
      </c>
      <c r="K48" s="3">
        <v>3.831</v>
      </c>
      <c r="L48" s="2">
        <f t="shared" si="2"/>
        <v>-0.13914893617021273</v>
      </c>
      <c r="M48" s="4">
        <v>39587</v>
      </c>
      <c r="N48" s="3">
        <v>12479.629883</v>
      </c>
      <c r="O48" s="2">
        <f t="shared" si="4"/>
        <v>-4.1237562505504921E-2</v>
      </c>
    </row>
    <row r="49" spans="1:15" x14ac:dyDescent="0.25">
      <c r="A49" s="6">
        <v>39595</v>
      </c>
      <c r="B49" s="3">
        <v>1400.380005</v>
      </c>
      <c r="C49" s="2">
        <f t="shared" si="3"/>
        <v>-5.0507307454027636E-2</v>
      </c>
      <c r="D49" s="4">
        <v>39601</v>
      </c>
      <c r="E49" s="3">
        <v>14489.440430000001</v>
      </c>
      <c r="F49" s="2">
        <f t="shared" si="0"/>
        <v>-0.1770408599747311</v>
      </c>
      <c r="G49" s="4">
        <v>39594</v>
      </c>
      <c r="H49" s="3">
        <v>13600.900390999999</v>
      </c>
      <c r="I49" s="2">
        <f t="shared" si="1"/>
        <v>-0.11177009018632941</v>
      </c>
      <c r="J49" s="4">
        <v>39595</v>
      </c>
      <c r="K49" s="3">
        <v>4.0460000000000003</v>
      </c>
      <c r="L49" s="2">
        <f t="shared" si="2"/>
        <v>-0.16212765957446809</v>
      </c>
      <c r="M49" s="4">
        <v>39595</v>
      </c>
      <c r="N49" s="3">
        <v>12638.320312</v>
      </c>
      <c r="O49" s="2">
        <f t="shared" si="4"/>
        <v>-7.3745047151419871E-2</v>
      </c>
    </row>
    <row r="50" spans="1:15" x14ac:dyDescent="0.25">
      <c r="A50" s="6">
        <v>39601</v>
      </c>
      <c r="B50" s="3">
        <v>1360.6800539999999</v>
      </c>
      <c r="C50" s="2">
        <f t="shared" si="3"/>
        <v>-5.0960899748305595E-2</v>
      </c>
      <c r="D50" s="4">
        <v>39608</v>
      </c>
      <c r="E50" s="3">
        <v>13973.730469</v>
      </c>
      <c r="F50" s="2">
        <f t="shared" si="0"/>
        <v>-0.17890485603624143</v>
      </c>
      <c r="G50" s="4">
        <v>39601</v>
      </c>
      <c r="H50" s="3">
        <v>12909.799805000001</v>
      </c>
      <c r="I50" s="2">
        <f t="shared" si="1"/>
        <v>-0.10565349762991222</v>
      </c>
      <c r="J50" s="4">
        <v>39601</v>
      </c>
      <c r="K50" s="3">
        <v>3.9380000000000002</v>
      </c>
      <c r="L50" s="2">
        <f t="shared" si="2"/>
        <v>-9.3404255319148949E-2</v>
      </c>
      <c r="M50" s="4">
        <v>39601</v>
      </c>
      <c r="N50" s="3">
        <v>12209.809569999999</v>
      </c>
      <c r="O50" s="2">
        <f t="shared" si="4"/>
        <v>-6.6345509615078513E-2</v>
      </c>
    </row>
    <row r="51" spans="1:15" x14ac:dyDescent="0.25">
      <c r="A51" s="6">
        <v>39608</v>
      </c>
      <c r="B51" s="3">
        <v>1360.030029</v>
      </c>
      <c r="C51" s="2">
        <f t="shared" si="3"/>
        <v>-8.0338576375046392E-2</v>
      </c>
      <c r="D51" s="4">
        <v>39615</v>
      </c>
      <c r="E51" s="3">
        <v>13942.080078000001</v>
      </c>
      <c r="F51" s="2">
        <f t="shared" si="0"/>
        <v>-0.20232788429674498</v>
      </c>
      <c r="G51" s="4">
        <v>39608</v>
      </c>
      <c r="H51" s="3">
        <v>12998.700194999999</v>
      </c>
      <c r="I51" s="2">
        <f t="shared" si="1"/>
        <v>-0.14598569132790779</v>
      </c>
      <c r="J51" s="4">
        <v>39608</v>
      </c>
      <c r="K51" s="3">
        <v>4.2610000000000001</v>
      </c>
      <c r="L51" s="2">
        <f t="shared" si="2"/>
        <v>-0.11978723404255331</v>
      </c>
      <c r="M51" s="4">
        <v>39608</v>
      </c>
      <c r="N51" s="3">
        <v>12307.349609000001</v>
      </c>
      <c r="O51" s="2">
        <f t="shared" si="4"/>
        <v>-0.10159527034785833</v>
      </c>
    </row>
    <row r="52" spans="1:15" x14ac:dyDescent="0.25">
      <c r="A52" s="6">
        <v>39615</v>
      </c>
      <c r="B52" s="3">
        <v>1317.9300539999999</v>
      </c>
      <c r="C52" s="2">
        <f t="shared" si="3"/>
        <v>-0.10793689561618013</v>
      </c>
      <c r="D52" s="4">
        <v>39622</v>
      </c>
      <c r="E52" s="3">
        <v>13544.360352</v>
      </c>
      <c r="F52" s="2">
        <f t="shared" si="0"/>
        <v>-0.22037695627264284</v>
      </c>
      <c r="G52" s="4">
        <v>39615</v>
      </c>
      <c r="H52" s="3">
        <v>12412.5</v>
      </c>
      <c r="I52" s="2">
        <f t="shared" si="1"/>
        <v>-0.16818835670082008</v>
      </c>
      <c r="J52" s="4">
        <v>39615</v>
      </c>
      <c r="K52" s="3">
        <v>4.1369999999999996</v>
      </c>
      <c r="L52" s="2">
        <f t="shared" si="2"/>
        <v>-0.15106382978723404</v>
      </c>
      <c r="M52" s="4">
        <v>39615</v>
      </c>
      <c r="N52" s="3">
        <v>11842.690430000001</v>
      </c>
      <c r="O52" s="2">
        <f t="shared" si="4"/>
        <v>-0.13923629946488317</v>
      </c>
    </row>
    <row r="53" spans="1:15" x14ac:dyDescent="0.25">
      <c r="A53" s="6">
        <v>39622</v>
      </c>
      <c r="B53" s="3">
        <v>1278.380005</v>
      </c>
      <c r="C53" s="2">
        <f t="shared" si="3"/>
        <v>-0.11873894184081778</v>
      </c>
      <c r="D53" s="4">
        <v>39629</v>
      </c>
      <c r="E53" s="3">
        <v>13237.889648</v>
      </c>
      <c r="F53" s="2">
        <f t="shared" si="0"/>
        <v>-0.23204956283685355</v>
      </c>
      <c r="G53" s="4">
        <v>39622</v>
      </c>
      <c r="H53" s="3">
        <v>12089.799805000001</v>
      </c>
      <c r="I53" s="2">
        <f t="shared" si="1"/>
        <v>-0.19047353165562428</v>
      </c>
      <c r="J53" s="4">
        <v>39622</v>
      </c>
      <c r="K53" s="3">
        <v>3.99</v>
      </c>
      <c r="L53" s="2">
        <f t="shared" si="2"/>
        <v>-0.15468085106382984</v>
      </c>
      <c r="M53" s="4">
        <v>39622</v>
      </c>
      <c r="N53" s="3">
        <v>11346.509765999999</v>
      </c>
      <c r="O53" s="2">
        <f t="shared" si="4"/>
        <v>-0.14363397220835986</v>
      </c>
    </row>
    <row r="54" spans="1:15" x14ac:dyDescent="0.25">
      <c r="A54" s="6">
        <v>39629</v>
      </c>
      <c r="B54" s="3">
        <v>1262.900024</v>
      </c>
      <c r="C54" s="2">
        <f t="shared" si="3"/>
        <v>-0.13507463820816731</v>
      </c>
      <c r="D54" s="4">
        <v>39636</v>
      </c>
      <c r="E54" s="3">
        <v>13039.690430000001</v>
      </c>
      <c r="F54" s="2">
        <f t="shared" si="0"/>
        <v>-0.24594780720909243</v>
      </c>
      <c r="G54" s="4">
        <v>39629</v>
      </c>
      <c r="H54" s="3">
        <v>11765.900390999999</v>
      </c>
      <c r="I54" s="2">
        <f t="shared" si="1"/>
        <v>-0.21678373552718941</v>
      </c>
      <c r="J54" s="4">
        <v>39629</v>
      </c>
      <c r="K54" s="3">
        <v>3.9729999999999999</v>
      </c>
      <c r="L54" s="2">
        <f t="shared" si="2"/>
        <v>-0.16170212765957451</v>
      </c>
      <c r="M54" s="4">
        <v>39629</v>
      </c>
      <c r="N54" s="3">
        <v>11288.540039</v>
      </c>
      <c r="O54" s="2">
        <f t="shared" si="4"/>
        <v>-0.15789594166309992</v>
      </c>
    </row>
    <row r="55" spans="1:15" x14ac:dyDescent="0.25">
      <c r="A55" s="6">
        <v>39636</v>
      </c>
      <c r="B55" s="3">
        <v>1239.48999</v>
      </c>
      <c r="C55" s="2">
        <f t="shared" si="3"/>
        <v>-0.1202880534681066</v>
      </c>
      <c r="D55" s="4">
        <v>39643</v>
      </c>
      <c r="E55" s="3">
        <v>12803.700194999999</v>
      </c>
      <c r="F55" s="2">
        <f t="shared" si="0"/>
        <v>-0.21467195507913331</v>
      </c>
      <c r="G55" s="4">
        <v>39636</v>
      </c>
      <c r="H55" s="3">
        <v>11383.5</v>
      </c>
      <c r="I55" s="2">
        <f t="shared" si="1"/>
        <v>-0.18157049430700112</v>
      </c>
      <c r="J55" s="4">
        <v>39636</v>
      </c>
      <c r="K55" s="3">
        <v>3.94</v>
      </c>
      <c r="L55" s="2">
        <f t="shared" si="2"/>
        <v>-0.13170212765957443</v>
      </c>
      <c r="M55" s="4">
        <v>39636</v>
      </c>
      <c r="N55" s="3">
        <v>11100.540039</v>
      </c>
      <c r="O55" s="2">
        <f t="shared" si="4"/>
        <v>-0.12785247540417238</v>
      </c>
    </row>
    <row r="56" spans="1:15" x14ac:dyDescent="0.25">
      <c r="A56" s="6">
        <v>39643</v>
      </c>
      <c r="B56" s="3">
        <v>1260.6800539999999</v>
      </c>
      <c r="C56" s="2">
        <f t="shared" si="3"/>
        <v>-0.12232568195524592</v>
      </c>
      <c r="D56" s="4">
        <v>39651</v>
      </c>
      <c r="E56" s="3">
        <v>13334.759765999999</v>
      </c>
      <c r="F56" s="2">
        <f t="shared" si="0"/>
        <v>-0.22881635502355271</v>
      </c>
      <c r="G56" s="4">
        <v>39643</v>
      </c>
      <c r="H56" s="3">
        <v>11895.299805000001</v>
      </c>
      <c r="I56" s="2">
        <f t="shared" si="1"/>
        <v>-0.20258281812702716</v>
      </c>
      <c r="J56" s="4">
        <v>39643</v>
      </c>
      <c r="K56" s="3">
        <v>4.0810000000000004</v>
      </c>
      <c r="L56" s="2">
        <f t="shared" si="2"/>
        <v>-0.1253191489361703</v>
      </c>
      <c r="M56" s="4">
        <v>39643</v>
      </c>
      <c r="N56" s="3">
        <v>11496.570312</v>
      </c>
      <c r="O56" s="2">
        <f t="shared" si="4"/>
        <v>-0.13740191706401428</v>
      </c>
    </row>
    <row r="57" spans="1:15" x14ac:dyDescent="0.25">
      <c r="A57" s="6">
        <v>39650</v>
      </c>
      <c r="B57" s="3">
        <v>1257.76001</v>
      </c>
      <c r="C57" s="2">
        <f t="shared" si="3"/>
        <v>-0.1205462387393214</v>
      </c>
      <c r="D57" s="4">
        <v>39657</v>
      </c>
      <c r="E57" s="3">
        <v>13094.589844</v>
      </c>
      <c r="F57" s="2">
        <f t="shared" si="0"/>
        <v>-0.2244688330347259</v>
      </c>
      <c r="G57" s="4">
        <v>39650</v>
      </c>
      <c r="H57" s="3">
        <v>11589.900390999999</v>
      </c>
      <c r="I57" s="2">
        <f t="shared" si="1"/>
        <v>-0.20398642141536591</v>
      </c>
      <c r="J57" s="4">
        <v>39650</v>
      </c>
      <c r="K57" s="3">
        <v>4.1109999999999998</v>
      </c>
      <c r="L57" s="2">
        <f t="shared" si="2"/>
        <v>-0.16000000000000003</v>
      </c>
      <c r="M57" s="4">
        <v>39650</v>
      </c>
      <c r="N57" s="3">
        <v>11370.690430000001</v>
      </c>
      <c r="O57" s="2">
        <f t="shared" si="4"/>
        <v>-0.14076790253007396</v>
      </c>
    </row>
    <row r="58" spans="1:15" x14ac:dyDescent="0.25">
      <c r="A58" s="6">
        <v>39657</v>
      </c>
      <c r="B58" s="3">
        <v>1260.3100589999999</v>
      </c>
      <c r="C58" s="2">
        <f t="shared" si="3"/>
        <v>-9.5418270951894452E-2</v>
      </c>
      <c r="D58" s="4">
        <v>39664</v>
      </c>
      <c r="E58" s="3">
        <v>13168.410156</v>
      </c>
      <c r="F58" s="2">
        <f t="shared" si="0"/>
        <v>-0.23324393515479278</v>
      </c>
      <c r="G58" s="4">
        <v>39657</v>
      </c>
      <c r="H58" s="3">
        <v>11569.5</v>
      </c>
      <c r="I58" s="2">
        <f t="shared" si="1"/>
        <v>-0.18813423767819418</v>
      </c>
      <c r="J58" s="4">
        <v>39657</v>
      </c>
      <c r="K58" s="3">
        <v>3.948</v>
      </c>
      <c r="L58" s="2">
        <f t="shared" si="2"/>
        <v>-0.15957446808510636</v>
      </c>
      <c r="M58" s="4">
        <v>39657</v>
      </c>
      <c r="N58" s="3">
        <v>11326.320312</v>
      </c>
      <c r="O58" s="2">
        <f t="shared" si="4"/>
        <v>-0.10981639435170189</v>
      </c>
    </row>
    <row r="59" spans="1:15" x14ac:dyDescent="0.25">
      <c r="A59" s="6">
        <v>39664</v>
      </c>
      <c r="B59" s="3">
        <v>1296.3199460000001</v>
      </c>
      <c r="C59" s="2">
        <f t="shared" si="3"/>
        <v>-9.4106389437792481E-2</v>
      </c>
      <c r="D59" s="4">
        <v>39671</v>
      </c>
      <c r="E59" s="3">
        <v>13019.410156</v>
      </c>
      <c r="F59" s="2">
        <f t="shared" si="0"/>
        <v>-0.25405506846254433</v>
      </c>
      <c r="G59" s="4">
        <v>39664</v>
      </c>
      <c r="H59" s="3">
        <v>11799.900390999999</v>
      </c>
      <c r="I59" s="2">
        <f t="shared" si="1"/>
        <v>-0.19596404602994219</v>
      </c>
      <c r="J59" s="4">
        <v>39664</v>
      </c>
      <c r="K59" s="3">
        <v>3.95</v>
      </c>
      <c r="L59" s="2">
        <f t="shared" si="2"/>
        <v>-0.18042553191489369</v>
      </c>
      <c r="M59" s="4">
        <v>39664</v>
      </c>
      <c r="N59" s="3">
        <v>11734.320312</v>
      </c>
      <c r="O59" s="2">
        <f t="shared" si="4"/>
        <v>-0.11546200413960708</v>
      </c>
    </row>
    <row r="60" spans="1:15" x14ac:dyDescent="0.25">
      <c r="A60" s="6">
        <v>39671</v>
      </c>
      <c r="B60" s="3">
        <v>1298.1999510000001</v>
      </c>
      <c r="C60" s="2">
        <f t="shared" si="3"/>
        <v>-9.8293234198637211E-2</v>
      </c>
      <c r="D60" s="4">
        <v>39678</v>
      </c>
      <c r="E60" s="3">
        <v>12666.040039</v>
      </c>
      <c r="F60" s="2">
        <f t="shared" si="0"/>
        <v>-0.23009550148291494</v>
      </c>
      <c r="G60" s="4">
        <v>39671</v>
      </c>
      <c r="H60" s="3">
        <v>11686.099609000001</v>
      </c>
      <c r="I60" s="2">
        <f t="shared" si="1"/>
        <v>-0.20895399439574172</v>
      </c>
      <c r="J60" s="4">
        <v>39671</v>
      </c>
      <c r="K60" s="3">
        <v>3.8519999999999999</v>
      </c>
      <c r="L60" s="2">
        <f t="shared" si="2"/>
        <v>-0.17723404255319153</v>
      </c>
      <c r="M60" s="4">
        <v>39671</v>
      </c>
      <c r="N60" s="3">
        <v>11659.900390999999</v>
      </c>
      <c r="O60" s="2">
        <f t="shared" si="4"/>
        <v>-0.1178774978444786</v>
      </c>
    </row>
    <row r="61" spans="1:15" x14ac:dyDescent="0.25">
      <c r="A61" s="6">
        <v>39678</v>
      </c>
      <c r="B61" s="3">
        <v>1292.1999510000001</v>
      </c>
      <c r="C61" s="2">
        <f t="shared" si="3"/>
        <v>-0.10483168661111912</v>
      </c>
      <c r="D61" s="4">
        <v>39685</v>
      </c>
      <c r="E61" s="3">
        <v>13072.870117</v>
      </c>
      <c r="F61" s="2">
        <f t="shared" si="0"/>
        <v>-0.28078141289082376</v>
      </c>
      <c r="G61" s="4">
        <v>39678</v>
      </c>
      <c r="H61" s="3">
        <v>11497.299805000001</v>
      </c>
      <c r="I61" s="2">
        <f t="shared" si="1"/>
        <v>-0.19450541394690873</v>
      </c>
      <c r="J61" s="4">
        <v>39678</v>
      </c>
      <c r="K61" s="3">
        <v>3.867</v>
      </c>
      <c r="L61" s="2">
        <f t="shared" si="2"/>
        <v>-0.18872340425531914</v>
      </c>
      <c r="M61" s="4">
        <v>39678</v>
      </c>
      <c r="N61" s="3">
        <v>11628.059569999999</v>
      </c>
      <c r="O61" s="2">
        <f t="shared" si="4"/>
        <v>-0.12425742366742311</v>
      </c>
    </row>
    <row r="62" spans="1:15" x14ac:dyDescent="0.25">
      <c r="A62" s="6">
        <v>39685</v>
      </c>
      <c r="B62" s="3">
        <v>1282.829956</v>
      </c>
      <c r="C62" s="2">
        <f t="shared" si="3"/>
        <v>-0.13310677302185561</v>
      </c>
      <c r="D62" s="4">
        <v>39692</v>
      </c>
      <c r="E62" s="3">
        <v>12212.230469</v>
      </c>
      <c r="F62" s="2">
        <f t="shared" si="0"/>
        <v>-0.28063245423668304</v>
      </c>
      <c r="G62" s="4">
        <v>39685</v>
      </c>
      <c r="H62" s="3">
        <v>11707.299805000001</v>
      </c>
      <c r="I62" s="2">
        <f t="shared" si="1"/>
        <v>-0.23355783598410512</v>
      </c>
      <c r="J62" s="4">
        <v>39685</v>
      </c>
      <c r="K62" s="3">
        <v>3.8130000000000002</v>
      </c>
      <c r="L62" s="2">
        <f t="shared" si="2"/>
        <v>-0.22127659574468084</v>
      </c>
      <c r="M62" s="4">
        <v>39685</v>
      </c>
      <c r="N62" s="3">
        <v>11543.959961</v>
      </c>
      <c r="O62" s="2">
        <f t="shared" si="4"/>
        <v>-0.148760700975301</v>
      </c>
    </row>
    <row r="63" spans="1:15" x14ac:dyDescent="0.25">
      <c r="A63" s="6">
        <v>39693</v>
      </c>
      <c r="B63" s="3">
        <v>1242.3100589999999</v>
      </c>
      <c r="C63" s="2">
        <f t="shared" si="3"/>
        <v>-0.12655443633433919</v>
      </c>
      <c r="D63" s="4">
        <v>39699</v>
      </c>
      <c r="E63" s="3">
        <v>12214.759765999999</v>
      </c>
      <c r="F63" s="2">
        <f t="shared" si="0"/>
        <v>-0.29794116142378241</v>
      </c>
      <c r="G63" s="4">
        <v>39692</v>
      </c>
      <c r="H63" s="3">
        <v>11139.700194999999</v>
      </c>
      <c r="I63" s="2">
        <f t="shared" si="1"/>
        <v>-0.21482285675199064</v>
      </c>
      <c r="J63" s="4">
        <v>39693</v>
      </c>
      <c r="K63" s="3">
        <v>3.66</v>
      </c>
      <c r="L63" s="2">
        <f t="shared" si="2"/>
        <v>-0.20638297872340428</v>
      </c>
      <c r="M63" s="4">
        <v>39693</v>
      </c>
      <c r="N63" s="3">
        <v>11220.959961</v>
      </c>
      <c r="O63" s="2">
        <f t="shared" si="4"/>
        <v>-0.13351023494868364</v>
      </c>
    </row>
    <row r="64" spans="1:15" x14ac:dyDescent="0.25">
      <c r="A64" s="6">
        <v>39699</v>
      </c>
      <c r="B64" s="3">
        <v>1251.6999510000001</v>
      </c>
      <c r="C64" s="2">
        <f t="shared" si="3"/>
        <v>-0.12419584363002603</v>
      </c>
      <c r="D64" s="4">
        <v>39707</v>
      </c>
      <c r="E64" s="3">
        <v>11920.860352</v>
      </c>
      <c r="F64" s="2">
        <f t="shared" si="0"/>
        <v>-0.29957251745496272</v>
      </c>
      <c r="G64" s="4">
        <v>39699</v>
      </c>
      <c r="H64" s="3">
        <v>11412</v>
      </c>
      <c r="I64" s="2">
        <f t="shared" si="1"/>
        <v>-0.20478450657637312</v>
      </c>
      <c r="J64" s="4">
        <v>39699</v>
      </c>
      <c r="K64" s="3">
        <v>3.73</v>
      </c>
      <c r="L64" s="2">
        <f t="shared" si="2"/>
        <v>-0.19808510638297872</v>
      </c>
      <c r="M64" s="4">
        <v>39699</v>
      </c>
      <c r="N64" s="3">
        <v>11421.990234000001</v>
      </c>
      <c r="O64" s="2">
        <f t="shared" si="4"/>
        <v>-0.13605537473517579</v>
      </c>
    </row>
    <row r="65" spans="1:15" x14ac:dyDescent="0.25">
      <c r="A65" s="6">
        <v>39706</v>
      </c>
      <c r="B65" s="3">
        <v>1255.079956</v>
      </c>
      <c r="C65" s="2">
        <f t="shared" si="3"/>
        <v>-0.15337112887883508</v>
      </c>
      <c r="D65" s="4">
        <v>39713</v>
      </c>
      <c r="E65" s="3">
        <v>11893.160156</v>
      </c>
      <c r="F65" s="2">
        <f t="shared" si="0"/>
        <v>-0.35581682943119192</v>
      </c>
      <c r="G65" s="4">
        <v>39706</v>
      </c>
      <c r="H65" s="3">
        <v>11557.900390999999</v>
      </c>
      <c r="I65" s="2">
        <f t="shared" si="1"/>
        <v>-0.21648097646352363</v>
      </c>
      <c r="J65" s="4">
        <v>39706</v>
      </c>
      <c r="K65" s="3">
        <v>3.7690000000000001</v>
      </c>
      <c r="L65" s="2">
        <f t="shared" si="2"/>
        <v>-0.18574468085106388</v>
      </c>
      <c r="M65" s="4">
        <v>39706</v>
      </c>
      <c r="N65" s="3">
        <v>11388.440430000001</v>
      </c>
      <c r="O65" s="2">
        <f t="shared" si="4"/>
        <v>-0.15466501052368425</v>
      </c>
    </row>
    <row r="66" spans="1:15" x14ac:dyDescent="0.25">
      <c r="A66" s="6">
        <v>39713</v>
      </c>
      <c r="B66" s="3">
        <v>1213.2700199999999</v>
      </c>
      <c r="C66" s="2">
        <f t="shared" si="3"/>
        <v>-0.23294911954558903</v>
      </c>
      <c r="D66" s="4">
        <v>39720</v>
      </c>
      <c r="E66" s="3">
        <v>10938.139648</v>
      </c>
      <c r="F66" s="2">
        <f t="shared" si="0"/>
        <v>-0.51257372012246127</v>
      </c>
      <c r="G66" s="4">
        <v>39713</v>
      </c>
      <c r="H66" s="3">
        <v>11387.900390999999</v>
      </c>
      <c r="I66" s="2">
        <f t="shared" si="1"/>
        <v>-0.21437563878571725</v>
      </c>
      <c r="J66" s="4">
        <v>39713</v>
      </c>
      <c r="K66" s="3">
        <v>3.827</v>
      </c>
      <c r="L66" s="2">
        <f t="shared" si="2"/>
        <v>-0.22468085106382979</v>
      </c>
      <c r="M66" s="4">
        <v>39713</v>
      </c>
      <c r="N66" s="3">
        <v>11143.129883</v>
      </c>
      <c r="O66" s="2">
        <f t="shared" si="4"/>
        <v>-0.21670078457482095</v>
      </c>
    </row>
    <row r="67" spans="1:15" x14ac:dyDescent="0.25">
      <c r="A67" s="6">
        <v>39720</v>
      </c>
      <c r="B67" s="3">
        <v>1099.2299800000001</v>
      </c>
      <c r="C67" s="2">
        <f t="shared" si="3"/>
        <v>-0.37251759592861555</v>
      </c>
      <c r="D67" s="4">
        <v>39727</v>
      </c>
      <c r="E67" s="3">
        <v>8276.4296880000002</v>
      </c>
      <c r="F67" s="2">
        <f t="shared" si="0"/>
        <v>-0.48799220770931739</v>
      </c>
      <c r="G67" s="4">
        <v>39720</v>
      </c>
      <c r="H67" s="3">
        <v>11418.5</v>
      </c>
      <c r="I67" s="2">
        <f t="shared" si="1"/>
        <v>-0.38093335656220151</v>
      </c>
      <c r="J67" s="4">
        <v>39720</v>
      </c>
      <c r="K67" s="3">
        <v>3.6440000000000001</v>
      </c>
      <c r="L67" s="2">
        <f t="shared" si="2"/>
        <v>-0.17851063829787234</v>
      </c>
      <c r="M67" s="4">
        <v>39720</v>
      </c>
      <c r="N67" s="3">
        <v>10325.379883</v>
      </c>
      <c r="O67" s="2">
        <f t="shared" si="4"/>
        <v>-0.35887968208057625</v>
      </c>
    </row>
    <row r="68" spans="1:15" x14ac:dyDescent="0.25">
      <c r="A68" s="6">
        <v>39727</v>
      </c>
      <c r="B68" s="3">
        <v>899.21997099999999</v>
      </c>
      <c r="C68" s="2">
        <f t="shared" si="3"/>
        <v>-0.34367720173826988</v>
      </c>
      <c r="D68" s="4">
        <v>39735</v>
      </c>
      <c r="E68" s="3">
        <v>8693.8203119999998</v>
      </c>
      <c r="F68" s="2">
        <f t="shared" si="0"/>
        <v>-0.54952041067772395</v>
      </c>
      <c r="G68" s="4">
        <v>39727</v>
      </c>
      <c r="H68" s="3">
        <v>8997.7001949999994</v>
      </c>
      <c r="I68" s="2">
        <f t="shared" si="1"/>
        <v>-0.33569553920454587</v>
      </c>
      <c r="J68" s="4">
        <v>39727</v>
      </c>
      <c r="K68" s="3">
        <v>3.8610000000000002</v>
      </c>
      <c r="L68" s="2">
        <f t="shared" si="2"/>
        <v>-0.16212765957446809</v>
      </c>
      <c r="M68" s="4">
        <v>39727</v>
      </c>
      <c r="N68" s="3">
        <v>8451.1904300000006</v>
      </c>
      <c r="O68" s="2">
        <f t="shared" si="4"/>
        <v>-0.32845698216424712</v>
      </c>
    </row>
    <row r="69" spans="1:15" x14ac:dyDescent="0.25">
      <c r="A69" s="6">
        <v>39734</v>
      </c>
      <c r="B69" s="3">
        <v>940.54998799999998</v>
      </c>
      <c r="C69" s="2">
        <f t="shared" si="3"/>
        <v>-0.38818333921621068</v>
      </c>
      <c r="D69" s="4">
        <v>39741</v>
      </c>
      <c r="E69" s="3">
        <v>7649.080078</v>
      </c>
      <c r="F69" s="2">
        <f t="shared" si="0"/>
        <v>-0.49487329196446894</v>
      </c>
      <c r="G69" s="4">
        <v>39734</v>
      </c>
      <c r="H69" s="3">
        <v>9655.2001949999994</v>
      </c>
      <c r="I69" s="2">
        <f t="shared" si="1"/>
        <v>-0.42527673798731036</v>
      </c>
      <c r="J69" s="4">
        <v>39734</v>
      </c>
      <c r="K69" s="3">
        <v>3.9380000000000002</v>
      </c>
      <c r="L69" s="2">
        <f t="shared" si="2"/>
        <v>-0.21340425531914894</v>
      </c>
      <c r="M69" s="4">
        <v>39734</v>
      </c>
      <c r="N69" s="3">
        <v>8852.2197269999997</v>
      </c>
      <c r="O69" s="2">
        <f t="shared" si="4"/>
        <v>-0.36435993753256168</v>
      </c>
    </row>
    <row r="70" spans="1:15" x14ac:dyDescent="0.25">
      <c r="A70" s="6">
        <v>39741</v>
      </c>
      <c r="B70" s="3">
        <v>876.77002000000005</v>
      </c>
      <c r="C70" s="2">
        <f t="shared" si="3"/>
        <v>-0.32399902298861011</v>
      </c>
      <c r="D70" s="4">
        <v>39748</v>
      </c>
      <c r="E70" s="3">
        <v>8576.9804690000001</v>
      </c>
      <c r="F70" s="2">
        <f t="shared" ref="F70:F133" si="5">(E71-$E$6)/$E$6</f>
        <v>-0.49451878190245613</v>
      </c>
      <c r="G70" s="4">
        <v>39741</v>
      </c>
      <c r="H70" s="3">
        <v>8353.2001949999994</v>
      </c>
      <c r="I70" s="2">
        <f t="shared" ref="I70:I133" si="6">(H71-$H$6)/$H$6</f>
        <v>-0.37279400299256454</v>
      </c>
      <c r="J70" s="4">
        <v>39741</v>
      </c>
      <c r="K70" s="3">
        <v>3.6970000000000001</v>
      </c>
      <c r="L70" s="2">
        <f t="shared" ref="L70:L133" si="7">(K71-$K$6)/$K$6</f>
        <v>-0.15531914893617021</v>
      </c>
      <c r="M70" s="4">
        <v>39741</v>
      </c>
      <c r="N70" s="3">
        <v>8378.9501949999994</v>
      </c>
      <c r="O70" s="2">
        <f t="shared" si="4"/>
        <v>-0.29259040187316543</v>
      </c>
    </row>
    <row r="71" spans="1:15" x14ac:dyDescent="0.25">
      <c r="A71" s="6">
        <v>39748</v>
      </c>
      <c r="B71" s="3">
        <v>968.75</v>
      </c>
      <c r="C71" s="2">
        <f t="shared" ref="C71:C134" si="8">(B72-$B$6)/$B$6</f>
        <v>-0.35034823966160089</v>
      </c>
      <c r="D71" s="4">
        <v>39756</v>
      </c>
      <c r="E71" s="3">
        <v>8583</v>
      </c>
      <c r="F71" s="2">
        <f t="shared" si="5"/>
        <v>-0.5016219238859273</v>
      </c>
      <c r="G71" s="4">
        <v>39748</v>
      </c>
      <c r="H71" s="3">
        <v>9116</v>
      </c>
      <c r="I71" s="2">
        <f t="shared" si="6"/>
        <v>-0.35714137417299546</v>
      </c>
      <c r="J71" s="4">
        <v>39748</v>
      </c>
      <c r="K71" s="3">
        <v>3.97</v>
      </c>
      <c r="L71" s="2">
        <f t="shared" si="7"/>
        <v>-0.19574468085106389</v>
      </c>
      <c r="M71" s="4">
        <v>39748</v>
      </c>
      <c r="N71" s="3">
        <v>9325.0097659999992</v>
      </c>
      <c r="O71" s="2">
        <f t="shared" ref="O71:O134" si="9">(N72-$N$6)/$N$6</f>
        <v>-0.32150883565770227</v>
      </c>
    </row>
    <row r="72" spans="1:15" x14ac:dyDescent="0.25">
      <c r="A72" s="6">
        <v>39755</v>
      </c>
      <c r="B72" s="3">
        <v>930.98999000000003</v>
      </c>
      <c r="C72" s="2">
        <f t="shared" si="8"/>
        <v>-0.39061173848541397</v>
      </c>
      <c r="D72" s="4">
        <v>39762</v>
      </c>
      <c r="E72" s="3">
        <v>8462.3896480000003</v>
      </c>
      <c r="F72" s="2">
        <f t="shared" si="5"/>
        <v>-0.53410744669373922</v>
      </c>
      <c r="G72" s="4">
        <v>39755</v>
      </c>
      <c r="H72" s="3">
        <v>9343.5</v>
      </c>
      <c r="I72" s="2">
        <f t="shared" si="6"/>
        <v>-0.39232021401116274</v>
      </c>
      <c r="J72" s="4">
        <v>39755</v>
      </c>
      <c r="K72" s="3">
        <v>3.78</v>
      </c>
      <c r="L72" s="2">
        <f t="shared" si="7"/>
        <v>-0.20212765957446813</v>
      </c>
      <c r="M72" s="4">
        <v>39755</v>
      </c>
      <c r="N72" s="3">
        <v>8943.8095699999994</v>
      </c>
      <c r="O72" s="2">
        <f t="shared" si="9"/>
        <v>-0.35538101311270998</v>
      </c>
    </row>
    <row r="73" spans="1:15" x14ac:dyDescent="0.25">
      <c r="A73" s="6">
        <v>39762</v>
      </c>
      <c r="B73" s="3">
        <v>873.28997800000002</v>
      </c>
      <c r="C73" s="2">
        <f t="shared" si="8"/>
        <v>-0.44173307742714774</v>
      </c>
      <c r="D73" s="4">
        <v>39769</v>
      </c>
      <c r="E73" s="3">
        <v>7910.7900390000004</v>
      </c>
      <c r="F73" s="2">
        <f t="shared" si="5"/>
        <v>-0.49868433283182007</v>
      </c>
      <c r="G73" s="4">
        <v>39762</v>
      </c>
      <c r="H73" s="3">
        <v>8832.2001949999994</v>
      </c>
      <c r="I73" s="2">
        <f t="shared" si="6"/>
        <v>-0.45133924516565316</v>
      </c>
      <c r="J73" s="4">
        <v>39762</v>
      </c>
      <c r="K73" s="3">
        <v>3.75</v>
      </c>
      <c r="L73" s="2">
        <f t="shared" si="7"/>
        <v>-0.32617021276595753</v>
      </c>
      <c r="M73" s="4">
        <v>39762</v>
      </c>
      <c r="N73" s="3">
        <v>8497.3095699999994</v>
      </c>
      <c r="O73" s="2">
        <f t="shared" si="9"/>
        <v>-0.38958619602353173</v>
      </c>
    </row>
    <row r="74" spans="1:15" x14ac:dyDescent="0.25">
      <c r="A74" s="6">
        <v>39769</v>
      </c>
      <c r="B74" s="3">
        <v>800.03002900000001</v>
      </c>
      <c r="C74" s="2">
        <f t="shared" si="8"/>
        <v>-0.37459704890149331</v>
      </c>
      <c r="D74" s="4">
        <v>39777</v>
      </c>
      <c r="E74" s="3">
        <v>8512.2695309999999</v>
      </c>
      <c r="F74" s="2">
        <f t="shared" si="5"/>
        <v>-0.53371169977666555</v>
      </c>
      <c r="G74" s="4">
        <v>39769</v>
      </c>
      <c r="H74" s="3">
        <v>7974.3999020000001</v>
      </c>
      <c r="I74" s="2">
        <f t="shared" si="6"/>
        <v>-0.38692611762868473</v>
      </c>
      <c r="J74" s="4">
        <v>39769</v>
      </c>
      <c r="K74" s="3">
        <v>3.1669999999999998</v>
      </c>
      <c r="L74" s="2">
        <f t="shared" si="7"/>
        <v>-0.37085106382978728</v>
      </c>
      <c r="M74" s="4">
        <v>39769</v>
      </c>
      <c r="N74" s="3">
        <v>8046.419922</v>
      </c>
      <c r="O74" s="2">
        <f t="shared" si="9"/>
        <v>-0.33021542898460038</v>
      </c>
    </row>
    <row r="75" spans="1:15" x14ac:dyDescent="0.25">
      <c r="A75" s="6">
        <v>39776</v>
      </c>
      <c r="B75" s="3">
        <v>896.23999000000003</v>
      </c>
      <c r="C75" s="2">
        <f t="shared" si="8"/>
        <v>-0.38867181350980623</v>
      </c>
      <c r="D75" s="4">
        <v>39783</v>
      </c>
      <c r="E75" s="3">
        <v>7917.5097660000001</v>
      </c>
      <c r="F75" s="2">
        <f t="shared" si="5"/>
        <v>-0.51496240721958275</v>
      </c>
      <c r="G75" s="4">
        <v>39776</v>
      </c>
      <c r="H75" s="3">
        <v>8910.5996090000008</v>
      </c>
      <c r="I75" s="2">
        <f t="shared" si="6"/>
        <v>-0.41578195654950584</v>
      </c>
      <c r="J75" s="4">
        <v>39776</v>
      </c>
      <c r="K75" s="3">
        <v>2.9569999999999999</v>
      </c>
      <c r="L75" s="2">
        <f t="shared" si="7"/>
        <v>-0.43468085106382981</v>
      </c>
      <c r="M75" s="4">
        <v>39776</v>
      </c>
      <c r="N75" s="3">
        <v>8829.0400389999995</v>
      </c>
      <c r="O75" s="2">
        <f t="shared" si="9"/>
        <v>-0.34490374916798977</v>
      </c>
    </row>
    <row r="76" spans="1:15" x14ac:dyDescent="0.25">
      <c r="A76" s="6">
        <v>39783</v>
      </c>
      <c r="B76" s="3">
        <v>876.07000700000003</v>
      </c>
      <c r="C76" s="2">
        <f t="shared" si="8"/>
        <v>-0.38611785704649243</v>
      </c>
      <c r="D76" s="4">
        <v>39790</v>
      </c>
      <c r="E76" s="3">
        <v>8235.8701170000004</v>
      </c>
      <c r="F76" s="2">
        <f t="shared" si="5"/>
        <v>-0.49419371849185295</v>
      </c>
      <c r="G76" s="4">
        <v>39783</v>
      </c>
      <c r="H76" s="3">
        <v>8491.2001949999994</v>
      </c>
      <c r="I76" s="2">
        <f t="shared" si="6"/>
        <v>-0.38246079134047423</v>
      </c>
      <c r="J76" s="4">
        <v>39783</v>
      </c>
      <c r="K76" s="3">
        <v>2.657</v>
      </c>
      <c r="L76" s="2">
        <f t="shared" si="7"/>
        <v>-0.44914893617021279</v>
      </c>
      <c r="M76" s="4">
        <v>39783</v>
      </c>
      <c r="N76" s="3">
        <v>8635.4199219999991</v>
      </c>
      <c r="O76" s="2">
        <f t="shared" si="9"/>
        <v>-0.34533921215719743</v>
      </c>
    </row>
    <row r="77" spans="1:15" x14ac:dyDescent="0.25">
      <c r="A77" s="6">
        <v>39790</v>
      </c>
      <c r="B77" s="3">
        <v>879.72997999999995</v>
      </c>
      <c r="C77" s="2">
        <f t="shared" si="8"/>
        <v>-0.38043070880115848</v>
      </c>
      <c r="D77" s="4">
        <v>39797</v>
      </c>
      <c r="E77" s="3">
        <v>8588.5195309999999</v>
      </c>
      <c r="F77" s="2">
        <f t="shared" si="5"/>
        <v>-0.48530082976614758</v>
      </c>
      <c r="G77" s="4">
        <v>39790</v>
      </c>
      <c r="H77" s="3">
        <v>8975.5</v>
      </c>
      <c r="I77" s="2">
        <f t="shared" si="6"/>
        <v>-0.36230843485067366</v>
      </c>
      <c r="J77" s="4">
        <v>39790</v>
      </c>
      <c r="K77" s="3">
        <v>2.589</v>
      </c>
      <c r="L77" s="2">
        <f t="shared" si="7"/>
        <v>-0.54659574468085115</v>
      </c>
      <c r="M77" s="4">
        <v>39790</v>
      </c>
      <c r="N77" s="3">
        <v>8629.6796880000002</v>
      </c>
      <c r="O77" s="2">
        <f t="shared" si="9"/>
        <v>-0.34917547984538094</v>
      </c>
    </row>
    <row r="78" spans="1:15" x14ac:dyDescent="0.25">
      <c r="A78" s="6">
        <v>39797</v>
      </c>
      <c r="B78" s="3">
        <v>887.88000499999998</v>
      </c>
      <c r="C78" s="2">
        <f t="shared" si="8"/>
        <v>-0.39095365716280839</v>
      </c>
      <c r="D78" s="4">
        <v>39804</v>
      </c>
      <c r="E78" s="3">
        <v>8739.5195309999999</v>
      </c>
      <c r="F78" s="2">
        <f t="shared" si="5"/>
        <v>-0.47823127539888716</v>
      </c>
      <c r="G78" s="4">
        <v>39797</v>
      </c>
      <c r="H78" s="3">
        <v>9268.4003909999992</v>
      </c>
      <c r="I78" s="2">
        <f t="shared" si="6"/>
        <v>-0.37606213428456248</v>
      </c>
      <c r="J78" s="4">
        <v>39797</v>
      </c>
      <c r="K78" s="3">
        <v>2.1309999999999998</v>
      </c>
      <c r="L78" s="2">
        <f t="shared" si="7"/>
        <v>-0.54531914893617017</v>
      </c>
      <c r="M78" s="4">
        <v>39797</v>
      </c>
      <c r="N78" s="3">
        <v>8579.1103519999997</v>
      </c>
      <c r="O78" s="2">
        <f t="shared" si="9"/>
        <v>-0.35399728080197967</v>
      </c>
    </row>
    <row r="79" spans="1:15" x14ac:dyDescent="0.25">
      <c r="A79" s="6">
        <v>39804</v>
      </c>
      <c r="B79" s="3">
        <v>872.79998799999998</v>
      </c>
      <c r="C79" s="2">
        <f t="shared" si="8"/>
        <v>-0.34978301701450182</v>
      </c>
      <c r="D79" s="4">
        <v>39811</v>
      </c>
      <c r="E79" s="3">
        <v>8859.5595699999994</v>
      </c>
      <c r="F79" s="2">
        <f t="shared" si="5"/>
        <v>-0.47957167313112681</v>
      </c>
      <c r="G79" s="4">
        <v>39804</v>
      </c>
      <c r="H79" s="3">
        <v>9068.5</v>
      </c>
      <c r="I79" s="2">
        <f t="shared" si="6"/>
        <v>-0.34731635288432799</v>
      </c>
      <c r="J79" s="4">
        <v>39804</v>
      </c>
      <c r="K79" s="3">
        <v>2.137</v>
      </c>
      <c r="L79" s="2">
        <f t="shared" si="7"/>
        <v>-0.48595744680851066</v>
      </c>
      <c r="M79" s="4">
        <v>39804</v>
      </c>
      <c r="N79" s="3">
        <v>8515.5498050000006</v>
      </c>
      <c r="O79" s="2">
        <f t="shared" si="9"/>
        <v>-0.31461447369312501</v>
      </c>
    </row>
    <row r="80" spans="1:15" x14ac:dyDescent="0.25">
      <c r="A80" s="6">
        <v>39811</v>
      </c>
      <c r="B80" s="3">
        <v>931.79998799999998</v>
      </c>
      <c r="C80" s="2">
        <f t="shared" si="8"/>
        <v>-0.37870714461102706</v>
      </c>
      <c r="D80" s="4">
        <v>39818</v>
      </c>
      <c r="E80" s="3">
        <v>8836.7998050000006</v>
      </c>
      <c r="F80" s="2">
        <f t="shared" si="5"/>
        <v>-0.51529926077494392</v>
      </c>
      <c r="G80" s="4">
        <v>39811</v>
      </c>
      <c r="H80" s="3">
        <v>9486.2998050000006</v>
      </c>
      <c r="I80" s="2">
        <f t="shared" si="6"/>
        <v>-0.35473327743152333</v>
      </c>
      <c r="J80" s="4">
        <v>39811</v>
      </c>
      <c r="K80" s="3">
        <v>2.4159999999999999</v>
      </c>
      <c r="L80" s="2">
        <f t="shared" si="7"/>
        <v>-0.4878723404255319</v>
      </c>
      <c r="M80" s="4">
        <v>39811</v>
      </c>
      <c r="N80" s="3">
        <v>9034.6904300000006</v>
      </c>
      <c r="O80" s="2">
        <f t="shared" si="9"/>
        <v>-0.34765298911661008</v>
      </c>
    </row>
    <row r="81" spans="1:15" x14ac:dyDescent="0.25">
      <c r="A81" s="6">
        <v>39818</v>
      </c>
      <c r="B81" s="3">
        <v>890.34997599999997</v>
      </c>
      <c r="C81" s="2">
        <f t="shared" si="8"/>
        <v>-0.40677992547414926</v>
      </c>
      <c r="D81" s="4">
        <v>39826</v>
      </c>
      <c r="E81" s="3">
        <v>8230.1503909999992</v>
      </c>
      <c r="F81" s="2">
        <f t="shared" si="5"/>
        <v>-0.54385664633927511</v>
      </c>
      <c r="G81" s="4">
        <v>39818</v>
      </c>
      <c r="H81" s="3">
        <v>9378.5</v>
      </c>
      <c r="I81" s="2">
        <f t="shared" si="6"/>
        <v>-0.40691332058290369</v>
      </c>
      <c r="J81" s="4">
        <v>39818</v>
      </c>
      <c r="K81" s="3">
        <v>2.407</v>
      </c>
      <c r="L81" s="2">
        <f t="shared" si="7"/>
        <v>-0.50978723404255322</v>
      </c>
      <c r="M81" s="4">
        <v>39818</v>
      </c>
      <c r="N81" s="3">
        <v>8599.1796880000002</v>
      </c>
      <c r="O81" s="2">
        <f t="shared" si="9"/>
        <v>-0.37177392130603748</v>
      </c>
    </row>
    <row r="82" spans="1:15" x14ac:dyDescent="0.25">
      <c r="A82" s="6">
        <v>39825</v>
      </c>
      <c r="B82" s="3">
        <v>850.11999500000002</v>
      </c>
      <c r="C82" s="2">
        <f t="shared" si="8"/>
        <v>-0.41945907516218056</v>
      </c>
      <c r="D82" s="4">
        <v>39832</v>
      </c>
      <c r="E82" s="3">
        <v>7745.25</v>
      </c>
      <c r="F82" s="2">
        <f t="shared" si="5"/>
        <v>-0.52920400408204216</v>
      </c>
      <c r="G82" s="4">
        <v>39825</v>
      </c>
      <c r="H82" s="3">
        <v>8620.0996090000008</v>
      </c>
      <c r="I82" s="2">
        <f t="shared" si="6"/>
        <v>-0.43768878345357626</v>
      </c>
      <c r="J82" s="4">
        <v>39825</v>
      </c>
      <c r="K82" s="3">
        <v>2.3039999999999998</v>
      </c>
      <c r="L82" s="2">
        <f t="shared" si="7"/>
        <v>-0.44212765957446815</v>
      </c>
      <c r="M82" s="4">
        <v>39825</v>
      </c>
      <c r="N82" s="3">
        <v>8281.2197269999997</v>
      </c>
      <c r="O82" s="2">
        <f t="shared" si="9"/>
        <v>-0.38722385728571035</v>
      </c>
    </row>
    <row r="83" spans="1:15" x14ac:dyDescent="0.25">
      <c r="A83" s="6">
        <v>39833</v>
      </c>
      <c r="B83" s="3">
        <v>831.95001200000002</v>
      </c>
      <c r="C83" s="2">
        <f t="shared" si="8"/>
        <v>-0.42369477132988742</v>
      </c>
      <c r="D83" s="4">
        <v>39839</v>
      </c>
      <c r="E83" s="3">
        <v>7994.0498049999997</v>
      </c>
      <c r="F83" s="2">
        <f t="shared" si="5"/>
        <v>-0.52434116569354683</v>
      </c>
      <c r="G83" s="4">
        <v>39832</v>
      </c>
      <c r="H83" s="3">
        <v>8172.7998049999997</v>
      </c>
      <c r="I83" s="2">
        <f t="shared" si="6"/>
        <v>-0.41858909583708021</v>
      </c>
      <c r="J83" s="4">
        <v>39833</v>
      </c>
      <c r="K83" s="3">
        <v>2.6219999999999999</v>
      </c>
      <c r="L83" s="2">
        <f t="shared" si="7"/>
        <v>-0.39489361702127662</v>
      </c>
      <c r="M83" s="4">
        <v>39833</v>
      </c>
      <c r="N83" s="3">
        <v>8077.5600590000004</v>
      </c>
      <c r="O83" s="2">
        <f t="shared" si="9"/>
        <v>-0.39304245224594747</v>
      </c>
    </row>
    <row r="84" spans="1:15" x14ac:dyDescent="0.25">
      <c r="A84" s="6">
        <v>39839</v>
      </c>
      <c r="B84" s="3">
        <v>825.88000499999998</v>
      </c>
      <c r="C84" s="2">
        <f t="shared" si="8"/>
        <v>-0.39388445686908924</v>
      </c>
      <c r="D84" s="4">
        <v>39846</v>
      </c>
      <c r="E84" s="3">
        <v>8076.6201170000004</v>
      </c>
      <c r="F84" s="2">
        <f t="shared" si="5"/>
        <v>-0.54184544581954164</v>
      </c>
      <c r="G84" s="4">
        <v>39839</v>
      </c>
      <c r="H84" s="3">
        <v>8450.4003909999992</v>
      </c>
      <c r="I84" s="2">
        <f t="shared" si="6"/>
        <v>-0.4121010086732555</v>
      </c>
      <c r="J84" s="4">
        <v>39839</v>
      </c>
      <c r="K84" s="3">
        <v>2.8439999999999999</v>
      </c>
      <c r="L84" s="2">
        <f t="shared" si="7"/>
        <v>-0.36617021276595746</v>
      </c>
      <c r="M84" s="4">
        <v>39839</v>
      </c>
      <c r="N84" s="3">
        <v>8000.8598629999997</v>
      </c>
      <c r="O84" s="2">
        <f t="shared" si="9"/>
        <v>-0.37182170520021862</v>
      </c>
    </row>
    <row r="85" spans="1:15" x14ac:dyDescent="0.25">
      <c r="A85" s="6">
        <v>39846</v>
      </c>
      <c r="B85" s="3">
        <v>868.59997599999997</v>
      </c>
      <c r="C85" s="2">
        <f t="shared" si="8"/>
        <v>-0.42302486081638813</v>
      </c>
      <c r="D85" s="4">
        <v>39853</v>
      </c>
      <c r="E85" s="3">
        <v>7779.3999020000001</v>
      </c>
      <c r="F85" s="2">
        <f t="shared" si="5"/>
        <v>-0.56322489372795526</v>
      </c>
      <c r="G85" s="4">
        <v>39846</v>
      </c>
      <c r="H85" s="3">
        <v>8544.7001949999994</v>
      </c>
      <c r="I85" s="2">
        <f t="shared" si="6"/>
        <v>-0.43131075381033812</v>
      </c>
      <c r="J85" s="4">
        <v>39846</v>
      </c>
      <c r="K85" s="3">
        <v>2.9790000000000001</v>
      </c>
      <c r="L85" s="2">
        <f t="shared" si="7"/>
        <v>-0.38680851063829785</v>
      </c>
      <c r="M85" s="4">
        <v>39846</v>
      </c>
      <c r="N85" s="3">
        <v>8280.5898440000001</v>
      </c>
      <c r="O85" s="2">
        <f t="shared" si="9"/>
        <v>-0.40445579865929104</v>
      </c>
    </row>
    <row r="86" spans="1:15" x14ac:dyDescent="0.25">
      <c r="A86" s="6">
        <v>39853</v>
      </c>
      <c r="B86" s="3">
        <v>826.84002699999996</v>
      </c>
      <c r="C86" s="2">
        <f t="shared" si="8"/>
        <v>-0.46265337369227449</v>
      </c>
      <c r="D86" s="4">
        <v>39860</v>
      </c>
      <c r="E86" s="3">
        <v>7416.3798829999996</v>
      </c>
      <c r="F86" s="2">
        <f t="shared" si="5"/>
        <v>-0.55427075367047907</v>
      </c>
      <c r="G86" s="4">
        <v>39853</v>
      </c>
      <c r="H86" s="3">
        <v>8265.5</v>
      </c>
      <c r="I86" s="2">
        <f t="shared" si="6"/>
        <v>-0.47685129658710795</v>
      </c>
      <c r="J86" s="4">
        <v>39853</v>
      </c>
      <c r="K86" s="3">
        <v>2.8820000000000001</v>
      </c>
      <c r="L86" s="2">
        <f t="shared" si="7"/>
        <v>-0.41021276595744688</v>
      </c>
      <c r="M86" s="4">
        <v>39853</v>
      </c>
      <c r="N86" s="3">
        <v>7850.4101559999999</v>
      </c>
      <c r="O86" s="2">
        <f t="shared" si="9"/>
        <v>-0.44122893914222489</v>
      </c>
    </row>
    <row r="87" spans="1:15" x14ac:dyDescent="0.25">
      <c r="A87" s="6">
        <v>39861</v>
      </c>
      <c r="B87" s="3">
        <v>770.04998799999998</v>
      </c>
      <c r="C87" s="2">
        <f t="shared" si="8"/>
        <v>-0.48704869528430561</v>
      </c>
      <c r="D87" s="4">
        <v>39867</v>
      </c>
      <c r="E87" s="3">
        <v>7568.419922</v>
      </c>
      <c r="F87" s="2">
        <f t="shared" si="5"/>
        <v>-0.57755244377576009</v>
      </c>
      <c r="G87" s="4">
        <v>39860</v>
      </c>
      <c r="H87" s="3">
        <v>7603.6000979999999</v>
      </c>
      <c r="I87" s="2">
        <f t="shared" si="6"/>
        <v>-0.475661022254522</v>
      </c>
      <c r="J87" s="4">
        <v>39861</v>
      </c>
      <c r="K87" s="3">
        <v>2.7719999999999998</v>
      </c>
      <c r="L87" s="2">
        <f t="shared" si="7"/>
        <v>-0.35297872340425535</v>
      </c>
      <c r="M87" s="4">
        <v>39861</v>
      </c>
      <c r="N87" s="3">
        <v>7365.669922</v>
      </c>
      <c r="O87" s="2">
        <f t="shared" si="9"/>
        <v>-0.46419524238790449</v>
      </c>
    </row>
    <row r="88" spans="1:15" x14ac:dyDescent="0.25">
      <c r="A88" s="6">
        <v>39867</v>
      </c>
      <c r="B88" s="3">
        <v>735.09002699999996</v>
      </c>
      <c r="C88" s="2">
        <f t="shared" si="8"/>
        <v>-0.52313233439994988</v>
      </c>
      <c r="D88" s="4">
        <v>39874</v>
      </c>
      <c r="E88" s="3">
        <v>7173.1000979999999</v>
      </c>
      <c r="F88" s="2">
        <f t="shared" si="5"/>
        <v>-0.55422011349843714</v>
      </c>
      <c r="G88" s="4">
        <v>39867</v>
      </c>
      <c r="H88" s="3">
        <v>7620.8999020000001</v>
      </c>
      <c r="I88" s="2">
        <f t="shared" si="6"/>
        <v>-0.52272211285929226</v>
      </c>
      <c r="J88" s="4">
        <v>39867</v>
      </c>
      <c r="K88" s="3">
        <v>3.0409999999999999</v>
      </c>
      <c r="L88" s="2">
        <f t="shared" si="7"/>
        <v>-0.39829787234042557</v>
      </c>
      <c r="M88" s="4">
        <v>39867</v>
      </c>
      <c r="N88" s="3">
        <v>7062.9301759999998</v>
      </c>
      <c r="O88" s="2">
        <f t="shared" si="9"/>
        <v>-0.49727013288862232</v>
      </c>
    </row>
    <row r="89" spans="1:15" x14ac:dyDescent="0.25">
      <c r="A89" s="6">
        <v>39874</v>
      </c>
      <c r="B89" s="3">
        <v>683.38000499999998</v>
      </c>
      <c r="C89" s="2">
        <f t="shared" si="8"/>
        <v>-0.47207377440417519</v>
      </c>
      <c r="D89" s="4">
        <v>39881</v>
      </c>
      <c r="E89" s="3">
        <v>7569.2797849999997</v>
      </c>
      <c r="F89" s="2">
        <f t="shared" si="5"/>
        <v>-0.53203617382726409</v>
      </c>
      <c r="G89" s="4">
        <v>39874</v>
      </c>
      <c r="H89" s="3">
        <v>6936.8999020000001</v>
      </c>
      <c r="I89" s="2">
        <f t="shared" si="6"/>
        <v>-0.48894684266491228</v>
      </c>
      <c r="J89" s="4">
        <v>39874</v>
      </c>
      <c r="K89" s="3">
        <v>2.8279999999999998</v>
      </c>
      <c r="L89" s="2">
        <f t="shared" si="7"/>
        <v>-0.38617021276595753</v>
      </c>
      <c r="M89" s="4">
        <v>39874</v>
      </c>
      <c r="N89" s="3">
        <v>6626.9399409999996</v>
      </c>
      <c r="O89" s="2">
        <f t="shared" si="9"/>
        <v>-0.45197775629567111</v>
      </c>
    </row>
    <row r="90" spans="1:15" x14ac:dyDescent="0.25">
      <c r="A90" s="6">
        <v>39881</v>
      </c>
      <c r="B90" s="3">
        <v>756.54998799999998</v>
      </c>
      <c r="C90" s="2">
        <f t="shared" si="8"/>
        <v>-0.4637070699351617</v>
      </c>
      <c r="D90" s="4">
        <v>39888</v>
      </c>
      <c r="E90" s="3">
        <v>7945.9599609999996</v>
      </c>
      <c r="F90" s="2">
        <f t="shared" si="5"/>
        <v>-0.49192925945536581</v>
      </c>
      <c r="G90" s="4">
        <v>39881</v>
      </c>
      <c r="H90" s="3">
        <v>7427.7998049999997</v>
      </c>
      <c r="I90" s="2">
        <f t="shared" si="6"/>
        <v>-0.46953068923570346</v>
      </c>
      <c r="J90" s="4">
        <v>39881</v>
      </c>
      <c r="K90" s="3">
        <v>2.8849999999999998</v>
      </c>
      <c r="L90" s="2">
        <f t="shared" si="7"/>
        <v>-0.44148936170212766</v>
      </c>
      <c r="M90" s="4">
        <v>39881</v>
      </c>
      <c r="N90" s="3">
        <v>7223.9799800000001</v>
      </c>
      <c r="O90" s="2">
        <f t="shared" si="9"/>
        <v>-0.44785089589712423</v>
      </c>
    </row>
    <row r="91" spans="1:15" x14ac:dyDescent="0.25">
      <c r="A91" s="6">
        <v>39888</v>
      </c>
      <c r="B91" s="3">
        <v>768.53997800000002</v>
      </c>
      <c r="C91" s="2">
        <f t="shared" si="8"/>
        <v>-0.43063097957710922</v>
      </c>
      <c r="D91" s="4">
        <v>39895</v>
      </c>
      <c r="E91" s="3">
        <v>8626.9697269999997</v>
      </c>
      <c r="F91" s="2">
        <f t="shared" si="5"/>
        <v>-0.48469303244744921</v>
      </c>
      <c r="G91" s="4">
        <v>39888</v>
      </c>
      <c r="H91" s="3">
        <v>7710</v>
      </c>
      <c r="I91" s="2">
        <f t="shared" si="6"/>
        <v>-0.45455920103747993</v>
      </c>
      <c r="J91" s="4">
        <v>39888</v>
      </c>
      <c r="K91" s="3">
        <v>2.625</v>
      </c>
      <c r="L91" s="2">
        <f t="shared" si="7"/>
        <v>-0.4125531914893617</v>
      </c>
      <c r="M91" s="4">
        <v>39888</v>
      </c>
      <c r="N91" s="3">
        <v>7278.3798829999996</v>
      </c>
      <c r="O91" s="2">
        <f t="shared" si="9"/>
        <v>-0.41008699923049302</v>
      </c>
    </row>
    <row r="92" spans="1:15" x14ac:dyDescent="0.25">
      <c r="A92" s="6">
        <v>39895</v>
      </c>
      <c r="B92" s="3">
        <v>815.94000200000005</v>
      </c>
      <c r="C92" s="2">
        <f t="shared" si="8"/>
        <v>-0.41209721483138478</v>
      </c>
      <c r="D92" s="4">
        <v>39902</v>
      </c>
      <c r="E92" s="3">
        <v>8749.8398440000001</v>
      </c>
      <c r="F92" s="2">
        <f t="shared" si="5"/>
        <v>-0.47207393453457269</v>
      </c>
      <c r="G92" s="4">
        <v>39895</v>
      </c>
      <c r="H92" s="3">
        <v>7927.6000979999999</v>
      </c>
      <c r="I92" s="2">
        <f t="shared" si="6"/>
        <v>-0.42756785654456925</v>
      </c>
      <c r="J92" s="4">
        <v>39895</v>
      </c>
      <c r="K92" s="3">
        <v>2.7610000000000001</v>
      </c>
      <c r="L92" s="2">
        <f t="shared" si="7"/>
        <v>-0.38148936170212766</v>
      </c>
      <c r="M92" s="4">
        <v>39895</v>
      </c>
      <c r="N92" s="3">
        <v>7776.1801759999998</v>
      </c>
      <c r="O92" s="2">
        <f t="shared" si="9"/>
        <v>-0.39177329012892415</v>
      </c>
    </row>
    <row r="93" spans="1:15" x14ac:dyDescent="0.25">
      <c r="A93" s="6">
        <v>39902</v>
      </c>
      <c r="B93" s="3">
        <v>842.5</v>
      </c>
      <c r="C93" s="2">
        <f t="shared" si="8"/>
        <v>-0.40228604333742024</v>
      </c>
      <c r="D93" s="4">
        <v>39909</v>
      </c>
      <c r="E93" s="3">
        <v>8964.1103519999997</v>
      </c>
      <c r="F93" s="2">
        <f t="shared" si="5"/>
        <v>-0.4754031890797093</v>
      </c>
      <c r="G93" s="4">
        <v>39902</v>
      </c>
      <c r="H93" s="3">
        <v>8319.9003909999992</v>
      </c>
      <c r="I93" s="2">
        <f t="shared" si="6"/>
        <v>-0.40108571298319934</v>
      </c>
      <c r="J93" s="4">
        <v>39902</v>
      </c>
      <c r="K93" s="3">
        <v>2.907</v>
      </c>
      <c r="L93" s="2">
        <f t="shared" si="7"/>
        <v>-0.37744680851063828</v>
      </c>
      <c r="M93" s="4">
        <v>39902</v>
      </c>
      <c r="N93" s="3">
        <v>8017.5898440000001</v>
      </c>
      <c r="O93" s="2">
        <f t="shared" si="9"/>
        <v>-0.38678235647656167</v>
      </c>
    </row>
    <row r="94" spans="1:15" x14ac:dyDescent="0.25">
      <c r="A94" s="6">
        <v>39909</v>
      </c>
      <c r="B94" s="3">
        <v>856.55999799999995</v>
      </c>
      <c r="C94" s="2">
        <f t="shared" si="8"/>
        <v>-0.39318664940894843</v>
      </c>
      <c r="D94" s="4">
        <v>39916</v>
      </c>
      <c r="E94" s="3">
        <v>8907.5800780000009</v>
      </c>
      <c r="F94" s="2">
        <f t="shared" si="5"/>
        <v>-0.4871576942020463</v>
      </c>
      <c r="G94" s="4">
        <v>39909</v>
      </c>
      <c r="H94" s="3">
        <v>8704.7998050000006</v>
      </c>
      <c r="I94" s="2">
        <f t="shared" si="6"/>
        <v>-0.37864909131066332</v>
      </c>
      <c r="J94" s="4">
        <v>39909</v>
      </c>
      <c r="K94" s="3">
        <v>2.9260000000000002</v>
      </c>
      <c r="L94" s="2">
        <f t="shared" si="7"/>
        <v>-0.37659574468085105</v>
      </c>
      <c r="M94" s="4">
        <v>39909</v>
      </c>
      <c r="N94" s="3">
        <v>8083.3798829999996</v>
      </c>
      <c r="O94" s="2">
        <f t="shared" si="9"/>
        <v>-0.38314478085720616</v>
      </c>
    </row>
    <row r="95" spans="1:15" x14ac:dyDescent="0.25">
      <c r="A95" s="6">
        <v>39916</v>
      </c>
      <c r="B95" s="3">
        <v>869.59997599999997</v>
      </c>
      <c r="C95" s="2">
        <f t="shared" si="8"/>
        <v>-0.39553825775839307</v>
      </c>
      <c r="D95" s="4">
        <v>39923</v>
      </c>
      <c r="E95" s="3">
        <v>8707.9902340000008</v>
      </c>
      <c r="F95" s="2">
        <f t="shared" si="5"/>
        <v>-0.4712930231791157</v>
      </c>
      <c r="G95" s="4">
        <v>39917</v>
      </c>
      <c r="H95" s="3">
        <v>9030.9003909999992</v>
      </c>
      <c r="I95" s="2">
        <f t="shared" si="6"/>
        <v>-0.38846725922480729</v>
      </c>
      <c r="J95" s="4">
        <v>39916</v>
      </c>
      <c r="K95" s="3">
        <v>2.93</v>
      </c>
      <c r="L95" s="2">
        <f t="shared" si="7"/>
        <v>-0.36255319148936171</v>
      </c>
      <c r="M95" s="4">
        <v>39916</v>
      </c>
      <c r="N95" s="3">
        <v>8131.330078</v>
      </c>
      <c r="O95" s="2">
        <f t="shared" si="9"/>
        <v>-0.38732020295830027</v>
      </c>
    </row>
    <row r="96" spans="1:15" x14ac:dyDescent="0.25">
      <c r="A96" s="6">
        <v>39923</v>
      </c>
      <c r="B96" s="3">
        <v>866.22997999999995</v>
      </c>
      <c r="C96" s="2">
        <f t="shared" si="8"/>
        <v>-0.3876599836211051</v>
      </c>
      <c r="D96" s="4">
        <v>39930</v>
      </c>
      <c r="E96" s="3">
        <v>8977.3701170000004</v>
      </c>
      <c r="F96" s="2">
        <f t="shared" si="5"/>
        <v>-0.44446948177390305</v>
      </c>
      <c r="G96" s="4">
        <v>39923</v>
      </c>
      <c r="H96" s="3">
        <v>8888.2001949999994</v>
      </c>
      <c r="I96" s="2">
        <f t="shared" si="6"/>
        <v>-0.37816061858784539</v>
      </c>
      <c r="J96" s="4">
        <v>39923</v>
      </c>
      <c r="K96" s="3">
        <v>2.996</v>
      </c>
      <c r="L96" s="2">
        <f t="shared" si="7"/>
        <v>-0.32468085106382982</v>
      </c>
      <c r="M96" s="4">
        <v>39923</v>
      </c>
      <c r="N96" s="3">
        <v>8076.2900390000004</v>
      </c>
      <c r="O96" s="2">
        <f t="shared" si="9"/>
        <v>-0.37699392130495113</v>
      </c>
    </row>
    <row r="97" spans="1:15" x14ac:dyDescent="0.25">
      <c r="A97" s="6">
        <v>39930</v>
      </c>
      <c r="B97" s="3">
        <v>877.52002000000005</v>
      </c>
      <c r="C97" s="2">
        <f t="shared" si="8"/>
        <v>-0.35157638776952332</v>
      </c>
      <c r="D97" s="4">
        <v>39940</v>
      </c>
      <c r="E97" s="3">
        <v>9432.8300780000009</v>
      </c>
      <c r="F97" s="2">
        <f t="shared" si="5"/>
        <v>-0.45435239913463654</v>
      </c>
      <c r="G97" s="4">
        <v>39930</v>
      </c>
      <c r="H97" s="3">
        <v>9038</v>
      </c>
      <c r="I97" s="2">
        <f t="shared" si="6"/>
        <v>-0.35269674251775895</v>
      </c>
      <c r="J97" s="4">
        <v>39930</v>
      </c>
      <c r="K97" s="3">
        <v>3.1739999999999999</v>
      </c>
      <c r="L97" s="2">
        <f t="shared" si="7"/>
        <v>-0.29936170212765956</v>
      </c>
      <c r="M97" s="4">
        <v>39930</v>
      </c>
      <c r="N97" s="3">
        <v>8212.4101559999999</v>
      </c>
      <c r="O97" s="2">
        <f t="shared" si="9"/>
        <v>-0.34951381935363274</v>
      </c>
    </row>
    <row r="98" spans="1:15" x14ac:dyDescent="0.25">
      <c r="A98" s="6">
        <v>39937</v>
      </c>
      <c r="B98" s="3">
        <v>929.22997999999995</v>
      </c>
      <c r="C98" s="2">
        <f t="shared" si="8"/>
        <v>-0.38391974610186241</v>
      </c>
      <c r="D98" s="4">
        <v>39944</v>
      </c>
      <c r="E98" s="3">
        <v>9265.0195309999999</v>
      </c>
      <c r="F98" s="2">
        <f t="shared" si="5"/>
        <v>-0.4566616032413402</v>
      </c>
      <c r="G98" s="4">
        <v>39937</v>
      </c>
      <c r="H98" s="3">
        <v>9408.0996090000008</v>
      </c>
      <c r="I98" s="2">
        <f t="shared" si="6"/>
        <v>-0.38224752967382453</v>
      </c>
      <c r="J98" s="4">
        <v>39937</v>
      </c>
      <c r="K98" s="3">
        <v>3.2930000000000001</v>
      </c>
      <c r="L98" s="2">
        <f t="shared" si="7"/>
        <v>-0.335531914893617</v>
      </c>
      <c r="M98" s="4">
        <v>39937</v>
      </c>
      <c r="N98" s="3">
        <v>8574.6503909999992</v>
      </c>
      <c r="O98" s="2">
        <f t="shared" si="9"/>
        <v>-0.3727282654679322</v>
      </c>
    </row>
    <row r="99" spans="1:15" x14ac:dyDescent="0.25">
      <c r="A99" s="6">
        <v>39944</v>
      </c>
      <c r="B99" s="3">
        <v>882.88000499999998</v>
      </c>
      <c r="C99" s="2">
        <f t="shared" si="8"/>
        <v>-0.38104478285511967</v>
      </c>
      <c r="D99" s="4">
        <v>39951</v>
      </c>
      <c r="E99" s="3">
        <v>9225.8095699999994</v>
      </c>
      <c r="F99" s="2">
        <f t="shared" si="5"/>
        <v>-0.43918852390377938</v>
      </c>
      <c r="G99" s="4">
        <v>39944</v>
      </c>
      <c r="H99" s="3">
        <v>8978.5996090000008</v>
      </c>
      <c r="I99" s="2">
        <f t="shared" si="6"/>
        <v>-0.35954261753994415</v>
      </c>
      <c r="J99" s="4">
        <v>39944</v>
      </c>
      <c r="K99" s="3">
        <v>3.1230000000000002</v>
      </c>
      <c r="L99" s="2">
        <f t="shared" si="7"/>
        <v>-0.26638297872340427</v>
      </c>
      <c r="M99" s="4">
        <v>39944</v>
      </c>
      <c r="N99" s="3">
        <v>8268.6396480000003</v>
      </c>
      <c r="O99" s="2">
        <f t="shared" si="9"/>
        <v>-0.37206973693168299</v>
      </c>
    </row>
    <row r="100" spans="1:15" x14ac:dyDescent="0.25">
      <c r="A100" s="6">
        <v>39951</v>
      </c>
      <c r="B100" s="3">
        <v>887</v>
      </c>
      <c r="C100" s="2">
        <f t="shared" si="8"/>
        <v>-0.35861724061908279</v>
      </c>
      <c r="D100" s="4">
        <v>39958</v>
      </c>
      <c r="E100" s="3">
        <v>9522.5</v>
      </c>
      <c r="F100" s="2">
        <f t="shared" si="5"/>
        <v>-0.42472964290966048</v>
      </c>
      <c r="G100" s="4">
        <v>39951</v>
      </c>
      <c r="H100" s="3">
        <v>9308.5996090000008</v>
      </c>
      <c r="I100" s="2">
        <f t="shared" si="6"/>
        <v>-0.35158212425493585</v>
      </c>
      <c r="J100" s="4">
        <v>39951</v>
      </c>
      <c r="K100" s="3">
        <v>3.448</v>
      </c>
      <c r="L100" s="2">
        <f t="shared" si="7"/>
        <v>-0.26276595744680858</v>
      </c>
      <c r="M100" s="4">
        <v>39951</v>
      </c>
      <c r="N100" s="3">
        <v>8277.3203119999998</v>
      </c>
      <c r="O100" s="2">
        <f t="shared" si="9"/>
        <v>-0.35515187272529603</v>
      </c>
    </row>
    <row r="101" spans="1:15" x14ac:dyDescent="0.25">
      <c r="A101" s="6">
        <v>39959</v>
      </c>
      <c r="B101" s="3">
        <v>919.14001499999995</v>
      </c>
      <c r="C101" s="2">
        <f t="shared" si="8"/>
        <v>-0.34399816595544375</v>
      </c>
      <c r="D101" s="4">
        <v>39965</v>
      </c>
      <c r="E101" s="3">
        <v>9768.0097659999992</v>
      </c>
      <c r="F101" s="2">
        <f t="shared" si="5"/>
        <v>-0.40306806504397213</v>
      </c>
      <c r="G101" s="4">
        <v>39958</v>
      </c>
      <c r="H101" s="3">
        <v>9424.2998050000006</v>
      </c>
      <c r="I101" s="2">
        <f t="shared" si="6"/>
        <v>-0.34506648908361365</v>
      </c>
      <c r="J101" s="4">
        <v>39959</v>
      </c>
      <c r="K101" s="3">
        <v>3.4649999999999999</v>
      </c>
      <c r="L101" s="2">
        <f t="shared" si="7"/>
        <v>-0.17829787234042555</v>
      </c>
      <c r="M101" s="4">
        <v>39959</v>
      </c>
      <c r="N101" s="3">
        <v>8500.3300780000009</v>
      </c>
      <c r="O101" s="2">
        <f t="shared" si="9"/>
        <v>-0.3352154748975214</v>
      </c>
    </row>
    <row r="102" spans="1:15" x14ac:dyDescent="0.25">
      <c r="A102" s="6">
        <v>39965</v>
      </c>
      <c r="B102" s="3">
        <v>940.09002699999996</v>
      </c>
      <c r="C102" s="2">
        <f t="shared" si="8"/>
        <v>-0.33972758778841938</v>
      </c>
      <c r="D102" s="4">
        <v>39972</v>
      </c>
      <c r="E102" s="3">
        <v>10135.820312</v>
      </c>
      <c r="F102" s="2">
        <f t="shared" si="5"/>
        <v>-0.42365484013320931</v>
      </c>
      <c r="G102" s="4">
        <v>39965</v>
      </c>
      <c r="H102" s="3">
        <v>9519</v>
      </c>
      <c r="I102" s="2">
        <f t="shared" si="6"/>
        <v>-0.3316224020879141</v>
      </c>
      <c r="J102" s="4">
        <v>39965</v>
      </c>
      <c r="K102" s="3">
        <v>3.8620000000000001</v>
      </c>
      <c r="L102" s="2">
        <f t="shared" si="7"/>
        <v>-0.19404255319148944</v>
      </c>
      <c r="M102" s="4">
        <v>39965</v>
      </c>
      <c r="N102" s="3">
        <v>8763.1298829999996</v>
      </c>
      <c r="O102" s="2">
        <f t="shared" si="9"/>
        <v>-0.33247460634566328</v>
      </c>
    </row>
    <row r="103" spans="1:15" x14ac:dyDescent="0.25">
      <c r="A103" s="6">
        <v>39972</v>
      </c>
      <c r="B103" s="3">
        <v>946.21002199999998</v>
      </c>
      <c r="C103" s="2">
        <f t="shared" si="8"/>
        <v>-0.35715884745064963</v>
      </c>
      <c r="D103" s="4">
        <v>39979</v>
      </c>
      <c r="E103" s="3">
        <v>9786.2597659999992</v>
      </c>
      <c r="F103" s="2">
        <f t="shared" si="5"/>
        <v>-0.41828790039670161</v>
      </c>
      <c r="G103" s="4">
        <v>39972</v>
      </c>
      <c r="H103" s="3">
        <v>9714.4003909999992</v>
      </c>
      <c r="I103" s="2">
        <f t="shared" si="6"/>
        <v>-0.34080757108752935</v>
      </c>
      <c r="J103" s="4">
        <v>39972</v>
      </c>
      <c r="K103" s="3">
        <v>3.7879999999999998</v>
      </c>
      <c r="L103" s="2">
        <f t="shared" si="7"/>
        <v>-0.19382978723404257</v>
      </c>
      <c r="M103" s="4">
        <v>39972</v>
      </c>
      <c r="N103" s="3">
        <v>8799.2597659999992</v>
      </c>
      <c r="O103" s="2">
        <f t="shared" si="9"/>
        <v>-0.35216289840111087</v>
      </c>
    </row>
    <row r="104" spans="1:15" x14ac:dyDescent="0.25">
      <c r="A104" s="6">
        <v>39979</v>
      </c>
      <c r="B104" s="3">
        <v>921.22997999999995</v>
      </c>
      <c r="C104" s="2">
        <f t="shared" si="8"/>
        <v>-0.3587847081292494</v>
      </c>
      <c r="D104" s="4">
        <v>39986</v>
      </c>
      <c r="E104" s="3">
        <v>9877.3896480000003</v>
      </c>
      <c r="F104" s="2">
        <f t="shared" si="5"/>
        <v>-0.42189919862042441</v>
      </c>
      <c r="G104" s="4">
        <v>39979</v>
      </c>
      <c r="H104" s="3">
        <v>9580.9003909999992</v>
      </c>
      <c r="I104" s="2">
        <f t="shared" si="6"/>
        <v>-0.33351447809907075</v>
      </c>
      <c r="J104" s="4">
        <v>39979</v>
      </c>
      <c r="K104" s="3">
        <v>3.7890000000000001</v>
      </c>
      <c r="L104" s="2">
        <f t="shared" si="7"/>
        <v>-0.25404255319148944</v>
      </c>
      <c r="M104" s="4">
        <v>39979</v>
      </c>
      <c r="N104" s="3">
        <v>8539.7304690000001</v>
      </c>
      <c r="O104" s="2">
        <f t="shared" si="9"/>
        <v>-0.35985076911185704</v>
      </c>
    </row>
    <row r="105" spans="1:15" x14ac:dyDescent="0.25">
      <c r="A105" s="6">
        <v>39986</v>
      </c>
      <c r="B105" s="3">
        <v>918.90002400000003</v>
      </c>
      <c r="C105" s="2">
        <f t="shared" si="8"/>
        <v>-0.37447144844332025</v>
      </c>
      <c r="D105" s="4">
        <v>39993</v>
      </c>
      <c r="E105" s="3">
        <v>9816.0703119999998</v>
      </c>
      <c r="F105" s="2">
        <f t="shared" si="5"/>
        <v>-0.45304139051504955</v>
      </c>
      <c r="G105" s="4">
        <v>39986</v>
      </c>
      <c r="H105" s="3">
        <v>9686.9003909999992</v>
      </c>
      <c r="I105" s="2">
        <f t="shared" si="6"/>
        <v>-0.33207654064901132</v>
      </c>
      <c r="J105" s="4">
        <v>39986</v>
      </c>
      <c r="K105" s="3">
        <v>3.5059999999999998</v>
      </c>
      <c r="L105" s="2">
        <f t="shared" si="7"/>
        <v>-0.25638297872340426</v>
      </c>
      <c r="M105" s="4">
        <v>39986</v>
      </c>
      <c r="N105" s="3">
        <v>8438.3896480000003</v>
      </c>
      <c r="O105" s="2">
        <f t="shared" si="9"/>
        <v>-0.37181029638327018</v>
      </c>
    </row>
    <row r="106" spans="1:15" x14ac:dyDescent="0.25">
      <c r="A106" s="6">
        <v>39993</v>
      </c>
      <c r="B106" s="3">
        <v>896.419983</v>
      </c>
      <c r="C106" s="2">
        <f t="shared" si="8"/>
        <v>-0.38653652407739036</v>
      </c>
      <c r="D106" s="4">
        <v>40000</v>
      </c>
      <c r="E106" s="3">
        <v>9287.2802730000003</v>
      </c>
      <c r="F106" s="2">
        <f t="shared" si="5"/>
        <v>-0.44667855578161997</v>
      </c>
      <c r="G106" s="4">
        <v>39993</v>
      </c>
      <c r="H106" s="3">
        <v>9707.7998050000006</v>
      </c>
      <c r="I106" s="2">
        <f t="shared" si="6"/>
        <v>-0.35704502340145594</v>
      </c>
      <c r="J106" s="4">
        <v>39993</v>
      </c>
      <c r="K106" s="3">
        <v>3.4950000000000001</v>
      </c>
      <c r="L106" s="2">
        <f t="shared" si="7"/>
        <v>-0.29893617021276597</v>
      </c>
      <c r="M106" s="4">
        <v>39993</v>
      </c>
      <c r="N106" s="3">
        <v>8280.7402340000008</v>
      </c>
      <c r="O106" s="2">
        <f t="shared" si="9"/>
        <v>-0.38199244846984831</v>
      </c>
    </row>
    <row r="107" spans="1:15" x14ac:dyDescent="0.25">
      <c r="A107" s="6">
        <v>40000</v>
      </c>
      <c r="B107" s="3">
        <v>879.13000499999998</v>
      </c>
      <c r="C107" s="2">
        <f t="shared" si="8"/>
        <v>-0.343795817143767</v>
      </c>
      <c r="D107" s="4">
        <v>40007</v>
      </c>
      <c r="E107" s="3">
        <v>9395.3203119999998</v>
      </c>
      <c r="F107" s="2">
        <f t="shared" si="5"/>
        <v>-0.4143326169331128</v>
      </c>
      <c r="G107" s="4">
        <v>40000</v>
      </c>
      <c r="H107" s="3">
        <v>9344.9003909999992</v>
      </c>
      <c r="I107" s="2">
        <f t="shared" si="6"/>
        <v>-0.30908949686413884</v>
      </c>
      <c r="J107" s="4">
        <v>40000</v>
      </c>
      <c r="K107" s="3">
        <v>3.2949999999999999</v>
      </c>
      <c r="L107" s="2">
        <f t="shared" si="7"/>
        <v>-0.22319148936170219</v>
      </c>
      <c r="M107" s="4">
        <v>40000</v>
      </c>
      <c r="N107" s="3">
        <v>8146.5200199999999</v>
      </c>
      <c r="O107" s="2">
        <f t="shared" si="9"/>
        <v>-0.33667121634719777</v>
      </c>
    </row>
    <row r="108" spans="1:15" x14ac:dyDescent="0.25">
      <c r="A108" s="6">
        <v>40007</v>
      </c>
      <c r="B108" s="3">
        <v>940.38000499999998</v>
      </c>
      <c r="C108" s="2">
        <f t="shared" si="8"/>
        <v>-0.31666505960445585</v>
      </c>
      <c r="D108" s="4">
        <v>40015</v>
      </c>
      <c r="E108" s="3">
        <v>9944.5498050000006</v>
      </c>
      <c r="F108" s="2">
        <f t="shared" si="5"/>
        <v>-0.39005206996892455</v>
      </c>
      <c r="G108" s="4">
        <v>40007</v>
      </c>
      <c r="H108" s="3">
        <v>10041.900390999999</v>
      </c>
      <c r="I108" s="2">
        <f t="shared" si="6"/>
        <v>-0.28179549417241428</v>
      </c>
      <c r="J108" s="4">
        <v>40007</v>
      </c>
      <c r="K108" s="3">
        <v>3.6509999999999998</v>
      </c>
      <c r="L108" s="2">
        <f t="shared" si="7"/>
        <v>-0.2191489361702128</v>
      </c>
      <c r="M108" s="4">
        <v>40007</v>
      </c>
      <c r="N108" s="3">
        <v>8743.9404300000006</v>
      </c>
      <c r="O108" s="2">
        <f t="shared" si="9"/>
        <v>-0.31017279541531106</v>
      </c>
    </row>
    <row r="109" spans="1:15" x14ac:dyDescent="0.25">
      <c r="A109" s="6">
        <v>40014</v>
      </c>
      <c r="B109" s="3">
        <v>979.26000999999997</v>
      </c>
      <c r="C109" s="2">
        <f t="shared" si="8"/>
        <v>-0.31092910321632233</v>
      </c>
      <c r="D109" s="4">
        <v>40021</v>
      </c>
      <c r="E109" s="3">
        <v>10356.830078000001</v>
      </c>
      <c r="F109" s="2">
        <f t="shared" si="5"/>
        <v>-0.38679763983616616</v>
      </c>
      <c r="G109" s="4">
        <v>40014</v>
      </c>
      <c r="H109" s="3">
        <v>10438.599609000001</v>
      </c>
      <c r="I109" s="2">
        <f t="shared" si="6"/>
        <v>-0.25313914294889556</v>
      </c>
      <c r="J109" s="4">
        <v>40014</v>
      </c>
      <c r="K109" s="3">
        <v>3.67</v>
      </c>
      <c r="L109" s="2">
        <f t="shared" si="7"/>
        <v>-0.25510638297872346</v>
      </c>
      <c r="M109" s="4">
        <v>40014</v>
      </c>
      <c r="N109" s="3">
        <v>9093.2402340000008</v>
      </c>
      <c r="O109" s="2">
        <f t="shared" si="9"/>
        <v>-0.30422751760105382</v>
      </c>
    </row>
    <row r="110" spans="1:15" x14ac:dyDescent="0.25">
      <c r="A110" s="6">
        <v>40021</v>
      </c>
      <c r="B110" s="3">
        <v>987.47997999999995</v>
      </c>
      <c r="C110" s="2">
        <f t="shared" si="8"/>
        <v>-0.29487953163308417</v>
      </c>
      <c r="D110" s="4">
        <v>40028</v>
      </c>
      <c r="E110" s="3">
        <v>10412.089844</v>
      </c>
      <c r="F110" s="2">
        <f t="shared" si="5"/>
        <v>-0.3758882306408971</v>
      </c>
      <c r="G110" s="4">
        <v>40021</v>
      </c>
      <c r="H110" s="3">
        <v>10855.099609000001</v>
      </c>
      <c r="I110" s="2">
        <f t="shared" si="6"/>
        <v>-0.24677488727500482</v>
      </c>
      <c r="J110" s="4">
        <v>40021</v>
      </c>
      <c r="K110" s="3">
        <v>3.5009999999999999</v>
      </c>
      <c r="L110" s="2">
        <f t="shared" si="7"/>
        <v>-0.18000000000000002</v>
      </c>
      <c r="M110" s="4">
        <v>40021</v>
      </c>
      <c r="N110" s="3">
        <v>9171.6103519999997</v>
      </c>
      <c r="O110" s="2">
        <f t="shared" si="9"/>
        <v>-0.28917203947600628</v>
      </c>
    </row>
    <row r="111" spans="1:15" x14ac:dyDescent="0.25">
      <c r="A111" s="6">
        <v>40028</v>
      </c>
      <c r="B111" s="3">
        <v>1010.47998</v>
      </c>
      <c r="C111" s="2">
        <f t="shared" si="8"/>
        <v>-0.29933848850643319</v>
      </c>
      <c r="D111" s="4">
        <v>40035</v>
      </c>
      <c r="E111" s="3">
        <v>10597.330078000001</v>
      </c>
      <c r="F111" s="2">
        <f t="shared" si="5"/>
        <v>-0.39703857559185474</v>
      </c>
      <c r="G111" s="4">
        <v>40028</v>
      </c>
      <c r="H111" s="3">
        <v>10947.599609000001</v>
      </c>
      <c r="I111" s="2">
        <f t="shared" si="6"/>
        <v>-0.24991911978796569</v>
      </c>
      <c r="J111" s="4">
        <v>40028</v>
      </c>
      <c r="K111" s="3">
        <v>3.8540000000000001</v>
      </c>
      <c r="L111" s="2">
        <f t="shared" si="7"/>
        <v>-0.24297872340425539</v>
      </c>
      <c r="M111" s="4">
        <v>40028</v>
      </c>
      <c r="N111" s="3">
        <v>9370.0703119999998</v>
      </c>
      <c r="O111" s="2">
        <f t="shared" si="9"/>
        <v>-0.29286421461785</v>
      </c>
    </row>
    <row r="112" spans="1:15" x14ac:dyDescent="0.25">
      <c r="A112" s="6">
        <v>40035</v>
      </c>
      <c r="B112" s="3">
        <v>1004.090027</v>
      </c>
      <c r="C112" s="2">
        <f t="shared" si="8"/>
        <v>-0.28395882743669432</v>
      </c>
      <c r="D112" s="4">
        <v>40042</v>
      </c>
      <c r="E112" s="3">
        <v>10238.200194999999</v>
      </c>
      <c r="F112" s="2">
        <f t="shared" si="5"/>
        <v>-0.37960972377016516</v>
      </c>
      <c r="G112" s="4">
        <v>40035</v>
      </c>
      <c r="H112" s="3">
        <v>10901.900390999999</v>
      </c>
      <c r="I112" s="2">
        <f t="shared" si="6"/>
        <v>-0.23209235052654814</v>
      </c>
      <c r="J112" s="4">
        <v>40035</v>
      </c>
      <c r="K112" s="3">
        <v>3.5579999999999998</v>
      </c>
      <c r="L112" s="2">
        <f t="shared" si="7"/>
        <v>-0.24340425531914894</v>
      </c>
      <c r="M112" s="4">
        <v>40035</v>
      </c>
      <c r="N112" s="3">
        <v>9321.4003909999992</v>
      </c>
      <c r="O112" s="2">
        <f t="shared" si="9"/>
        <v>-0.27886324147997776</v>
      </c>
    </row>
    <row r="113" spans="1:15" x14ac:dyDescent="0.25">
      <c r="A113" s="6">
        <v>40042</v>
      </c>
      <c r="B113" s="3">
        <v>1026.130005</v>
      </c>
      <c r="C113" s="2">
        <f t="shared" si="8"/>
        <v>-0.28200493235573459</v>
      </c>
      <c r="D113" s="4">
        <v>40049</v>
      </c>
      <c r="E113" s="3">
        <v>10534.139648</v>
      </c>
      <c r="F113" s="2">
        <f t="shared" si="5"/>
        <v>-0.40004742518664116</v>
      </c>
      <c r="G113" s="4">
        <v>40042</v>
      </c>
      <c r="H113" s="3">
        <v>11161</v>
      </c>
      <c r="I113" s="2">
        <f t="shared" si="6"/>
        <v>-0.21271059847936039</v>
      </c>
      <c r="J113" s="4">
        <v>40042</v>
      </c>
      <c r="K113" s="3">
        <v>3.556</v>
      </c>
      <c r="L113" s="2">
        <f t="shared" si="7"/>
        <v>-0.26574468085106384</v>
      </c>
      <c r="M113" s="4">
        <v>40042</v>
      </c>
      <c r="N113" s="3">
        <v>9505.9599610000005</v>
      </c>
      <c r="O113" s="2">
        <f t="shared" si="9"/>
        <v>-0.27596227845205173</v>
      </c>
    </row>
    <row r="114" spans="1:15" x14ac:dyDescent="0.25">
      <c r="A114" s="6">
        <v>40049</v>
      </c>
      <c r="B114" s="3">
        <v>1028.9300539999999</v>
      </c>
      <c r="C114" s="2">
        <f t="shared" si="8"/>
        <v>-0.2907484807655224</v>
      </c>
      <c r="D114" s="4">
        <v>40056</v>
      </c>
      <c r="E114" s="3">
        <v>10187.110352</v>
      </c>
      <c r="F114" s="2">
        <f t="shared" si="5"/>
        <v>-0.38489890597224097</v>
      </c>
      <c r="G114" s="4">
        <v>40049</v>
      </c>
      <c r="H114" s="3">
        <v>11442.700194999999</v>
      </c>
      <c r="I114" s="2">
        <f t="shared" si="6"/>
        <v>-0.22784720656861399</v>
      </c>
      <c r="J114" s="4">
        <v>40049</v>
      </c>
      <c r="K114" s="3">
        <v>3.4510000000000001</v>
      </c>
      <c r="L114" s="2">
        <f t="shared" si="7"/>
        <v>-0.26765957446808508</v>
      </c>
      <c r="M114" s="4">
        <v>40049</v>
      </c>
      <c r="N114" s="3">
        <v>9544.2001949999994</v>
      </c>
      <c r="O114" s="2">
        <f t="shared" si="9"/>
        <v>-0.28377075710058419</v>
      </c>
    </row>
    <row r="115" spans="1:15" x14ac:dyDescent="0.25">
      <c r="A115" s="6">
        <v>40056</v>
      </c>
      <c r="B115" s="3">
        <v>1016.400024</v>
      </c>
      <c r="C115" s="2">
        <f t="shared" si="8"/>
        <v>-0.27237524104354366</v>
      </c>
      <c r="D115" s="4">
        <v>40063</v>
      </c>
      <c r="E115" s="3">
        <v>10444.330078000001</v>
      </c>
      <c r="F115" s="2">
        <f t="shared" si="5"/>
        <v>-0.38924464508411161</v>
      </c>
      <c r="G115" s="4">
        <v>40056</v>
      </c>
      <c r="H115" s="3">
        <v>11222.700194999999</v>
      </c>
      <c r="I115" s="2">
        <f t="shared" si="6"/>
        <v>-0.21202949143376362</v>
      </c>
      <c r="J115" s="4">
        <v>40056</v>
      </c>
      <c r="K115" s="3">
        <v>3.4420000000000002</v>
      </c>
      <c r="L115" s="2">
        <f t="shared" si="7"/>
        <v>-0.28872340425531917</v>
      </c>
      <c r="M115" s="4">
        <v>40056</v>
      </c>
      <c r="N115" s="3">
        <v>9441.2695309999999</v>
      </c>
      <c r="O115" s="2">
        <f t="shared" si="9"/>
        <v>-0.27131879656849939</v>
      </c>
    </row>
    <row r="116" spans="1:15" x14ac:dyDescent="0.25">
      <c r="A116" s="6">
        <v>40064</v>
      </c>
      <c r="B116" s="3">
        <v>1042.7299800000001</v>
      </c>
      <c r="C116" s="2">
        <f t="shared" si="8"/>
        <v>-0.25453225613902897</v>
      </c>
      <c r="D116" s="4">
        <v>40070</v>
      </c>
      <c r="E116" s="3">
        <v>10370.540039</v>
      </c>
      <c r="F116" s="2">
        <f t="shared" si="5"/>
        <v>-0.39540250350277117</v>
      </c>
      <c r="G116" s="4">
        <v>40063</v>
      </c>
      <c r="H116" s="3">
        <v>11452.599609000001</v>
      </c>
      <c r="I116" s="2">
        <f t="shared" si="6"/>
        <v>-0.18968922046396441</v>
      </c>
      <c r="J116" s="4">
        <v>40064</v>
      </c>
      <c r="K116" s="3">
        <v>3.343</v>
      </c>
      <c r="L116" s="2">
        <f t="shared" si="7"/>
        <v>-0.26085106382978723</v>
      </c>
      <c r="M116" s="4">
        <v>40064</v>
      </c>
      <c r="N116" s="3">
        <v>9605.4101559999999</v>
      </c>
      <c r="O116" s="2">
        <f t="shared" si="9"/>
        <v>-0.25502449350785883</v>
      </c>
    </row>
    <row r="117" spans="1:15" x14ac:dyDescent="0.25">
      <c r="A117" s="6">
        <v>40070</v>
      </c>
      <c r="B117" s="3">
        <v>1068.3000489999999</v>
      </c>
      <c r="C117" s="2">
        <f t="shared" si="8"/>
        <v>-0.27122384128912491</v>
      </c>
      <c r="D117" s="4">
        <v>40080</v>
      </c>
      <c r="E117" s="3">
        <v>10265.980469</v>
      </c>
      <c r="F117" s="2">
        <f t="shared" si="5"/>
        <v>-0.42685802620199848</v>
      </c>
      <c r="G117" s="4">
        <v>40070</v>
      </c>
      <c r="H117" s="3">
        <v>11777.299805000001</v>
      </c>
      <c r="I117" s="2">
        <f t="shared" si="6"/>
        <v>-0.19887438946357966</v>
      </c>
      <c r="J117" s="4">
        <v>40070</v>
      </c>
      <c r="K117" s="3">
        <v>3.4740000000000002</v>
      </c>
      <c r="L117" s="2">
        <f t="shared" si="7"/>
        <v>-0.29170212765957448</v>
      </c>
      <c r="M117" s="4">
        <v>40070</v>
      </c>
      <c r="N117" s="3">
        <v>9820.2001949999994</v>
      </c>
      <c r="O117" s="2">
        <f t="shared" si="9"/>
        <v>-0.26678377294198874</v>
      </c>
    </row>
    <row r="118" spans="1:15" x14ac:dyDescent="0.25">
      <c r="A118" s="6">
        <v>40077</v>
      </c>
      <c r="B118" s="3">
        <v>1044.380005</v>
      </c>
      <c r="C118" s="2">
        <f t="shared" si="8"/>
        <v>-0.28460084100355204</v>
      </c>
      <c r="D118" s="4">
        <v>40084</v>
      </c>
      <c r="E118" s="3">
        <v>9731.8701170000004</v>
      </c>
      <c r="F118" s="2">
        <f t="shared" si="5"/>
        <v>-0.41010173130482713</v>
      </c>
      <c r="G118" s="4">
        <v>40077</v>
      </c>
      <c r="H118" s="3">
        <v>11643.799805000001</v>
      </c>
      <c r="I118" s="2">
        <f t="shared" si="6"/>
        <v>-0.22069171910823956</v>
      </c>
      <c r="J118" s="4">
        <v>40077</v>
      </c>
      <c r="K118" s="3">
        <v>3.3290000000000002</v>
      </c>
      <c r="L118" s="2">
        <f t="shared" si="7"/>
        <v>-0.31468085106382981</v>
      </c>
      <c r="M118" s="4">
        <v>40077</v>
      </c>
      <c r="N118" s="3">
        <v>9665.1904300000006</v>
      </c>
      <c r="O118" s="2">
        <f t="shared" si="9"/>
        <v>-0.28025075199882898</v>
      </c>
    </row>
    <row r="119" spans="1:15" x14ac:dyDescent="0.25">
      <c r="A119" s="6">
        <v>40084</v>
      </c>
      <c r="B119" s="3">
        <v>1025.209961</v>
      </c>
      <c r="C119" s="2">
        <f t="shared" si="8"/>
        <v>-0.25230629151181994</v>
      </c>
      <c r="D119" s="4">
        <v>40091</v>
      </c>
      <c r="E119" s="3">
        <v>10016.389648</v>
      </c>
      <c r="F119" s="2">
        <f t="shared" si="5"/>
        <v>-0.39589843805758851</v>
      </c>
      <c r="G119" s="4">
        <v>40084</v>
      </c>
      <c r="H119" s="3">
        <v>11326.700194999999</v>
      </c>
      <c r="I119" s="2">
        <f t="shared" si="6"/>
        <v>-0.19203536788472081</v>
      </c>
      <c r="J119" s="4">
        <v>40084</v>
      </c>
      <c r="K119" s="3">
        <v>3.2210000000000001</v>
      </c>
      <c r="L119" s="2">
        <f t="shared" si="7"/>
        <v>-0.28000000000000003</v>
      </c>
      <c r="M119" s="4">
        <v>40084</v>
      </c>
      <c r="N119" s="3">
        <v>9487.6699219999991</v>
      </c>
      <c r="O119" s="2">
        <f t="shared" si="9"/>
        <v>-0.25163043039632743</v>
      </c>
    </row>
    <row r="120" spans="1:15" x14ac:dyDescent="0.25">
      <c r="A120" s="6">
        <v>40091</v>
      </c>
      <c r="B120" s="3">
        <v>1071.48999</v>
      </c>
      <c r="C120" s="2">
        <f t="shared" si="8"/>
        <v>-0.2410087440724632</v>
      </c>
      <c r="D120" s="4">
        <v>40099</v>
      </c>
      <c r="E120" s="3">
        <v>10257.559569999999</v>
      </c>
      <c r="F120" s="2">
        <f t="shared" si="5"/>
        <v>-0.39440074226174204</v>
      </c>
      <c r="G120" s="4">
        <v>40091</v>
      </c>
      <c r="H120" s="3">
        <v>11743.200194999999</v>
      </c>
      <c r="I120" s="2">
        <f t="shared" si="6"/>
        <v>-0.19663137903738881</v>
      </c>
      <c r="J120" s="4">
        <v>40091</v>
      </c>
      <c r="K120" s="3">
        <v>3.3839999999999999</v>
      </c>
      <c r="L120" s="2">
        <f t="shared" si="7"/>
        <v>-0.27297872340425539</v>
      </c>
      <c r="M120" s="4">
        <v>40091</v>
      </c>
      <c r="N120" s="3">
        <v>9864.9404300000006</v>
      </c>
      <c r="O120" s="2">
        <f t="shared" si="9"/>
        <v>-0.24169486533405257</v>
      </c>
    </row>
    <row r="121" spans="1:15" x14ac:dyDescent="0.25">
      <c r="A121" s="6">
        <v>40098</v>
      </c>
      <c r="B121" s="3">
        <v>1087.6800539999999</v>
      </c>
      <c r="C121" s="2">
        <f t="shared" si="8"/>
        <v>-0.24664708277938263</v>
      </c>
      <c r="D121" s="4">
        <v>40105</v>
      </c>
      <c r="E121" s="3">
        <v>10282.990234000001</v>
      </c>
      <c r="F121" s="2">
        <f t="shared" si="5"/>
        <v>-0.40902100468661856</v>
      </c>
      <c r="G121" s="4">
        <v>40098</v>
      </c>
      <c r="H121" s="3">
        <v>11676.400390999999</v>
      </c>
      <c r="I121" s="2">
        <f t="shared" si="6"/>
        <v>-0.19226932411554173</v>
      </c>
      <c r="J121" s="4">
        <v>40098</v>
      </c>
      <c r="K121" s="3">
        <v>3.4169999999999998</v>
      </c>
      <c r="L121" s="2">
        <f t="shared" si="7"/>
        <v>-0.26063829787234044</v>
      </c>
      <c r="M121" s="4">
        <v>40098</v>
      </c>
      <c r="N121" s="3">
        <v>9995.9101559999999</v>
      </c>
      <c r="O121" s="2">
        <f t="shared" si="9"/>
        <v>-0.2434950951732158</v>
      </c>
    </row>
    <row r="122" spans="1:15" x14ac:dyDescent="0.25">
      <c r="A122" s="6">
        <v>40105</v>
      </c>
      <c r="B122" s="3">
        <v>1079.599976</v>
      </c>
      <c r="C122" s="2">
        <f t="shared" si="8"/>
        <v>-0.27693892904735534</v>
      </c>
      <c r="D122" s="4">
        <v>40112</v>
      </c>
      <c r="E122" s="3">
        <v>10034.740234000001</v>
      </c>
      <c r="F122" s="2">
        <f t="shared" si="5"/>
        <v>-0.42347286907374632</v>
      </c>
      <c r="G122" s="4">
        <v>40105</v>
      </c>
      <c r="H122" s="3">
        <v>11739.799805000001</v>
      </c>
      <c r="I122" s="2">
        <f t="shared" si="6"/>
        <v>-0.21463022242921181</v>
      </c>
      <c r="J122" s="4">
        <v>40105</v>
      </c>
      <c r="K122" s="3">
        <v>3.4750000000000001</v>
      </c>
      <c r="L122" s="2">
        <f t="shared" si="7"/>
        <v>-0.27829787234042558</v>
      </c>
      <c r="M122" s="4">
        <v>40105</v>
      </c>
      <c r="N122" s="3">
        <v>9972.1796880000002</v>
      </c>
      <c r="O122" s="2">
        <f t="shared" si="9"/>
        <v>-0.26317731238829117</v>
      </c>
    </row>
    <row r="123" spans="1:15" x14ac:dyDescent="0.25">
      <c r="A123" s="6">
        <v>40112</v>
      </c>
      <c r="B123" s="3">
        <v>1036.1899410000001</v>
      </c>
      <c r="C123" s="2">
        <f t="shared" si="8"/>
        <v>-0.25383444867888821</v>
      </c>
      <c r="D123" s="4">
        <v>40119</v>
      </c>
      <c r="E123" s="3">
        <v>9789.3496090000008</v>
      </c>
      <c r="F123" s="2">
        <f t="shared" si="5"/>
        <v>-0.42459419985626357</v>
      </c>
      <c r="G123" s="4">
        <v>40112</v>
      </c>
      <c r="H123" s="3">
        <v>11414.799805000001</v>
      </c>
      <c r="I123" s="2">
        <f t="shared" si="6"/>
        <v>-0.20322273763637971</v>
      </c>
      <c r="J123" s="4">
        <v>40112</v>
      </c>
      <c r="K123" s="3">
        <v>3.3919999999999999</v>
      </c>
      <c r="L123" s="2">
        <f t="shared" si="7"/>
        <v>-0.25468085106382982</v>
      </c>
      <c r="M123" s="4">
        <v>40112</v>
      </c>
      <c r="N123" s="3">
        <v>9712.7304690000001</v>
      </c>
      <c r="O123" s="2">
        <f t="shared" si="9"/>
        <v>-0.23960793212980239</v>
      </c>
    </row>
    <row r="124" spans="1:15" x14ac:dyDescent="0.25">
      <c r="A124" s="6">
        <v>40119</v>
      </c>
      <c r="B124" s="3">
        <v>1069.3000489999999</v>
      </c>
      <c r="C124" s="2">
        <f t="shared" si="8"/>
        <v>-0.23696151244139857</v>
      </c>
      <c r="D124" s="4">
        <v>40126</v>
      </c>
      <c r="E124" s="3">
        <v>9770.3095699999994</v>
      </c>
      <c r="F124" s="2">
        <f t="shared" si="5"/>
        <v>-0.44065027405446339</v>
      </c>
      <c r="G124" s="4">
        <v>40119</v>
      </c>
      <c r="H124" s="3">
        <v>11580.599609000001</v>
      </c>
      <c r="I124" s="2">
        <f t="shared" si="6"/>
        <v>-0.18351759911285251</v>
      </c>
      <c r="J124" s="4">
        <v>40119</v>
      </c>
      <c r="K124" s="3">
        <v>3.5030000000000001</v>
      </c>
      <c r="L124" s="2">
        <f t="shared" si="7"/>
        <v>-0.27042553191489366</v>
      </c>
      <c r="M124" s="4">
        <v>40119</v>
      </c>
      <c r="N124" s="3">
        <v>10023.419921999999</v>
      </c>
      <c r="O124" s="2">
        <f t="shared" si="9"/>
        <v>-0.22086635355156037</v>
      </c>
    </row>
    <row r="125" spans="1:15" x14ac:dyDescent="0.25">
      <c r="A125" s="6">
        <v>40126</v>
      </c>
      <c r="B125" s="3">
        <v>1093.4799800000001</v>
      </c>
      <c r="C125" s="2">
        <f t="shared" si="8"/>
        <v>-0.23842689066250777</v>
      </c>
      <c r="D125" s="4">
        <v>40133</v>
      </c>
      <c r="E125" s="3">
        <v>9497.6796880000002</v>
      </c>
      <c r="F125" s="2">
        <f t="shared" si="5"/>
        <v>-0.46515932020196721</v>
      </c>
      <c r="G125" s="4">
        <v>40126</v>
      </c>
      <c r="H125" s="3">
        <v>11867</v>
      </c>
      <c r="I125" s="2">
        <f t="shared" si="6"/>
        <v>-0.193679780778404</v>
      </c>
      <c r="J125" s="4">
        <v>40126</v>
      </c>
      <c r="K125" s="3">
        <v>3.4289999999999998</v>
      </c>
      <c r="L125" s="2">
        <f t="shared" si="7"/>
        <v>-0.28595744680851071</v>
      </c>
      <c r="M125" s="4">
        <v>40126</v>
      </c>
      <c r="N125" s="3">
        <v>10270.469727</v>
      </c>
      <c r="O125" s="2">
        <f t="shared" si="9"/>
        <v>-0.21724848418091433</v>
      </c>
    </row>
    <row r="126" spans="1:15" x14ac:dyDescent="0.25">
      <c r="A126" s="6">
        <v>40133</v>
      </c>
      <c r="B126" s="3">
        <v>1091.380005</v>
      </c>
      <c r="C126" s="2">
        <f t="shared" si="8"/>
        <v>-0.23835014230900417</v>
      </c>
      <c r="D126" s="4">
        <v>40141</v>
      </c>
      <c r="E126" s="3">
        <v>9081.5195309999999</v>
      </c>
      <c r="F126" s="2">
        <f t="shared" si="5"/>
        <v>-0.40973658128426049</v>
      </c>
      <c r="G126" s="4">
        <v>40133</v>
      </c>
      <c r="H126" s="3">
        <v>11719.299805000001</v>
      </c>
      <c r="I126" s="2">
        <f t="shared" si="6"/>
        <v>-0.18972362184598543</v>
      </c>
      <c r="J126" s="4">
        <v>40133</v>
      </c>
      <c r="K126" s="3">
        <v>3.3559999999999999</v>
      </c>
      <c r="L126" s="2">
        <f t="shared" si="7"/>
        <v>-0.31255319148936178</v>
      </c>
      <c r="M126" s="4">
        <v>40133</v>
      </c>
      <c r="N126" s="3">
        <v>10318.160156</v>
      </c>
      <c r="O126" s="2">
        <f t="shared" si="9"/>
        <v>-0.21787360101925435</v>
      </c>
    </row>
    <row r="127" spans="1:15" x14ac:dyDescent="0.25">
      <c r="A127" s="6">
        <v>40140</v>
      </c>
      <c r="B127" s="3">
        <v>1091.48999</v>
      </c>
      <c r="C127" s="2">
        <f t="shared" si="8"/>
        <v>-0.22823891918963871</v>
      </c>
      <c r="D127" s="4">
        <v>40147</v>
      </c>
      <c r="E127" s="3">
        <v>10022.589844</v>
      </c>
      <c r="F127" s="2">
        <f t="shared" si="5"/>
        <v>-0.40471414434196396</v>
      </c>
      <c r="G127" s="4">
        <v>40140</v>
      </c>
      <c r="H127" s="3">
        <v>11776.799805000001</v>
      </c>
      <c r="I127" s="2">
        <f t="shared" si="6"/>
        <v>-0.17215136907656495</v>
      </c>
      <c r="J127" s="4">
        <v>40140</v>
      </c>
      <c r="K127" s="3">
        <v>3.2309999999999999</v>
      </c>
      <c r="L127" s="2">
        <f t="shared" si="7"/>
        <v>-0.25893617021276599</v>
      </c>
      <c r="M127" s="4">
        <v>40140</v>
      </c>
      <c r="N127" s="3">
        <v>10309.919921999999</v>
      </c>
      <c r="O127" s="2">
        <f t="shared" si="9"/>
        <v>-0.21188202103840836</v>
      </c>
    </row>
    <row r="128" spans="1:15" x14ac:dyDescent="0.25">
      <c r="A128" s="6">
        <v>40147</v>
      </c>
      <c r="B128" s="3">
        <v>1105.9799800000001</v>
      </c>
      <c r="C128" s="2">
        <f t="shared" si="8"/>
        <v>-0.22793882430017537</v>
      </c>
      <c r="D128" s="4">
        <v>40154</v>
      </c>
      <c r="E128" s="3">
        <v>10107.870117</v>
      </c>
      <c r="F128" s="2">
        <f t="shared" si="5"/>
        <v>-0.40270118962631274</v>
      </c>
      <c r="G128" s="4">
        <v>40147</v>
      </c>
      <c r="H128" s="3">
        <v>12032.200194999999</v>
      </c>
      <c r="I128" s="2">
        <f t="shared" si="6"/>
        <v>-0.20078709288741003</v>
      </c>
      <c r="J128" s="4">
        <v>40147</v>
      </c>
      <c r="K128" s="3">
        <v>3.4830000000000001</v>
      </c>
      <c r="L128" s="2">
        <f t="shared" si="7"/>
        <v>-0.2468085106382979</v>
      </c>
      <c r="M128" s="4">
        <v>40147</v>
      </c>
      <c r="N128" s="3">
        <v>10388.900390999999</v>
      </c>
      <c r="O128" s="2">
        <f t="shared" si="9"/>
        <v>-0.205615887524943</v>
      </c>
    </row>
    <row r="129" spans="1:15" x14ac:dyDescent="0.25">
      <c r="A129" s="6">
        <v>40154</v>
      </c>
      <c r="B129" s="3">
        <v>1106.410034</v>
      </c>
      <c r="C129" s="2">
        <f t="shared" si="8"/>
        <v>-0.23068822965500008</v>
      </c>
      <c r="D129" s="4">
        <v>40161</v>
      </c>
      <c r="E129" s="3">
        <v>10142.049805000001</v>
      </c>
      <c r="F129" s="2">
        <f t="shared" si="5"/>
        <v>-0.38193186826672404</v>
      </c>
      <c r="G129" s="4">
        <v>40154</v>
      </c>
      <c r="H129" s="3">
        <v>11616</v>
      </c>
      <c r="I129" s="2">
        <f t="shared" si="6"/>
        <v>-0.19879181273019023</v>
      </c>
      <c r="J129" s="4">
        <v>40154</v>
      </c>
      <c r="K129" s="3">
        <v>3.54</v>
      </c>
      <c r="L129" s="2">
        <f t="shared" si="7"/>
        <v>-0.24553191489361709</v>
      </c>
      <c r="M129" s="4">
        <v>40154</v>
      </c>
      <c r="N129" s="3">
        <v>10471.5</v>
      </c>
      <c r="O129" s="2">
        <f t="shared" si="9"/>
        <v>-0.21643452839810112</v>
      </c>
    </row>
    <row r="130" spans="1:15" x14ac:dyDescent="0.25">
      <c r="A130" s="6">
        <v>40161</v>
      </c>
      <c r="B130" s="3">
        <v>1102.469971</v>
      </c>
      <c r="C130" s="2">
        <f t="shared" si="8"/>
        <v>-0.21393386625675251</v>
      </c>
      <c r="D130" s="4">
        <v>40168</v>
      </c>
      <c r="E130" s="3">
        <v>10494.709961</v>
      </c>
      <c r="F130" s="2">
        <f t="shared" si="5"/>
        <v>-0.3788852900909257</v>
      </c>
      <c r="G130" s="4">
        <v>40161</v>
      </c>
      <c r="H130" s="3">
        <v>11645</v>
      </c>
      <c r="I130" s="2">
        <f t="shared" si="6"/>
        <v>-0.17660292132662531</v>
      </c>
      <c r="J130" s="4">
        <v>40161</v>
      </c>
      <c r="K130" s="3">
        <v>3.5459999999999998</v>
      </c>
      <c r="L130" s="2">
        <f t="shared" si="7"/>
        <v>-0.19000000000000003</v>
      </c>
      <c r="M130" s="4">
        <v>40161</v>
      </c>
      <c r="N130" s="3">
        <v>10328.889648</v>
      </c>
      <c r="O130" s="2">
        <f t="shared" si="9"/>
        <v>-0.20192978714761009</v>
      </c>
    </row>
    <row r="131" spans="1:15" x14ac:dyDescent="0.25">
      <c r="A131" s="6">
        <v>40168</v>
      </c>
      <c r="B131" s="3">
        <v>1126.4799800000001</v>
      </c>
      <c r="C131" s="2">
        <f t="shared" si="8"/>
        <v>-0.2218749179443846</v>
      </c>
      <c r="D131" s="4">
        <v>40175</v>
      </c>
      <c r="E131" s="3">
        <v>10546.440430000001</v>
      </c>
      <c r="F131" s="2">
        <f t="shared" si="5"/>
        <v>-0.36405125192622512</v>
      </c>
      <c r="G131" s="4">
        <v>40168</v>
      </c>
      <c r="H131" s="3">
        <v>11967.5</v>
      </c>
      <c r="I131" s="2">
        <f t="shared" si="6"/>
        <v>-0.17849499733778201</v>
      </c>
      <c r="J131" s="4">
        <v>40168</v>
      </c>
      <c r="K131" s="3">
        <v>3.8069999999999999</v>
      </c>
      <c r="L131" s="2">
        <f t="shared" si="7"/>
        <v>-0.18234042553191493</v>
      </c>
      <c r="M131" s="4">
        <v>40168</v>
      </c>
      <c r="N131" s="3">
        <v>10520.089844</v>
      </c>
      <c r="O131" s="2">
        <f t="shared" si="9"/>
        <v>-0.20891208621586052</v>
      </c>
    </row>
    <row r="132" spans="1:15" x14ac:dyDescent="0.25">
      <c r="A132" s="6">
        <v>40175</v>
      </c>
      <c r="B132" s="3">
        <v>1115.099976</v>
      </c>
      <c r="C132" s="2">
        <f t="shared" si="8"/>
        <v>-0.2010244282441479</v>
      </c>
      <c r="D132" s="4">
        <v>40182</v>
      </c>
      <c r="E132" s="3">
        <v>10798.320312</v>
      </c>
      <c r="F132" s="2">
        <f t="shared" si="5"/>
        <v>-0.35322788213609685</v>
      </c>
      <c r="G132" s="4">
        <v>40175</v>
      </c>
      <c r="H132" s="3">
        <v>11940</v>
      </c>
      <c r="I132" s="2">
        <f t="shared" si="6"/>
        <v>-0.16315198095640221</v>
      </c>
      <c r="J132" s="4">
        <v>40175</v>
      </c>
      <c r="K132" s="3">
        <v>3.843</v>
      </c>
      <c r="L132" s="2">
        <f t="shared" si="7"/>
        <v>-0.18978723404255327</v>
      </c>
      <c r="M132" s="4">
        <v>40175</v>
      </c>
      <c r="N132" s="3">
        <v>10428.049805000001</v>
      </c>
      <c r="O132" s="2">
        <f t="shared" si="9"/>
        <v>-0.19448772565280101</v>
      </c>
    </row>
    <row r="133" spans="1:15" x14ac:dyDescent="0.25">
      <c r="A133" s="6">
        <v>40182</v>
      </c>
      <c r="B133" s="3">
        <v>1144.9799800000001</v>
      </c>
      <c r="C133" s="2">
        <f t="shared" si="8"/>
        <v>-0.20726977081984246</v>
      </c>
      <c r="D133" s="4">
        <v>40190</v>
      </c>
      <c r="E133" s="3">
        <v>10982.099609000001</v>
      </c>
      <c r="F133" s="2">
        <f t="shared" si="5"/>
        <v>-0.37628754331188324</v>
      </c>
      <c r="G133" s="4">
        <v>40182</v>
      </c>
      <c r="H133" s="3">
        <v>12163</v>
      </c>
      <c r="I133" s="2">
        <f t="shared" si="6"/>
        <v>-0.18503125992177788</v>
      </c>
      <c r="J133" s="4">
        <v>40182</v>
      </c>
      <c r="K133" s="3">
        <v>3.8079999999999998</v>
      </c>
      <c r="L133" s="2">
        <f t="shared" si="7"/>
        <v>-0.21787234042553191</v>
      </c>
      <c r="M133" s="4">
        <v>40182</v>
      </c>
      <c r="N133" s="3">
        <v>10618.190430000001</v>
      </c>
      <c r="O133" s="2">
        <f t="shared" si="9"/>
        <v>-0.19513558616003671</v>
      </c>
    </row>
    <row r="134" spans="1:15" x14ac:dyDescent="0.25">
      <c r="A134" s="6">
        <v>40189</v>
      </c>
      <c r="B134" s="3">
        <v>1136.030029</v>
      </c>
      <c r="C134" s="2">
        <f t="shared" si="8"/>
        <v>-0.23816172033861699</v>
      </c>
      <c r="D134" s="4">
        <v>40196</v>
      </c>
      <c r="E134" s="3">
        <v>10590.549805000001</v>
      </c>
      <c r="F134" s="2">
        <f t="shared" ref="F134:F197" si="10">(E135-$E$6)/$E$6</f>
        <v>-0.39940373982043065</v>
      </c>
      <c r="G134" s="4">
        <v>40189</v>
      </c>
      <c r="H134" s="3">
        <v>11845</v>
      </c>
      <c r="I134" s="2">
        <f t="shared" ref="I134:I197" si="11">(H135-$H$6)/$H$6</f>
        <v>-0.21747861654213355</v>
      </c>
      <c r="J134" s="4">
        <v>40189</v>
      </c>
      <c r="K134" s="3">
        <v>3.6760000000000002</v>
      </c>
      <c r="L134" s="2">
        <f t="shared" ref="L134:L197" si="12">(K135-$K$6)/$K$6</f>
        <v>-0.23446808510638303</v>
      </c>
      <c r="M134" s="4">
        <v>40189</v>
      </c>
      <c r="N134" s="3">
        <v>10609.650390999999</v>
      </c>
      <c r="O134" s="2">
        <f t="shared" si="9"/>
        <v>-0.22826203876305648</v>
      </c>
    </row>
    <row r="135" spans="1:15" x14ac:dyDescent="0.25">
      <c r="A135" s="6">
        <v>40197</v>
      </c>
      <c r="B135" s="3">
        <v>1091.76001</v>
      </c>
      <c r="C135" s="2">
        <f t="shared" ref="C135:C198" si="13">(B136-$B$6)/$B$6</f>
        <v>-0.25064550626764759</v>
      </c>
      <c r="D135" s="4">
        <v>40203</v>
      </c>
      <c r="E135" s="3">
        <v>10198.040039</v>
      </c>
      <c r="F135" s="2">
        <f t="shared" si="10"/>
        <v>-0.40770476233699665</v>
      </c>
      <c r="G135" s="4">
        <v>40196</v>
      </c>
      <c r="H135" s="3">
        <v>11373.400390999999</v>
      </c>
      <c r="I135" s="2">
        <f t="shared" si="11"/>
        <v>-0.24676796668018097</v>
      </c>
      <c r="J135" s="4">
        <v>40197</v>
      </c>
      <c r="K135" s="3">
        <v>3.5979999999999999</v>
      </c>
      <c r="L135" s="2">
        <f t="shared" si="12"/>
        <v>-0.23212765957446813</v>
      </c>
      <c r="M135" s="4">
        <v>40197</v>
      </c>
      <c r="N135" s="3">
        <v>10172.980469</v>
      </c>
      <c r="O135" s="2">
        <f t="shared" ref="O135:O198" si="14">(N136-$N$6)/$N$6</f>
        <v>-0.23627684008924443</v>
      </c>
    </row>
    <row r="136" spans="1:15" x14ac:dyDescent="0.25">
      <c r="A136" s="6">
        <v>40203</v>
      </c>
      <c r="B136" s="3">
        <v>1073.869995</v>
      </c>
      <c r="C136" s="2">
        <f t="shared" si="13"/>
        <v>-0.25600470524313163</v>
      </c>
      <c r="D136" s="4">
        <v>40210</v>
      </c>
      <c r="E136" s="3">
        <v>10057.089844</v>
      </c>
      <c r="F136" s="2">
        <f t="shared" si="10"/>
        <v>-0.40563757289656582</v>
      </c>
      <c r="G136" s="4">
        <v>40203</v>
      </c>
      <c r="H136" s="3">
        <v>10947.700194999999</v>
      </c>
      <c r="I136" s="2">
        <f t="shared" si="11"/>
        <v>-0.30486504747037585</v>
      </c>
      <c r="J136" s="4">
        <v>40203</v>
      </c>
      <c r="K136" s="3">
        <v>3.609</v>
      </c>
      <c r="L136" s="2">
        <f t="shared" si="12"/>
        <v>-0.24553191489361709</v>
      </c>
      <c r="M136" s="4">
        <v>40203</v>
      </c>
      <c r="N136" s="3">
        <v>10067.330078000001</v>
      </c>
      <c r="O136" s="2">
        <f t="shared" si="14"/>
        <v>-0.24045678126225578</v>
      </c>
    </row>
    <row r="137" spans="1:15" x14ac:dyDescent="0.25">
      <c r="A137" s="6">
        <v>40210</v>
      </c>
      <c r="B137" s="3">
        <v>1066.1899410000001</v>
      </c>
      <c r="C137" s="2">
        <f t="shared" si="13"/>
        <v>-0.24950109156590483</v>
      </c>
      <c r="D137" s="4">
        <v>40217</v>
      </c>
      <c r="E137" s="3">
        <v>10092.190430000001</v>
      </c>
      <c r="F137" s="2">
        <f t="shared" si="10"/>
        <v>-0.40378893285151246</v>
      </c>
      <c r="G137" s="4">
        <v>40210</v>
      </c>
      <c r="H137" s="3">
        <v>10103.299805000001</v>
      </c>
      <c r="I137" s="2">
        <f t="shared" si="11"/>
        <v>-0.29649859104444154</v>
      </c>
      <c r="J137" s="4">
        <v>40210</v>
      </c>
      <c r="K137" s="3">
        <v>3.5459999999999998</v>
      </c>
      <c r="L137" s="2">
        <f t="shared" si="12"/>
        <v>-0.2142553191489362</v>
      </c>
      <c r="M137" s="4">
        <v>40210</v>
      </c>
      <c r="N137" s="3">
        <v>10012.230469</v>
      </c>
      <c r="O137" s="2">
        <f t="shared" si="14"/>
        <v>-0.23386371713334864</v>
      </c>
    </row>
    <row r="138" spans="1:15" x14ac:dyDescent="0.25">
      <c r="A138" s="6">
        <v>40217</v>
      </c>
      <c r="B138" s="3">
        <v>1075.51001</v>
      </c>
      <c r="C138" s="2">
        <f t="shared" si="13"/>
        <v>-0.22601286873211221</v>
      </c>
      <c r="D138" s="4">
        <v>40224</v>
      </c>
      <c r="E138" s="3">
        <v>10123.580078000001</v>
      </c>
      <c r="F138" s="2">
        <f t="shared" si="10"/>
        <v>-0.40364463277541129</v>
      </c>
      <c r="G138" s="4">
        <v>40217</v>
      </c>
      <c r="H138" s="3">
        <v>10224.900390999999</v>
      </c>
      <c r="I138" s="2">
        <f t="shared" si="11"/>
        <v>-0.26541351573557975</v>
      </c>
      <c r="J138" s="4">
        <v>40217</v>
      </c>
      <c r="K138" s="3">
        <v>3.6930000000000001</v>
      </c>
      <c r="L138" s="2">
        <f t="shared" si="12"/>
        <v>-0.19531914893617025</v>
      </c>
      <c r="M138" s="4">
        <v>40217</v>
      </c>
      <c r="N138" s="3">
        <v>10099.139648</v>
      </c>
      <c r="O138" s="2">
        <f t="shared" si="14"/>
        <v>-0.21086174265380112</v>
      </c>
    </row>
    <row r="139" spans="1:15" x14ac:dyDescent="0.25">
      <c r="A139" s="6">
        <v>40225</v>
      </c>
      <c r="B139" s="3">
        <v>1109.170044</v>
      </c>
      <c r="C139" s="2">
        <f t="shared" si="13"/>
        <v>-0.2292786453271739</v>
      </c>
      <c r="D139" s="4">
        <v>40231</v>
      </c>
      <c r="E139" s="3">
        <v>10126.030273</v>
      </c>
      <c r="F139" s="2">
        <f t="shared" si="10"/>
        <v>-0.3893377010962436</v>
      </c>
      <c r="G139" s="4">
        <v>40224</v>
      </c>
      <c r="H139" s="3">
        <v>10676.700194999999</v>
      </c>
      <c r="I139" s="2">
        <f t="shared" si="11"/>
        <v>-0.28901978439683079</v>
      </c>
      <c r="J139" s="4">
        <v>40225</v>
      </c>
      <c r="K139" s="3">
        <v>3.782</v>
      </c>
      <c r="L139" s="2">
        <f t="shared" si="12"/>
        <v>-0.23510638297872338</v>
      </c>
      <c r="M139" s="4">
        <v>40225</v>
      </c>
      <c r="N139" s="3">
        <v>10402.349609000001</v>
      </c>
      <c r="O139" s="2">
        <f t="shared" si="14"/>
        <v>-0.21670989683537945</v>
      </c>
    </row>
    <row r="140" spans="1:15" x14ac:dyDescent="0.25">
      <c r="A140" s="6">
        <v>40231</v>
      </c>
      <c r="B140" s="3">
        <v>1104.48999</v>
      </c>
      <c r="C140" s="2">
        <f t="shared" si="13"/>
        <v>-0.20540667933024842</v>
      </c>
      <c r="D140" s="4">
        <v>40238</v>
      </c>
      <c r="E140" s="3">
        <v>10368.959961</v>
      </c>
      <c r="F140" s="2">
        <f t="shared" si="10"/>
        <v>-0.36682280291264197</v>
      </c>
      <c r="G140" s="4">
        <v>40231</v>
      </c>
      <c r="H140" s="3">
        <v>10333.599609000001</v>
      </c>
      <c r="I140" s="2">
        <f t="shared" si="11"/>
        <v>-0.24180731422582621</v>
      </c>
      <c r="J140" s="4">
        <v>40231</v>
      </c>
      <c r="K140" s="3">
        <v>3.5950000000000002</v>
      </c>
      <c r="L140" s="2">
        <f t="shared" si="12"/>
        <v>-0.2165957446808511</v>
      </c>
      <c r="M140" s="4">
        <v>40231</v>
      </c>
      <c r="N140" s="3">
        <v>10325.259765999999</v>
      </c>
      <c r="O140" s="2">
        <f t="shared" si="14"/>
        <v>-0.19843178492681576</v>
      </c>
    </row>
    <row r="141" spans="1:15" x14ac:dyDescent="0.25">
      <c r="A141" s="6">
        <v>40238</v>
      </c>
      <c r="B141" s="3">
        <v>1138.6999510000001</v>
      </c>
      <c r="C141" s="2">
        <f t="shared" si="13"/>
        <v>-0.19752840589076798</v>
      </c>
      <c r="D141" s="4">
        <v>40245</v>
      </c>
      <c r="E141" s="3">
        <v>10751.259765999999</v>
      </c>
      <c r="F141" s="2">
        <f t="shared" si="10"/>
        <v>-0.36249650318437932</v>
      </c>
      <c r="G141" s="4">
        <v>40238</v>
      </c>
      <c r="H141" s="3">
        <v>11019.799805000001</v>
      </c>
      <c r="I141" s="2">
        <f t="shared" si="11"/>
        <v>-0.23787178270608134</v>
      </c>
      <c r="J141" s="4">
        <v>40238</v>
      </c>
      <c r="K141" s="3">
        <v>3.6819999999999999</v>
      </c>
      <c r="L141" s="2">
        <f t="shared" si="12"/>
        <v>-0.21063829787234045</v>
      </c>
      <c r="M141" s="4">
        <v>40238</v>
      </c>
      <c r="N141" s="3">
        <v>10566.200194999999</v>
      </c>
      <c r="O141" s="2">
        <f t="shared" si="14"/>
        <v>-0.19399462564505734</v>
      </c>
    </row>
    <row r="142" spans="1:15" x14ac:dyDescent="0.25">
      <c r="A142" s="6">
        <v>40245</v>
      </c>
      <c r="B142" s="3">
        <v>1149.98999</v>
      </c>
      <c r="C142" s="2">
        <f t="shared" si="13"/>
        <v>-0.1906131102353191</v>
      </c>
      <c r="D142" s="4">
        <v>40252</v>
      </c>
      <c r="E142" s="3">
        <v>10824.719727</v>
      </c>
      <c r="F142" s="2">
        <f t="shared" si="10"/>
        <v>-0.35238744478706846</v>
      </c>
      <c r="G142" s="4">
        <v>40245</v>
      </c>
      <c r="H142" s="3">
        <v>11077</v>
      </c>
      <c r="I142" s="2">
        <f t="shared" si="11"/>
        <v>-0.24380259438304602</v>
      </c>
      <c r="J142" s="4">
        <v>40245</v>
      </c>
      <c r="K142" s="3">
        <v>3.71</v>
      </c>
      <c r="L142" s="2">
        <f t="shared" si="12"/>
        <v>-0.21553191489361709</v>
      </c>
      <c r="M142" s="4">
        <v>40245</v>
      </c>
      <c r="N142" s="3">
        <v>10624.690430000001</v>
      </c>
      <c r="O142" s="2">
        <f t="shared" si="14"/>
        <v>-0.18509682270057187</v>
      </c>
    </row>
    <row r="143" spans="1:15" x14ac:dyDescent="0.25">
      <c r="A143" s="6">
        <v>40252</v>
      </c>
      <c r="B143" s="3">
        <v>1159.900024</v>
      </c>
      <c r="C143" s="2">
        <f t="shared" si="13"/>
        <v>-0.18594481879980992</v>
      </c>
      <c r="D143" s="4">
        <v>40260</v>
      </c>
      <c r="E143" s="3">
        <v>10996.370117</v>
      </c>
      <c r="F143" s="2">
        <f t="shared" si="10"/>
        <v>-0.3353248931721497</v>
      </c>
      <c r="G143" s="4">
        <v>40252</v>
      </c>
      <c r="H143" s="3">
        <v>10990.799805000001</v>
      </c>
      <c r="I143" s="2">
        <f t="shared" si="11"/>
        <v>-0.23827774591581019</v>
      </c>
      <c r="J143" s="4">
        <v>40252</v>
      </c>
      <c r="K143" s="3">
        <v>3.6869999999999998</v>
      </c>
      <c r="L143" s="2">
        <f t="shared" si="12"/>
        <v>-0.17978723404255323</v>
      </c>
      <c r="M143" s="4">
        <v>40252</v>
      </c>
      <c r="N143" s="3">
        <v>10741.980469</v>
      </c>
      <c r="O143" s="2">
        <f t="shared" si="14"/>
        <v>-0.17687495790879371</v>
      </c>
    </row>
    <row r="144" spans="1:15" x14ac:dyDescent="0.25">
      <c r="A144" s="6">
        <v>40259</v>
      </c>
      <c r="B144" s="3">
        <v>1166.589966</v>
      </c>
      <c r="C144" s="2">
        <f t="shared" si="13"/>
        <v>-0.17791304795551485</v>
      </c>
      <c r="D144" s="4">
        <v>40266</v>
      </c>
      <c r="E144" s="3">
        <v>11286.089844</v>
      </c>
      <c r="F144" s="2">
        <f t="shared" si="10"/>
        <v>-0.34013942067762265</v>
      </c>
      <c r="G144" s="4">
        <v>40259</v>
      </c>
      <c r="H144" s="3">
        <v>11071.099609000001</v>
      </c>
      <c r="I144" s="2">
        <f t="shared" si="11"/>
        <v>-0.23849786095698342</v>
      </c>
      <c r="J144" s="4">
        <v>40259</v>
      </c>
      <c r="K144" s="3">
        <v>3.855</v>
      </c>
      <c r="L144" s="2">
        <f t="shared" si="12"/>
        <v>-0.178936170212766</v>
      </c>
      <c r="M144" s="4">
        <v>40259</v>
      </c>
      <c r="N144" s="3">
        <v>10850.360352</v>
      </c>
      <c r="O144" s="2">
        <f t="shared" si="14"/>
        <v>-0.17105562223648341</v>
      </c>
    </row>
    <row r="145" spans="1:15" x14ac:dyDescent="0.25">
      <c r="A145" s="6">
        <v>40266</v>
      </c>
      <c r="B145" s="3">
        <v>1178.099976</v>
      </c>
      <c r="C145" s="2">
        <f t="shared" si="13"/>
        <v>-0.16655970732068243</v>
      </c>
      <c r="D145" s="4">
        <v>40273</v>
      </c>
      <c r="E145" s="3">
        <v>11204.339844</v>
      </c>
      <c r="F145" s="2">
        <f t="shared" si="10"/>
        <v>-0.34615596968099155</v>
      </c>
      <c r="G145" s="4">
        <v>40266</v>
      </c>
      <c r="H145" s="3">
        <v>11067.900390999999</v>
      </c>
      <c r="I145" s="2">
        <f t="shared" si="11"/>
        <v>-0.21604753253540038</v>
      </c>
      <c r="J145" s="4">
        <v>40266</v>
      </c>
      <c r="K145" s="3">
        <v>3.859</v>
      </c>
      <c r="L145" s="2">
        <f t="shared" si="12"/>
        <v>-0.17276595744680856</v>
      </c>
      <c r="M145" s="4">
        <v>40266</v>
      </c>
      <c r="N145" s="3">
        <v>10927.070312</v>
      </c>
      <c r="O145" s="2">
        <f t="shared" si="14"/>
        <v>-0.16572412656034183</v>
      </c>
    </row>
    <row r="146" spans="1:15" x14ac:dyDescent="0.25">
      <c r="A146" s="6">
        <v>40273</v>
      </c>
      <c r="B146" s="3">
        <v>1194.369995</v>
      </c>
      <c r="C146" s="2">
        <f t="shared" si="13"/>
        <v>-0.16812278905332323</v>
      </c>
      <c r="D146" s="4">
        <v>40280</v>
      </c>
      <c r="E146" s="3">
        <v>11102.179688</v>
      </c>
      <c r="F146" s="2">
        <f t="shared" si="10"/>
        <v>-0.35721140440834775</v>
      </c>
      <c r="G146" s="4">
        <v>40274</v>
      </c>
      <c r="H146" s="3">
        <v>11394.200194999999</v>
      </c>
      <c r="I146" s="2">
        <f t="shared" si="11"/>
        <v>-0.22530150429905771</v>
      </c>
      <c r="J146" s="4">
        <v>40273</v>
      </c>
      <c r="K146" s="3">
        <v>3.8879999999999999</v>
      </c>
      <c r="L146" s="2">
        <f t="shared" si="12"/>
        <v>-0.19787234042553195</v>
      </c>
      <c r="M146" s="4">
        <v>40273</v>
      </c>
      <c r="N146" s="3">
        <v>10997.349609000001</v>
      </c>
      <c r="O146" s="2">
        <f t="shared" si="14"/>
        <v>-0.16410747565407696</v>
      </c>
    </row>
    <row r="147" spans="1:15" x14ac:dyDescent="0.25">
      <c r="A147" s="6">
        <v>40280</v>
      </c>
      <c r="B147" s="3">
        <v>1192.130005</v>
      </c>
      <c r="C147" s="2">
        <f t="shared" si="13"/>
        <v>-0.15057291468340331</v>
      </c>
      <c r="D147" s="4">
        <v>40287</v>
      </c>
      <c r="E147" s="3">
        <v>10914.459961</v>
      </c>
      <c r="F147" s="2">
        <f t="shared" si="10"/>
        <v>-0.34879317037924529</v>
      </c>
      <c r="G147" s="4">
        <v>40280</v>
      </c>
      <c r="H147" s="3">
        <v>11259.700194999999</v>
      </c>
      <c r="I147" s="2">
        <f t="shared" si="11"/>
        <v>-0.2487976482194218</v>
      </c>
      <c r="J147" s="4">
        <v>40280</v>
      </c>
      <c r="K147" s="3">
        <v>3.77</v>
      </c>
      <c r="L147" s="2">
        <f t="shared" si="12"/>
        <v>-0.18787234042553191</v>
      </c>
      <c r="M147" s="4">
        <v>40280</v>
      </c>
      <c r="N147" s="3">
        <v>11018.660156</v>
      </c>
      <c r="O147" s="2">
        <f t="shared" si="14"/>
        <v>-0.15002604778791057</v>
      </c>
    </row>
    <row r="148" spans="1:15" x14ac:dyDescent="0.25">
      <c r="A148" s="6">
        <v>40287</v>
      </c>
      <c r="B148" s="3">
        <v>1217.280029</v>
      </c>
      <c r="C148" s="2">
        <f t="shared" si="13"/>
        <v>-0.17191890629616649</v>
      </c>
      <c r="D148" s="4">
        <v>40294</v>
      </c>
      <c r="E148" s="3">
        <v>11057.400390999999</v>
      </c>
      <c r="F148" s="2">
        <f t="shared" si="10"/>
        <v>-0.38959507172008012</v>
      </c>
      <c r="G148" s="4">
        <v>40287</v>
      </c>
      <c r="H148" s="3">
        <v>10918.200194999999</v>
      </c>
      <c r="I148" s="2">
        <f t="shared" si="11"/>
        <v>-0.27810762570134012</v>
      </c>
      <c r="J148" s="4">
        <v>40287</v>
      </c>
      <c r="K148" s="3">
        <v>3.8170000000000002</v>
      </c>
      <c r="L148" s="2">
        <f t="shared" si="12"/>
        <v>-0.22063829787234049</v>
      </c>
      <c r="M148" s="4">
        <v>40287</v>
      </c>
      <c r="N148" s="3">
        <v>11204.280273</v>
      </c>
      <c r="O148" s="2">
        <f t="shared" si="14"/>
        <v>-0.1648698692587266</v>
      </c>
    </row>
    <row r="149" spans="1:15" x14ac:dyDescent="0.25">
      <c r="A149" s="6">
        <v>40294</v>
      </c>
      <c r="B149" s="3">
        <v>1186.6899410000001</v>
      </c>
      <c r="C149" s="2">
        <f t="shared" si="13"/>
        <v>-0.22481964518976238</v>
      </c>
      <c r="D149" s="4">
        <v>40304</v>
      </c>
      <c r="E149" s="3">
        <v>10364.589844</v>
      </c>
      <c r="F149" s="2">
        <f t="shared" si="10"/>
        <v>-0.38382824410169775</v>
      </c>
      <c r="G149" s="4">
        <v>40294</v>
      </c>
      <c r="H149" s="3">
        <v>10492.200194999999</v>
      </c>
      <c r="I149" s="2">
        <f t="shared" si="11"/>
        <v>-0.37760334310098537</v>
      </c>
      <c r="J149" s="4">
        <v>40294</v>
      </c>
      <c r="K149" s="3">
        <v>3.6629999999999998</v>
      </c>
      <c r="L149" s="2">
        <f t="shared" si="12"/>
        <v>-0.27042553191489366</v>
      </c>
      <c r="M149" s="4">
        <v>40294</v>
      </c>
      <c r="N149" s="3">
        <v>11008.610352</v>
      </c>
      <c r="O149" s="2">
        <f t="shared" si="14"/>
        <v>-0.21252462160993049</v>
      </c>
    </row>
    <row r="150" spans="1:15" x14ac:dyDescent="0.25">
      <c r="A150" s="6">
        <v>40301</v>
      </c>
      <c r="B150" s="3">
        <v>1110.880005</v>
      </c>
      <c r="C150" s="2">
        <f t="shared" si="13"/>
        <v>-0.20751398598570531</v>
      </c>
      <c r="D150" s="4">
        <v>40308</v>
      </c>
      <c r="E150" s="3">
        <v>10462.509765999999</v>
      </c>
      <c r="F150" s="2">
        <f t="shared" si="10"/>
        <v>-0.42375612053618672</v>
      </c>
      <c r="G150" s="4">
        <v>40301</v>
      </c>
      <c r="H150" s="3">
        <v>9046.0996090000008</v>
      </c>
      <c r="I150" s="2">
        <f t="shared" si="11"/>
        <v>-0.35912288036086792</v>
      </c>
      <c r="J150" s="4">
        <v>40301</v>
      </c>
      <c r="K150" s="3">
        <v>3.4289999999999998</v>
      </c>
      <c r="L150" s="2">
        <f t="shared" si="12"/>
        <v>-0.26765957446808508</v>
      </c>
      <c r="M150" s="4">
        <v>40301</v>
      </c>
      <c r="N150" s="3">
        <v>10380.429688</v>
      </c>
      <c r="O150" s="2">
        <f t="shared" si="14"/>
        <v>-0.19433829920574677</v>
      </c>
    </row>
    <row r="151" spans="1:15" x14ac:dyDescent="0.25">
      <c r="A151" s="6">
        <v>40308</v>
      </c>
      <c r="B151" s="3">
        <v>1135.6800539999999</v>
      </c>
      <c r="C151" s="2">
        <f t="shared" si="13"/>
        <v>-0.24100184485010467</v>
      </c>
      <c r="D151" s="4">
        <v>40315</v>
      </c>
      <c r="E151" s="3">
        <v>9784.5400389999995</v>
      </c>
      <c r="F151" s="2">
        <f t="shared" si="10"/>
        <v>-0.42502583482084932</v>
      </c>
      <c r="G151" s="4">
        <v>40308</v>
      </c>
      <c r="H151" s="3">
        <v>9314.7001949999994</v>
      </c>
      <c r="I151" s="2">
        <f t="shared" si="11"/>
        <v>-0.35275177124365087</v>
      </c>
      <c r="J151" s="4">
        <v>40308</v>
      </c>
      <c r="K151" s="3">
        <v>3.4420000000000002</v>
      </c>
      <c r="L151" s="2">
        <f t="shared" si="12"/>
        <v>-0.31914893617021273</v>
      </c>
      <c r="M151" s="4">
        <v>40308</v>
      </c>
      <c r="N151" s="3">
        <v>10620.160156</v>
      </c>
      <c r="O151" s="2">
        <f t="shared" si="14"/>
        <v>-0.22671376702106538</v>
      </c>
    </row>
    <row r="152" spans="1:15" x14ac:dyDescent="0.25">
      <c r="A152" s="6">
        <v>40315</v>
      </c>
      <c r="B152" s="3">
        <v>1087.6899410000001</v>
      </c>
      <c r="C152" s="2">
        <f t="shared" si="13"/>
        <v>-0.23980155112256879</v>
      </c>
      <c r="D152" s="4">
        <v>40322</v>
      </c>
      <c r="E152" s="3">
        <v>9762.9804690000001</v>
      </c>
      <c r="F152" s="2">
        <f t="shared" si="10"/>
        <v>-0.41688619373504082</v>
      </c>
      <c r="G152" s="4">
        <v>40315</v>
      </c>
      <c r="H152" s="3">
        <v>9407.2998050000006</v>
      </c>
      <c r="I152" s="2">
        <f t="shared" si="11"/>
        <v>-0.35149954752154644</v>
      </c>
      <c r="J152" s="4">
        <v>40315</v>
      </c>
      <c r="K152" s="3">
        <v>3.2</v>
      </c>
      <c r="L152" s="2">
        <f t="shared" si="12"/>
        <v>-0.29765957446808511</v>
      </c>
      <c r="M152" s="4">
        <v>40315</v>
      </c>
      <c r="N152" s="3">
        <v>10193.389648</v>
      </c>
      <c r="O152" s="2">
        <f t="shared" si="14"/>
        <v>-0.23101965018430068</v>
      </c>
    </row>
    <row r="153" spans="1:15" x14ac:dyDescent="0.25">
      <c r="A153" s="6">
        <v>40322</v>
      </c>
      <c r="B153" s="3">
        <v>1089.410034</v>
      </c>
      <c r="C153" s="2">
        <f t="shared" si="13"/>
        <v>-0.25691878835623871</v>
      </c>
      <c r="D153" s="4">
        <v>40329</v>
      </c>
      <c r="E153" s="3">
        <v>9901.1904300000006</v>
      </c>
      <c r="F153" s="2">
        <f t="shared" si="10"/>
        <v>-0.42842577281356314</v>
      </c>
      <c r="G153" s="4">
        <v>40322</v>
      </c>
      <c r="H153" s="3">
        <v>9425.5</v>
      </c>
      <c r="I153" s="2">
        <f t="shared" si="11"/>
        <v>-0.38604538844518499</v>
      </c>
      <c r="J153" s="4">
        <v>40322</v>
      </c>
      <c r="K153" s="3">
        <v>3.3010000000000002</v>
      </c>
      <c r="L153" s="2">
        <f t="shared" si="12"/>
        <v>-0.32021276595744685</v>
      </c>
      <c r="M153" s="4">
        <v>40322</v>
      </c>
      <c r="N153" s="3">
        <v>10136.629883</v>
      </c>
      <c r="O153" s="2">
        <f t="shared" si="14"/>
        <v>-0.2465454847240578</v>
      </c>
    </row>
    <row r="154" spans="1:15" x14ac:dyDescent="0.25">
      <c r="A154" s="6">
        <v>40330</v>
      </c>
      <c r="B154" s="3">
        <v>1064.880005</v>
      </c>
      <c r="C154" s="2">
        <f t="shared" si="13"/>
        <v>-0.23827339325769317</v>
      </c>
      <c r="D154" s="4">
        <v>40336</v>
      </c>
      <c r="E154" s="3">
        <v>9705.25</v>
      </c>
      <c r="F154" s="2">
        <f t="shared" si="10"/>
        <v>-0.41136028807659075</v>
      </c>
      <c r="G154" s="4">
        <v>40329</v>
      </c>
      <c r="H154" s="3">
        <v>8923.4003909999992</v>
      </c>
      <c r="I154" s="2">
        <f t="shared" si="11"/>
        <v>-0.34212859764247866</v>
      </c>
      <c r="J154" s="4">
        <v>40330</v>
      </c>
      <c r="K154" s="3">
        <v>3.1949999999999998</v>
      </c>
      <c r="L154" s="2">
        <f t="shared" si="12"/>
        <v>-0.31574468085106383</v>
      </c>
      <c r="M154" s="4">
        <v>40330</v>
      </c>
      <c r="N154" s="3">
        <v>9931.9697269999997</v>
      </c>
      <c r="O154" s="2">
        <f t="shared" si="14"/>
        <v>-0.22537248462794029</v>
      </c>
    </row>
    <row r="155" spans="1:15" x14ac:dyDescent="0.25">
      <c r="A155" s="6">
        <v>40336</v>
      </c>
      <c r="B155" s="3">
        <v>1091.599976</v>
      </c>
      <c r="C155" s="2">
        <f t="shared" si="13"/>
        <v>-0.22019317823999165</v>
      </c>
      <c r="D155" s="4">
        <v>40343</v>
      </c>
      <c r="E155" s="3">
        <v>9995.0195309999999</v>
      </c>
      <c r="F155" s="2">
        <f t="shared" si="10"/>
        <v>-0.42652761404273998</v>
      </c>
      <c r="G155" s="4">
        <v>40336</v>
      </c>
      <c r="H155" s="3">
        <v>9561.7001949999994</v>
      </c>
      <c r="I155" s="2">
        <f t="shared" si="11"/>
        <v>-0.31391261094190698</v>
      </c>
      <c r="J155" s="4">
        <v>40336</v>
      </c>
      <c r="K155" s="3">
        <v>3.2160000000000002</v>
      </c>
      <c r="L155" s="2">
        <f t="shared" si="12"/>
        <v>-0.31425531914893623</v>
      </c>
      <c r="M155" s="4">
        <v>40336</v>
      </c>
      <c r="N155" s="3">
        <v>10211.070312</v>
      </c>
      <c r="O155" s="2">
        <f t="shared" si="14"/>
        <v>-0.20719838594536386</v>
      </c>
    </row>
    <row r="156" spans="1:15" x14ac:dyDescent="0.25">
      <c r="A156" s="6">
        <v>40343</v>
      </c>
      <c r="B156" s="3">
        <v>1117.51001</v>
      </c>
      <c r="C156" s="2">
        <f t="shared" si="13"/>
        <v>-0.24862883224072885</v>
      </c>
      <c r="D156" s="4">
        <v>40350</v>
      </c>
      <c r="E156" s="3">
        <v>9737.4804690000001</v>
      </c>
      <c r="F156" s="2">
        <f t="shared" si="10"/>
        <v>-0.45796312220636393</v>
      </c>
      <c r="G156" s="4">
        <v>40343</v>
      </c>
      <c r="H156" s="3">
        <v>9971.7998050000006</v>
      </c>
      <c r="I156" s="2">
        <f t="shared" si="11"/>
        <v>-0.34396564485894066</v>
      </c>
      <c r="J156" s="4">
        <v>40343</v>
      </c>
      <c r="K156" s="3">
        <v>3.2229999999999999</v>
      </c>
      <c r="L156" s="2">
        <f t="shared" si="12"/>
        <v>-0.33765957446808514</v>
      </c>
      <c r="M156" s="4">
        <v>40343</v>
      </c>
      <c r="N156" s="3">
        <v>10450.639648</v>
      </c>
      <c r="O156" s="2">
        <f t="shared" si="14"/>
        <v>-0.23047498807425498</v>
      </c>
    </row>
    <row r="157" spans="1:15" x14ac:dyDescent="0.25">
      <c r="A157" s="6">
        <v>40350</v>
      </c>
      <c r="B157" s="3">
        <v>1076.76001</v>
      </c>
      <c r="C157" s="2">
        <f t="shared" si="13"/>
        <v>-0.2864360355465046</v>
      </c>
      <c r="D157" s="4">
        <v>40357</v>
      </c>
      <c r="E157" s="3">
        <v>9203.7099610000005</v>
      </c>
      <c r="F157" s="2">
        <f t="shared" si="10"/>
        <v>-0.43548882824596419</v>
      </c>
      <c r="G157" s="4">
        <v>40350</v>
      </c>
      <c r="H157" s="3">
        <v>9535</v>
      </c>
      <c r="I157" s="2">
        <f t="shared" si="11"/>
        <v>-0.36351940381623354</v>
      </c>
      <c r="J157" s="4">
        <v>40350</v>
      </c>
      <c r="K157" s="3">
        <v>3.113</v>
      </c>
      <c r="L157" s="2">
        <f t="shared" si="12"/>
        <v>-0.36617021276595746</v>
      </c>
      <c r="M157" s="4">
        <v>40350</v>
      </c>
      <c r="N157" s="3">
        <v>10143.809569999999</v>
      </c>
      <c r="O157" s="2">
        <f t="shared" si="14"/>
        <v>-0.26516867780417908</v>
      </c>
    </row>
    <row r="158" spans="1:15" x14ac:dyDescent="0.25">
      <c r="A158" s="6">
        <v>40357</v>
      </c>
      <c r="B158" s="3">
        <v>1022.580017</v>
      </c>
      <c r="C158" s="2">
        <f t="shared" si="13"/>
        <v>-0.24779149748112539</v>
      </c>
      <c r="D158" s="4">
        <v>40364</v>
      </c>
      <c r="E158" s="3">
        <v>9585.3203119999998</v>
      </c>
      <c r="F158" s="2">
        <f t="shared" si="10"/>
        <v>-0.44591058475712497</v>
      </c>
      <c r="G158" s="4">
        <v>40357</v>
      </c>
      <c r="H158" s="3">
        <v>9250.7998050000006</v>
      </c>
      <c r="I158" s="2">
        <f t="shared" si="11"/>
        <v>-0.30321378113336639</v>
      </c>
      <c r="J158" s="4">
        <v>40357</v>
      </c>
      <c r="K158" s="3">
        <v>2.9790000000000001</v>
      </c>
      <c r="L158" s="2">
        <f t="shared" si="12"/>
        <v>-0.34978723404255319</v>
      </c>
      <c r="M158" s="4">
        <v>40357</v>
      </c>
      <c r="N158" s="3">
        <v>9686.4804690000001</v>
      </c>
      <c r="O158" s="2">
        <f t="shared" si="14"/>
        <v>-0.22636172206361377</v>
      </c>
    </row>
    <row r="159" spans="1:15" x14ac:dyDescent="0.25">
      <c r="A159" s="6">
        <v>40365</v>
      </c>
      <c r="B159" s="3">
        <v>1077.959961</v>
      </c>
      <c r="C159" s="2">
        <f t="shared" si="13"/>
        <v>-0.25691878835623871</v>
      </c>
      <c r="D159" s="4">
        <v>40371</v>
      </c>
      <c r="E159" s="3">
        <v>9408.3603519999997</v>
      </c>
      <c r="F159" s="2">
        <f t="shared" si="10"/>
        <v>-0.4445796191406915</v>
      </c>
      <c r="G159" s="4">
        <v>40364</v>
      </c>
      <c r="H159" s="3">
        <v>10127.299805000001</v>
      </c>
      <c r="I159" s="2">
        <f t="shared" si="11"/>
        <v>-0.3125434091043921</v>
      </c>
      <c r="J159" s="4">
        <v>40365</v>
      </c>
      <c r="K159" s="3">
        <v>3.056</v>
      </c>
      <c r="L159" s="2">
        <f t="shared" si="12"/>
        <v>-0.37468085106382981</v>
      </c>
      <c r="M159" s="4">
        <v>40365</v>
      </c>
      <c r="N159" s="3">
        <v>10198.030273</v>
      </c>
      <c r="O159" s="2">
        <f t="shared" si="14"/>
        <v>-0.23395772907739432</v>
      </c>
    </row>
    <row r="160" spans="1:15" x14ac:dyDescent="0.25">
      <c r="A160" s="6">
        <v>40371</v>
      </c>
      <c r="B160" s="3">
        <v>1064.880005</v>
      </c>
      <c r="C160" s="2">
        <f t="shared" si="13"/>
        <v>-0.23055560227570332</v>
      </c>
      <c r="D160" s="4">
        <v>40379</v>
      </c>
      <c r="E160" s="3">
        <v>9430.9599610000005</v>
      </c>
      <c r="F160" s="2">
        <f t="shared" si="10"/>
        <v>-0.43831691450624866</v>
      </c>
      <c r="G160" s="4">
        <v>40371</v>
      </c>
      <c r="H160" s="3">
        <v>9991.7001949999994</v>
      </c>
      <c r="I160" s="2">
        <f t="shared" si="11"/>
        <v>-0.28526311316171454</v>
      </c>
      <c r="J160" s="4">
        <v>40371</v>
      </c>
      <c r="K160" s="3">
        <v>2.9390000000000001</v>
      </c>
      <c r="L160" s="2">
        <f t="shared" si="12"/>
        <v>-0.3629787234042553</v>
      </c>
      <c r="M160" s="4">
        <v>40371</v>
      </c>
      <c r="N160" s="3">
        <v>10097.900390999999</v>
      </c>
      <c r="O160" s="2">
        <f t="shared" si="14"/>
        <v>-0.20917226762806951</v>
      </c>
    </row>
    <row r="161" spans="1:15" x14ac:dyDescent="0.25">
      <c r="A161" s="6">
        <v>40378</v>
      </c>
      <c r="B161" s="3">
        <v>1102.660034</v>
      </c>
      <c r="C161" s="2">
        <f t="shared" si="13"/>
        <v>-0.23129531865628528</v>
      </c>
      <c r="D161" s="4">
        <v>40385</v>
      </c>
      <c r="E161" s="3">
        <v>9537.2998050000006</v>
      </c>
      <c r="F161" s="2">
        <f t="shared" si="10"/>
        <v>-0.43214370013002534</v>
      </c>
      <c r="G161" s="4">
        <v>40378</v>
      </c>
      <c r="H161" s="3">
        <v>10388.200194999999</v>
      </c>
      <c r="I161" s="2">
        <f t="shared" si="11"/>
        <v>-0.27758475152769835</v>
      </c>
      <c r="J161" s="4">
        <v>40378</v>
      </c>
      <c r="K161" s="3">
        <v>2.9940000000000002</v>
      </c>
      <c r="L161" s="2">
        <f t="shared" si="12"/>
        <v>-0.38148936170212766</v>
      </c>
      <c r="M161" s="4">
        <v>40378</v>
      </c>
      <c r="N161" s="3">
        <v>10424.620117</v>
      </c>
      <c r="O161" s="2">
        <f t="shared" si="14"/>
        <v>-0.2060376450649509</v>
      </c>
    </row>
    <row r="162" spans="1:15" x14ac:dyDescent="0.25">
      <c r="A162" s="6">
        <v>40385</v>
      </c>
      <c r="B162" s="3">
        <v>1101.599976</v>
      </c>
      <c r="C162" s="2">
        <f t="shared" si="13"/>
        <v>-0.21731122994057292</v>
      </c>
      <c r="D162" s="4">
        <v>40392</v>
      </c>
      <c r="E162" s="3">
        <v>9642.1201170000004</v>
      </c>
      <c r="F162" s="2">
        <f t="shared" si="10"/>
        <v>-0.45503318039110674</v>
      </c>
      <c r="G162" s="4">
        <v>40385</v>
      </c>
      <c r="H162" s="3">
        <v>10499.799805000001</v>
      </c>
      <c r="I162" s="2">
        <f t="shared" si="11"/>
        <v>-0.26717490681347617</v>
      </c>
      <c r="J162" s="4">
        <v>40385</v>
      </c>
      <c r="K162" s="3">
        <v>2.907</v>
      </c>
      <c r="L162" s="2">
        <f t="shared" si="12"/>
        <v>-0.3991489361702128</v>
      </c>
      <c r="M162" s="4">
        <v>40385</v>
      </c>
      <c r="N162" s="3">
        <v>10465.940430000001</v>
      </c>
      <c r="O162" s="2">
        <f t="shared" si="14"/>
        <v>-0.19180456823620309</v>
      </c>
    </row>
    <row r="163" spans="1:15" x14ac:dyDescent="0.25">
      <c r="A163" s="6">
        <v>40392</v>
      </c>
      <c r="B163" s="3">
        <v>1121.6400149999999</v>
      </c>
      <c r="C163" s="2">
        <f t="shared" si="13"/>
        <v>-0.24689129864305284</v>
      </c>
      <c r="D163" s="4">
        <v>40399</v>
      </c>
      <c r="E163" s="3">
        <v>9253.4599610000005</v>
      </c>
      <c r="F163" s="2">
        <f t="shared" si="10"/>
        <v>-0.45939600085763377</v>
      </c>
      <c r="G163" s="4">
        <v>40392</v>
      </c>
      <c r="H163" s="3">
        <v>10651.099609000001</v>
      </c>
      <c r="I163" s="2">
        <f t="shared" si="11"/>
        <v>-0.29299657067312024</v>
      </c>
      <c r="J163" s="4">
        <v>40392</v>
      </c>
      <c r="K163" s="3">
        <v>2.8239999999999998</v>
      </c>
      <c r="L163" s="2">
        <f t="shared" si="12"/>
        <v>-0.4280851063829787</v>
      </c>
      <c r="M163" s="4">
        <v>40392</v>
      </c>
      <c r="N163" s="3">
        <v>10653.559569999999</v>
      </c>
      <c r="O163" s="2">
        <f t="shared" si="14"/>
        <v>-0.21838714806364218</v>
      </c>
    </row>
    <row r="164" spans="1:15" x14ac:dyDescent="0.25">
      <c r="A164" s="6">
        <v>40399</v>
      </c>
      <c r="B164" s="3">
        <v>1079.25</v>
      </c>
      <c r="C164" s="2">
        <f t="shared" si="13"/>
        <v>-0.25216676421235729</v>
      </c>
      <c r="D164" s="4">
        <v>40406</v>
      </c>
      <c r="E164" s="3">
        <v>9179.3798829999996</v>
      </c>
      <c r="F164" s="2">
        <f t="shared" si="10"/>
        <v>-0.47048680607815696</v>
      </c>
      <c r="G164" s="4">
        <v>40399</v>
      </c>
      <c r="H164" s="3">
        <v>10275.799805000001</v>
      </c>
      <c r="I164" s="2">
        <f t="shared" si="11"/>
        <v>-0.3054842723467544</v>
      </c>
      <c r="J164" s="4">
        <v>40399</v>
      </c>
      <c r="K164" s="3">
        <v>2.6880000000000002</v>
      </c>
      <c r="L164" s="2">
        <f t="shared" si="12"/>
        <v>-0.44425531914893618</v>
      </c>
      <c r="M164" s="4">
        <v>40399</v>
      </c>
      <c r="N164" s="3">
        <v>10303.150390999999</v>
      </c>
      <c r="O164" s="2">
        <f t="shared" si="14"/>
        <v>-0.22517905249482567</v>
      </c>
    </row>
    <row r="165" spans="1:15" x14ac:dyDescent="0.25">
      <c r="A165" s="6">
        <v>40406</v>
      </c>
      <c r="B165" s="3">
        <v>1071.6899410000001</v>
      </c>
      <c r="C165" s="2">
        <f t="shared" si="13"/>
        <v>-0.25712117973417048</v>
      </c>
      <c r="D165" s="4">
        <v>40413</v>
      </c>
      <c r="E165" s="3">
        <v>8991.0595699999994</v>
      </c>
      <c r="F165" s="2">
        <f t="shared" si="10"/>
        <v>-0.4632387888665892</v>
      </c>
      <c r="G165" s="4">
        <v>40406</v>
      </c>
      <c r="H165" s="3">
        <v>10094.299805000001</v>
      </c>
      <c r="I165" s="2">
        <f t="shared" si="11"/>
        <v>-0.30177577653180943</v>
      </c>
      <c r="J165" s="4">
        <v>40406</v>
      </c>
      <c r="K165" s="3">
        <v>2.6120000000000001</v>
      </c>
      <c r="L165" s="2">
        <f t="shared" si="12"/>
        <v>-0.43574468085106383</v>
      </c>
      <c r="M165" s="4">
        <v>40406</v>
      </c>
      <c r="N165" s="3">
        <v>10213.620117</v>
      </c>
      <c r="O165" s="2">
        <f t="shared" si="14"/>
        <v>-0.22995603286070529</v>
      </c>
    </row>
    <row r="166" spans="1:15" x14ac:dyDescent="0.25">
      <c r="A166" s="6">
        <v>40413</v>
      </c>
      <c r="B166" s="3">
        <v>1064.589966</v>
      </c>
      <c r="C166" s="2">
        <f t="shared" si="13"/>
        <v>-0.22926467522182192</v>
      </c>
      <c r="D166" s="4">
        <v>40420</v>
      </c>
      <c r="E166" s="3">
        <v>9114.1298829999996</v>
      </c>
      <c r="F166" s="2">
        <f t="shared" si="10"/>
        <v>-0.45587476798523258</v>
      </c>
      <c r="G166" s="4">
        <v>40413</v>
      </c>
      <c r="H166" s="3">
        <v>10148.200194999999</v>
      </c>
      <c r="I166" s="2">
        <f t="shared" si="11"/>
        <v>-0.27073195591068938</v>
      </c>
      <c r="J166" s="4">
        <v>40413</v>
      </c>
      <c r="K166" s="3">
        <v>2.6520000000000001</v>
      </c>
      <c r="L166" s="2">
        <f t="shared" si="12"/>
        <v>-0.42425531914893622</v>
      </c>
      <c r="M166" s="4">
        <v>40413</v>
      </c>
      <c r="N166" s="3">
        <v>10150.650390999999</v>
      </c>
      <c r="O166" s="2">
        <f t="shared" si="14"/>
        <v>-0.20740396768336158</v>
      </c>
    </row>
    <row r="167" spans="1:15" x14ac:dyDescent="0.25">
      <c r="A167" s="6">
        <v>40420</v>
      </c>
      <c r="B167" s="3">
        <v>1104.51001</v>
      </c>
      <c r="C167" s="2">
        <f t="shared" si="13"/>
        <v>-0.22574769840822143</v>
      </c>
      <c r="D167" s="4">
        <v>40427</v>
      </c>
      <c r="E167" s="3">
        <v>9239.1699219999991</v>
      </c>
      <c r="F167" s="2">
        <f t="shared" si="10"/>
        <v>-0.43308777585208946</v>
      </c>
      <c r="G167" s="4">
        <v>40420</v>
      </c>
      <c r="H167" s="3">
        <v>10599.400390999999</v>
      </c>
      <c r="I167" s="2">
        <f t="shared" si="11"/>
        <v>-0.26452600039785679</v>
      </c>
      <c r="J167" s="4">
        <v>40420</v>
      </c>
      <c r="K167" s="3">
        <v>2.706</v>
      </c>
      <c r="L167" s="2">
        <f t="shared" si="12"/>
        <v>-0.40531914893617027</v>
      </c>
      <c r="M167" s="4">
        <v>40420</v>
      </c>
      <c r="N167" s="3">
        <v>10447.929688</v>
      </c>
      <c r="O167" s="2">
        <f t="shared" si="14"/>
        <v>-0.20627819434517469</v>
      </c>
    </row>
    <row r="168" spans="1:15" x14ac:dyDescent="0.25">
      <c r="A168" s="6">
        <v>40428</v>
      </c>
      <c r="B168" s="3">
        <v>1109.5500489999999</v>
      </c>
      <c r="C168" s="2">
        <f t="shared" si="13"/>
        <v>-0.21455492466558229</v>
      </c>
      <c r="D168" s="4">
        <v>40434</v>
      </c>
      <c r="E168" s="3">
        <v>9626.0898440000001</v>
      </c>
      <c r="F168" s="2">
        <f t="shared" si="10"/>
        <v>-0.44218207507975904</v>
      </c>
      <c r="G168" s="4">
        <v>40427</v>
      </c>
      <c r="H168" s="3">
        <v>10689.599609000001</v>
      </c>
      <c r="I168" s="2">
        <f t="shared" si="11"/>
        <v>-0.271475079566105</v>
      </c>
      <c r="J168" s="4">
        <v>40428</v>
      </c>
      <c r="K168" s="3">
        <v>2.7949999999999999</v>
      </c>
      <c r="L168" s="2">
        <f t="shared" si="12"/>
        <v>-0.41574468085106386</v>
      </c>
      <c r="M168" s="4">
        <v>40428</v>
      </c>
      <c r="N168" s="3">
        <v>10462.769531</v>
      </c>
      <c r="O168" s="2">
        <f t="shared" si="14"/>
        <v>-0.19527219625513575</v>
      </c>
    </row>
    <row r="169" spans="1:15" x14ac:dyDescent="0.25">
      <c r="A169" s="6">
        <v>40434</v>
      </c>
      <c r="B169" s="3">
        <v>1125.589966</v>
      </c>
      <c r="C169" s="2">
        <f t="shared" si="13"/>
        <v>-0.19844947405655103</v>
      </c>
      <c r="D169" s="4">
        <v>40442</v>
      </c>
      <c r="E169" s="3">
        <v>9471.6699219999991</v>
      </c>
      <c r="F169" s="2">
        <f t="shared" si="10"/>
        <v>-0.44615380720725195</v>
      </c>
      <c r="G169" s="4">
        <v>40434</v>
      </c>
      <c r="H169" s="3">
        <v>10588.599609000001</v>
      </c>
      <c r="I169" s="2">
        <f t="shared" si="11"/>
        <v>-0.26191149536425845</v>
      </c>
      <c r="J169" s="4">
        <v>40434</v>
      </c>
      <c r="K169" s="3">
        <v>2.746</v>
      </c>
      <c r="L169" s="2">
        <f t="shared" si="12"/>
        <v>-0.44425531914893618</v>
      </c>
      <c r="M169" s="4">
        <v>40434</v>
      </c>
      <c r="N169" s="3">
        <v>10607.849609000001</v>
      </c>
      <c r="O169" s="2">
        <f t="shared" si="14"/>
        <v>-0.17612397312109254</v>
      </c>
    </row>
    <row r="170" spans="1:15" x14ac:dyDescent="0.25">
      <c r="A170" s="6">
        <v>40441</v>
      </c>
      <c r="B170" s="3">
        <v>1148.670044</v>
      </c>
      <c r="C170" s="2">
        <f t="shared" si="13"/>
        <v>-0.20014518386629593</v>
      </c>
      <c r="D170" s="4">
        <v>40448</v>
      </c>
      <c r="E170" s="3">
        <v>9404.2304690000001</v>
      </c>
      <c r="F170" s="2">
        <f t="shared" si="10"/>
        <v>-0.43527919335315463</v>
      </c>
      <c r="G170" s="4">
        <v>40441</v>
      </c>
      <c r="H170" s="3">
        <v>10727.599609000001</v>
      </c>
      <c r="I170" s="2">
        <f t="shared" si="11"/>
        <v>-0.28100426238593057</v>
      </c>
      <c r="J170" s="4">
        <v>40441</v>
      </c>
      <c r="K170" s="3">
        <v>2.6120000000000001</v>
      </c>
      <c r="L170" s="2">
        <f t="shared" si="12"/>
        <v>-0.46255319148936175</v>
      </c>
      <c r="M170" s="4">
        <v>40441</v>
      </c>
      <c r="N170" s="3">
        <v>10860.259765999999</v>
      </c>
      <c r="O170" s="2">
        <f t="shared" si="14"/>
        <v>-0.1784438249208774</v>
      </c>
    </row>
    <row r="171" spans="1:15" x14ac:dyDescent="0.25">
      <c r="A171" s="6">
        <v>40448</v>
      </c>
      <c r="B171" s="3">
        <v>1146.23999</v>
      </c>
      <c r="C171" s="2">
        <f t="shared" si="13"/>
        <v>-0.18694962106957996</v>
      </c>
      <c r="D171" s="4">
        <v>40455</v>
      </c>
      <c r="E171" s="3">
        <v>9588.8798829999996</v>
      </c>
      <c r="F171" s="2">
        <f t="shared" si="10"/>
        <v>-0.44049889989150748</v>
      </c>
      <c r="G171" s="4">
        <v>40448</v>
      </c>
      <c r="H171" s="3">
        <v>10450.099609000001</v>
      </c>
      <c r="I171" s="2">
        <f t="shared" si="11"/>
        <v>-0.26237934067440272</v>
      </c>
      <c r="J171" s="4">
        <v>40448</v>
      </c>
      <c r="K171" s="3">
        <v>2.5259999999999998</v>
      </c>
      <c r="L171" s="2">
        <f t="shared" si="12"/>
        <v>-0.493404255319149</v>
      </c>
      <c r="M171" s="4">
        <v>40448</v>
      </c>
      <c r="N171" s="3">
        <v>10829.679688</v>
      </c>
      <c r="O171" s="2">
        <f t="shared" si="14"/>
        <v>-0.16503144546238704</v>
      </c>
    </row>
    <row r="172" spans="1:15" x14ac:dyDescent="0.25">
      <c r="A172" s="6">
        <v>40455</v>
      </c>
      <c r="B172" s="3">
        <v>1165.150024</v>
      </c>
      <c r="C172" s="2">
        <f t="shared" si="13"/>
        <v>-0.17924588462764479</v>
      </c>
      <c r="D172" s="4">
        <v>40463</v>
      </c>
      <c r="E172" s="3">
        <v>9500.25</v>
      </c>
      <c r="F172" s="2">
        <f t="shared" si="10"/>
        <v>-0.44482991567767327</v>
      </c>
      <c r="G172" s="4">
        <v>40455</v>
      </c>
      <c r="H172" s="3">
        <v>10720.799805000001</v>
      </c>
      <c r="I172" s="2">
        <f t="shared" si="11"/>
        <v>-0.25223778642152489</v>
      </c>
      <c r="J172" s="4">
        <v>40455</v>
      </c>
      <c r="K172" s="3">
        <v>2.3809999999999998</v>
      </c>
      <c r="L172" s="2">
        <f t="shared" si="12"/>
        <v>-0.45191489361702131</v>
      </c>
      <c r="M172" s="4">
        <v>40455</v>
      </c>
      <c r="N172" s="3">
        <v>11006.480469</v>
      </c>
      <c r="O172" s="2">
        <f t="shared" si="14"/>
        <v>-0.16076045564879207</v>
      </c>
    </row>
    <row r="173" spans="1:15" x14ac:dyDescent="0.25">
      <c r="A173" s="6">
        <v>40462</v>
      </c>
      <c r="B173" s="3">
        <v>1176.1899410000001</v>
      </c>
      <c r="C173" s="2">
        <f t="shared" si="13"/>
        <v>-0.1744379807601629</v>
      </c>
      <c r="D173" s="4">
        <v>40469</v>
      </c>
      <c r="E173" s="3">
        <v>9426.7099610000005</v>
      </c>
      <c r="F173" s="2">
        <f t="shared" si="10"/>
        <v>-0.45803731398688341</v>
      </c>
      <c r="G173" s="4">
        <v>40462</v>
      </c>
      <c r="H173" s="3">
        <v>10868.200194999999</v>
      </c>
      <c r="I173" s="2">
        <f t="shared" si="11"/>
        <v>-0.24834357680982211</v>
      </c>
      <c r="J173" s="4">
        <v>40463</v>
      </c>
      <c r="K173" s="3">
        <v>2.5760000000000001</v>
      </c>
      <c r="L173" s="2">
        <f t="shared" si="12"/>
        <v>-0.45468085106382977</v>
      </c>
      <c r="M173" s="4">
        <v>40462</v>
      </c>
      <c r="N173" s="3">
        <v>11062.780273</v>
      </c>
      <c r="O173" s="2">
        <f t="shared" si="14"/>
        <v>-0.15546689074247705</v>
      </c>
    </row>
    <row r="174" spans="1:15" x14ac:dyDescent="0.25">
      <c r="A174" s="6">
        <v>40469</v>
      </c>
      <c r="B174" s="3">
        <v>1183.079956</v>
      </c>
      <c r="C174" s="2">
        <f t="shared" si="13"/>
        <v>-0.17431233773573473</v>
      </c>
      <c r="D174" s="4">
        <v>40476</v>
      </c>
      <c r="E174" s="3">
        <v>9202.4501949999994</v>
      </c>
      <c r="F174" s="2">
        <f t="shared" si="10"/>
        <v>-0.43309364221398322</v>
      </c>
      <c r="G174" s="4">
        <v>40469</v>
      </c>
      <c r="H174" s="3">
        <v>10924.799805000001</v>
      </c>
      <c r="I174" s="2">
        <f t="shared" si="11"/>
        <v>-0.25604256578770918</v>
      </c>
      <c r="J174" s="4">
        <v>40469</v>
      </c>
      <c r="K174" s="3">
        <v>2.5630000000000002</v>
      </c>
      <c r="L174" s="2">
        <f t="shared" si="12"/>
        <v>-0.44425531914893618</v>
      </c>
      <c r="M174" s="4">
        <v>40469</v>
      </c>
      <c r="N174" s="3">
        <v>11132.559569999999</v>
      </c>
      <c r="O174" s="2">
        <f t="shared" si="14"/>
        <v>-0.15653421223333053</v>
      </c>
    </row>
    <row r="175" spans="1:15" x14ac:dyDescent="0.25">
      <c r="A175" s="6">
        <v>40476</v>
      </c>
      <c r="B175" s="3">
        <v>1183.26001</v>
      </c>
      <c r="C175" s="2">
        <f t="shared" si="13"/>
        <v>-0.14459274173379216</v>
      </c>
      <c r="D175" s="4">
        <v>40483</v>
      </c>
      <c r="E175" s="3">
        <v>9625.9902340000008</v>
      </c>
      <c r="F175" s="2">
        <f t="shared" si="10"/>
        <v>-0.42727384513453903</v>
      </c>
      <c r="G175" s="4">
        <v>40476</v>
      </c>
      <c r="H175" s="3">
        <v>10812.900390999999</v>
      </c>
      <c r="I175" s="2">
        <f t="shared" si="11"/>
        <v>-0.28251792319485591</v>
      </c>
      <c r="J175" s="4">
        <v>40476</v>
      </c>
      <c r="K175" s="3">
        <v>2.6120000000000001</v>
      </c>
      <c r="L175" s="2">
        <f t="shared" si="12"/>
        <v>-0.4604255319148936</v>
      </c>
      <c r="M175" s="4">
        <v>40476</v>
      </c>
      <c r="N175" s="3">
        <v>11118.490234000001</v>
      </c>
      <c r="O175" s="2">
        <f t="shared" si="14"/>
        <v>-0.13183446537215188</v>
      </c>
    </row>
    <row r="176" spans="1:15" x14ac:dyDescent="0.25">
      <c r="A176" s="6">
        <v>40483</v>
      </c>
      <c r="B176" s="3">
        <v>1225.849976</v>
      </c>
      <c r="C176" s="2">
        <f t="shared" si="13"/>
        <v>-0.16318234293905465</v>
      </c>
      <c r="D176" s="4">
        <v>40490</v>
      </c>
      <c r="E176" s="3">
        <v>9724.8095699999994</v>
      </c>
      <c r="F176" s="2">
        <f t="shared" si="10"/>
        <v>-0.40974837148791166</v>
      </c>
      <c r="G176" s="4">
        <v>40483</v>
      </c>
      <c r="H176" s="3">
        <v>10428.099609000001</v>
      </c>
      <c r="I176" s="2">
        <f t="shared" si="11"/>
        <v>-0.29636790611118125</v>
      </c>
      <c r="J176" s="4">
        <v>40483</v>
      </c>
      <c r="K176" s="3">
        <v>2.536</v>
      </c>
      <c r="L176" s="2">
        <f t="shared" si="12"/>
        <v>-0.41361702127659583</v>
      </c>
      <c r="M176" s="4">
        <v>40483</v>
      </c>
      <c r="N176" s="3">
        <v>11444.080078000001</v>
      </c>
      <c r="O176" s="2">
        <f t="shared" si="14"/>
        <v>-0.15091364259484938</v>
      </c>
    </row>
    <row r="177" spans="1:15" x14ac:dyDescent="0.25">
      <c r="A177" s="6">
        <v>40490</v>
      </c>
      <c r="B177" s="3">
        <v>1199.209961</v>
      </c>
      <c r="C177" s="2">
        <f t="shared" si="13"/>
        <v>-0.16281946980143969</v>
      </c>
      <c r="D177" s="4">
        <v>40497</v>
      </c>
      <c r="E177" s="3">
        <v>10022.389648</v>
      </c>
      <c r="F177" s="2">
        <f t="shared" si="10"/>
        <v>-0.40873717807218296</v>
      </c>
      <c r="G177" s="4">
        <v>40490</v>
      </c>
      <c r="H177" s="3">
        <v>10226.799805000001</v>
      </c>
      <c r="I177" s="2">
        <f t="shared" si="11"/>
        <v>-0.29327863517261477</v>
      </c>
      <c r="J177" s="4">
        <v>40490</v>
      </c>
      <c r="K177" s="3">
        <v>2.7559999999999998</v>
      </c>
      <c r="L177" s="2">
        <f t="shared" si="12"/>
        <v>-0.38829787234042556</v>
      </c>
      <c r="M177" s="4">
        <v>40490</v>
      </c>
      <c r="N177" s="3">
        <v>11192.580078000001</v>
      </c>
      <c r="O177" s="2">
        <f t="shared" si="14"/>
        <v>-0.15008146221505769</v>
      </c>
    </row>
    <row r="178" spans="1:15" x14ac:dyDescent="0.25">
      <c r="A178" s="6">
        <v>40497</v>
      </c>
      <c r="B178" s="3">
        <v>1199.7299800000001</v>
      </c>
      <c r="C178" s="2">
        <f t="shared" si="13"/>
        <v>-0.17002779016116581</v>
      </c>
      <c r="D178" s="4">
        <v>40504</v>
      </c>
      <c r="E178" s="3">
        <v>10039.559569999999</v>
      </c>
      <c r="F178" s="2">
        <f t="shared" si="10"/>
        <v>-0.40056509967415443</v>
      </c>
      <c r="G178" s="4">
        <v>40497</v>
      </c>
      <c r="H178" s="3">
        <v>10271.700194999999</v>
      </c>
      <c r="I178" s="2">
        <f t="shared" si="11"/>
        <v>-0.34312623772108852</v>
      </c>
      <c r="J178" s="4">
        <v>40497</v>
      </c>
      <c r="K178" s="3">
        <v>2.875</v>
      </c>
      <c r="L178" s="2">
        <f t="shared" si="12"/>
        <v>-0.3906382978723405</v>
      </c>
      <c r="M178" s="4">
        <v>40497</v>
      </c>
      <c r="N178" s="3">
        <v>11203.549805000001</v>
      </c>
      <c r="O178" s="2">
        <f t="shared" si="14"/>
        <v>-0.15855365529469018</v>
      </c>
    </row>
    <row r="179" spans="1:15" x14ac:dyDescent="0.25">
      <c r="A179" s="6">
        <v>40504</v>
      </c>
      <c r="B179" s="3">
        <v>1189.400024</v>
      </c>
      <c r="C179" s="2">
        <f t="shared" si="13"/>
        <v>-0.14538825270546452</v>
      </c>
      <c r="D179" s="4">
        <v>40511</v>
      </c>
      <c r="E179" s="3">
        <v>10178.320312</v>
      </c>
      <c r="F179" s="2">
        <f t="shared" si="10"/>
        <v>-0.39858452479085982</v>
      </c>
      <c r="G179" s="4">
        <v>40504</v>
      </c>
      <c r="H179" s="3">
        <v>9547.2001949999994</v>
      </c>
      <c r="I179" s="2">
        <f t="shared" si="11"/>
        <v>-0.31095409208809832</v>
      </c>
      <c r="J179" s="4">
        <v>40504</v>
      </c>
      <c r="K179" s="3">
        <v>2.8639999999999999</v>
      </c>
      <c r="L179" s="2">
        <f t="shared" si="12"/>
        <v>-0.35808510638297875</v>
      </c>
      <c r="M179" s="4">
        <v>40504</v>
      </c>
      <c r="N179" s="3">
        <v>11091.870117</v>
      </c>
      <c r="O179" s="2">
        <f t="shared" si="14"/>
        <v>-0.13653713996683378</v>
      </c>
    </row>
    <row r="180" spans="1:15" x14ac:dyDescent="0.25">
      <c r="A180" s="6">
        <v>40511</v>
      </c>
      <c r="B180" s="3">
        <v>1224.709961</v>
      </c>
      <c r="C180" s="2">
        <f t="shared" si="13"/>
        <v>-0.13443960969398555</v>
      </c>
      <c r="D180" s="4">
        <v>40518</v>
      </c>
      <c r="E180" s="3">
        <v>10211.950194999999</v>
      </c>
      <c r="F180" s="2">
        <f t="shared" si="10"/>
        <v>-0.3931734150183443</v>
      </c>
      <c r="G180" s="4">
        <v>40511</v>
      </c>
      <c r="H180" s="3">
        <v>10014.799805000001</v>
      </c>
      <c r="I180" s="2">
        <f t="shared" si="11"/>
        <v>-0.30358527574077387</v>
      </c>
      <c r="J180" s="4">
        <v>40511</v>
      </c>
      <c r="K180" s="3">
        <v>3.0169999999999999</v>
      </c>
      <c r="L180" s="2">
        <f t="shared" si="12"/>
        <v>-0.29872340425531924</v>
      </c>
      <c r="M180" s="4">
        <v>40511</v>
      </c>
      <c r="N180" s="3">
        <v>11382.089844</v>
      </c>
      <c r="O180" s="2">
        <f t="shared" si="14"/>
        <v>-0.13439553319923264</v>
      </c>
    </row>
    <row r="181" spans="1:15" x14ac:dyDescent="0.25">
      <c r="A181" s="6">
        <v>40518</v>
      </c>
      <c r="B181" s="3">
        <v>1240.400024</v>
      </c>
      <c r="C181" s="2">
        <f t="shared" si="13"/>
        <v>-0.13199029853081679</v>
      </c>
      <c r="D181" s="4">
        <v>40525</v>
      </c>
      <c r="E181" s="3">
        <v>10303.830078000001</v>
      </c>
      <c r="F181" s="2">
        <f t="shared" si="10"/>
        <v>-0.39462452526936781</v>
      </c>
      <c r="G181" s="4">
        <v>40518</v>
      </c>
      <c r="H181" s="3">
        <v>10121.900390999999</v>
      </c>
      <c r="I181" s="2">
        <f t="shared" si="11"/>
        <v>-0.31898338813714872</v>
      </c>
      <c r="J181" s="4">
        <v>40518</v>
      </c>
      <c r="K181" s="3">
        <v>3.2959999999999998</v>
      </c>
      <c r="L181" s="2">
        <f t="shared" si="12"/>
        <v>-0.29148936170212769</v>
      </c>
      <c r="M181" s="4">
        <v>40518</v>
      </c>
      <c r="N181" s="3">
        <v>11410.320312</v>
      </c>
      <c r="O181" s="2">
        <f t="shared" si="14"/>
        <v>-0.12820600201335494</v>
      </c>
    </row>
    <row r="182" spans="1:15" x14ac:dyDescent="0.25">
      <c r="A182" s="6">
        <v>40525</v>
      </c>
      <c r="B182" s="3">
        <v>1243.910034</v>
      </c>
      <c r="C182" s="2">
        <f t="shared" si="13"/>
        <v>-0.12301650436271072</v>
      </c>
      <c r="D182" s="4">
        <v>40532</v>
      </c>
      <c r="E182" s="3">
        <v>10279.190430000001</v>
      </c>
      <c r="F182" s="2">
        <f t="shared" si="10"/>
        <v>-0.39758512151988895</v>
      </c>
      <c r="G182" s="4">
        <v>40525</v>
      </c>
      <c r="H182" s="3">
        <v>9898.0996090000008</v>
      </c>
      <c r="I182" s="2">
        <f t="shared" si="11"/>
        <v>-0.30461731720140484</v>
      </c>
      <c r="J182" s="4">
        <v>40525</v>
      </c>
      <c r="K182" s="3">
        <v>3.33</v>
      </c>
      <c r="L182" s="2">
        <f t="shared" si="12"/>
        <v>-0.27808510638297879</v>
      </c>
      <c r="M182" s="4">
        <v>40525</v>
      </c>
      <c r="N182" s="3">
        <v>11491.910156</v>
      </c>
      <c r="O182" s="2">
        <f t="shared" si="14"/>
        <v>-0.12201721169127343</v>
      </c>
    </row>
    <row r="183" spans="1:15" x14ac:dyDescent="0.25">
      <c r="A183" s="6">
        <v>40532</v>
      </c>
      <c r="B183" s="3">
        <v>1256.7700199999999</v>
      </c>
      <c r="C183" s="2">
        <f t="shared" si="13"/>
        <v>-0.12240941536142552</v>
      </c>
      <c r="D183" s="4">
        <v>40539</v>
      </c>
      <c r="E183" s="3">
        <v>10228.919921999999</v>
      </c>
      <c r="F183" s="2">
        <f t="shared" si="10"/>
        <v>-0.37920333695343106</v>
      </c>
      <c r="G183" s="4">
        <v>40532</v>
      </c>
      <c r="H183" s="3">
        <v>10106.900390999999</v>
      </c>
      <c r="I183" s="2">
        <f t="shared" si="11"/>
        <v>-0.32166669593478908</v>
      </c>
      <c r="J183" s="4">
        <v>40532</v>
      </c>
      <c r="K183" s="3">
        <v>3.3929999999999998</v>
      </c>
      <c r="L183" s="2">
        <f t="shared" si="12"/>
        <v>-0.29680851063829788</v>
      </c>
      <c r="M183" s="4">
        <v>40532</v>
      </c>
      <c r="N183" s="3">
        <v>11573.490234000001</v>
      </c>
      <c r="O183" s="2">
        <f t="shared" si="14"/>
        <v>-0.12171228380506956</v>
      </c>
    </row>
    <row r="184" spans="1:15" x14ac:dyDescent="0.25">
      <c r="A184" s="6">
        <v>40539</v>
      </c>
      <c r="B184" s="3">
        <v>1257.6400149999999</v>
      </c>
      <c r="C184" s="2">
        <f t="shared" si="13"/>
        <v>-0.11273781443098604</v>
      </c>
      <c r="D184" s="4">
        <v>40547</v>
      </c>
      <c r="E184" s="3">
        <v>10541.040039</v>
      </c>
      <c r="F184" s="2">
        <f t="shared" si="10"/>
        <v>-0.38167685567183918</v>
      </c>
      <c r="G184" s="4">
        <v>40539</v>
      </c>
      <c r="H184" s="3">
        <v>9859.0996090000008</v>
      </c>
      <c r="I184" s="2">
        <f t="shared" si="11"/>
        <v>-0.34219740040652069</v>
      </c>
      <c r="J184" s="4">
        <v>40539</v>
      </c>
      <c r="K184" s="3">
        <v>3.3050000000000002</v>
      </c>
      <c r="L184" s="2">
        <f t="shared" si="12"/>
        <v>-0.29191489361702133</v>
      </c>
      <c r="M184" s="4">
        <v>40539</v>
      </c>
      <c r="N184" s="3">
        <v>11577.509765999999</v>
      </c>
      <c r="O184" s="2">
        <f t="shared" si="14"/>
        <v>-0.11433474907382768</v>
      </c>
    </row>
    <row r="185" spans="1:15" x14ac:dyDescent="0.25">
      <c r="A185" s="6">
        <v>40546</v>
      </c>
      <c r="B185" s="3">
        <v>1271.5</v>
      </c>
      <c r="C185" s="2">
        <f t="shared" si="13"/>
        <v>-9.7567487225599867E-2</v>
      </c>
      <c r="D185" s="4">
        <v>40554</v>
      </c>
      <c r="E185" s="3">
        <v>10499.040039</v>
      </c>
      <c r="F185" s="2">
        <f t="shared" si="10"/>
        <v>-0.39489960993861295</v>
      </c>
      <c r="G185" s="4">
        <v>40546</v>
      </c>
      <c r="H185" s="3">
        <v>9560.7001949999994</v>
      </c>
      <c r="I185" s="2">
        <f t="shared" si="11"/>
        <v>-0.28547644204866457</v>
      </c>
      <c r="J185" s="4">
        <v>40546</v>
      </c>
      <c r="K185" s="3">
        <v>3.3279999999999998</v>
      </c>
      <c r="L185" s="2">
        <f t="shared" si="12"/>
        <v>-0.2908510638297872</v>
      </c>
      <c r="M185" s="4">
        <v>40546</v>
      </c>
      <c r="N185" s="3">
        <v>11674.759765999999</v>
      </c>
      <c r="O185" s="2">
        <f t="shared" si="14"/>
        <v>-0.10579121360232098</v>
      </c>
    </row>
    <row r="186" spans="1:15" x14ac:dyDescent="0.25">
      <c r="A186" s="6">
        <v>40553</v>
      </c>
      <c r="B186" s="3">
        <v>1293.23999</v>
      </c>
      <c r="C186" s="2">
        <f t="shared" si="13"/>
        <v>-0.10446881277569676</v>
      </c>
      <c r="D186" s="4">
        <v>40560</v>
      </c>
      <c r="E186" s="3">
        <v>10274.519531</v>
      </c>
      <c r="F186" s="2">
        <f t="shared" si="10"/>
        <v>-0.3898453682570619</v>
      </c>
      <c r="G186" s="4">
        <v>40553</v>
      </c>
      <c r="H186" s="3">
        <v>10385.099609000001</v>
      </c>
      <c r="I186" s="2">
        <f t="shared" si="11"/>
        <v>-0.25492801481398913</v>
      </c>
      <c r="J186" s="4">
        <v>40553</v>
      </c>
      <c r="K186" s="3">
        <v>3.3330000000000002</v>
      </c>
      <c r="L186" s="2">
        <f t="shared" si="12"/>
        <v>-0.27319148936170218</v>
      </c>
      <c r="M186" s="4">
        <v>40553</v>
      </c>
      <c r="N186" s="3">
        <v>11787.379883</v>
      </c>
      <c r="O186" s="2">
        <f t="shared" si="14"/>
        <v>-9.9383950921839367E-2</v>
      </c>
    </row>
    <row r="187" spans="1:15" x14ac:dyDescent="0.25">
      <c r="A187" s="6">
        <v>40561</v>
      </c>
      <c r="B187" s="3">
        <v>1283.349976</v>
      </c>
      <c r="C187" s="2">
        <f t="shared" si="13"/>
        <v>-0.10936045004935827</v>
      </c>
      <c r="D187" s="4">
        <v>40567</v>
      </c>
      <c r="E187" s="3">
        <v>10360.339844</v>
      </c>
      <c r="F187" s="2">
        <f t="shared" si="10"/>
        <v>-0.37905731148023714</v>
      </c>
      <c r="G187" s="4">
        <v>40560</v>
      </c>
      <c r="H187" s="3">
        <v>10829.099609000001</v>
      </c>
      <c r="I187" s="2">
        <f t="shared" si="11"/>
        <v>-0.26057669483996176</v>
      </c>
      <c r="J187" s="4">
        <v>40561</v>
      </c>
      <c r="K187" s="3">
        <v>3.4159999999999999</v>
      </c>
      <c r="L187" s="2">
        <f t="shared" si="12"/>
        <v>-0.29170212765957448</v>
      </c>
      <c r="M187" s="4">
        <v>40561</v>
      </c>
      <c r="N187" s="3">
        <v>11871.839844</v>
      </c>
      <c r="O187" s="2">
        <f t="shared" si="14"/>
        <v>-0.10303589881332828</v>
      </c>
    </row>
    <row r="188" spans="1:15" x14ac:dyDescent="0.25">
      <c r="A188" s="6">
        <v>40567</v>
      </c>
      <c r="B188" s="3">
        <v>1276.339966</v>
      </c>
      <c r="C188" s="2">
        <f t="shared" si="13"/>
        <v>-8.5265138214280459E-2</v>
      </c>
      <c r="D188" s="4">
        <v>40574</v>
      </c>
      <c r="E188" s="3">
        <v>10543.519531</v>
      </c>
      <c r="F188" s="2">
        <f t="shared" si="10"/>
        <v>-0.37539821992783734</v>
      </c>
      <c r="G188" s="4">
        <v>40567</v>
      </c>
      <c r="H188" s="3">
        <v>10747</v>
      </c>
      <c r="I188" s="2">
        <f t="shared" si="11"/>
        <v>-0.25316662373609272</v>
      </c>
      <c r="J188" s="4">
        <v>40567</v>
      </c>
      <c r="K188" s="3">
        <v>3.3290000000000002</v>
      </c>
      <c r="L188" s="2">
        <f t="shared" si="12"/>
        <v>-0.22297872340425531</v>
      </c>
      <c r="M188" s="4">
        <v>40567</v>
      </c>
      <c r="N188" s="3">
        <v>11823.700194999999</v>
      </c>
      <c r="O188" s="2">
        <f t="shared" si="14"/>
        <v>-8.2670853624652846E-2</v>
      </c>
    </row>
    <row r="189" spans="1:15" x14ac:dyDescent="0.25">
      <c r="A189" s="6">
        <v>40574</v>
      </c>
      <c r="B189" s="3">
        <v>1310.869995</v>
      </c>
      <c r="C189" s="2">
        <f t="shared" si="13"/>
        <v>-7.2509197606490466E-2</v>
      </c>
      <c r="D189" s="4">
        <v>40581</v>
      </c>
      <c r="E189" s="3">
        <v>10605.650390999999</v>
      </c>
      <c r="F189" s="2">
        <f t="shared" si="10"/>
        <v>-0.36143170767572974</v>
      </c>
      <c r="G189" s="4">
        <v>40574</v>
      </c>
      <c r="H189" s="3">
        <v>10854.700194999999</v>
      </c>
      <c r="I189" s="2">
        <f t="shared" si="11"/>
        <v>-0.25668248529706172</v>
      </c>
      <c r="J189" s="4">
        <v>40574</v>
      </c>
      <c r="K189" s="3">
        <v>3.6520000000000001</v>
      </c>
      <c r="L189" s="2">
        <f t="shared" si="12"/>
        <v>-0.22425531914893623</v>
      </c>
      <c r="M189" s="4">
        <v>40574</v>
      </c>
      <c r="N189" s="3">
        <v>12092.150390999999</v>
      </c>
      <c r="O189" s="2">
        <f t="shared" si="14"/>
        <v>-6.8931617591583338E-2</v>
      </c>
    </row>
    <row r="190" spans="1:15" x14ac:dyDescent="0.25">
      <c r="A190" s="6">
        <v>40581</v>
      </c>
      <c r="B190" s="3">
        <v>1329.150024</v>
      </c>
      <c r="C190" s="2">
        <f t="shared" si="13"/>
        <v>-6.2837595978243607E-2</v>
      </c>
      <c r="D190" s="4">
        <v>40588</v>
      </c>
      <c r="E190" s="3">
        <v>10842.799805000001</v>
      </c>
      <c r="F190" s="2">
        <f t="shared" si="10"/>
        <v>-0.38004434939556153</v>
      </c>
      <c r="G190" s="4">
        <v>40581</v>
      </c>
      <c r="H190" s="3">
        <v>10803.599609000001</v>
      </c>
      <c r="I190" s="2">
        <f t="shared" si="11"/>
        <v>-0.23848415420793637</v>
      </c>
      <c r="J190" s="4">
        <v>40581</v>
      </c>
      <c r="K190" s="3">
        <v>3.6459999999999999</v>
      </c>
      <c r="L190" s="2">
        <f t="shared" si="12"/>
        <v>-0.2363829787234043</v>
      </c>
      <c r="M190" s="4">
        <v>40581</v>
      </c>
      <c r="N190" s="3">
        <v>12273.259765999999</v>
      </c>
      <c r="O190" s="2">
        <f t="shared" si="14"/>
        <v>-5.9980696776340547E-2</v>
      </c>
    </row>
    <row r="191" spans="1:15" x14ac:dyDescent="0.25">
      <c r="A191" s="6">
        <v>40588</v>
      </c>
      <c r="B191" s="3">
        <v>1343.01001</v>
      </c>
      <c r="C191" s="2">
        <f t="shared" si="13"/>
        <v>-7.8977886020337368E-2</v>
      </c>
      <c r="D191" s="4">
        <v>40595</v>
      </c>
      <c r="E191" s="3">
        <v>10526.759765999999</v>
      </c>
      <c r="F191" s="2">
        <f t="shared" si="10"/>
        <v>-0.37021503418664209</v>
      </c>
      <c r="G191" s="4">
        <v>40588</v>
      </c>
      <c r="H191" s="3">
        <v>11068.099609000001</v>
      </c>
      <c r="I191" s="2">
        <f t="shared" si="11"/>
        <v>-0.25536831218543871</v>
      </c>
      <c r="J191" s="4">
        <v>40588</v>
      </c>
      <c r="K191" s="3">
        <v>3.589</v>
      </c>
      <c r="L191" s="2">
        <f t="shared" si="12"/>
        <v>-0.27127659574468094</v>
      </c>
      <c r="M191" s="4">
        <v>40588</v>
      </c>
      <c r="N191" s="3">
        <v>12391.25</v>
      </c>
      <c r="O191" s="2">
        <f t="shared" si="14"/>
        <v>-7.9765371524809572E-2</v>
      </c>
    </row>
    <row r="192" spans="1:15" x14ac:dyDescent="0.25">
      <c r="A192" s="6">
        <v>40596</v>
      </c>
      <c r="B192" s="3">
        <v>1319.880005</v>
      </c>
      <c r="C192" s="2">
        <f t="shared" si="13"/>
        <v>-7.8091657287616786E-2</v>
      </c>
      <c r="D192" s="4">
        <v>40602</v>
      </c>
      <c r="E192" s="3">
        <v>10693.660156</v>
      </c>
      <c r="F192" s="2">
        <f t="shared" si="10"/>
        <v>-0.39608276714600293</v>
      </c>
      <c r="G192" s="4">
        <v>40595</v>
      </c>
      <c r="H192" s="3">
        <v>10822.700194999999</v>
      </c>
      <c r="I192" s="2">
        <f t="shared" si="11"/>
        <v>-0.27766040773506673</v>
      </c>
      <c r="J192" s="4">
        <v>40596</v>
      </c>
      <c r="K192" s="3">
        <v>3.4249999999999998</v>
      </c>
      <c r="L192" s="2">
        <f t="shared" si="12"/>
        <v>-0.2570212765957447</v>
      </c>
      <c r="M192" s="4">
        <v>40596</v>
      </c>
      <c r="N192" s="3">
        <v>12130.450194999999</v>
      </c>
      <c r="O192" s="2">
        <f t="shared" si="14"/>
        <v>-7.677417468509716E-2</v>
      </c>
    </row>
    <row r="193" spans="1:15" x14ac:dyDescent="0.25">
      <c r="A193" s="6">
        <v>40602</v>
      </c>
      <c r="B193" s="3">
        <v>1321.150024</v>
      </c>
      <c r="C193" s="2">
        <f t="shared" si="13"/>
        <v>-8.9863665651154612E-2</v>
      </c>
      <c r="D193" s="4">
        <v>40609</v>
      </c>
      <c r="E193" s="3">
        <v>10254.429688</v>
      </c>
      <c r="F193" s="2">
        <f t="shared" si="10"/>
        <v>-0.45778408426895467</v>
      </c>
      <c r="G193" s="4">
        <v>40602</v>
      </c>
      <c r="H193" s="3">
        <v>10498.700194999999</v>
      </c>
      <c r="I193" s="2">
        <f t="shared" si="11"/>
        <v>-0.28456131148314379</v>
      </c>
      <c r="J193" s="4">
        <v>40602</v>
      </c>
      <c r="K193" s="3">
        <v>3.492</v>
      </c>
      <c r="L193" s="2">
        <f t="shared" si="12"/>
        <v>-0.27808510638297879</v>
      </c>
      <c r="M193" s="4">
        <v>40602</v>
      </c>
      <c r="N193" s="3">
        <v>12169.879883</v>
      </c>
      <c r="O193" s="2">
        <f t="shared" si="14"/>
        <v>-8.6293242143077514E-2</v>
      </c>
    </row>
    <row r="194" spans="1:15" x14ac:dyDescent="0.25">
      <c r="A194" s="6">
        <v>40609</v>
      </c>
      <c r="B194" s="3">
        <v>1304.280029</v>
      </c>
      <c r="C194" s="2">
        <f t="shared" si="13"/>
        <v>-0.10735774612779149</v>
      </c>
      <c r="D194" s="4">
        <v>40616</v>
      </c>
      <c r="E194" s="3">
        <v>9206.75</v>
      </c>
      <c r="F194" s="2">
        <f t="shared" si="10"/>
        <v>-0.43838581507686958</v>
      </c>
      <c r="G194" s="4">
        <v>40609</v>
      </c>
      <c r="H194" s="3">
        <v>10398.400390999999</v>
      </c>
      <c r="I194" s="2">
        <f t="shared" si="11"/>
        <v>-0.28937750496608811</v>
      </c>
      <c r="J194" s="4">
        <v>40609</v>
      </c>
      <c r="K194" s="3">
        <v>3.3929999999999998</v>
      </c>
      <c r="L194" s="2">
        <f t="shared" si="12"/>
        <v>-0.30276595744680851</v>
      </c>
      <c r="M194" s="4">
        <v>40609</v>
      </c>
      <c r="N194" s="3">
        <v>12044.400390999999</v>
      </c>
      <c r="O194" s="2">
        <f t="shared" si="14"/>
        <v>-0.10039445037467755</v>
      </c>
    </row>
    <row r="195" spans="1:15" x14ac:dyDescent="0.25">
      <c r="A195" s="6">
        <v>40616</v>
      </c>
      <c r="B195" s="3">
        <v>1279.209961</v>
      </c>
      <c r="C195" s="2">
        <f t="shared" si="13"/>
        <v>-8.3220524674465141E-2</v>
      </c>
      <c r="D195" s="4">
        <v>40624</v>
      </c>
      <c r="E195" s="3">
        <v>9536.1298829999996</v>
      </c>
      <c r="F195" s="2">
        <f t="shared" si="10"/>
        <v>-0.4282408685731533</v>
      </c>
      <c r="G195" s="4">
        <v>40616</v>
      </c>
      <c r="H195" s="3">
        <v>10328.400390999999</v>
      </c>
      <c r="I195" s="2">
        <f t="shared" si="11"/>
        <v>-0.26309484910202052</v>
      </c>
      <c r="J195" s="4">
        <v>40616</v>
      </c>
      <c r="K195" s="3">
        <v>3.2770000000000001</v>
      </c>
      <c r="L195" s="2">
        <f t="shared" si="12"/>
        <v>-0.26723404255319155</v>
      </c>
      <c r="M195" s="4">
        <v>40616</v>
      </c>
      <c r="N195" s="3">
        <v>11858.519531</v>
      </c>
      <c r="O195" s="2">
        <f t="shared" si="14"/>
        <v>-7.2927238967899988E-2</v>
      </c>
    </row>
    <row r="196" spans="1:15" x14ac:dyDescent="0.25">
      <c r="A196" s="6">
        <v>40623</v>
      </c>
      <c r="B196" s="3">
        <v>1313.8000489999999</v>
      </c>
      <c r="C196" s="2">
        <f t="shared" si="13"/>
        <v>-7.0234338308356917E-2</v>
      </c>
      <c r="D196" s="4">
        <v>40630</v>
      </c>
      <c r="E196" s="3">
        <v>9708.3896480000003</v>
      </c>
      <c r="F196" s="2">
        <f t="shared" si="10"/>
        <v>-0.42472550200375253</v>
      </c>
      <c r="G196" s="4">
        <v>40623</v>
      </c>
      <c r="H196" s="3">
        <v>10710.400390999999</v>
      </c>
      <c r="I196" s="2">
        <f t="shared" si="11"/>
        <v>-0.26175319520320028</v>
      </c>
      <c r="J196" s="4">
        <v>40623</v>
      </c>
      <c r="K196" s="3">
        <v>3.444</v>
      </c>
      <c r="L196" s="2">
        <f t="shared" si="12"/>
        <v>-0.26574468085106384</v>
      </c>
      <c r="M196" s="4">
        <v>40623</v>
      </c>
      <c r="N196" s="3">
        <v>12220.589844</v>
      </c>
      <c r="O196" s="2">
        <f t="shared" si="14"/>
        <v>-6.1082985657697139E-2</v>
      </c>
    </row>
    <row r="197" spans="1:15" x14ac:dyDescent="0.25">
      <c r="A197" s="6">
        <v>40630</v>
      </c>
      <c r="B197" s="3">
        <v>1332.410034</v>
      </c>
      <c r="C197" s="2">
        <f t="shared" si="13"/>
        <v>-7.3193034961279282E-2</v>
      </c>
      <c r="D197" s="4">
        <v>40637</v>
      </c>
      <c r="E197" s="3">
        <v>9768.0800780000009</v>
      </c>
      <c r="F197" s="2">
        <f t="shared" si="10"/>
        <v>-0.43512373576415442</v>
      </c>
      <c r="G197" s="4">
        <v>40630</v>
      </c>
      <c r="H197" s="3">
        <v>10729.900390999999</v>
      </c>
      <c r="I197" s="2">
        <f t="shared" si="11"/>
        <v>-0.24914166203963212</v>
      </c>
      <c r="J197" s="4">
        <v>40630</v>
      </c>
      <c r="K197" s="3">
        <v>3.4510000000000001</v>
      </c>
      <c r="L197" s="2">
        <f t="shared" si="12"/>
        <v>-0.24042553191489369</v>
      </c>
      <c r="M197" s="4">
        <v>40630</v>
      </c>
      <c r="N197" s="3">
        <v>12376.719727</v>
      </c>
      <c r="O197" s="2">
        <f t="shared" si="14"/>
        <v>-6.0830360813452909E-2</v>
      </c>
    </row>
    <row r="198" spans="1:15" x14ac:dyDescent="0.25">
      <c r="A198" s="6">
        <v>40637</v>
      </c>
      <c r="B198" s="3">
        <v>1328.170044</v>
      </c>
      <c r="C198" s="2">
        <f t="shared" si="13"/>
        <v>-7.9117413319800017E-2</v>
      </c>
      <c r="D198" s="4">
        <v>40644</v>
      </c>
      <c r="E198" s="3">
        <v>9591.5195309999999</v>
      </c>
      <c r="F198" s="2">
        <f t="shared" ref="F198:F261" si="15">(E199-$E$6)/$E$6</f>
        <v>-0.42978267680735721</v>
      </c>
      <c r="G198" s="4">
        <v>40637</v>
      </c>
      <c r="H198" s="3">
        <v>10913.200194999999</v>
      </c>
      <c r="I198" s="2">
        <f t="shared" ref="I198:I261" si="16">(H199-$H$6)/$H$6</f>
        <v>-0.27353916248736687</v>
      </c>
      <c r="J198" s="4">
        <v>40637</v>
      </c>
      <c r="K198" s="3">
        <v>3.57</v>
      </c>
      <c r="L198" s="2">
        <f t="shared" ref="L198:L261" si="17">(K199-$K$6)/$K$6</f>
        <v>-0.27446808510638299</v>
      </c>
      <c r="M198" s="4">
        <v>40637</v>
      </c>
      <c r="N198" s="3">
        <v>12380.049805000001</v>
      </c>
      <c r="O198" s="2">
        <f t="shared" si="14"/>
        <v>-6.3729768148785365E-2</v>
      </c>
    </row>
    <row r="199" spans="1:15" x14ac:dyDescent="0.25">
      <c r="A199" s="6">
        <v>40644</v>
      </c>
      <c r="B199" s="3">
        <v>1319.6800539999999</v>
      </c>
      <c r="C199" s="2">
        <f t="shared" ref="C199:C262" si="18">(B200-$B$6)/$B$6</f>
        <v>-6.6766255467873542E-2</v>
      </c>
      <c r="D199" s="4">
        <v>40651</v>
      </c>
      <c r="E199" s="3">
        <v>9682.2099610000005</v>
      </c>
      <c r="F199" s="2">
        <f t="shared" si="15"/>
        <v>-0.41991626570817814</v>
      </c>
      <c r="G199" s="4">
        <v>40644</v>
      </c>
      <c r="H199" s="3">
        <v>10558.599609000001</v>
      </c>
      <c r="I199" s="2">
        <f t="shared" si="16"/>
        <v>-0.27178469200429428</v>
      </c>
      <c r="J199" s="4">
        <v>40644</v>
      </c>
      <c r="K199" s="3">
        <v>3.41</v>
      </c>
      <c r="L199" s="2">
        <f t="shared" si="17"/>
        <v>-0.27659574468085113</v>
      </c>
      <c r="M199" s="4">
        <v>40644</v>
      </c>
      <c r="N199" s="3">
        <v>12341.830078000001</v>
      </c>
      <c r="O199" s="2">
        <f t="shared" ref="O199:O262" si="19">(N200-$N$6)/$N$6</f>
        <v>-5.1276325964969588E-2</v>
      </c>
    </row>
    <row r="200" spans="1:15" x14ac:dyDescent="0.25">
      <c r="A200" s="6">
        <v>40651</v>
      </c>
      <c r="B200" s="3">
        <v>1337.380005</v>
      </c>
      <c r="C200" s="2">
        <f t="shared" si="18"/>
        <v>-4.8462779744529789E-2</v>
      </c>
      <c r="D200" s="4">
        <v>40658</v>
      </c>
      <c r="E200" s="3">
        <v>9849.7402340000008</v>
      </c>
      <c r="F200" s="2">
        <f t="shared" si="15"/>
        <v>-0.41935913736034697</v>
      </c>
      <c r="G200" s="4">
        <v>40651</v>
      </c>
      <c r="H200" s="3">
        <v>10584.099609000001</v>
      </c>
      <c r="I200" s="2">
        <f t="shared" si="16"/>
        <v>-0.25150158336093309</v>
      </c>
      <c r="J200" s="4">
        <v>40651</v>
      </c>
      <c r="K200" s="3">
        <v>3.4</v>
      </c>
      <c r="L200" s="2">
        <f t="shared" si="17"/>
        <v>-0.29872340425531924</v>
      </c>
      <c r="M200" s="4">
        <v>40651</v>
      </c>
      <c r="N200" s="3">
        <v>12505.990234000001</v>
      </c>
      <c r="O200" s="2">
        <f t="shared" si="19"/>
        <v>-2.8172708856687521E-2</v>
      </c>
    </row>
    <row r="201" spans="1:15" x14ac:dyDescent="0.25">
      <c r="A201" s="6">
        <v>40658</v>
      </c>
      <c r="B201" s="3">
        <v>1363.6099850000001</v>
      </c>
      <c r="C201" s="2">
        <f t="shared" si="18"/>
        <v>-6.4798476111879319E-2</v>
      </c>
      <c r="D201" s="4">
        <v>40665</v>
      </c>
      <c r="E201" s="3">
        <v>9859.2001949999994</v>
      </c>
      <c r="F201" s="2">
        <f t="shared" si="15"/>
        <v>-0.4317520941777529</v>
      </c>
      <c r="G201" s="4">
        <v>40659</v>
      </c>
      <c r="H201" s="3">
        <v>10878.900390999999</v>
      </c>
      <c r="I201" s="2">
        <f t="shared" si="16"/>
        <v>-0.26996827213170316</v>
      </c>
      <c r="J201" s="4">
        <v>40658</v>
      </c>
      <c r="K201" s="3">
        <v>3.2959999999999998</v>
      </c>
      <c r="L201" s="2">
        <f t="shared" si="17"/>
        <v>-0.32829787234042557</v>
      </c>
      <c r="M201" s="4">
        <v>40658</v>
      </c>
      <c r="N201" s="3">
        <v>12810.540039</v>
      </c>
      <c r="O201" s="2">
        <f t="shared" si="19"/>
        <v>-4.120570657605073E-2</v>
      </c>
    </row>
    <row r="202" spans="1:15" x14ac:dyDescent="0.25">
      <c r="A202" s="6">
        <v>40665</v>
      </c>
      <c r="B202" s="3">
        <v>1340.1999510000001</v>
      </c>
      <c r="C202" s="2">
        <f t="shared" si="18"/>
        <v>-6.6494100091306768E-2</v>
      </c>
      <c r="D202" s="4">
        <v>40672</v>
      </c>
      <c r="E202" s="3">
        <v>9648.7695309999999</v>
      </c>
      <c r="F202" s="2">
        <f t="shared" si="15"/>
        <v>-0.43420732375765031</v>
      </c>
      <c r="G202" s="4">
        <v>40665</v>
      </c>
      <c r="H202" s="3">
        <v>10610.5</v>
      </c>
      <c r="I202" s="2">
        <f t="shared" si="16"/>
        <v>-0.28744417419838686</v>
      </c>
      <c r="J202" s="4">
        <v>40665</v>
      </c>
      <c r="K202" s="3">
        <v>3.157</v>
      </c>
      <c r="L202" s="2">
        <f t="shared" si="17"/>
        <v>-0.32191489361702136</v>
      </c>
      <c r="M202" s="4">
        <v>40665</v>
      </c>
      <c r="N202" s="3">
        <v>12638.740234000001</v>
      </c>
      <c r="O202" s="2">
        <f t="shared" si="19"/>
        <v>-4.4467011917328068E-2</v>
      </c>
    </row>
    <row r="203" spans="1:15" x14ac:dyDescent="0.25">
      <c r="A203" s="6">
        <v>40672</v>
      </c>
      <c r="B203" s="3">
        <v>1337.7700199999999</v>
      </c>
      <c r="C203" s="2">
        <f t="shared" si="18"/>
        <v>-6.9634233661940326E-2</v>
      </c>
      <c r="D203" s="4">
        <v>40679</v>
      </c>
      <c r="E203" s="3">
        <v>9607.0800780000009</v>
      </c>
      <c r="F203" s="2">
        <f t="shared" si="15"/>
        <v>-0.4392214788292379</v>
      </c>
      <c r="G203" s="4">
        <v>40672</v>
      </c>
      <c r="H203" s="3">
        <v>10356.5</v>
      </c>
      <c r="I203" s="2">
        <f t="shared" si="16"/>
        <v>-0.29638168014933142</v>
      </c>
      <c r="J203" s="4">
        <v>40672</v>
      </c>
      <c r="K203" s="3">
        <v>3.1869999999999998</v>
      </c>
      <c r="L203" s="2">
        <f t="shared" si="17"/>
        <v>-0.32936170212765958</v>
      </c>
      <c r="M203" s="4">
        <v>40672</v>
      </c>
      <c r="N203" s="3">
        <v>12595.75</v>
      </c>
      <c r="O203" s="2">
        <f t="shared" si="19"/>
        <v>-5.0817378443070035E-2</v>
      </c>
    </row>
    <row r="204" spans="1:15" x14ac:dyDescent="0.25">
      <c r="A204" s="6">
        <v>40679</v>
      </c>
      <c r="B204" s="3">
        <v>1333.2700199999999</v>
      </c>
      <c r="C204" s="2">
        <f t="shared" si="18"/>
        <v>-7.1148506553974061E-2</v>
      </c>
      <c r="D204" s="4">
        <v>40686</v>
      </c>
      <c r="E204" s="3">
        <v>9521.9404300000006</v>
      </c>
      <c r="F204" s="2">
        <f t="shared" si="15"/>
        <v>-0.44097240434301299</v>
      </c>
      <c r="G204" s="4">
        <v>40679</v>
      </c>
      <c r="H204" s="3">
        <v>10226.599609000001</v>
      </c>
      <c r="I204" s="2">
        <f t="shared" si="16"/>
        <v>-0.29400106419505639</v>
      </c>
      <c r="J204" s="4">
        <v>40679</v>
      </c>
      <c r="K204" s="3">
        <v>3.1520000000000001</v>
      </c>
      <c r="L204" s="2">
        <f t="shared" si="17"/>
        <v>-0.34808510638297874</v>
      </c>
      <c r="M204" s="4">
        <v>40679</v>
      </c>
      <c r="N204" s="3">
        <v>12512.040039</v>
      </c>
      <c r="O204" s="2">
        <f t="shared" si="19"/>
        <v>-5.6162579568411301E-2</v>
      </c>
    </row>
    <row r="205" spans="1:15" x14ac:dyDescent="0.25">
      <c r="A205" s="6">
        <v>40686</v>
      </c>
      <c r="B205" s="3">
        <v>1331.099976</v>
      </c>
      <c r="C205" s="2">
        <f t="shared" si="18"/>
        <v>-9.2738628897897385E-2</v>
      </c>
      <c r="D205" s="4">
        <v>40693</v>
      </c>
      <c r="E205" s="3">
        <v>9492.2099610000005</v>
      </c>
      <c r="F205" s="2">
        <f t="shared" si="15"/>
        <v>-0.43966317860038223</v>
      </c>
      <c r="G205" s="4">
        <v>40686</v>
      </c>
      <c r="H205" s="3">
        <v>10261.200194999999</v>
      </c>
      <c r="I205" s="2">
        <f t="shared" si="16"/>
        <v>-0.29231539647602589</v>
      </c>
      <c r="J205" s="4">
        <v>40686</v>
      </c>
      <c r="K205" s="3">
        <v>3.0640000000000001</v>
      </c>
      <c r="L205" s="2">
        <f t="shared" si="17"/>
        <v>-0.36234042553191492</v>
      </c>
      <c r="M205" s="4">
        <v>40686</v>
      </c>
      <c r="N205" s="3">
        <v>12441.580078000001</v>
      </c>
      <c r="O205" s="2">
        <f t="shared" si="19"/>
        <v>-7.8186725429233814E-2</v>
      </c>
    </row>
    <row r="206" spans="1:15" x14ac:dyDescent="0.25">
      <c r="A206" s="6">
        <v>40694</v>
      </c>
      <c r="B206" s="3">
        <v>1300.160034</v>
      </c>
      <c r="C206" s="2">
        <f t="shared" si="18"/>
        <v>-0.11310068826640841</v>
      </c>
      <c r="D206" s="4">
        <v>40700</v>
      </c>
      <c r="E206" s="3">
        <v>9514.4404300000006</v>
      </c>
      <c r="F206" s="2">
        <f t="shared" si="15"/>
        <v>-0.44926514498887016</v>
      </c>
      <c r="G206" s="4">
        <v>40693</v>
      </c>
      <c r="H206" s="3">
        <v>10285.700194999999</v>
      </c>
      <c r="I206" s="2">
        <f t="shared" si="16"/>
        <v>-0.31535746898679029</v>
      </c>
      <c r="J206" s="4">
        <v>40694</v>
      </c>
      <c r="K206" s="3">
        <v>2.9969999999999999</v>
      </c>
      <c r="L206" s="2">
        <f t="shared" si="17"/>
        <v>-0.36787234042553191</v>
      </c>
      <c r="M206" s="4">
        <v>40694</v>
      </c>
      <c r="N206" s="3">
        <v>12151.259765999999</v>
      </c>
      <c r="O206" s="2">
        <f t="shared" si="19"/>
        <v>-9.3309693773033484E-2</v>
      </c>
    </row>
    <row r="207" spans="1:15" x14ac:dyDescent="0.25">
      <c r="A207" s="6">
        <v>40700</v>
      </c>
      <c r="B207" s="3">
        <v>1270.9799800000001</v>
      </c>
      <c r="C207" s="2">
        <f t="shared" si="18"/>
        <v>-0.11273781443098604</v>
      </c>
      <c r="D207" s="4">
        <v>40707</v>
      </c>
      <c r="E207" s="3">
        <v>9351.4003909999992</v>
      </c>
      <c r="F207" s="2">
        <f t="shared" si="15"/>
        <v>-0.42998880336722456</v>
      </c>
      <c r="G207" s="4">
        <v>40700</v>
      </c>
      <c r="H207" s="3">
        <v>9950.7998050000006</v>
      </c>
      <c r="I207" s="2">
        <f t="shared" si="16"/>
        <v>-0.30267021246435621</v>
      </c>
      <c r="J207" s="4">
        <v>40700</v>
      </c>
      <c r="K207" s="3">
        <v>2.9710000000000001</v>
      </c>
      <c r="L207" s="2">
        <f t="shared" si="17"/>
        <v>-0.3736170212765958</v>
      </c>
      <c r="M207" s="4">
        <v>40700</v>
      </c>
      <c r="N207" s="3">
        <v>11951.910156</v>
      </c>
      <c r="O207" s="2">
        <f t="shared" si="19"/>
        <v>-8.9330741149378556E-2</v>
      </c>
    </row>
    <row r="208" spans="1:15" x14ac:dyDescent="0.25">
      <c r="A208" s="6">
        <v>40707</v>
      </c>
      <c r="B208" s="3">
        <v>1271.5</v>
      </c>
      <c r="C208" s="2">
        <f t="shared" si="18"/>
        <v>-0.11486616137698097</v>
      </c>
      <c r="D208" s="4">
        <v>40714</v>
      </c>
      <c r="E208" s="3">
        <v>9678.7099610000005</v>
      </c>
      <c r="F208" s="2">
        <f t="shared" si="15"/>
        <v>-0.41883674687382388</v>
      </c>
      <c r="G208" s="4">
        <v>40707</v>
      </c>
      <c r="H208" s="3">
        <v>10135.200194999999</v>
      </c>
      <c r="I208" s="2">
        <f t="shared" si="16"/>
        <v>-0.32485910386792116</v>
      </c>
      <c r="J208" s="4">
        <v>40707</v>
      </c>
      <c r="K208" s="3">
        <v>2.944</v>
      </c>
      <c r="L208" s="2">
        <f t="shared" si="17"/>
        <v>-0.38914893617021279</v>
      </c>
      <c r="M208" s="4">
        <v>40707</v>
      </c>
      <c r="N208" s="3">
        <v>12004.360352</v>
      </c>
      <c r="O208" s="2">
        <f t="shared" si="19"/>
        <v>-9.4624380172417782E-2</v>
      </c>
    </row>
    <row r="209" spans="1:15" x14ac:dyDescent="0.25">
      <c r="A209" s="6">
        <v>40714</v>
      </c>
      <c r="B209" s="3">
        <v>1268.4499510000001</v>
      </c>
      <c r="C209" s="2">
        <f t="shared" si="18"/>
        <v>-6.51682491696602E-2</v>
      </c>
      <c r="D209" s="4">
        <v>40721</v>
      </c>
      <c r="E209" s="3">
        <v>9868.0703119999998</v>
      </c>
      <c r="F209" s="2">
        <f t="shared" si="15"/>
        <v>-0.40295556958933881</v>
      </c>
      <c r="G209" s="4">
        <v>40714</v>
      </c>
      <c r="H209" s="3">
        <v>9812.7001949999994</v>
      </c>
      <c r="I209" s="2">
        <f t="shared" si="16"/>
        <v>-0.2781213996706875</v>
      </c>
      <c r="J209" s="4">
        <v>40714</v>
      </c>
      <c r="K209" s="3">
        <v>2.871</v>
      </c>
      <c r="L209" s="2">
        <f t="shared" si="17"/>
        <v>-0.31978723404255321</v>
      </c>
      <c r="M209" s="4">
        <v>40714</v>
      </c>
      <c r="N209" s="3">
        <v>11934.580078000001</v>
      </c>
      <c r="O209" s="2">
        <f t="shared" si="19"/>
        <v>-4.5451730281084464E-2</v>
      </c>
    </row>
    <row r="210" spans="1:15" x14ac:dyDescent="0.25">
      <c r="A210" s="6">
        <v>40721</v>
      </c>
      <c r="B210" s="3">
        <v>1339.670044</v>
      </c>
      <c r="C210" s="2">
        <f t="shared" si="18"/>
        <v>-6.2286300870241458E-2</v>
      </c>
      <c r="D210" s="4">
        <v>40728</v>
      </c>
      <c r="E210" s="3">
        <v>10137.730469</v>
      </c>
      <c r="F210" s="2">
        <f t="shared" si="15"/>
        <v>-0.41257053390643883</v>
      </c>
      <c r="G210" s="4">
        <v>40721</v>
      </c>
      <c r="H210" s="3">
        <v>10492</v>
      </c>
      <c r="I210" s="2">
        <f t="shared" si="16"/>
        <v>-0.31622435698064238</v>
      </c>
      <c r="J210" s="4">
        <v>40721</v>
      </c>
      <c r="K210" s="3">
        <v>3.1970000000000001</v>
      </c>
      <c r="L210" s="2">
        <f t="shared" si="17"/>
        <v>-0.35829787234042554</v>
      </c>
      <c r="M210" s="4">
        <v>40721</v>
      </c>
      <c r="N210" s="3">
        <v>12582.769531</v>
      </c>
      <c r="O210" s="2">
        <f t="shared" si="19"/>
        <v>-3.9805305512658852E-2</v>
      </c>
    </row>
    <row r="211" spans="1:15" x14ac:dyDescent="0.25">
      <c r="A211" s="6">
        <v>40729</v>
      </c>
      <c r="B211" s="3">
        <v>1343.8000489999999</v>
      </c>
      <c r="C211" s="2">
        <f t="shared" si="18"/>
        <v>-8.1587678943189343E-2</v>
      </c>
      <c r="D211" s="4">
        <v>40735</v>
      </c>
      <c r="E211" s="3">
        <v>9974.4697269999997</v>
      </c>
      <c r="F211" s="2">
        <f t="shared" si="15"/>
        <v>-0.4032865568416994</v>
      </c>
      <c r="G211" s="4">
        <v>40728</v>
      </c>
      <c r="H211" s="3">
        <v>9938.2001949999994</v>
      </c>
      <c r="I211" s="2">
        <f t="shared" si="16"/>
        <v>-0.34746081185573846</v>
      </c>
      <c r="J211" s="4">
        <v>40729</v>
      </c>
      <c r="K211" s="3">
        <v>3.016</v>
      </c>
      <c r="L211" s="2">
        <f t="shared" si="17"/>
        <v>-0.38127659574468087</v>
      </c>
      <c r="M211" s="4">
        <v>40729</v>
      </c>
      <c r="N211" s="3">
        <v>12657.200194999999</v>
      </c>
      <c r="O211" s="2">
        <f t="shared" si="19"/>
        <v>-5.3268432168792262E-2</v>
      </c>
    </row>
    <row r="212" spans="1:15" x14ac:dyDescent="0.25">
      <c r="A212" s="6">
        <v>40735</v>
      </c>
      <c r="B212" s="3">
        <v>1316.1400149999999</v>
      </c>
      <c r="C212" s="2">
        <f t="shared" si="18"/>
        <v>-6.1434996005286048E-2</v>
      </c>
      <c r="D212" s="4">
        <v>40743</v>
      </c>
      <c r="E212" s="3">
        <v>10132.110352</v>
      </c>
      <c r="F212" s="2">
        <f t="shared" si="15"/>
        <v>-0.42090037050144885</v>
      </c>
      <c r="G212" s="4">
        <v>40735</v>
      </c>
      <c r="H212" s="3">
        <v>9484.2001949999994</v>
      </c>
      <c r="I212" s="2">
        <f t="shared" si="16"/>
        <v>-0.30789236908822659</v>
      </c>
      <c r="J212" s="4">
        <v>40735</v>
      </c>
      <c r="K212" s="3">
        <v>2.9079999999999999</v>
      </c>
      <c r="L212" s="2">
        <f t="shared" si="17"/>
        <v>-0.36936170212765962</v>
      </c>
      <c r="M212" s="4">
        <v>40735</v>
      </c>
      <c r="N212" s="3">
        <v>12479.730469</v>
      </c>
      <c r="O212" s="2">
        <f t="shared" si="19"/>
        <v>-3.7987665981176026E-2</v>
      </c>
    </row>
    <row r="213" spans="1:15" x14ac:dyDescent="0.25">
      <c r="A213" s="6">
        <v>40742</v>
      </c>
      <c r="B213" s="3">
        <v>1345.0200199999999</v>
      </c>
      <c r="C213" s="2">
        <f t="shared" si="18"/>
        <v>-9.8237355172844085E-2</v>
      </c>
      <c r="D213" s="4">
        <v>40749</v>
      </c>
      <c r="E213" s="3">
        <v>9833.0302730000003</v>
      </c>
      <c r="F213" s="2">
        <f t="shared" si="15"/>
        <v>-0.45229935786791525</v>
      </c>
      <c r="G213" s="4">
        <v>40742</v>
      </c>
      <c r="H213" s="3">
        <v>10059.299805000001</v>
      </c>
      <c r="I213" s="2">
        <f t="shared" si="16"/>
        <v>-0.33738120692357637</v>
      </c>
      <c r="J213" s="4">
        <v>40742</v>
      </c>
      <c r="K213" s="3">
        <v>2.964</v>
      </c>
      <c r="L213" s="2">
        <f t="shared" si="17"/>
        <v>-0.40319148936170213</v>
      </c>
      <c r="M213" s="4">
        <v>40742</v>
      </c>
      <c r="N213" s="3">
        <v>12681.160156</v>
      </c>
      <c r="O213" s="2">
        <f t="shared" si="19"/>
        <v>-7.8795099474049182E-2</v>
      </c>
    </row>
    <row r="214" spans="1:15" x14ac:dyDescent="0.25">
      <c r="A214" s="6">
        <v>40749</v>
      </c>
      <c r="B214" s="3">
        <v>1292.280029</v>
      </c>
      <c r="C214" s="2">
        <f t="shared" si="18"/>
        <v>-0.1630636849673025</v>
      </c>
      <c r="D214" s="4">
        <v>40756</v>
      </c>
      <c r="E214" s="3">
        <v>9299.8798829999996</v>
      </c>
      <c r="F214" s="2">
        <f t="shared" si="15"/>
        <v>-0.47209693973098643</v>
      </c>
      <c r="G214" s="4">
        <v>40749</v>
      </c>
      <c r="H214" s="3">
        <v>9630.7001949999994</v>
      </c>
      <c r="I214" s="2">
        <f t="shared" si="16"/>
        <v>-0.40339745902193469</v>
      </c>
      <c r="J214" s="4">
        <v>40749</v>
      </c>
      <c r="K214" s="3">
        <v>2.8050000000000002</v>
      </c>
      <c r="L214" s="2">
        <f t="shared" si="17"/>
        <v>-0.4557446808510639</v>
      </c>
      <c r="M214" s="4">
        <v>40749</v>
      </c>
      <c r="N214" s="3">
        <v>12143.240234000001</v>
      </c>
      <c r="O214" s="2">
        <f t="shared" si="19"/>
        <v>-0.13179423797007409</v>
      </c>
    </row>
    <row r="215" spans="1:15" x14ac:dyDescent="0.25">
      <c r="A215" s="6">
        <v>40756</v>
      </c>
      <c r="B215" s="3">
        <v>1199.380005</v>
      </c>
      <c r="C215" s="2">
        <f t="shared" si="18"/>
        <v>-0.17741754674079574</v>
      </c>
      <c r="D215" s="4">
        <v>40763</v>
      </c>
      <c r="E215" s="3">
        <v>8963.7197269999997</v>
      </c>
      <c r="F215" s="2">
        <f t="shared" si="15"/>
        <v>-0.48649514454532983</v>
      </c>
      <c r="G215" s="4">
        <v>40756</v>
      </c>
      <c r="H215" s="3">
        <v>8671.2001949999994</v>
      </c>
      <c r="I215" s="2">
        <f t="shared" si="16"/>
        <v>-0.40504187191561786</v>
      </c>
      <c r="J215" s="4">
        <v>40756</v>
      </c>
      <c r="K215" s="3">
        <v>2.5579999999999998</v>
      </c>
      <c r="L215" s="2">
        <f t="shared" si="17"/>
        <v>-0.5240425531914894</v>
      </c>
      <c r="M215" s="4">
        <v>40756</v>
      </c>
      <c r="N215" s="3">
        <v>11444.610352</v>
      </c>
      <c r="O215" s="2">
        <f t="shared" si="19"/>
        <v>-0.14511482800004605</v>
      </c>
    </row>
    <row r="216" spans="1:15" x14ac:dyDescent="0.25">
      <c r="A216" s="6">
        <v>40763</v>
      </c>
      <c r="B216" s="3">
        <v>1178.8100589999999</v>
      </c>
      <c r="C216" s="2">
        <f t="shared" si="18"/>
        <v>-0.21599236407160233</v>
      </c>
      <c r="D216" s="4">
        <v>40770</v>
      </c>
      <c r="E216" s="3">
        <v>8719.2402340000008</v>
      </c>
      <c r="F216" s="2">
        <f t="shared" si="15"/>
        <v>-0.48186966224506789</v>
      </c>
      <c r="G216" s="4">
        <v>40763</v>
      </c>
      <c r="H216" s="3">
        <v>8647.2998050000006</v>
      </c>
      <c r="I216" s="2">
        <f t="shared" si="16"/>
        <v>-0.43981478218860781</v>
      </c>
      <c r="J216" s="4">
        <v>40763</v>
      </c>
      <c r="K216" s="3">
        <v>2.2370000000000001</v>
      </c>
      <c r="L216" s="2">
        <f t="shared" si="17"/>
        <v>-0.55936170212765957</v>
      </c>
      <c r="M216" s="4">
        <v>40763</v>
      </c>
      <c r="N216" s="3">
        <v>11269.019531</v>
      </c>
      <c r="O216" s="2">
        <f t="shared" si="19"/>
        <v>-0.17935638591223915</v>
      </c>
    </row>
    <row r="217" spans="1:15" x14ac:dyDescent="0.25">
      <c r="A217" s="6">
        <v>40770</v>
      </c>
      <c r="B217" s="3">
        <v>1123.530029</v>
      </c>
      <c r="C217" s="2">
        <f t="shared" si="18"/>
        <v>-0.17882014671375332</v>
      </c>
      <c r="D217" s="4">
        <v>40777</v>
      </c>
      <c r="E217" s="3">
        <v>8797.7802730000003</v>
      </c>
      <c r="F217" s="2">
        <f t="shared" si="15"/>
        <v>-0.47286134494267562</v>
      </c>
      <c r="G217" s="4">
        <v>40770</v>
      </c>
      <c r="H217" s="3">
        <v>8141.8999020000001</v>
      </c>
      <c r="I217" s="2">
        <f t="shared" si="16"/>
        <v>-0.43681497493370308</v>
      </c>
      <c r="J217" s="4">
        <v>40770</v>
      </c>
      <c r="K217" s="3">
        <v>2.0710000000000002</v>
      </c>
      <c r="L217" s="2">
        <f t="shared" si="17"/>
        <v>-0.534468085106383</v>
      </c>
      <c r="M217" s="4">
        <v>40770</v>
      </c>
      <c r="N217" s="3">
        <v>10817.650390999999</v>
      </c>
      <c r="O217" s="2">
        <f t="shared" si="19"/>
        <v>-0.14393741836697133</v>
      </c>
    </row>
    <row r="218" spans="1:15" x14ac:dyDescent="0.25">
      <c r="A218" s="6">
        <v>40777</v>
      </c>
      <c r="B218" s="3">
        <v>1176.8000489999999</v>
      </c>
      <c r="C218" s="2">
        <f t="shared" si="18"/>
        <v>-0.18079499625493362</v>
      </c>
      <c r="D218" s="4">
        <v>40784</v>
      </c>
      <c r="E218" s="3">
        <v>8950.7402340000008</v>
      </c>
      <c r="F218" s="2">
        <f t="shared" si="15"/>
        <v>-0.48541033450107712</v>
      </c>
      <c r="G218" s="4">
        <v>40777</v>
      </c>
      <c r="H218" s="3">
        <v>8185.5</v>
      </c>
      <c r="I218" s="2">
        <f t="shared" si="16"/>
        <v>-0.41768780653000986</v>
      </c>
      <c r="J218" s="4">
        <v>40777</v>
      </c>
      <c r="K218" s="3">
        <v>2.1880000000000002</v>
      </c>
      <c r="L218" s="2">
        <f t="shared" si="17"/>
        <v>-0.5753191489361702</v>
      </c>
      <c r="M218" s="4">
        <v>40777</v>
      </c>
      <c r="N218" s="3">
        <v>11284.540039</v>
      </c>
      <c r="O218" s="2">
        <f t="shared" si="19"/>
        <v>-0.14729658805300089</v>
      </c>
    </row>
    <row r="219" spans="1:15" x14ac:dyDescent="0.25">
      <c r="A219" s="6">
        <v>40784</v>
      </c>
      <c r="B219" s="3">
        <v>1173.969971</v>
      </c>
      <c r="C219" s="2">
        <f t="shared" si="18"/>
        <v>-0.19456970923784561</v>
      </c>
      <c r="D219" s="4">
        <v>40791</v>
      </c>
      <c r="E219" s="3">
        <v>8737.6601559999999</v>
      </c>
      <c r="F219" s="2">
        <f t="shared" si="15"/>
        <v>-0.47796033169444313</v>
      </c>
      <c r="G219" s="4">
        <v>40784</v>
      </c>
      <c r="H219" s="3">
        <v>8463.5</v>
      </c>
      <c r="I219" s="2">
        <f t="shared" si="16"/>
        <v>-0.45575636245794365</v>
      </c>
      <c r="J219" s="4">
        <v>40784</v>
      </c>
      <c r="K219" s="3">
        <v>1.996</v>
      </c>
      <c r="L219" s="2">
        <f t="shared" si="17"/>
        <v>-0.5925531914893617</v>
      </c>
      <c r="M219" s="4">
        <v>40784</v>
      </c>
      <c r="N219" s="3">
        <v>11240.259765999999</v>
      </c>
      <c r="O219" s="2">
        <f t="shared" si="19"/>
        <v>-0.16612010301126803</v>
      </c>
    </row>
    <row r="220" spans="1:15" x14ac:dyDescent="0.25">
      <c r="A220" s="6">
        <v>40792</v>
      </c>
      <c r="B220" s="3">
        <v>1154.2299800000001</v>
      </c>
      <c r="C220" s="2">
        <f t="shared" si="18"/>
        <v>-0.15145914341612388</v>
      </c>
      <c r="D220" s="4">
        <v>40798</v>
      </c>
      <c r="E220" s="3">
        <v>8864.1601559999999</v>
      </c>
      <c r="F220" s="2">
        <f t="shared" si="15"/>
        <v>-0.49585802938959855</v>
      </c>
      <c r="G220" s="4">
        <v>40791</v>
      </c>
      <c r="H220" s="3">
        <v>7910.2001950000003</v>
      </c>
      <c r="I220" s="2">
        <f t="shared" si="16"/>
        <v>-0.42285486720768806</v>
      </c>
      <c r="J220" s="4">
        <v>40792</v>
      </c>
      <c r="K220" s="3">
        <v>1.915</v>
      </c>
      <c r="L220" s="2">
        <f t="shared" si="17"/>
        <v>-0.55829787234042549</v>
      </c>
      <c r="M220" s="4">
        <v>40792</v>
      </c>
      <c r="N220" s="3">
        <v>10992.129883</v>
      </c>
      <c r="O220" s="2">
        <f t="shared" si="19"/>
        <v>-0.12690272443091896</v>
      </c>
    </row>
    <row r="221" spans="1:15" x14ac:dyDescent="0.25">
      <c r="A221" s="6">
        <v>40798</v>
      </c>
      <c r="B221" s="3">
        <v>1216.01001</v>
      </c>
      <c r="C221" s="2">
        <f t="shared" si="18"/>
        <v>-0.2069906303905997</v>
      </c>
      <c r="D221" s="4">
        <v>40806</v>
      </c>
      <c r="E221" s="3">
        <v>8560.2597659999992</v>
      </c>
      <c r="F221" s="2">
        <f t="shared" si="15"/>
        <v>-0.48761118411794857</v>
      </c>
      <c r="G221" s="4">
        <v>40798</v>
      </c>
      <c r="H221" s="3">
        <v>8388.4003909999992</v>
      </c>
      <c r="I221" s="2">
        <f t="shared" si="16"/>
        <v>-0.44979118297470677</v>
      </c>
      <c r="J221" s="4">
        <v>40798</v>
      </c>
      <c r="K221" s="3">
        <v>2.0760000000000001</v>
      </c>
      <c r="L221" s="2">
        <f t="shared" si="17"/>
        <v>-0.61531914893617023</v>
      </c>
      <c r="M221" s="4">
        <v>40798</v>
      </c>
      <c r="N221" s="3">
        <v>11509.089844</v>
      </c>
      <c r="O221" s="2">
        <f t="shared" si="19"/>
        <v>-0.18285890728081214</v>
      </c>
    </row>
    <row r="222" spans="1:15" x14ac:dyDescent="0.25">
      <c r="A222" s="6">
        <v>40805</v>
      </c>
      <c r="B222" s="3">
        <v>1136.4300539999999</v>
      </c>
      <c r="C222" s="2">
        <f t="shared" si="18"/>
        <v>-0.21048665274397962</v>
      </c>
      <c r="D222" s="4">
        <v>40812</v>
      </c>
      <c r="E222" s="3">
        <v>8700.2900389999995</v>
      </c>
      <c r="F222" s="2">
        <f t="shared" si="15"/>
        <v>-0.49318660850216844</v>
      </c>
      <c r="G222" s="4">
        <v>40805</v>
      </c>
      <c r="H222" s="3">
        <v>7996.8999020000001</v>
      </c>
      <c r="I222" s="2">
        <f t="shared" si="16"/>
        <v>-0.4119703237399952</v>
      </c>
      <c r="J222" s="4">
        <v>40805</v>
      </c>
      <c r="K222" s="3">
        <v>1.8080000000000001</v>
      </c>
      <c r="L222" s="2">
        <f t="shared" si="17"/>
        <v>-0.59063829787234046</v>
      </c>
      <c r="M222" s="4">
        <v>40805</v>
      </c>
      <c r="N222" s="3">
        <v>10771.480469</v>
      </c>
      <c r="O222" s="2">
        <f t="shared" si="19"/>
        <v>-0.17209419925893177</v>
      </c>
    </row>
    <row r="223" spans="1:15" x14ac:dyDescent="0.25">
      <c r="A223" s="6">
        <v>40812</v>
      </c>
      <c r="B223" s="3">
        <v>1131.420044</v>
      </c>
      <c r="C223" s="2">
        <f t="shared" si="18"/>
        <v>-0.19371141932021421</v>
      </c>
      <c r="D223" s="4">
        <v>40819</v>
      </c>
      <c r="E223" s="3">
        <v>8605.6201170000004</v>
      </c>
      <c r="F223" s="2">
        <f t="shared" si="15"/>
        <v>-0.48480374496623296</v>
      </c>
      <c r="G223" s="4">
        <v>40812</v>
      </c>
      <c r="H223" s="3">
        <v>8546.5996090000008</v>
      </c>
      <c r="I223" s="2">
        <f t="shared" si="16"/>
        <v>-0.39464573395044267</v>
      </c>
      <c r="J223" s="4">
        <v>40812</v>
      </c>
      <c r="K223" s="3">
        <v>1.9239999999999999</v>
      </c>
      <c r="L223" s="2">
        <f t="shared" si="17"/>
        <v>-0.56000000000000005</v>
      </c>
      <c r="M223" s="4">
        <v>40812</v>
      </c>
      <c r="N223" s="3">
        <v>10913.379883</v>
      </c>
      <c r="O223" s="2">
        <f t="shared" si="19"/>
        <v>-0.15770021297359535</v>
      </c>
    </row>
    <row r="224" spans="1:15" x14ac:dyDescent="0.25">
      <c r="A224" s="6">
        <v>40819</v>
      </c>
      <c r="B224" s="3">
        <v>1155.459961</v>
      </c>
      <c r="C224" s="2">
        <f t="shared" si="18"/>
        <v>-0.14547897116432013</v>
      </c>
      <c r="D224" s="4">
        <v>40827</v>
      </c>
      <c r="E224" s="3">
        <v>8747.9599610000005</v>
      </c>
      <c r="F224" s="2">
        <f t="shared" si="15"/>
        <v>-0.4888715238255617</v>
      </c>
      <c r="G224" s="4">
        <v>40819</v>
      </c>
      <c r="H224" s="3">
        <v>8798.4003909999992</v>
      </c>
      <c r="I224" s="2">
        <f t="shared" si="16"/>
        <v>-0.38246079134047423</v>
      </c>
      <c r="J224" s="4">
        <v>40819</v>
      </c>
      <c r="K224" s="3">
        <v>2.0680000000000001</v>
      </c>
      <c r="L224" s="2">
        <f t="shared" si="17"/>
        <v>-0.52510638297872336</v>
      </c>
      <c r="M224" s="4">
        <v>40819</v>
      </c>
      <c r="N224" s="3">
        <v>11103.120117</v>
      </c>
      <c r="O224" s="2">
        <f t="shared" si="19"/>
        <v>-0.11663104237591947</v>
      </c>
    </row>
    <row r="225" spans="1:15" x14ac:dyDescent="0.25">
      <c r="A225" s="6">
        <v>40826</v>
      </c>
      <c r="B225" s="3">
        <v>1224.579956</v>
      </c>
      <c r="C225" s="2">
        <f t="shared" si="18"/>
        <v>-0.13593991248066731</v>
      </c>
      <c r="D225" s="4">
        <v>40833</v>
      </c>
      <c r="E225" s="3">
        <v>8678.8896480000003</v>
      </c>
      <c r="F225" s="2">
        <f t="shared" si="15"/>
        <v>-0.46698794571141733</v>
      </c>
      <c r="G225" s="4">
        <v>40826</v>
      </c>
      <c r="H225" s="3">
        <v>8975.5</v>
      </c>
      <c r="I225" s="2">
        <f t="shared" si="16"/>
        <v>-0.3908891299356268</v>
      </c>
      <c r="J225" s="4">
        <v>40826</v>
      </c>
      <c r="K225" s="3">
        <v>2.2320000000000002</v>
      </c>
      <c r="L225" s="2">
        <f t="shared" si="17"/>
        <v>-0.53127659574468089</v>
      </c>
      <c r="M225" s="4">
        <v>40826</v>
      </c>
      <c r="N225" s="3">
        <v>11644.490234000001</v>
      </c>
      <c r="O225" s="2">
        <f t="shared" si="19"/>
        <v>-0.10416700620395279</v>
      </c>
    </row>
    <row r="226" spans="1:15" x14ac:dyDescent="0.25">
      <c r="A226" s="6">
        <v>40833</v>
      </c>
      <c r="B226" s="3">
        <v>1238.25</v>
      </c>
      <c r="C226" s="2">
        <f t="shared" si="18"/>
        <v>-0.10325463477312637</v>
      </c>
      <c r="D226" s="4">
        <v>40840</v>
      </c>
      <c r="E226" s="3">
        <v>9050.4697269999997</v>
      </c>
      <c r="F226" s="2">
        <f t="shared" si="15"/>
        <v>-0.48165646153945257</v>
      </c>
      <c r="G226" s="4">
        <v>40833</v>
      </c>
      <c r="H226" s="3">
        <v>8853</v>
      </c>
      <c r="I226" s="2">
        <f t="shared" si="16"/>
        <v>-0.36533575646852434</v>
      </c>
      <c r="J226" s="4">
        <v>40833</v>
      </c>
      <c r="K226" s="3">
        <v>2.2029999999999998</v>
      </c>
      <c r="L226" s="2">
        <f t="shared" si="17"/>
        <v>-0.50936170212765963</v>
      </c>
      <c r="M226" s="4">
        <v>40833</v>
      </c>
      <c r="N226" s="3">
        <v>11808.790039</v>
      </c>
      <c r="O226" s="2">
        <f t="shared" si="19"/>
        <v>-7.2129137033089652E-2</v>
      </c>
    </row>
    <row r="227" spans="1:15" x14ac:dyDescent="0.25">
      <c r="A227" s="6">
        <v>40840</v>
      </c>
      <c r="B227" s="3">
        <v>1285.089966</v>
      </c>
      <c r="C227" s="2">
        <f t="shared" si="18"/>
        <v>-0.12548677068390743</v>
      </c>
      <c r="D227" s="4">
        <v>40847</v>
      </c>
      <c r="E227" s="3">
        <v>8801.4003909999992</v>
      </c>
      <c r="F227" s="2">
        <f t="shared" si="15"/>
        <v>-0.49855475602253041</v>
      </c>
      <c r="G227" s="4">
        <v>40840</v>
      </c>
      <c r="H227" s="3">
        <v>9224.4003909999992</v>
      </c>
      <c r="I227" s="2">
        <f t="shared" si="16"/>
        <v>-0.40854389228693916</v>
      </c>
      <c r="J227" s="4">
        <v>40840</v>
      </c>
      <c r="K227" s="3">
        <v>2.306</v>
      </c>
      <c r="L227" s="2">
        <f t="shared" si="17"/>
        <v>-0.56382978723404265</v>
      </c>
      <c r="M227" s="4">
        <v>40840</v>
      </c>
      <c r="N227" s="3">
        <v>12231.110352</v>
      </c>
      <c r="O227" s="2">
        <f t="shared" si="19"/>
        <v>-9.0932945818508817E-2</v>
      </c>
    </row>
    <row r="228" spans="1:15" x14ac:dyDescent="0.25">
      <c r="A228" s="6">
        <v>40847</v>
      </c>
      <c r="B228" s="3">
        <v>1253.2299800000001</v>
      </c>
      <c r="C228" s="2">
        <f t="shared" si="18"/>
        <v>-0.11807605824844215</v>
      </c>
      <c r="D228" s="4">
        <v>40854</v>
      </c>
      <c r="E228" s="3">
        <v>8514.4697269999997</v>
      </c>
      <c r="F228" s="2">
        <f t="shared" si="15"/>
        <v>-0.50677388009875668</v>
      </c>
      <c r="G228" s="4">
        <v>40847</v>
      </c>
      <c r="H228" s="3">
        <v>8596.4003909999992</v>
      </c>
      <c r="I228" s="2">
        <f t="shared" si="16"/>
        <v>-0.41131669748159566</v>
      </c>
      <c r="J228" s="4">
        <v>40847</v>
      </c>
      <c r="K228" s="3">
        <v>2.0499999999999998</v>
      </c>
      <c r="L228" s="2">
        <f t="shared" si="17"/>
        <v>-0.56255319148936167</v>
      </c>
      <c r="M228" s="4">
        <v>40847</v>
      </c>
      <c r="N228" s="3">
        <v>11983.240234000001</v>
      </c>
      <c r="O228" s="2">
        <f t="shared" si="19"/>
        <v>-7.8003146420473887E-2</v>
      </c>
    </row>
    <row r="229" spans="1:15" x14ac:dyDescent="0.25">
      <c r="A229" s="6">
        <v>40854</v>
      </c>
      <c r="B229" s="3">
        <v>1263.849976</v>
      </c>
      <c r="C229" s="2">
        <f t="shared" si="18"/>
        <v>-0.15171034433247008</v>
      </c>
      <c r="D229" s="4">
        <v>40861</v>
      </c>
      <c r="E229" s="3">
        <v>8374.9101559999999</v>
      </c>
      <c r="F229" s="2">
        <f t="shared" si="15"/>
        <v>-0.51943007384299966</v>
      </c>
      <c r="G229" s="4">
        <v>40854</v>
      </c>
      <c r="H229" s="3">
        <v>8556.0996090000008</v>
      </c>
      <c r="I229" s="2">
        <f t="shared" si="16"/>
        <v>-0.42824217743594284</v>
      </c>
      <c r="J229" s="4">
        <v>40854</v>
      </c>
      <c r="K229" s="3">
        <v>2.056</v>
      </c>
      <c r="L229" s="2">
        <f t="shared" si="17"/>
        <v>-0.5719148936170213</v>
      </c>
      <c r="M229" s="4">
        <v>40854</v>
      </c>
      <c r="N229" s="3">
        <v>12153.679688</v>
      </c>
      <c r="O229" s="2">
        <f t="shared" si="19"/>
        <v>-0.10512512857396841</v>
      </c>
    </row>
    <row r="230" spans="1:15" x14ac:dyDescent="0.25">
      <c r="A230" s="6">
        <v>40861</v>
      </c>
      <c r="B230" s="3">
        <v>1215.650024</v>
      </c>
      <c r="C230" s="2">
        <f t="shared" si="18"/>
        <v>-0.19147139945514313</v>
      </c>
      <c r="D230" s="4">
        <v>40868</v>
      </c>
      <c r="E230" s="3">
        <v>8160.0097660000001</v>
      </c>
      <c r="F230" s="2">
        <f t="shared" si="15"/>
        <v>-0.49094101375618726</v>
      </c>
      <c r="G230" s="4">
        <v>40861</v>
      </c>
      <c r="H230" s="3">
        <v>8310.0996090000008</v>
      </c>
      <c r="I230" s="2">
        <f t="shared" si="16"/>
        <v>-0.46584974135945317</v>
      </c>
      <c r="J230" s="4">
        <v>40861</v>
      </c>
      <c r="K230" s="3">
        <v>2.012</v>
      </c>
      <c r="L230" s="2">
        <f t="shared" si="17"/>
        <v>-0.58148936170212762</v>
      </c>
      <c r="M230" s="4">
        <v>40861</v>
      </c>
      <c r="N230" s="3">
        <v>11796.160156</v>
      </c>
      <c r="O230" s="2">
        <f t="shared" si="19"/>
        <v>-0.14794970849594985</v>
      </c>
    </row>
    <row r="231" spans="1:15" x14ac:dyDescent="0.25">
      <c r="A231" s="6">
        <v>40868</v>
      </c>
      <c r="B231" s="3">
        <v>1158.670044</v>
      </c>
      <c r="C231" s="2">
        <f t="shared" si="18"/>
        <v>-0.13173211325960199</v>
      </c>
      <c r="D231" s="4">
        <v>40875</v>
      </c>
      <c r="E231" s="3">
        <v>8643.75</v>
      </c>
      <c r="F231" s="2">
        <f t="shared" si="15"/>
        <v>-0.49725967851250236</v>
      </c>
      <c r="G231" s="4">
        <v>40868</v>
      </c>
      <c r="H231" s="3">
        <v>7763.5</v>
      </c>
      <c r="I231" s="2">
        <f t="shared" si="16"/>
        <v>-0.4111446905714905</v>
      </c>
      <c r="J231" s="4">
        <v>40868</v>
      </c>
      <c r="K231" s="3">
        <v>1.9670000000000001</v>
      </c>
      <c r="L231" s="2">
        <f t="shared" si="17"/>
        <v>-0.56553191489361709</v>
      </c>
      <c r="M231" s="4">
        <v>40868</v>
      </c>
      <c r="N231" s="3">
        <v>11231.650390999999</v>
      </c>
      <c r="O231" s="2">
        <f t="shared" si="19"/>
        <v>-8.8188298982668376E-2</v>
      </c>
    </row>
    <row r="232" spans="1:15" x14ac:dyDescent="0.25">
      <c r="A232" s="6">
        <v>40875</v>
      </c>
      <c r="B232" s="3">
        <v>1244.280029</v>
      </c>
      <c r="C232" s="2">
        <f t="shared" si="18"/>
        <v>-0.12411909527652241</v>
      </c>
      <c r="D232" s="4">
        <v>40882</v>
      </c>
      <c r="E232" s="3">
        <v>8536.4599610000005</v>
      </c>
      <c r="F232" s="2">
        <f t="shared" si="15"/>
        <v>-0.50519497591539975</v>
      </c>
      <c r="G232" s="4">
        <v>40875</v>
      </c>
      <c r="H232" s="3">
        <v>8558.5996090000008</v>
      </c>
      <c r="I232" s="2">
        <f t="shared" si="16"/>
        <v>-0.40487671844883905</v>
      </c>
      <c r="J232" s="4">
        <v>40875</v>
      </c>
      <c r="K232" s="3">
        <v>2.0419999999999998</v>
      </c>
      <c r="L232" s="2">
        <f t="shared" si="17"/>
        <v>-0.56340425531914895</v>
      </c>
      <c r="M232" s="4">
        <v>40875</v>
      </c>
      <c r="N232" s="3">
        <v>12019.419921999999</v>
      </c>
      <c r="O232" s="2">
        <f t="shared" si="19"/>
        <v>-7.5683294620689012E-2</v>
      </c>
    </row>
    <row r="233" spans="1:15" x14ac:dyDescent="0.25">
      <c r="A233" s="6">
        <v>40882</v>
      </c>
      <c r="B233" s="3">
        <v>1255.1899410000001</v>
      </c>
      <c r="C233" s="2">
        <f t="shared" si="18"/>
        <v>-0.14891212943923093</v>
      </c>
      <c r="D233" s="4">
        <v>40889</v>
      </c>
      <c r="E233" s="3">
        <v>8401.7197269999997</v>
      </c>
      <c r="F233" s="2">
        <f t="shared" si="15"/>
        <v>-0.50558129071666713</v>
      </c>
      <c r="G233" s="4">
        <v>40882</v>
      </c>
      <c r="H233" s="3">
        <v>8649.7001949999994</v>
      </c>
      <c r="I233" s="2">
        <f t="shared" si="16"/>
        <v>-0.43558337855546947</v>
      </c>
      <c r="J233" s="4">
        <v>40882</v>
      </c>
      <c r="K233" s="3">
        <v>2.052</v>
      </c>
      <c r="L233" s="2">
        <f t="shared" si="17"/>
        <v>-0.60553191489361702</v>
      </c>
      <c r="M233" s="4">
        <v>40882</v>
      </c>
      <c r="N233" s="3">
        <v>12184.259765999999</v>
      </c>
      <c r="O233" s="2">
        <f t="shared" si="19"/>
        <v>-9.9797411181809279E-2</v>
      </c>
    </row>
    <row r="234" spans="1:15" x14ac:dyDescent="0.25">
      <c r="A234" s="6">
        <v>40889</v>
      </c>
      <c r="B234" s="3">
        <v>1219.660034</v>
      </c>
      <c r="C234" s="2">
        <f t="shared" si="18"/>
        <v>-0.11704331716358295</v>
      </c>
      <c r="D234" s="4">
        <v>40896</v>
      </c>
      <c r="E234" s="3">
        <v>8395.1601559999999</v>
      </c>
      <c r="F234" s="2">
        <f t="shared" si="15"/>
        <v>-0.50203653503461354</v>
      </c>
      <c r="G234" s="4">
        <v>40889</v>
      </c>
      <c r="H234" s="3">
        <v>8203.4003909999992</v>
      </c>
      <c r="I234" s="2">
        <f t="shared" si="16"/>
        <v>-0.41223861420133961</v>
      </c>
      <c r="J234" s="4">
        <v>40889</v>
      </c>
      <c r="K234" s="3">
        <v>1.8540000000000001</v>
      </c>
      <c r="L234" s="2">
        <f t="shared" si="17"/>
        <v>-0.56808510638297882</v>
      </c>
      <c r="M234" s="4">
        <v>40889</v>
      </c>
      <c r="N234" s="3">
        <v>11866.389648</v>
      </c>
      <c r="O234" s="2">
        <f t="shared" si="19"/>
        <v>-6.7358231507582425E-2</v>
      </c>
    </row>
    <row r="235" spans="1:15" x14ac:dyDescent="0.25">
      <c r="A235" s="6">
        <v>40896</v>
      </c>
      <c r="B235" s="3">
        <v>1265.329956</v>
      </c>
      <c r="C235" s="2">
        <f t="shared" si="18"/>
        <v>-0.12243735487432209</v>
      </c>
      <c r="D235" s="4">
        <v>40903</v>
      </c>
      <c r="E235" s="3">
        <v>8455.3496090000008</v>
      </c>
      <c r="F235" s="2">
        <f t="shared" si="15"/>
        <v>-0.50586459971786424</v>
      </c>
      <c r="G235" s="4">
        <v>40896</v>
      </c>
      <c r="H235" s="3">
        <v>8542.7001949999994</v>
      </c>
      <c r="I235" s="2">
        <f t="shared" si="16"/>
        <v>-0.41061489580302485</v>
      </c>
      <c r="J235" s="4">
        <v>40896</v>
      </c>
      <c r="K235" s="3">
        <v>2.0299999999999998</v>
      </c>
      <c r="L235" s="2">
        <f t="shared" si="17"/>
        <v>-0.60191489361702133</v>
      </c>
      <c r="M235" s="4">
        <v>40896</v>
      </c>
      <c r="N235" s="3">
        <v>12294</v>
      </c>
      <c r="O235" s="2">
        <f t="shared" si="19"/>
        <v>-7.3157120219110111E-2</v>
      </c>
    </row>
    <row r="236" spans="1:15" x14ac:dyDescent="0.25">
      <c r="A236" s="6">
        <v>40904</v>
      </c>
      <c r="B236" s="3">
        <v>1257.599976</v>
      </c>
      <c r="C236" s="2">
        <f t="shared" si="18"/>
        <v>-0.10833460818685758</v>
      </c>
      <c r="D236" s="4">
        <v>40912</v>
      </c>
      <c r="E236" s="3">
        <v>8390.3496090000008</v>
      </c>
      <c r="F236" s="2">
        <f t="shared" si="15"/>
        <v>-0.49940577579135575</v>
      </c>
      <c r="G236" s="4">
        <v>40904</v>
      </c>
      <c r="H236" s="3">
        <v>8566.2998050000006</v>
      </c>
      <c r="I236" s="2">
        <f t="shared" si="16"/>
        <v>-0.42968703548082615</v>
      </c>
      <c r="J236" s="4">
        <v>40904</v>
      </c>
      <c r="K236" s="3">
        <v>1.871</v>
      </c>
      <c r="L236" s="2">
        <f t="shared" si="17"/>
        <v>-0.58276595744680848</v>
      </c>
      <c r="M236" s="4">
        <v>40904</v>
      </c>
      <c r="N236" s="3">
        <v>12217.559569999999</v>
      </c>
      <c r="O236" s="2">
        <f t="shared" si="19"/>
        <v>-6.2357444730865207E-2</v>
      </c>
    </row>
    <row r="237" spans="1:15" x14ac:dyDescent="0.25">
      <c r="A237" s="6">
        <v>40911</v>
      </c>
      <c r="B237" s="3">
        <v>1277.8100589999999</v>
      </c>
      <c r="C237" s="2">
        <f t="shared" si="18"/>
        <v>-0.1004634049325632</v>
      </c>
      <c r="D237" s="4">
        <v>40918</v>
      </c>
      <c r="E237" s="3">
        <v>8500.0195309999999</v>
      </c>
      <c r="F237" s="2">
        <f t="shared" si="15"/>
        <v>-0.48372008516707754</v>
      </c>
      <c r="G237" s="4">
        <v>40910</v>
      </c>
      <c r="H237" s="3">
        <v>8289.0996090000008</v>
      </c>
      <c r="I237" s="2">
        <f t="shared" si="16"/>
        <v>-0.41857538908803316</v>
      </c>
      <c r="J237" s="4">
        <v>40911</v>
      </c>
      <c r="K237" s="3">
        <v>1.9610000000000001</v>
      </c>
      <c r="L237" s="2">
        <f t="shared" si="17"/>
        <v>-0.60574468085106392</v>
      </c>
      <c r="M237" s="4">
        <v>40911</v>
      </c>
      <c r="N237" s="3">
        <v>12359.919921999999</v>
      </c>
      <c r="O237" s="2">
        <f t="shared" si="19"/>
        <v>-5.7643435360097632E-2</v>
      </c>
    </row>
    <row r="238" spans="1:15" x14ac:dyDescent="0.25">
      <c r="A238" s="6">
        <v>40917</v>
      </c>
      <c r="B238" s="3">
        <v>1289.089966</v>
      </c>
      <c r="C238" s="2">
        <f t="shared" si="18"/>
        <v>-8.2118019590970912E-2</v>
      </c>
      <c r="D238" s="4">
        <v>40924</v>
      </c>
      <c r="E238" s="3">
        <v>8766.3603519999997</v>
      </c>
      <c r="F238" s="2">
        <f t="shared" si="15"/>
        <v>-0.47931136932634344</v>
      </c>
      <c r="G238" s="4">
        <v>40917</v>
      </c>
      <c r="H238" s="3">
        <v>8450.5996090000008</v>
      </c>
      <c r="I238" s="2">
        <f t="shared" si="16"/>
        <v>-0.4109175876463903</v>
      </c>
      <c r="J238" s="4">
        <v>40917</v>
      </c>
      <c r="K238" s="3">
        <v>1.853</v>
      </c>
      <c r="L238" s="2">
        <f t="shared" si="17"/>
        <v>-0.56851063829787241</v>
      </c>
      <c r="M238" s="4">
        <v>40917</v>
      </c>
      <c r="N238" s="3">
        <v>12422.059569999999</v>
      </c>
      <c r="O238" s="2">
        <f t="shared" si="19"/>
        <v>-3.500476649736315E-2</v>
      </c>
    </row>
    <row r="239" spans="1:15" x14ac:dyDescent="0.25">
      <c r="A239" s="6">
        <v>40925</v>
      </c>
      <c r="B239" s="3">
        <v>1315.380005</v>
      </c>
      <c r="C239" s="2">
        <f t="shared" si="18"/>
        <v>-8.1455136696402669E-2</v>
      </c>
      <c r="D239" s="4">
        <v>40931</v>
      </c>
      <c r="E239" s="3">
        <v>8841.2197269999997</v>
      </c>
      <c r="F239" s="2">
        <f t="shared" si="15"/>
        <v>-0.47985849040637296</v>
      </c>
      <c r="G239" s="4">
        <v>40924</v>
      </c>
      <c r="H239" s="3">
        <v>8561.9003909999992</v>
      </c>
      <c r="I239" s="2">
        <f t="shared" si="16"/>
        <v>-0.40435384427519727</v>
      </c>
      <c r="J239" s="4">
        <v>40925</v>
      </c>
      <c r="K239" s="3">
        <v>2.028</v>
      </c>
      <c r="L239" s="2">
        <f t="shared" si="17"/>
        <v>-0.5961702127659575</v>
      </c>
      <c r="M239" s="4">
        <v>40925</v>
      </c>
      <c r="N239" s="3">
        <v>12720.480469</v>
      </c>
      <c r="O239" s="2">
        <f t="shared" si="19"/>
        <v>-3.9558014644990681E-2</v>
      </c>
    </row>
    <row r="240" spans="1:15" x14ac:dyDescent="0.25">
      <c r="A240" s="6">
        <v>40931</v>
      </c>
      <c r="B240" s="3">
        <v>1316.329956</v>
      </c>
      <c r="C240" s="2">
        <f t="shared" si="18"/>
        <v>-6.1518730109273029E-2</v>
      </c>
      <c r="D240" s="4">
        <v>40938</v>
      </c>
      <c r="E240" s="3">
        <v>8831.9296880000002</v>
      </c>
      <c r="F240" s="2">
        <f t="shared" si="15"/>
        <v>-0.47307161240845086</v>
      </c>
      <c r="G240" s="4">
        <v>40931</v>
      </c>
      <c r="H240" s="3">
        <v>8657.2998050000006</v>
      </c>
      <c r="I240" s="2">
        <f t="shared" si="16"/>
        <v>-0.39032493385394296</v>
      </c>
      <c r="J240" s="4">
        <v>40931</v>
      </c>
      <c r="K240" s="3">
        <v>1.8979999999999999</v>
      </c>
      <c r="L240" s="2">
        <f t="shared" si="17"/>
        <v>-0.58531914893617021</v>
      </c>
      <c r="M240" s="4">
        <v>40931</v>
      </c>
      <c r="N240" s="3">
        <v>12660.459961</v>
      </c>
      <c r="O240" s="2">
        <f t="shared" si="19"/>
        <v>-2.4251393251568436E-2</v>
      </c>
    </row>
    <row r="241" spans="1:15" x14ac:dyDescent="0.25">
      <c r="A241" s="6">
        <v>40938</v>
      </c>
      <c r="B241" s="3">
        <v>1344.900024</v>
      </c>
      <c r="C241" s="2">
        <f t="shared" si="18"/>
        <v>-6.3095781249458416E-2</v>
      </c>
      <c r="D241" s="4">
        <v>40945</v>
      </c>
      <c r="E241" s="3">
        <v>8947.1699219999991</v>
      </c>
      <c r="F241" s="2">
        <f t="shared" si="15"/>
        <v>-0.44733523907644263</v>
      </c>
      <c r="G241" s="4">
        <v>40938</v>
      </c>
      <c r="H241" s="3">
        <v>8861.2001949999994</v>
      </c>
      <c r="I241" s="2">
        <f t="shared" si="16"/>
        <v>-0.39473523134745875</v>
      </c>
      <c r="J241" s="4">
        <v>40938</v>
      </c>
      <c r="K241" s="3">
        <v>1.9490000000000001</v>
      </c>
      <c r="L241" s="2">
        <f t="shared" si="17"/>
        <v>-0.58106382978723403</v>
      </c>
      <c r="M241" s="4">
        <v>40938</v>
      </c>
      <c r="N241" s="3">
        <v>12862.230469</v>
      </c>
      <c r="O241" s="2">
        <f t="shared" si="19"/>
        <v>-2.8878947170393673E-2</v>
      </c>
    </row>
    <row r="242" spans="1:15" x14ac:dyDescent="0.25">
      <c r="A242" s="6">
        <v>40945</v>
      </c>
      <c r="B242" s="3">
        <v>1342.6400149999999</v>
      </c>
      <c r="C242" s="2">
        <f t="shared" si="18"/>
        <v>-5.0123564988702157E-2</v>
      </c>
      <c r="D242" s="4">
        <v>40952</v>
      </c>
      <c r="E242" s="3">
        <v>9384.1699219999991</v>
      </c>
      <c r="F242" s="2">
        <f t="shared" si="15"/>
        <v>-0.43183393513822904</v>
      </c>
      <c r="G242" s="4">
        <v>40945</v>
      </c>
      <c r="H242" s="3">
        <v>8797.0996090000008</v>
      </c>
      <c r="I242" s="2">
        <f t="shared" si="16"/>
        <v>-0.40437447168787094</v>
      </c>
      <c r="J242" s="4">
        <v>40945</v>
      </c>
      <c r="K242" s="3">
        <v>1.9690000000000001</v>
      </c>
      <c r="L242" s="2">
        <f t="shared" si="17"/>
        <v>-0.572340425531915</v>
      </c>
      <c r="M242" s="4">
        <v>40945</v>
      </c>
      <c r="N242" s="3">
        <v>12801.230469</v>
      </c>
      <c r="O242" s="2">
        <f t="shared" si="19"/>
        <v>-1.7602914619652604E-2</v>
      </c>
    </row>
    <row r="243" spans="1:15" x14ac:dyDescent="0.25">
      <c r="A243" s="6">
        <v>40952</v>
      </c>
      <c r="B243" s="3">
        <v>1361.2299800000001</v>
      </c>
      <c r="C243" s="2">
        <f t="shared" si="18"/>
        <v>-4.6976446365392617E-2</v>
      </c>
      <c r="D243" s="4">
        <v>40959</v>
      </c>
      <c r="E243" s="3">
        <v>9647.3798829999996</v>
      </c>
      <c r="F243" s="2">
        <f t="shared" si="15"/>
        <v>-0.42419839545932636</v>
      </c>
      <c r="G243" s="4">
        <v>40952</v>
      </c>
      <c r="H243" s="3">
        <v>8657</v>
      </c>
      <c r="I243" s="2">
        <f t="shared" si="16"/>
        <v>-0.41327065566197058</v>
      </c>
      <c r="J243" s="4">
        <v>40952</v>
      </c>
      <c r="K243" s="3">
        <v>2.0099999999999998</v>
      </c>
      <c r="L243" s="2">
        <f t="shared" si="17"/>
        <v>-0.57936170212765947</v>
      </c>
      <c r="M243" s="4">
        <v>40952</v>
      </c>
      <c r="N243" s="3">
        <v>12949.870117</v>
      </c>
      <c r="O243" s="2">
        <f t="shared" si="19"/>
        <v>-1.5093408970735552E-2</v>
      </c>
    </row>
    <row r="244" spans="1:15" x14ac:dyDescent="0.25">
      <c r="A244" s="6">
        <v>40960</v>
      </c>
      <c r="B244" s="3">
        <v>1365.73999</v>
      </c>
      <c r="C244" s="2">
        <f t="shared" si="18"/>
        <v>-4.4261964878333081E-2</v>
      </c>
      <c r="D244" s="4">
        <v>40966</v>
      </c>
      <c r="E244" s="3">
        <v>9777.0302730000003</v>
      </c>
      <c r="F244" s="2">
        <f t="shared" si="15"/>
        <v>-0.41520480148263883</v>
      </c>
      <c r="G244" s="4">
        <v>40959</v>
      </c>
      <c r="H244" s="3">
        <v>8527.7001949999994</v>
      </c>
      <c r="I244" s="2">
        <f t="shared" si="16"/>
        <v>-0.41081438350032723</v>
      </c>
      <c r="J244" s="4">
        <v>40960</v>
      </c>
      <c r="K244" s="3">
        <v>1.9770000000000001</v>
      </c>
      <c r="L244" s="2">
        <f t="shared" si="17"/>
        <v>-0.57744680851063834</v>
      </c>
      <c r="M244" s="4">
        <v>40960</v>
      </c>
      <c r="N244" s="3">
        <v>12982.950194999999</v>
      </c>
      <c r="O244" s="2">
        <f t="shared" si="19"/>
        <v>-1.5501535178267838E-2</v>
      </c>
    </row>
    <row r="245" spans="1:15" x14ac:dyDescent="0.25">
      <c r="A245" s="6">
        <v>40966</v>
      </c>
      <c r="B245" s="3">
        <v>1369.630005</v>
      </c>
      <c r="C245" s="2">
        <f t="shared" si="18"/>
        <v>-4.339669060583308E-2</v>
      </c>
      <c r="D245" s="4">
        <v>40973</v>
      </c>
      <c r="E245" s="3">
        <v>9929.7402340000008</v>
      </c>
      <c r="F245" s="2">
        <f t="shared" si="15"/>
        <v>-0.40342084970889219</v>
      </c>
      <c r="G245" s="4">
        <v>40966</v>
      </c>
      <c r="H245" s="3">
        <v>8563.4003909999992</v>
      </c>
      <c r="I245" s="2">
        <f t="shared" si="16"/>
        <v>-0.43012733285227572</v>
      </c>
      <c r="J245" s="4">
        <v>40966</v>
      </c>
      <c r="K245" s="3">
        <v>1.986</v>
      </c>
      <c r="L245" s="2">
        <f t="shared" si="17"/>
        <v>-0.56638297872340426</v>
      </c>
      <c r="M245" s="4">
        <v>40966</v>
      </c>
      <c r="N245" s="3">
        <v>12977.570312</v>
      </c>
      <c r="O245" s="2">
        <f t="shared" si="19"/>
        <v>-1.9715702953847381E-2</v>
      </c>
    </row>
    <row r="246" spans="1:15" x14ac:dyDescent="0.25">
      <c r="A246" s="6">
        <v>40973</v>
      </c>
      <c r="B246" s="3">
        <v>1370.869995</v>
      </c>
      <c r="C246" s="2">
        <f t="shared" si="18"/>
        <v>-2.0159667990579277E-2</v>
      </c>
      <c r="D246" s="4">
        <v>40980</v>
      </c>
      <c r="E246" s="3">
        <v>10129.830078000001</v>
      </c>
      <c r="F246" s="2">
        <f t="shared" si="15"/>
        <v>-0.41039148170212691</v>
      </c>
      <c r="G246" s="4">
        <v>40973</v>
      </c>
      <c r="H246" s="3">
        <v>8282.7001949999994</v>
      </c>
      <c r="I246" s="2">
        <f t="shared" si="16"/>
        <v>-0.41611911692638981</v>
      </c>
      <c r="J246" s="4">
        <v>40973</v>
      </c>
      <c r="K246" s="3">
        <v>2.0379999999999998</v>
      </c>
      <c r="L246" s="2">
        <f t="shared" si="17"/>
        <v>-0.51106382978723408</v>
      </c>
      <c r="M246" s="4">
        <v>40973</v>
      </c>
      <c r="N246" s="3">
        <v>12922.019531</v>
      </c>
      <c r="O246" s="2">
        <f t="shared" si="19"/>
        <v>3.8469357171971668E-3</v>
      </c>
    </row>
    <row r="247" spans="1:15" x14ac:dyDescent="0.25">
      <c r="A247" s="6">
        <v>40980</v>
      </c>
      <c r="B247" s="3">
        <v>1404.170044</v>
      </c>
      <c r="C247" s="2">
        <f t="shared" si="18"/>
        <v>-2.5086229829813338E-2</v>
      </c>
      <c r="D247" s="4">
        <v>40987</v>
      </c>
      <c r="E247" s="3">
        <v>10011.469727</v>
      </c>
      <c r="F247" s="2">
        <f t="shared" si="15"/>
        <v>-0.40614587274813641</v>
      </c>
      <c r="G247" s="4">
        <v>40980</v>
      </c>
      <c r="H247" s="3">
        <v>8486.2998050000006</v>
      </c>
      <c r="I247" s="2">
        <f t="shared" si="16"/>
        <v>-0.43018928217299146</v>
      </c>
      <c r="J247" s="4">
        <v>40980</v>
      </c>
      <c r="K247" s="3">
        <v>2.298</v>
      </c>
      <c r="L247" s="2">
        <f t="shared" si="17"/>
        <v>-0.5240425531914894</v>
      </c>
      <c r="M247" s="4">
        <v>40980</v>
      </c>
      <c r="N247" s="3">
        <v>13232.620117</v>
      </c>
      <c r="O247" s="2">
        <f t="shared" si="19"/>
        <v>-7.6756468374157404E-3</v>
      </c>
    </row>
    <row r="248" spans="1:15" x14ac:dyDescent="0.25">
      <c r="A248" s="6">
        <v>40987</v>
      </c>
      <c r="B248" s="3">
        <v>1397.1099850000001</v>
      </c>
      <c r="C248" s="2">
        <f t="shared" si="18"/>
        <v>-1.7159146851918456E-2</v>
      </c>
      <c r="D248" s="4">
        <v>40994</v>
      </c>
      <c r="E248" s="3">
        <v>10083.559569999999</v>
      </c>
      <c r="F248" s="2">
        <f t="shared" si="15"/>
        <v>-0.42941516881673236</v>
      </c>
      <c r="G248" s="4">
        <v>40987</v>
      </c>
      <c r="H248" s="3">
        <v>8281.7998050000006</v>
      </c>
      <c r="I248" s="2">
        <f t="shared" si="16"/>
        <v>-0.44902746555116901</v>
      </c>
      <c r="J248" s="4">
        <v>40987</v>
      </c>
      <c r="K248" s="3">
        <v>2.2370000000000001</v>
      </c>
      <c r="L248" s="2">
        <f t="shared" si="17"/>
        <v>-0.52851063829787237</v>
      </c>
      <c r="M248" s="4">
        <v>40987</v>
      </c>
      <c r="N248" s="3">
        <v>13080.730469</v>
      </c>
      <c r="O248" s="2">
        <f t="shared" si="19"/>
        <v>2.2856993139408867E-3</v>
      </c>
    </row>
    <row r="249" spans="1:15" x14ac:dyDescent="0.25">
      <c r="A249" s="6">
        <v>40994</v>
      </c>
      <c r="B249" s="3">
        <v>1408.469971</v>
      </c>
      <c r="C249" s="2">
        <f t="shared" si="18"/>
        <v>-2.4409376829893123E-2</v>
      </c>
      <c r="D249" s="4">
        <v>41001</v>
      </c>
      <c r="E249" s="3">
        <v>9688.4501949999994</v>
      </c>
      <c r="F249" s="2">
        <f t="shared" si="15"/>
        <v>-0.43238692258015238</v>
      </c>
      <c r="G249" s="4">
        <v>40994</v>
      </c>
      <c r="H249" s="3">
        <v>8008</v>
      </c>
      <c r="I249" s="2">
        <f t="shared" si="16"/>
        <v>-0.47293642605578551</v>
      </c>
      <c r="J249" s="4">
        <v>40994</v>
      </c>
      <c r="K249" s="3">
        <v>2.2160000000000002</v>
      </c>
      <c r="L249" s="2">
        <f t="shared" si="17"/>
        <v>-0.53723404255319152</v>
      </c>
      <c r="M249" s="4">
        <v>40994</v>
      </c>
      <c r="N249" s="3">
        <v>13212.040039</v>
      </c>
      <c r="O249" s="2">
        <f t="shared" si="19"/>
        <v>-9.237698221192428E-3</v>
      </c>
    </row>
    <row r="250" spans="1:15" x14ac:dyDescent="0.25">
      <c r="A250" s="6">
        <v>41001</v>
      </c>
      <c r="B250" s="3">
        <v>1398.079956</v>
      </c>
      <c r="C250" s="2">
        <f t="shared" si="18"/>
        <v>-4.3822342689407094E-2</v>
      </c>
      <c r="D250" s="4">
        <v>41008</v>
      </c>
      <c r="E250" s="3">
        <v>9637.9902340000008</v>
      </c>
      <c r="F250" s="2">
        <f t="shared" si="15"/>
        <v>-0.43689990942578111</v>
      </c>
      <c r="G250" s="4">
        <v>41001</v>
      </c>
      <c r="H250" s="3">
        <v>7660.5</v>
      </c>
      <c r="I250" s="2">
        <f t="shared" si="16"/>
        <v>-0.50113867229395581</v>
      </c>
      <c r="J250" s="4">
        <v>41001</v>
      </c>
      <c r="K250" s="3">
        <v>2.1749999999999998</v>
      </c>
      <c r="L250" s="2">
        <f t="shared" si="17"/>
        <v>-0.57489361702127662</v>
      </c>
      <c r="M250" s="4">
        <v>41001</v>
      </c>
      <c r="N250" s="3">
        <v>13060.139648</v>
      </c>
      <c r="O250" s="2">
        <f t="shared" si="19"/>
        <v>-2.5210330526243031E-2</v>
      </c>
    </row>
    <row r="251" spans="1:15" x14ac:dyDescent="0.25">
      <c r="A251" s="6">
        <v>41008</v>
      </c>
      <c r="B251" s="3">
        <v>1370.26001</v>
      </c>
      <c r="C251" s="2">
        <f t="shared" si="18"/>
        <v>-3.8051461735700988E-2</v>
      </c>
      <c r="D251" s="4">
        <v>41015</v>
      </c>
      <c r="E251" s="3">
        <v>9561.3603519999997</v>
      </c>
      <c r="F251" s="2">
        <f t="shared" si="15"/>
        <v>-0.43928336285176095</v>
      </c>
      <c r="G251" s="4">
        <v>41009</v>
      </c>
      <c r="H251" s="3">
        <v>7250.6000979999999</v>
      </c>
      <c r="I251" s="2">
        <f t="shared" si="16"/>
        <v>-0.51558725274278872</v>
      </c>
      <c r="J251" s="4">
        <v>41008</v>
      </c>
      <c r="K251" s="3">
        <v>1.998</v>
      </c>
      <c r="L251" s="2">
        <f t="shared" si="17"/>
        <v>-0.58085106382978735</v>
      </c>
      <c r="M251" s="4">
        <v>41008</v>
      </c>
      <c r="N251" s="3">
        <v>12849.589844</v>
      </c>
      <c r="O251" s="2">
        <f t="shared" si="19"/>
        <v>-1.1580293614011543E-2</v>
      </c>
    </row>
    <row r="252" spans="1:15" x14ac:dyDescent="0.25">
      <c r="A252" s="6">
        <v>41015</v>
      </c>
      <c r="B252" s="3">
        <v>1378.530029</v>
      </c>
      <c r="C252" s="2">
        <f t="shared" si="18"/>
        <v>-2.0724933203933402E-2</v>
      </c>
      <c r="D252" s="4">
        <v>41022</v>
      </c>
      <c r="E252" s="3">
        <v>9520.8896480000003</v>
      </c>
      <c r="F252" s="2">
        <f t="shared" si="15"/>
        <v>-0.44756609622981641</v>
      </c>
      <c r="G252" s="4">
        <v>41015</v>
      </c>
      <c r="H252" s="3">
        <v>7040.6000979999999</v>
      </c>
      <c r="I252" s="2">
        <f t="shared" si="16"/>
        <v>-0.50834922212477374</v>
      </c>
      <c r="J252" s="4">
        <v>41015</v>
      </c>
      <c r="K252" s="3">
        <v>1.97</v>
      </c>
      <c r="L252" s="2">
        <f t="shared" si="17"/>
        <v>-0.58872340425531922</v>
      </c>
      <c r="M252" s="4">
        <v>41015</v>
      </c>
      <c r="N252" s="3">
        <v>13029.259765999999</v>
      </c>
      <c r="O252" s="2">
        <f t="shared" si="19"/>
        <v>3.519930985031023E-3</v>
      </c>
    </row>
    <row r="253" spans="1:15" x14ac:dyDescent="0.25">
      <c r="A253" s="6">
        <v>41022</v>
      </c>
      <c r="B253" s="3">
        <v>1403.3599850000001</v>
      </c>
      <c r="C253" s="2">
        <f t="shared" si="18"/>
        <v>-4.4631823068624052E-2</v>
      </c>
      <c r="D253" s="4">
        <v>41030</v>
      </c>
      <c r="E253" s="3">
        <v>9380.25</v>
      </c>
      <c r="F253" s="2">
        <f t="shared" si="15"/>
        <v>-0.4727100282595833</v>
      </c>
      <c r="G253" s="4">
        <v>41022</v>
      </c>
      <c r="H253" s="3">
        <v>7145.7998049999997</v>
      </c>
      <c r="I253" s="2">
        <f t="shared" si="16"/>
        <v>-0.52691219444678306</v>
      </c>
      <c r="J253" s="4">
        <v>41022</v>
      </c>
      <c r="K253" s="3">
        <v>1.9330000000000001</v>
      </c>
      <c r="L253" s="2">
        <f t="shared" si="17"/>
        <v>-0.60000000000000009</v>
      </c>
      <c r="M253" s="4">
        <v>41022</v>
      </c>
      <c r="N253" s="3">
        <v>13228.309569999999</v>
      </c>
      <c r="O253" s="2">
        <f t="shared" si="19"/>
        <v>-1.0896798969200925E-2</v>
      </c>
    </row>
    <row r="254" spans="1:15" x14ac:dyDescent="0.25">
      <c r="A254" s="6">
        <v>41029</v>
      </c>
      <c r="B254" s="3">
        <v>1369.099976</v>
      </c>
      <c r="C254" s="2">
        <f t="shared" si="18"/>
        <v>-5.5594351052944926E-2</v>
      </c>
      <c r="D254" s="4">
        <v>41036</v>
      </c>
      <c r="E254" s="3">
        <v>8953.3095699999994</v>
      </c>
      <c r="F254" s="2">
        <f t="shared" si="15"/>
        <v>-0.49285153782376367</v>
      </c>
      <c r="G254" s="4">
        <v>41029</v>
      </c>
      <c r="H254" s="3">
        <v>6876</v>
      </c>
      <c r="I254" s="2">
        <f t="shared" si="16"/>
        <v>-0.51868337712468149</v>
      </c>
      <c r="J254" s="4">
        <v>41029</v>
      </c>
      <c r="K254" s="3">
        <v>1.88</v>
      </c>
      <c r="L254" s="2">
        <f t="shared" si="17"/>
        <v>-0.60829787234042554</v>
      </c>
      <c r="M254" s="4">
        <v>41029</v>
      </c>
      <c r="N254" s="3">
        <v>13038.269531</v>
      </c>
      <c r="O254" s="2">
        <f t="shared" si="19"/>
        <v>-2.7409574388241577E-2</v>
      </c>
    </row>
    <row r="255" spans="1:15" x14ac:dyDescent="0.25">
      <c r="A255" s="6">
        <v>41036</v>
      </c>
      <c r="B255" s="3">
        <v>1353.3900149999999</v>
      </c>
      <c r="C255" s="2">
        <f t="shared" si="18"/>
        <v>-9.6185841712862874E-2</v>
      </c>
      <c r="D255" s="4">
        <v>41043</v>
      </c>
      <c r="E255" s="3">
        <v>8611.3095699999994</v>
      </c>
      <c r="F255" s="2">
        <f t="shared" si="15"/>
        <v>-0.49467251415325691</v>
      </c>
      <c r="G255" s="4">
        <v>41036</v>
      </c>
      <c r="H255" s="3">
        <v>6995.6000979999999</v>
      </c>
      <c r="I255" s="2">
        <f t="shared" si="16"/>
        <v>-0.54819287594845367</v>
      </c>
      <c r="J255" s="4">
        <v>41036</v>
      </c>
      <c r="K255" s="3">
        <v>1.841</v>
      </c>
      <c r="L255" s="2">
        <f t="shared" si="17"/>
        <v>-0.63787234042553198</v>
      </c>
      <c r="M255" s="4">
        <v>41036</v>
      </c>
      <c r="N255" s="3">
        <v>12820.599609000001</v>
      </c>
      <c r="O255" s="2">
        <f t="shared" si="19"/>
        <v>-6.1639797524349046E-2</v>
      </c>
    </row>
    <row r="256" spans="1:15" x14ac:dyDescent="0.25">
      <c r="A256" s="6">
        <v>41043</v>
      </c>
      <c r="B256" s="3">
        <v>1295.219971</v>
      </c>
      <c r="C256" s="2">
        <f t="shared" si="18"/>
        <v>-8.0415410558867473E-2</v>
      </c>
      <c r="D256" s="4">
        <v>41050</v>
      </c>
      <c r="E256" s="3">
        <v>8580.3896480000003</v>
      </c>
      <c r="F256" s="2">
        <f t="shared" si="15"/>
        <v>-0.5029258008799028</v>
      </c>
      <c r="G256" s="4">
        <v>41043</v>
      </c>
      <c r="H256" s="3">
        <v>6566.7001950000003</v>
      </c>
      <c r="I256" s="2">
        <f t="shared" si="16"/>
        <v>-0.54982351487278958</v>
      </c>
      <c r="J256" s="4">
        <v>41043</v>
      </c>
      <c r="K256" s="3">
        <v>1.702</v>
      </c>
      <c r="L256" s="2">
        <f t="shared" si="17"/>
        <v>-0.62872340425531914</v>
      </c>
      <c r="M256" s="4">
        <v>41043</v>
      </c>
      <c r="N256" s="3">
        <v>12369.379883</v>
      </c>
      <c r="O256" s="2">
        <f t="shared" si="19"/>
        <v>-5.5157414168010739E-2</v>
      </c>
    </row>
    <row r="257" spans="1:15" x14ac:dyDescent="0.25">
      <c r="A257" s="6">
        <v>41050</v>
      </c>
      <c r="B257" s="3">
        <v>1317.8199460000001</v>
      </c>
      <c r="C257" s="2">
        <f t="shared" si="18"/>
        <v>-0.10817412642717436</v>
      </c>
      <c r="D257" s="4">
        <v>41057</v>
      </c>
      <c r="E257" s="3">
        <v>8440.25</v>
      </c>
      <c r="F257" s="2">
        <f t="shared" si="15"/>
        <v>-0.50180625297434189</v>
      </c>
      <c r="G257" s="4">
        <v>41050</v>
      </c>
      <c r="H257" s="3">
        <v>6543</v>
      </c>
      <c r="I257" s="2">
        <f t="shared" si="16"/>
        <v>-0.58271123608489517</v>
      </c>
      <c r="J257" s="4">
        <v>41050</v>
      </c>
      <c r="K257" s="3">
        <v>1.7450000000000001</v>
      </c>
      <c r="L257" s="2">
        <f t="shared" si="17"/>
        <v>-0.68787234042553191</v>
      </c>
      <c r="M257" s="4">
        <v>41050</v>
      </c>
      <c r="N257" s="3">
        <v>12454.830078000001</v>
      </c>
      <c r="O257" s="2">
        <f t="shared" si="19"/>
        <v>-8.0666597740085527E-2</v>
      </c>
    </row>
    <row r="258" spans="1:15" x14ac:dyDescent="0.25">
      <c r="A258" s="6">
        <v>41058</v>
      </c>
      <c r="B258" s="3">
        <v>1278.040039</v>
      </c>
      <c r="C258" s="2">
        <f t="shared" si="18"/>
        <v>-7.4944538664307239E-2</v>
      </c>
      <c r="D258" s="4">
        <v>41064</v>
      </c>
      <c r="E258" s="3">
        <v>8459.2597659999992</v>
      </c>
      <c r="F258" s="2">
        <f t="shared" si="15"/>
        <v>-0.49532442391031289</v>
      </c>
      <c r="G258" s="4">
        <v>41057</v>
      </c>
      <c r="H258" s="3">
        <v>6065</v>
      </c>
      <c r="I258" s="2">
        <f t="shared" si="16"/>
        <v>-0.54920428999641102</v>
      </c>
      <c r="J258" s="4">
        <v>41058</v>
      </c>
      <c r="K258" s="3">
        <v>1.4670000000000001</v>
      </c>
      <c r="L258" s="2">
        <f t="shared" si="17"/>
        <v>-0.65170212765957447</v>
      </c>
      <c r="M258" s="4">
        <v>41058</v>
      </c>
      <c r="N258" s="3">
        <v>12118.570312</v>
      </c>
      <c r="O258" s="2">
        <f t="shared" si="19"/>
        <v>-4.761904409690474E-2</v>
      </c>
    </row>
    <row r="259" spans="1:15" x14ac:dyDescent="0.25">
      <c r="A259" s="6">
        <v>41064</v>
      </c>
      <c r="B259" s="3">
        <v>1325.660034</v>
      </c>
      <c r="C259" s="2">
        <f t="shared" si="18"/>
        <v>-6.2956253949995766E-2</v>
      </c>
      <c r="D259" s="4">
        <v>41071</v>
      </c>
      <c r="E259" s="3">
        <v>8569.3203119999998</v>
      </c>
      <c r="F259" s="2">
        <f t="shared" si="15"/>
        <v>-0.48183613216761395</v>
      </c>
      <c r="G259" s="4">
        <v>41064</v>
      </c>
      <c r="H259" s="3">
        <v>6552</v>
      </c>
      <c r="I259" s="2">
        <f t="shared" si="16"/>
        <v>-0.53771422840138672</v>
      </c>
      <c r="J259" s="4">
        <v>41064</v>
      </c>
      <c r="K259" s="3">
        <v>1.637</v>
      </c>
      <c r="L259" s="2">
        <f t="shared" si="17"/>
        <v>-0.66234042553191497</v>
      </c>
      <c r="M259" s="4">
        <v>41064</v>
      </c>
      <c r="N259" s="3">
        <v>12554.200194999999</v>
      </c>
      <c r="O259" s="2">
        <f t="shared" si="19"/>
        <v>-3.1462832707232782E-2</v>
      </c>
    </row>
    <row r="260" spans="1:15" x14ac:dyDescent="0.25">
      <c r="A260" s="6">
        <v>41071</v>
      </c>
      <c r="B260" s="3">
        <v>1342.839966</v>
      </c>
      <c r="C260" s="2">
        <f t="shared" si="18"/>
        <v>-6.8413070606693938E-2</v>
      </c>
      <c r="D260" s="4">
        <v>41078</v>
      </c>
      <c r="E260" s="3">
        <v>8798.3496090000008</v>
      </c>
      <c r="F260" s="2">
        <f t="shared" si="15"/>
        <v>-0.46956096195584657</v>
      </c>
      <c r="G260" s="4">
        <v>41071</v>
      </c>
      <c r="H260" s="3">
        <v>6719</v>
      </c>
      <c r="I260" s="2">
        <f t="shared" si="16"/>
        <v>-0.52689156703410944</v>
      </c>
      <c r="J260" s="4">
        <v>41071</v>
      </c>
      <c r="K260" s="3">
        <v>1.587</v>
      </c>
      <c r="L260" s="2">
        <f t="shared" si="17"/>
        <v>-0.6442553191489363</v>
      </c>
      <c r="M260" s="4">
        <v>41071</v>
      </c>
      <c r="N260" s="3">
        <v>12767.169921999999</v>
      </c>
      <c r="O260" s="2">
        <f t="shared" si="19"/>
        <v>-4.1050946076558861E-2</v>
      </c>
    </row>
    <row r="261" spans="1:15" x14ac:dyDescent="0.25">
      <c r="A261" s="6">
        <v>41078</v>
      </c>
      <c r="B261" s="3">
        <v>1335.0200199999999</v>
      </c>
      <c r="C261" s="2">
        <f t="shared" si="18"/>
        <v>-4.9474566369168423E-2</v>
      </c>
      <c r="D261" s="4">
        <v>41085</v>
      </c>
      <c r="E261" s="3">
        <v>9006.7802730000003</v>
      </c>
      <c r="F261" s="2">
        <f t="shared" si="15"/>
        <v>-0.46873823859333347</v>
      </c>
      <c r="G261" s="4">
        <v>41078</v>
      </c>
      <c r="H261" s="3">
        <v>6876.2998049999997</v>
      </c>
      <c r="I261" s="2">
        <f t="shared" si="16"/>
        <v>-0.51134899580392956</v>
      </c>
      <c r="J261" s="4">
        <v>41078</v>
      </c>
      <c r="K261" s="3">
        <v>1.6719999999999999</v>
      </c>
      <c r="L261" s="2">
        <f t="shared" si="17"/>
        <v>-0.64702127659574471</v>
      </c>
      <c r="M261" s="4">
        <v>41078</v>
      </c>
      <c r="N261" s="3">
        <v>12640.780273</v>
      </c>
      <c r="O261" s="2">
        <f t="shared" si="19"/>
        <v>-2.2896553566830413E-2</v>
      </c>
    </row>
    <row r="262" spans="1:15" x14ac:dyDescent="0.25">
      <c r="A262" s="6">
        <v>41085</v>
      </c>
      <c r="B262" s="3">
        <v>1362.160034</v>
      </c>
      <c r="C262" s="2">
        <f t="shared" si="18"/>
        <v>-5.4694152214872373E-2</v>
      </c>
      <c r="D262" s="4">
        <v>41092</v>
      </c>
      <c r="E262" s="3">
        <v>9020.75</v>
      </c>
      <c r="F262" s="2">
        <f t="shared" ref="F262:F325" si="20">(E263-$E$6)/$E$6</f>
        <v>-0.48620775211808842</v>
      </c>
      <c r="G262" s="4">
        <v>41085</v>
      </c>
      <c r="H262" s="3">
        <v>7102.2001950000003</v>
      </c>
      <c r="I262" s="2">
        <f t="shared" ref="I262:I325" si="21">(H263-$H$6)/$H$6</f>
        <v>-0.53634506013962058</v>
      </c>
      <c r="J262" s="4">
        <v>41085</v>
      </c>
      <c r="K262" s="3">
        <v>1.659</v>
      </c>
      <c r="L262" s="2">
        <f t="shared" ref="L262:L325" si="22">(K263-$K$6)/$K$6</f>
        <v>-0.6714893617021277</v>
      </c>
      <c r="M262" s="4">
        <v>41085</v>
      </c>
      <c r="N262" s="3">
        <v>12880.089844</v>
      </c>
      <c r="O262" s="2">
        <f t="shared" si="19"/>
        <v>-3.1060781340072747E-2</v>
      </c>
    </row>
    <row r="263" spans="1:15" x14ac:dyDescent="0.25">
      <c r="A263" s="6">
        <v>41092</v>
      </c>
      <c r="B263" s="3">
        <v>1354.6800539999999</v>
      </c>
      <c r="C263" s="2">
        <f t="shared" ref="C263:C326" si="23">(B264-$B$6)/$B$6</f>
        <v>-5.3228773993763162E-2</v>
      </c>
      <c r="D263" s="4">
        <v>41099</v>
      </c>
      <c r="E263" s="3">
        <v>8724.1201170000004</v>
      </c>
      <c r="F263" s="2">
        <f t="shared" si="20"/>
        <v>-0.48940271379603223</v>
      </c>
      <c r="G263" s="4">
        <v>41092</v>
      </c>
      <c r="H263" s="3">
        <v>6738.8999020000001</v>
      </c>
      <c r="I263" s="2">
        <f t="shared" si="21"/>
        <v>-0.54145709202260395</v>
      </c>
      <c r="J263" s="4">
        <v>41092</v>
      </c>
      <c r="K263" s="3">
        <v>1.544</v>
      </c>
      <c r="L263" s="2">
        <f t="shared" si="22"/>
        <v>-0.68106382978723401</v>
      </c>
      <c r="M263" s="4">
        <v>41092</v>
      </c>
      <c r="N263" s="3">
        <v>12772.469727</v>
      </c>
      <c r="O263" s="2">
        <f t="shared" ref="O263:O326" si="24">(N264-$N$6)/$N$6</f>
        <v>-3.0710292151076304E-2</v>
      </c>
    </row>
    <row r="264" spans="1:15" x14ac:dyDescent="0.25">
      <c r="A264" s="6">
        <v>41099</v>
      </c>
      <c r="B264" s="3">
        <v>1356.780029</v>
      </c>
      <c r="C264" s="2">
        <f t="shared" si="23"/>
        <v>-4.9125662639098032E-2</v>
      </c>
      <c r="D264" s="4">
        <v>41107</v>
      </c>
      <c r="E264" s="3">
        <v>8669.8701170000004</v>
      </c>
      <c r="F264" s="2">
        <f t="shared" si="20"/>
        <v>-0.49548229706702146</v>
      </c>
      <c r="G264" s="4">
        <v>41099</v>
      </c>
      <c r="H264" s="3">
        <v>6664.6000979999999</v>
      </c>
      <c r="I264" s="2">
        <f t="shared" si="21"/>
        <v>-0.57023730838060827</v>
      </c>
      <c r="J264" s="4">
        <v>41099</v>
      </c>
      <c r="K264" s="3">
        <v>1.4990000000000001</v>
      </c>
      <c r="L264" s="2">
        <f t="shared" si="22"/>
        <v>-0.68936170212765957</v>
      </c>
      <c r="M264" s="4">
        <v>41099</v>
      </c>
      <c r="N264" s="3">
        <v>12777.089844</v>
      </c>
      <c r="O264" s="2">
        <f t="shared" si="24"/>
        <v>-2.7260073824463115E-2</v>
      </c>
    </row>
    <row r="265" spans="1:15" x14ac:dyDescent="0.25">
      <c r="A265" s="6">
        <v>41106</v>
      </c>
      <c r="B265" s="3">
        <v>1362.660034</v>
      </c>
      <c r="C265" s="2">
        <f t="shared" si="23"/>
        <v>-3.285981470508622E-2</v>
      </c>
      <c r="D265" s="4">
        <v>41113</v>
      </c>
      <c r="E265" s="3">
        <v>8566.6396480000003</v>
      </c>
      <c r="F265" s="2">
        <f t="shared" si="20"/>
        <v>-0.4961612953876422</v>
      </c>
      <c r="G265" s="4">
        <v>41106</v>
      </c>
      <c r="H265" s="3">
        <v>6246.2998049999997</v>
      </c>
      <c r="I265" s="2">
        <f t="shared" si="21"/>
        <v>-0.54469082193258089</v>
      </c>
      <c r="J265" s="4">
        <v>41106</v>
      </c>
      <c r="K265" s="3">
        <v>1.46</v>
      </c>
      <c r="L265" s="2">
        <f t="shared" si="22"/>
        <v>-0.66914893617021287</v>
      </c>
      <c r="M265" s="4">
        <v>41106</v>
      </c>
      <c r="N265" s="3">
        <v>12822.570312</v>
      </c>
      <c r="O265" s="2">
        <f t="shared" si="24"/>
        <v>-8.0602885881177304E-3</v>
      </c>
    </row>
    <row r="266" spans="1:15" x14ac:dyDescent="0.25">
      <c r="A266" s="6">
        <v>41113</v>
      </c>
      <c r="B266" s="3">
        <v>1385.969971</v>
      </c>
      <c r="C266" s="2">
        <f t="shared" si="23"/>
        <v>-2.935680799683768E-2</v>
      </c>
      <c r="D266" s="4">
        <v>41120</v>
      </c>
      <c r="E266" s="3">
        <v>8555.1103519999997</v>
      </c>
      <c r="F266" s="2">
        <f t="shared" si="20"/>
        <v>-0.47635370625676926</v>
      </c>
      <c r="G266" s="4">
        <v>41113</v>
      </c>
      <c r="H266" s="3">
        <v>6617.6000979999999</v>
      </c>
      <c r="I266" s="2">
        <f t="shared" si="21"/>
        <v>-0.53518915354450403</v>
      </c>
      <c r="J266" s="4">
        <v>41113</v>
      </c>
      <c r="K266" s="3">
        <v>1.5549999999999999</v>
      </c>
      <c r="L266" s="2">
        <f t="shared" si="22"/>
        <v>-0.664468085106383</v>
      </c>
      <c r="M266" s="4">
        <v>41113</v>
      </c>
      <c r="N266" s="3">
        <v>13075.660156</v>
      </c>
      <c r="O266" s="2">
        <f t="shared" si="24"/>
        <v>-6.504386161437648E-3</v>
      </c>
    </row>
    <row r="267" spans="1:15" x14ac:dyDescent="0.25">
      <c r="A267" s="6">
        <v>41120</v>
      </c>
      <c r="B267" s="3">
        <v>1390.98999</v>
      </c>
      <c r="C267" s="2">
        <f t="shared" si="23"/>
        <v>-1.8973429500905442E-2</v>
      </c>
      <c r="D267" s="4">
        <v>41127</v>
      </c>
      <c r="E267" s="3">
        <v>8891.4404300000006</v>
      </c>
      <c r="F267" s="2">
        <f t="shared" si="20"/>
        <v>-0.46039011291870607</v>
      </c>
      <c r="G267" s="4">
        <v>41120</v>
      </c>
      <c r="H267" s="3">
        <v>6755.7001950000003</v>
      </c>
      <c r="I267" s="2">
        <f t="shared" si="21"/>
        <v>-0.51509874644422193</v>
      </c>
      <c r="J267" s="4">
        <v>41120</v>
      </c>
      <c r="K267" s="3">
        <v>1.577</v>
      </c>
      <c r="L267" s="2">
        <f t="shared" si="22"/>
        <v>-0.64914893617021274</v>
      </c>
      <c r="M267" s="4">
        <v>41120</v>
      </c>
      <c r="N267" s="3">
        <v>13096.169921999999</v>
      </c>
      <c r="O267" s="2">
        <f t="shared" si="24"/>
        <v>1.9754374511608166E-3</v>
      </c>
    </row>
    <row r="268" spans="1:15" x14ac:dyDescent="0.25">
      <c r="A268" s="6">
        <v>41127</v>
      </c>
      <c r="B268" s="3">
        <v>1405.869995</v>
      </c>
      <c r="C268" s="2">
        <f t="shared" si="23"/>
        <v>-1.0397348601284209E-2</v>
      </c>
      <c r="D268" s="4">
        <v>41134</v>
      </c>
      <c r="E268" s="3">
        <v>9162.5</v>
      </c>
      <c r="F268" s="2">
        <f t="shared" si="20"/>
        <v>-0.46579299830037613</v>
      </c>
      <c r="G268" s="4">
        <v>41127</v>
      </c>
      <c r="H268" s="3">
        <v>7047.7001950000003</v>
      </c>
      <c r="I268" s="2">
        <f t="shared" si="21"/>
        <v>-0.47978230107797065</v>
      </c>
      <c r="J268" s="4">
        <v>41127</v>
      </c>
      <c r="K268" s="3">
        <v>1.649</v>
      </c>
      <c r="L268" s="2">
        <f t="shared" si="22"/>
        <v>-0.61361702127659579</v>
      </c>
      <c r="M268" s="4">
        <v>41127</v>
      </c>
      <c r="N268" s="3">
        <v>13207.950194999999</v>
      </c>
      <c r="O268" s="2">
        <f t="shared" si="24"/>
        <v>7.0771259928165088E-3</v>
      </c>
    </row>
    <row r="269" spans="1:15" x14ac:dyDescent="0.25">
      <c r="A269" s="6">
        <v>41134</v>
      </c>
      <c r="B269" s="3">
        <v>1418.160034</v>
      </c>
      <c r="C269" s="2">
        <f t="shared" si="23"/>
        <v>-1.5302955282490312E-2</v>
      </c>
      <c r="D269" s="4">
        <v>41141</v>
      </c>
      <c r="E269" s="3">
        <v>9070.7597659999992</v>
      </c>
      <c r="F269" s="2">
        <f t="shared" si="20"/>
        <v>-0.47938849428780972</v>
      </c>
      <c r="G269" s="4">
        <v>41134</v>
      </c>
      <c r="H269" s="3">
        <v>7561</v>
      </c>
      <c r="I269" s="2">
        <f t="shared" si="21"/>
        <v>-0.49703116743985459</v>
      </c>
      <c r="J269" s="4">
        <v>41134</v>
      </c>
      <c r="K269" s="3">
        <v>1.8160000000000001</v>
      </c>
      <c r="L269" s="2">
        <f t="shared" si="22"/>
        <v>-0.64297872340425533</v>
      </c>
      <c r="M269" s="4">
        <v>41134</v>
      </c>
      <c r="N269" s="3">
        <v>13275.200194999999</v>
      </c>
      <c r="O269" s="2">
        <f t="shared" si="24"/>
        <v>-1.8161578038903014E-3</v>
      </c>
    </row>
    <row r="270" spans="1:15" x14ac:dyDescent="0.25">
      <c r="A270" s="6">
        <v>41141</v>
      </c>
      <c r="B270" s="3">
        <v>1411.130005</v>
      </c>
      <c r="C270" s="2">
        <f t="shared" si="23"/>
        <v>-1.8478013418696412E-2</v>
      </c>
      <c r="D270" s="4">
        <v>41148</v>
      </c>
      <c r="E270" s="3">
        <v>8839.9101559999999</v>
      </c>
      <c r="F270" s="2">
        <f t="shared" si="20"/>
        <v>-0.47751920701640094</v>
      </c>
      <c r="G270" s="4">
        <v>41141</v>
      </c>
      <c r="H270" s="3">
        <v>7310.2998049999997</v>
      </c>
      <c r="I270" s="2">
        <f t="shared" si="21"/>
        <v>-0.48944908942588033</v>
      </c>
      <c r="J270" s="4">
        <v>41141</v>
      </c>
      <c r="K270" s="3">
        <v>1.6779999999999999</v>
      </c>
      <c r="L270" s="2">
        <f t="shared" si="22"/>
        <v>-0.6676595744680851</v>
      </c>
      <c r="M270" s="4">
        <v>41141</v>
      </c>
      <c r="N270" s="3">
        <v>13157.969727</v>
      </c>
      <c r="O270" s="2">
        <f t="shared" si="24"/>
        <v>-6.9087340849874803E-3</v>
      </c>
    </row>
    <row r="271" spans="1:15" x14ac:dyDescent="0.25">
      <c r="A271" s="6">
        <v>41148</v>
      </c>
      <c r="B271" s="3">
        <v>1406.579956</v>
      </c>
      <c r="C271" s="2">
        <f t="shared" si="23"/>
        <v>3.3913337891723714E-3</v>
      </c>
      <c r="D271" s="4">
        <v>41155</v>
      </c>
      <c r="E271" s="3">
        <v>8871.6503909999992</v>
      </c>
      <c r="F271" s="2">
        <f t="shared" si="20"/>
        <v>-0.4605732918209165</v>
      </c>
      <c r="G271" s="4">
        <v>41148</v>
      </c>
      <c r="H271" s="3">
        <v>7420.5</v>
      </c>
      <c r="I271" s="2">
        <f t="shared" si="21"/>
        <v>-0.45764158502577418</v>
      </c>
      <c r="J271" s="4">
        <v>41148</v>
      </c>
      <c r="K271" s="3">
        <v>1.5620000000000001</v>
      </c>
      <c r="L271" s="2">
        <f t="shared" si="22"/>
        <v>-0.64659574468085113</v>
      </c>
      <c r="M271" s="4">
        <v>41148</v>
      </c>
      <c r="N271" s="3">
        <v>13090.839844</v>
      </c>
      <c r="O271" s="2">
        <f t="shared" si="24"/>
        <v>9.4621713032407035E-3</v>
      </c>
    </row>
    <row r="272" spans="1:15" x14ac:dyDescent="0.25">
      <c r="A272" s="6">
        <v>41156</v>
      </c>
      <c r="B272" s="3">
        <v>1437.920044</v>
      </c>
      <c r="C272" s="2">
        <f t="shared" si="23"/>
        <v>2.2825254806714296E-2</v>
      </c>
      <c r="D272" s="4">
        <v>41162</v>
      </c>
      <c r="E272" s="3">
        <v>9159.3896480000003</v>
      </c>
      <c r="F272" s="2">
        <f t="shared" si="20"/>
        <v>-0.46348201131671624</v>
      </c>
      <c r="G272" s="4">
        <v>41155</v>
      </c>
      <c r="H272" s="3">
        <v>7882.7998049999997</v>
      </c>
      <c r="I272" s="2">
        <f t="shared" si="21"/>
        <v>-0.43894786061900698</v>
      </c>
      <c r="J272" s="4">
        <v>41156</v>
      </c>
      <c r="K272" s="3">
        <v>1.661</v>
      </c>
      <c r="L272" s="2">
        <f t="shared" si="22"/>
        <v>-0.60212765957446812</v>
      </c>
      <c r="M272" s="4">
        <v>41156</v>
      </c>
      <c r="N272" s="3">
        <v>13306.639648</v>
      </c>
      <c r="O272" s="2">
        <f t="shared" si="24"/>
        <v>3.1213986146971011E-2</v>
      </c>
    </row>
    <row r="273" spans="1:15" x14ac:dyDescent="0.25">
      <c r="A273" s="6">
        <v>41162</v>
      </c>
      <c r="B273" s="3">
        <v>1465.7700199999999</v>
      </c>
      <c r="C273" s="2">
        <f t="shared" si="23"/>
        <v>1.8903579671952969E-2</v>
      </c>
      <c r="D273" s="4">
        <v>41170</v>
      </c>
      <c r="E273" s="3">
        <v>9110</v>
      </c>
      <c r="F273" s="2">
        <f t="shared" si="20"/>
        <v>-0.47760697187752771</v>
      </c>
      <c r="G273" s="4">
        <v>41162</v>
      </c>
      <c r="H273" s="3">
        <v>8154.5</v>
      </c>
      <c r="I273" s="2">
        <f t="shared" si="21"/>
        <v>-0.43370507658246293</v>
      </c>
      <c r="J273" s="4">
        <v>41162</v>
      </c>
      <c r="K273" s="3">
        <v>1.87</v>
      </c>
      <c r="L273" s="2">
        <f t="shared" si="22"/>
        <v>-0.62553191489361704</v>
      </c>
      <c r="M273" s="4">
        <v>41162</v>
      </c>
      <c r="N273" s="3">
        <v>13593.370117</v>
      </c>
      <c r="O273" s="2">
        <f t="shared" si="24"/>
        <v>3.0159481159795561E-2</v>
      </c>
    </row>
    <row r="274" spans="1:15" x14ac:dyDescent="0.25">
      <c r="A274" s="6">
        <v>41169</v>
      </c>
      <c r="B274" s="3">
        <v>1460.150024</v>
      </c>
      <c r="C274" s="2">
        <f t="shared" si="23"/>
        <v>5.3103043045595426E-3</v>
      </c>
      <c r="D274" s="4">
        <v>41176</v>
      </c>
      <c r="E274" s="3">
        <v>8870.1601559999999</v>
      </c>
      <c r="F274" s="2">
        <f t="shared" si="20"/>
        <v>-0.47801100060641694</v>
      </c>
      <c r="G274" s="4">
        <v>41169</v>
      </c>
      <c r="H274" s="3">
        <v>8230.7001949999994</v>
      </c>
      <c r="I274" s="2">
        <f t="shared" si="21"/>
        <v>-0.46963389338176653</v>
      </c>
      <c r="J274" s="4">
        <v>41169</v>
      </c>
      <c r="K274" s="3">
        <v>1.76</v>
      </c>
      <c r="L274" s="2">
        <f t="shared" si="22"/>
        <v>-0.65170212765957447</v>
      </c>
      <c r="M274" s="4">
        <v>41169</v>
      </c>
      <c r="N274" s="3">
        <v>13579.469727</v>
      </c>
      <c r="O274" s="2">
        <f t="shared" si="24"/>
        <v>1.9361361440005834E-2</v>
      </c>
    </row>
    <row r="275" spans="1:15" x14ac:dyDescent="0.25">
      <c r="A275" s="6">
        <v>41176</v>
      </c>
      <c r="B275" s="3">
        <v>1440.670044</v>
      </c>
      <c r="C275" s="2">
        <f t="shared" si="23"/>
        <v>1.9447890425086517E-2</v>
      </c>
      <c r="D275" s="4">
        <v>41183</v>
      </c>
      <c r="E275" s="3">
        <v>8863.2998050000006</v>
      </c>
      <c r="F275" s="2">
        <f t="shared" si="20"/>
        <v>-0.49739747965374415</v>
      </c>
      <c r="G275" s="4">
        <v>41176</v>
      </c>
      <c r="H275" s="3">
        <v>7708.5</v>
      </c>
      <c r="I275" s="2">
        <f t="shared" si="21"/>
        <v>-0.45271530044649444</v>
      </c>
      <c r="J275" s="4">
        <v>41176</v>
      </c>
      <c r="K275" s="3">
        <v>1.637</v>
      </c>
      <c r="L275" s="2">
        <f t="shared" si="22"/>
        <v>-0.63148936170212766</v>
      </c>
      <c r="M275" s="4">
        <v>41176</v>
      </c>
      <c r="N275" s="3">
        <v>13437.129883</v>
      </c>
      <c r="O275" s="2">
        <f t="shared" si="24"/>
        <v>3.2486963568407995E-2</v>
      </c>
    </row>
    <row r="276" spans="1:15" x14ac:dyDescent="0.25">
      <c r="A276" s="6">
        <v>41183</v>
      </c>
      <c r="B276" s="3">
        <v>1460.9300539999999</v>
      </c>
      <c r="C276" s="2">
        <f t="shared" si="23"/>
        <v>-3.1192642429230572E-3</v>
      </c>
      <c r="D276" s="4">
        <v>41191</v>
      </c>
      <c r="E276" s="3">
        <v>8534.1201170000004</v>
      </c>
      <c r="F276" s="2">
        <f t="shared" si="20"/>
        <v>-0.46980245894998762</v>
      </c>
      <c r="G276" s="4">
        <v>41183</v>
      </c>
      <c r="H276" s="3">
        <v>7954.3999020000001</v>
      </c>
      <c r="I276" s="2">
        <f t="shared" si="21"/>
        <v>-0.47349373518719706</v>
      </c>
      <c r="J276" s="4">
        <v>41183</v>
      </c>
      <c r="K276" s="3">
        <v>1.732</v>
      </c>
      <c r="L276" s="2">
        <f t="shared" si="22"/>
        <v>-0.64617021276595743</v>
      </c>
      <c r="M276" s="4">
        <v>41183</v>
      </c>
      <c r="N276" s="3">
        <v>13610.150390999999</v>
      </c>
      <c r="O276" s="2">
        <f t="shared" si="24"/>
        <v>1.1147053140330997E-2</v>
      </c>
    </row>
    <row r="277" spans="1:15" x14ac:dyDescent="0.25">
      <c r="A277" s="6">
        <v>41190</v>
      </c>
      <c r="B277" s="3">
        <v>1428.589966</v>
      </c>
      <c r="C277" s="2">
        <f t="shared" si="23"/>
        <v>9.0632628538131422E-5</v>
      </c>
      <c r="D277" s="4">
        <v>41197</v>
      </c>
      <c r="E277" s="3">
        <v>9002.6796880000002</v>
      </c>
      <c r="F277" s="2">
        <f t="shared" si="20"/>
        <v>-0.47390261764167291</v>
      </c>
      <c r="G277" s="4">
        <v>41190</v>
      </c>
      <c r="H277" s="3">
        <v>7652.3999020000001</v>
      </c>
      <c r="I277" s="2">
        <f t="shared" si="21"/>
        <v>-0.45553621377221892</v>
      </c>
      <c r="J277" s="4">
        <v>41190</v>
      </c>
      <c r="K277" s="3">
        <v>1.663</v>
      </c>
      <c r="L277" s="2">
        <f t="shared" si="22"/>
        <v>-0.62382978723404259</v>
      </c>
      <c r="M277" s="4">
        <v>41190</v>
      </c>
      <c r="N277" s="3">
        <v>13328.849609000001</v>
      </c>
      <c r="O277" s="2">
        <f t="shared" si="24"/>
        <v>1.2259195221903718E-2</v>
      </c>
    </row>
    <row r="278" spans="1:15" x14ac:dyDescent="0.25">
      <c r="A278" s="6">
        <v>41197</v>
      </c>
      <c r="B278" s="3">
        <v>1433.1899410000001</v>
      </c>
      <c r="C278" s="2">
        <f t="shared" si="23"/>
        <v>-1.4737775899453647E-2</v>
      </c>
      <c r="D278" s="4">
        <v>41204</v>
      </c>
      <c r="E278" s="3">
        <v>8933.0595699999994</v>
      </c>
      <c r="F278" s="2">
        <f t="shared" si="20"/>
        <v>-0.4669437757343029</v>
      </c>
      <c r="G278" s="4">
        <v>41197</v>
      </c>
      <c r="H278" s="3">
        <v>7913.3999020000001</v>
      </c>
      <c r="I278" s="2">
        <f t="shared" si="21"/>
        <v>-0.46501722117187333</v>
      </c>
      <c r="J278" s="4">
        <v>41197</v>
      </c>
      <c r="K278" s="3">
        <v>1.768</v>
      </c>
      <c r="L278" s="2">
        <f t="shared" si="22"/>
        <v>-0.62765957446808507</v>
      </c>
      <c r="M278" s="4">
        <v>41197</v>
      </c>
      <c r="N278" s="3">
        <v>13343.509765999999</v>
      </c>
      <c r="O278" s="2">
        <f t="shared" si="24"/>
        <v>-5.6668718050697838E-3</v>
      </c>
    </row>
    <row r="279" spans="1:15" x14ac:dyDescent="0.25">
      <c r="A279" s="6">
        <v>41204</v>
      </c>
      <c r="B279" s="3">
        <v>1411.9399410000001</v>
      </c>
      <c r="C279" s="2">
        <f t="shared" si="23"/>
        <v>-1.3160724061460885E-2</v>
      </c>
      <c r="D279" s="4">
        <v>41211</v>
      </c>
      <c r="E279" s="3">
        <v>9051.2197269999997</v>
      </c>
      <c r="F279" s="2">
        <f t="shared" si="20"/>
        <v>-0.48423603425749806</v>
      </c>
      <c r="G279" s="4">
        <v>41204</v>
      </c>
      <c r="H279" s="3">
        <v>7775.6000979999999</v>
      </c>
      <c r="I279" s="2">
        <f t="shared" si="21"/>
        <v>-0.45171766036788452</v>
      </c>
      <c r="J279" s="4">
        <v>41204</v>
      </c>
      <c r="K279" s="3">
        <v>1.75</v>
      </c>
      <c r="L279" s="2">
        <f t="shared" si="22"/>
        <v>-0.63276595744680852</v>
      </c>
      <c r="M279" s="4">
        <v>41204</v>
      </c>
      <c r="N279" s="3">
        <v>13107.209961</v>
      </c>
      <c r="O279" s="2">
        <f t="shared" si="24"/>
        <v>-6.7327116441924561E-3</v>
      </c>
    </row>
    <row r="280" spans="1:15" x14ac:dyDescent="0.25">
      <c r="A280" s="6">
        <v>41213</v>
      </c>
      <c r="B280" s="3">
        <v>1414.1999510000001</v>
      </c>
      <c r="C280" s="2">
        <f t="shared" si="23"/>
        <v>-3.7130392872110562E-2</v>
      </c>
      <c r="D280" s="4">
        <v>41218</v>
      </c>
      <c r="E280" s="3">
        <v>8757.5996090000008</v>
      </c>
      <c r="F280" s="2">
        <f t="shared" si="20"/>
        <v>-0.46853740324336463</v>
      </c>
      <c r="G280" s="4">
        <v>41211</v>
      </c>
      <c r="H280" s="3">
        <v>7968.8999020000001</v>
      </c>
      <c r="I280" s="2">
        <f t="shared" si="21"/>
        <v>-0.47458080537371994</v>
      </c>
      <c r="J280" s="4">
        <v>41213</v>
      </c>
      <c r="K280" s="3">
        <v>1.726</v>
      </c>
      <c r="L280" s="2">
        <f t="shared" si="22"/>
        <v>-0.65680851063829793</v>
      </c>
      <c r="M280" s="4">
        <v>41213</v>
      </c>
      <c r="N280" s="3">
        <v>13093.160156</v>
      </c>
      <c r="O280" s="2">
        <f t="shared" si="24"/>
        <v>-2.7804810051233034E-2</v>
      </c>
    </row>
    <row r="281" spans="1:15" x14ac:dyDescent="0.25">
      <c r="A281" s="6">
        <v>41218</v>
      </c>
      <c r="B281" s="3">
        <v>1379.849976</v>
      </c>
      <c r="C281" s="2">
        <f t="shared" si="23"/>
        <v>-5.1065587614705775E-2</v>
      </c>
      <c r="D281" s="4">
        <v>41225</v>
      </c>
      <c r="E281" s="3">
        <v>9024.1601559999999</v>
      </c>
      <c r="F281" s="2">
        <f t="shared" si="20"/>
        <v>-0.4483582226369292</v>
      </c>
      <c r="G281" s="4">
        <v>41218</v>
      </c>
      <c r="H281" s="3">
        <v>7636.6000979999999</v>
      </c>
      <c r="I281" s="2">
        <f t="shared" si="21"/>
        <v>-0.47791085247948756</v>
      </c>
      <c r="J281" s="4">
        <v>41218</v>
      </c>
      <c r="K281" s="3">
        <v>1.613</v>
      </c>
      <c r="L281" s="2">
        <f t="shared" si="22"/>
        <v>-0.66510638297872349</v>
      </c>
      <c r="M281" s="4">
        <v>41218</v>
      </c>
      <c r="N281" s="3">
        <v>12815.389648</v>
      </c>
      <c r="O281" s="2">
        <f t="shared" si="24"/>
        <v>-4.5031454392807535E-2</v>
      </c>
    </row>
    <row r="282" spans="1:15" x14ac:dyDescent="0.25">
      <c r="A282" s="6">
        <v>41225</v>
      </c>
      <c r="B282" s="3">
        <v>1359.880005</v>
      </c>
      <c r="C282" s="2">
        <f t="shared" si="23"/>
        <v>-1.6684600795227301E-2</v>
      </c>
      <c r="D282" s="4">
        <v>41232</v>
      </c>
      <c r="E282" s="3">
        <v>9366.7998050000006</v>
      </c>
      <c r="F282" s="2">
        <f t="shared" si="20"/>
        <v>-0.44369328641745603</v>
      </c>
      <c r="G282" s="4">
        <v>41225</v>
      </c>
      <c r="H282" s="3">
        <v>7588.2001950000003</v>
      </c>
      <c r="I282" s="2">
        <f t="shared" si="21"/>
        <v>-0.45579765079023704</v>
      </c>
      <c r="J282" s="4">
        <v>41225</v>
      </c>
      <c r="K282" s="3">
        <v>1.5740000000000001</v>
      </c>
      <c r="L282" s="2">
        <f t="shared" si="22"/>
        <v>-0.63978723404255322</v>
      </c>
      <c r="M282" s="4">
        <v>41225</v>
      </c>
      <c r="N282" s="3">
        <v>12588.309569999999</v>
      </c>
      <c r="O282" s="2">
        <f t="shared" si="24"/>
        <v>-1.3077003329562036E-2</v>
      </c>
    </row>
    <row r="283" spans="1:15" x14ac:dyDescent="0.25">
      <c r="A283" s="6">
        <v>41232</v>
      </c>
      <c r="B283" s="3">
        <v>1409.150024</v>
      </c>
      <c r="C283" s="2">
        <f t="shared" si="23"/>
        <v>-1.1778993416213817E-2</v>
      </c>
      <c r="D283" s="4">
        <v>41239</v>
      </c>
      <c r="E283" s="3">
        <v>9446.0097659999992</v>
      </c>
      <c r="F283" s="2">
        <f t="shared" si="20"/>
        <v>-0.43890055638343589</v>
      </c>
      <c r="G283" s="4">
        <v>41232</v>
      </c>
      <c r="H283" s="3">
        <v>7909.6000979999999</v>
      </c>
      <c r="I283" s="2">
        <f t="shared" si="21"/>
        <v>-0.45407758168918549</v>
      </c>
      <c r="J283" s="4">
        <v>41232</v>
      </c>
      <c r="K283" s="3">
        <v>1.6930000000000001</v>
      </c>
      <c r="L283" s="2">
        <f t="shared" si="22"/>
        <v>-0.65829787234042558</v>
      </c>
      <c r="M283" s="4">
        <v>41232</v>
      </c>
      <c r="N283" s="3">
        <v>13009.530273</v>
      </c>
      <c r="O283" s="2">
        <f t="shared" si="24"/>
        <v>-1.1859440411133617E-2</v>
      </c>
    </row>
    <row r="284" spans="1:15" x14ac:dyDescent="0.25">
      <c r="A284" s="6">
        <v>41239</v>
      </c>
      <c r="B284" s="3">
        <v>1416.1800539999999</v>
      </c>
      <c r="C284" s="2">
        <f t="shared" si="23"/>
        <v>-1.0460212679753318E-2</v>
      </c>
      <c r="D284" s="4">
        <v>41246</v>
      </c>
      <c r="E284" s="3">
        <v>9527.3896480000003</v>
      </c>
      <c r="F284" s="2">
        <f t="shared" si="20"/>
        <v>-0.42652295552359371</v>
      </c>
      <c r="G284" s="4">
        <v>41239</v>
      </c>
      <c r="H284" s="3">
        <v>7934.6000979999999</v>
      </c>
      <c r="I284" s="2">
        <f t="shared" si="21"/>
        <v>-0.46000150641587789</v>
      </c>
      <c r="J284" s="4">
        <v>41239</v>
      </c>
      <c r="K284" s="3">
        <v>1.6060000000000001</v>
      </c>
      <c r="L284" s="2">
        <f t="shared" si="22"/>
        <v>-0.65382978723404261</v>
      </c>
      <c r="M284" s="4">
        <v>41239</v>
      </c>
      <c r="N284" s="3">
        <v>13025.580078000001</v>
      </c>
      <c r="O284" s="2">
        <f t="shared" si="24"/>
        <v>-2.0315927421042808E-3</v>
      </c>
    </row>
    <row r="285" spans="1:15" x14ac:dyDescent="0.25">
      <c r="A285" s="6">
        <v>41246</v>
      </c>
      <c r="B285" s="3">
        <v>1418.0699460000001</v>
      </c>
      <c r="C285" s="2">
        <f t="shared" si="23"/>
        <v>-1.3593361197710886E-2</v>
      </c>
      <c r="D285" s="4">
        <v>41253</v>
      </c>
      <c r="E285" s="3">
        <v>9737.5595699999994</v>
      </c>
      <c r="F285" s="2">
        <f t="shared" si="20"/>
        <v>-0.41459706170269744</v>
      </c>
      <c r="G285" s="4">
        <v>41246</v>
      </c>
      <c r="H285" s="3">
        <v>7848.5</v>
      </c>
      <c r="I285" s="2">
        <f t="shared" si="21"/>
        <v>-0.44791973430742099</v>
      </c>
      <c r="J285" s="4">
        <v>41246</v>
      </c>
      <c r="K285" s="3">
        <v>1.627</v>
      </c>
      <c r="L285" s="2">
        <f t="shared" si="22"/>
        <v>-0.63659574468085101</v>
      </c>
      <c r="M285" s="4">
        <v>41246</v>
      </c>
      <c r="N285" s="3">
        <v>13155.129883</v>
      </c>
      <c r="O285" s="2">
        <f t="shared" si="24"/>
        <v>-3.5579357957202496E-3</v>
      </c>
    </row>
    <row r="286" spans="1:15" x14ac:dyDescent="0.25">
      <c r="A286" s="6">
        <v>41253</v>
      </c>
      <c r="B286" s="3">
        <v>1413.579956</v>
      </c>
      <c r="C286" s="2">
        <f t="shared" si="23"/>
        <v>-2.0306441322707185E-3</v>
      </c>
      <c r="D286" s="4">
        <v>41260</v>
      </c>
      <c r="E286" s="3">
        <v>9940.0595699999994</v>
      </c>
      <c r="F286" s="2">
        <f t="shared" si="20"/>
        <v>-0.37054188047420156</v>
      </c>
      <c r="G286" s="4">
        <v>41253</v>
      </c>
      <c r="H286" s="3">
        <v>8024.1000979999999</v>
      </c>
      <c r="I286" s="2">
        <f t="shared" si="21"/>
        <v>-0.42955628332726553</v>
      </c>
      <c r="J286" s="4">
        <v>41253</v>
      </c>
      <c r="K286" s="3">
        <v>1.708</v>
      </c>
      <c r="L286" s="2">
        <f t="shared" si="22"/>
        <v>-0.6268085106382979</v>
      </c>
      <c r="M286" s="4">
        <v>41253</v>
      </c>
      <c r="N286" s="3">
        <v>13135.009765999999</v>
      </c>
      <c r="O286" s="2">
        <f t="shared" si="24"/>
        <v>6.7741988029979482E-4</v>
      </c>
    </row>
    <row r="287" spans="1:15" x14ac:dyDescent="0.25">
      <c r="A287" s="6">
        <v>41260</v>
      </c>
      <c r="B287" s="3">
        <v>1430.150024</v>
      </c>
      <c r="C287" s="2">
        <f t="shared" si="23"/>
        <v>-2.1373845993149673E-2</v>
      </c>
      <c r="D287" s="4">
        <v>41268</v>
      </c>
      <c r="E287" s="3">
        <v>10688.110352</v>
      </c>
      <c r="F287" s="2">
        <f t="shared" si="20"/>
        <v>-0.36385984869206256</v>
      </c>
      <c r="G287" s="4">
        <v>41260</v>
      </c>
      <c r="H287" s="3">
        <v>8291</v>
      </c>
      <c r="I287" s="2">
        <f t="shared" si="21"/>
        <v>-0.44056472557399545</v>
      </c>
      <c r="J287" s="4">
        <v>41260</v>
      </c>
      <c r="K287" s="3">
        <v>1.754</v>
      </c>
      <c r="L287" s="2">
        <f t="shared" si="22"/>
        <v>-0.63595744680851063</v>
      </c>
      <c r="M287" s="4">
        <v>41260</v>
      </c>
      <c r="N287" s="3">
        <v>13190.839844</v>
      </c>
      <c r="O287" s="2">
        <f t="shared" si="24"/>
        <v>-1.849502849850862E-2</v>
      </c>
    </row>
    <row r="288" spans="1:15" x14ac:dyDescent="0.25">
      <c r="A288" s="6">
        <v>41267</v>
      </c>
      <c r="B288" s="3">
        <v>1402.4300539999999</v>
      </c>
      <c r="C288" s="2">
        <f t="shared" si="23"/>
        <v>2.3313685836247339E-2</v>
      </c>
      <c r="D288" s="4">
        <v>41281</v>
      </c>
      <c r="E288" s="3">
        <v>10801.570312</v>
      </c>
      <c r="F288" s="2">
        <f t="shared" si="20"/>
        <v>-0.35727972982697326</v>
      </c>
      <c r="G288" s="4">
        <v>41267</v>
      </c>
      <c r="H288" s="3">
        <v>8131</v>
      </c>
      <c r="I288" s="2">
        <f t="shared" si="21"/>
        <v>-0.41959365651051395</v>
      </c>
      <c r="J288" s="4">
        <v>41267</v>
      </c>
      <c r="K288" s="3">
        <v>1.7110000000000001</v>
      </c>
      <c r="L288" s="2">
        <f t="shared" si="22"/>
        <v>-0.5925531914893617</v>
      </c>
      <c r="M288" s="4">
        <v>41267</v>
      </c>
      <c r="N288" s="3">
        <v>12938.110352</v>
      </c>
      <c r="O288" s="2">
        <f t="shared" si="24"/>
        <v>1.9215713201072477E-2</v>
      </c>
    </row>
    <row r="289" spans="1:15" x14ac:dyDescent="0.25">
      <c r="A289" s="6">
        <v>41274</v>
      </c>
      <c r="B289" s="3">
        <v>1466.469971</v>
      </c>
      <c r="C289" s="2">
        <f t="shared" si="23"/>
        <v>2.7207505892814808E-2</v>
      </c>
      <c r="D289" s="4">
        <v>41289</v>
      </c>
      <c r="E289" s="3">
        <v>10913.299805000001</v>
      </c>
      <c r="F289" s="2">
        <f t="shared" si="20"/>
        <v>-0.35649346972286106</v>
      </c>
      <c r="G289" s="4">
        <v>41274</v>
      </c>
      <c r="H289" s="3">
        <v>8435.7998050000006</v>
      </c>
      <c r="I289" s="2">
        <f t="shared" si="21"/>
        <v>-0.40384467698820808</v>
      </c>
      <c r="J289" s="4">
        <v>41274</v>
      </c>
      <c r="K289" s="3">
        <v>1.915</v>
      </c>
      <c r="L289" s="2">
        <f t="shared" si="22"/>
        <v>-0.60106382978723405</v>
      </c>
      <c r="M289" s="4">
        <v>41274</v>
      </c>
      <c r="N289" s="3">
        <v>13435.209961</v>
      </c>
      <c r="O289" s="2">
        <f t="shared" si="24"/>
        <v>2.3253043631198018E-2</v>
      </c>
    </row>
    <row r="290" spans="1:15" x14ac:dyDescent="0.25">
      <c r="A290" s="6">
        <v>41281</v>
      </c>
      <c r="B290" s="3">
        <v>1472.0500489999999</v>
      </c>
      <c r="C290" s="2">
        <f t="shared" si="23"/>
        <v>3.6927915663861346E-2</v>
      </c>
      <c r="D290" s="4">
        <v>41295</v>
      </c>
      <c r="E290" s="3">
        <v>10926.650390999999</v>
      </c>
      <c r="F290" s="2">
        <f t="shared" si="20"/>
        <v>-0.34090503361427277</v>
      </c>
      <c r="G290" s="4">
        <v>41281</v>
      </c>
      <c r="H290" s="3">
        <v>8664.7001949999994</v>
      </c>
      <c r="I290" s="2">
        <f t="shared" si="21"/>
        <v>-0.40802101818210018</v>
      </c>
      <c r="J290" s="4">
        <v>41281</v>
      </c>
      <c r="K290" s="3">
        <v>1.875</v>
      </c>
      <c r="L290" s="2">
        <f t="shared" si="22"/>
        <v>-0.60787234042553195</v>
      </c>
      <c r="M290" s="4">
        <v>41281</v>
      </c>
      <c r="N290" s="3">
        <v>13488.429688</v>
      </c>
      <c r="O290" s="2">
        <f t="shared" si="24"/>
        <v>3.5487272592817351E-2</v>
      </c>
    </row>
    <row r="291" spans="1:15" x14ac:dyDescent="0.25">
      <c r="A291" s="6">
        <v>41288</v>
      </c>
      <c r="B291" s="3">
        <v>1485.9799800000001</v>
      </c>
      <c r="C291" s="2">
        <f t="shared" si="23"/>
        <v>4.8776673078710177E-2</v>
      </c>
      <c r="D291" s="4">
        <v>41302</v>
      </c>
      <c r="E291" s="3">
        <v>11191.339844</v>
      </c>
      <c r="F291" s="2">
        <f t="shared" si="20"/>
        <v>-0.34315356154120091</v>
      </c>
      <c r="G291" s="4">
        <v>41288</v>
      </c>
      <c r="H291" s="3">
        <v>8604</v>
      </c>
      <c r="I291" s="2">
        <f t="shared" si="21"/>
        <v>-0.39972343174050823</v>
      </c>
      <c r="J291" s="4">
        <v>41288</v>
      </c>
      <c r="K291" s="3">
        <v>1.843</v>
      </c>
      <c r="L291" s="2">
        <f t="shared" si="22"/>
        <v>-0.58574468085106379</v>
      </c>
      <c r="M291" s="4">
        <v>41288</v>
      </c>
      <c r="N291" s="3">
        <v>13649.700194999999</v>
      </c>
      <c r="O291" s="2">
        <f t="shared" si="24"/>
        <v>5.4170473364588766E-2</v>
      </c>
    </row>
    <row r="292" spans="1:15" x14ac:dyDescent="0.25">
      <c r="A292" s="6">
        <v>41296</v>
      </c>
      <c r="B292" s="3">
        <v>1502.959961</v>
      </c>
      <c r="C292" s="2">
        <f t="shared" si="23"/>
        <v>5.5901345164766789E-2</v>
      </c>
      <c r="D292" s="4">
        <v>41309</v>
      </c>
      <c r="E292" s="3">
        <v>11153.160156</v>
      </c>
      <c r="F292" s="2">
        <f t="shared" si="20"/>
        <v>-0.34193624156560481</v>
      </c>
      <c r="G292" s="4">
        <v>41295</v>
      </c>
      <c r="H292" s="3">
        <v>8724.5996090000008</v>
      </c>
      <c r="I292" s="2">
        <f t="shared" si="21"/>
        <v>-0.43377387934650496</v>
      </c>
      <c r="J292" s="4">
        <v>41296</v>
      </c>
      <c r="K292" s="3">
        <v>1.9470000000000001</v>
      </c>
      <c r="L292" s="2">
        <f t="shared" si="22"/>
        <v>-0.572340425531915</v>
      </c>
      <c r="M292" s="4">
        <v>41296</v>
      </c>
      <c r="N292" s="3">
        <v>13895.980469</v>
      </c>
      <c r="O292" s="2">
        <f t="shared" si="24"/>
        <v>6.2804242572020122E-2</v>
      </c>
    </row>
    <row r="293" spans="1:15" x14ac:dyDescent="0.25">
      <c r="A293" s="6">
        <v>41302</v>
      </c>
      <c r="B293" s="3">
        <v>1513.170044</v>
      </c>
      <c r="C293" s="2">
        <f t="shared" si="23"/>
        <v>5.9222915653111524E-2</v>
      </c>
      <c r="D293" s="4">
        <v>41317</v>
      </c>
      <c r="E293" s="3">
        <v>11173.830078000001</v>
      </c>
      <c r="F293" s="2">
        <f t="shared" si="20"/>
        <v>-0.32944436237417307</v>
      </c>
      <c r="G293" s="4">
        <v>41302</v>
      </c>
      <c r="H293" s="3">
        <v>8229.7001949999994</v>
      </c>
      <c r="I293" s="2">
        <f t="shared" si="21"/>
        <v>-0.4375442909752198</v>
      </c>
      <c r="J293" s="4">
        <v>41302</v>
      </c>
      <c r="K293" s="3">
        <v>2.0099999999999998</v>
      </c>
      <c r="L293" s="2">
        <f t="shared" si="22"/>
        <v>-0.58425531914893625</v>
      </c>
      <c r="M293" s="4">
        <v>41302</v>
      </c>
      <c r="N293" s="3">
        <v>14009.790039</v>
      </c>
      <c r="O293" s="2">
        <f t="shared" si="24"/>
        <v>6.1528227806258447E-2</v>
      </c>
    </row>
    <row r="294" spans="1:15" x14ac:dyDescent="0.25">
      <c r="A294" s="6">
        <v>41309</v>
      </c>
      <c r="B294" s="3">
        <v>1517.9300539999999</v>
      </c>
      <c r="C294" s="2">
        <f t="shared" si="23"/>
        <v>6.0520827061861522E-2</v>
      </c>
      <c r="D294" s="4">
        <v>41323</v>
      </c>
      <c r="E294" s="3">
        <v>11385.940430000001</v>
      </c>
      <c r="F294" s="2">
        <f t="shared" si="20"/>
        <v>-0.3164619549153363</v>
      </c>
      <c r="G294" s="4">
        <v>41309</v>
      </c>
      <c r="H294" s="3">
        <v>8174.8999020000001</v>
      </c>
      <c r="I294" s="2">
        <f t="shared" si="21"/>
        <v>-0.43924369908784883</v>
      </c>
      <c r="J294" s="4">
        <v>41309</v>
      </c>
      <c r="K294" s="3">
        <v>1.954</v>
      </c>
      <c r="L294" s="2">
        <f t="shared" si="22"/>
        <v>-0.57297872340425526</v>
      </c>
      <c r="M294" s="4">
        <v>41309</v>
      </c>
      <c r="N294" s="3">
        <v>13992.969727</v>
      </c>
      <c r="O294" s="2">
        <f t="shared" si="24"/>
        <v>6.0677822905349753E-2</v>
      </c>
    </row>
    <row r="295" spans="1:15" x14ac:dyDescent="0.25">
      <c r="A295" s="6">
        <v>41316</v>
      </c>
      <c r="B295" s="3">
        <v>1519.790039</v>
      </c>
      <c r="C295" s="2">
        <f t="shared" si="23"/>
        <v>5.7596969842001619E-2</v>
      </c>
      <c r="D295" s="4">
        <v>41330</v>
      </c>
      <c r="E295" s="3">
        <v>11606.379883</v>
      </c>
      <c r="F295" s="2">
        <f t="shared" si="20"/>
        <v>-0.27657704073300077</v>
      </c>
      <c r="G295" s="4">
        <v>41316</v>
      </c>
      <c r="H295" s="3">
        <v>8150.2001950000003</v>
      </c>
      <c r="I295" s="2">
        <f t="shared" si="21"/>
        <v>-0.43726219289997648</v>
      </c>
      <c r="J295" s="4">
        <v>41316</v>
      </c>
      <c r="K295" s="3">
        <v>2.0070000000000001</v>
      </c>
      <c r="L295" s="2">
        <f t="shared" si="22"/>
        <v>-0.58148936170212762</v>
      </c>
      <c r="M295" s="4">
        <v>41316</v>
      </c>
      <c r="N295" s="3">
        <v>13981.759765999999</v>
      </c>
      <c r="O295" s="2">
        <f t="shared" si="24"/>
        <v>6.2104819886620984E-2</v>
      </c>
    </row>
    <row r="296" spans="1:15" x14ac:dyDescent="0.25">
      <c r="A296" s="6">
        <v>41324</v>
      </c>
      <c r="B296" s="3">
        <v>1515.599976</v>
      </c>
      <c r="C296" s="2">
        <f t="shared" si="23"/>
        <v>5.9411251793181234E-2</v>
      </c>
      <c r="D296" s="4">
        <v>41337</v>
      </c>
      <c r="E296" s="3">
        <v>12283.620117</v>
      </c>
      <c r="F296" s="2">
        <f t="shared" si="20"/>
        <v>-0.26024415646846311</v>
      </c>
      <c r="G296" s="4">
        <v>41323</v>
      </c>
      <c r="H296" s="3">
        <v>8179</v>
      </c>
      <c r="I296" s="2">
        <f t="shared" si="21"/>
        <v>-0.43670488376856492</v>
      </c>
      <c r="J296" s="4">
        <v>41324</v>
      </c>
      <c r="K296" s="3">
        <v>1.9670000000000001</v>
      </c>
      <c r="L296" s="2">
        <f t="shared" si="22"/>
        <v>-0.60574468085106392</v>
      </c>
      <c r="M296" s="4">
        <v>41324</v>
      </c>
      <c r="N296" s="3">
        <v>14000.570312</v>
      </c>
      <c r="O296" s="2">
        <f t="shared" si="24"/>
        <v>6.8863312619895242E-2</v>
      </c>
    </row>
    <row r="297" spans="1:15" x14ac:dyDescent="0.25">
      <c r="A297" s="6">
        <v>41330</v>
      </c>
      <c r="B297" s="3">
        <v>1518.1999510000001</v>
      </c>
      <c r="C297" s="2">
        <f t="shared" si="23"/>
        <v>8.2425013702792774E-2</v>
      </c>
      <c r="D297" s="4">
        <v>41344</v>
      </c>
      <c r="E297" s="3">
        <v>12560.950194999999</v>
      </c>
      <c r="F297" s="2">
        <f t="shared" si="20"/>
        <v>-0.27334320028784098</v>
      </c>
      <c r="G297" s="4">
        <v>41330</v>
      </c>
      <c r="H297" s="3">
        <v>8187.1000979999999</v>
      </c>
      <c r="I297" s="2">
        <f t="shared" si="21"/>
        <v>-0.40636289847056717</v>
      </c>
      <c r="J297" s="4">
        <v>41330</v>
      </c>
      <c r="K297" s="3">
        <v>1.853</v>
      </c>
      <c r="L297" s="2">
        <f t="shared" si="22"/>
        <v>-0.56255319148936167</v>
      </c>
      <c r="M297" s="4">
        <v>41330</v>
      </c>
      <c r="N297" s="3">
        <v>14089.660156</v>
      </c>
      <c r="O297" s="2">
        <f t="shared" si="24"/>
        <v>9.2183920358985025E-2</v>
      </c>
    </row>
    <row r="298" spans="1:15" x14ac:dyDescent="0.25">
      <c r="A298" s="6">
        <v>41337</v>
      </c>
      <c r="B298" s="3">
        <v>1551.1800539999999</v>
      </c>
      <c r="C298" s="2">
        <f t="shared" si="23"/>
        <v>8.9068068849164794E-2</v>
      </c>
      <c r="D298" s="4">
        <v>41351</v>
      </c>
      <c r="E298" s="3">
        <v>12338.530273</v>
      </c>
      <c r="F298" s="2">
        <f t="shared" si="20"/>
        <v>-0.26984612285695092</v>
      </c>
      <c r="G298" s="4">
        <v>41337</v>
      </c>
      <c r="H298" s="3">
        <v>8628.0996090000008</v>
      </c>
      <c r="I298" s="2">
        <f t="shared" si="21"/>
        <v>-0.40698212334694572</v>
      </c>
      <c r="J298" s="4">
        <v>41337</v>
      </c>
      <c r="K298" s="3">
        <v>2.056</v>
      </c>
      <c r="L298" s="2">
        <f t="shared" si="22"/>
        <v>-0.5753191489361702</v>
      </c>
      <c r="M298" s="4">
        <v>41337</v>
      </c>
      <c r="N298" s="3">
        <v>14397.070312</v>
      </c>
      <c r="O298" s="2">
        <f t="shared" si="24"/>
        <v>0.10106275799441883</v>
      </c>
    </row>
    <row r="299" spans="1:15" x14ac:dyDescent="0.25">
      <c r="A299" s="6">
        <v>41344</v>
      </c>
      <c r="B299" s="3">
        <v>1560.6999510000001</v>
      </c>
      <c r="C299" s="2">
        <f t="shared" si="23"/>
        <v>8.6409467085705752E-2</v>
      </c>
      <c r="D299" s="4">
        <v>41358</v>
      </c>
      <c r="E299" s="3">
        <v>12397.910156</v>
      </c>
      <c r="F299" s="2">
        <f t="shared" si="20"/>
        <v>-0.24418457393732093</v>
      </c>
      <c r="G299" s="4">
        <v>41344</v>
      </c>
      <c r="H299" s="3">
        <v>8619.0996090000008</v>
      </c>
      <c r="I299" s="2">
        <f t="shared" si="21"/>
        <v>-0.42690737691164615</v>
      </c>
      <c r="J299" s="4">
        <v>41344</v>
      </c>
      <c r="K299" s="3">
        <v>1.996</v>
      </c>
      <c r="L299" s="2">
        <f t="shared" si="22"/>
        <v>-0.5925531914893617</v>
      </c>
      <c r="M299" s="4">
        <v>41344</v>
      </c>
      <c r="N299" s="3">
        <v>14514.110352</v>
      </c>
      <c r="O299" s="2">
        <f t="shared" si="24"/>
        <v>0.10090495999887927</v>
      </c>
    </row>
    <row r="300" spans="1:15" x14ac:dyDescent="0.25">
      <c r="A300" s="6">
        <v>41351</v>
      </c>
      <c r="B300" s="3">
        <v>1556.8900149999999</v>
      </c>
      <c r="C300" s="2">
        <f t="shared" si="23"/>
        <v>9.4992447207685515E-2</v>
      </c>
      <c r="D300" s="4">
        <v>41365</v>
      </c>
      <c r="E300" s="3">
        <v>12833.639648</v>
      </c>
      <c r="F300" s="2">
        <f t="shared" si="20"/>
        <v>-0.20581558715058557</v>
      </c>
      <c r="G300" s="4">
        <v>41351</v>
      </c>
      <c r="H300" s="3">
        <v>8329.5</v>
      </c>
      <c r="I300" s="2">
        <f t="shared" si="21"/>
        <v>-0.4550821087868705</v>
      </c>
      <c r="J300" s="4">
        <v>41351</v>
      </c>
      <c r="K300" s="3">
        <v>1.915</v>
      </c>
      <c r="L300" s="2">
        <f t="shared" si="22"/>
        <v>-0.6059574468085106</v>
      </c>
      <c r="M300" s="4">
        <v>41351</v>
      </c>
      <c r="N300" s="3">
        <v>14512.030273</v>
      </c>
      <c r="O300" s="2">
        <f t="shared" si="24"/>
        <v>0.10595049324959149</v>
      </c>
    </row>
    <row r="301" spans="1:15" x14ac:dyDescent="0.25">
      <c r="A301" s="6">
        <v>41358</v>
      </c>
      <c r="B301" s="3">
        <v>1569.1899410000001</v>
      </c>
      <c r="C301" s="2">
        <f t="shared" si="23"/>
        <v>8.3890391923901991E-2</v>
      </c>
      <c r="D301" s="4">
        <v>41372</v>
      </c>
      <c r="E301" s="3">
        <v>13485.139648</v>
      </c>
      <c r="F301" s="2">
        <f t="shared" si="20"/>
        <v>-0.21574848325267712</v>
      </c>
      <c r="G301" s="4">
        <v>41358</v>
      </c>
      <c r="H301" s="3">
        <v>7920</v>
      </c>
      <c r="I301" s="2">
        <f t="shared" si="21"/>
        <v>-0.46344853163705607</v>
      </c>
      <c r="J301" s="4">
        <v>41358</v>
      </c>
      <c r="K301" s="3">
        <v>1.8520000000000001</v>
      </c>
      <c r="L301" s="2">
        <f t="shared" si="22"/>
        <v>-0.63957446808510643</v>
      </c>
      <c r="M301" s="4">
        <v>41358</v>
      </c>
      <c r="N301" s="3">
        <v>14578.540039</v>
      </c>
      <c r="O301" s="2">
        <f t="shared" si="24"/>
        <v>0.10494229042900481</v>
      </c>
    </row>
    <row r="302" spans="1:15" x14ac:dyDescent="0.25">
      <c r="A302" s="6">
        <v>41365</v>
      </c>
      <c r="B302" s="3">
        <v>1553.280029</v>
      </c>
      <c r="C302" s="2">
        <f t="shared" si="23"/>
        <v>0.10871136629731445</v>
      </c>
      <c r="D302" s="4">
        <v>41379</v>
      </c>
      <c r="E302" s="3">
        <v>13316.480469</v>
      </c>
      <c r="F302" s="2">
        <f t="shared" si="20"/>
        <v>-0.18231773441881055</v>
      </c>
      <c r="G302" s="4">
        <v>41366</v>
      </c>
      <c r="H302" s="3">
        <v>7798.3999020000001</v>
      </c>
      <c r="I302" s="2">
        <f t="shared" si="21"/>
        <v>-0.44679826273887707</v>
      </c>
      <c r="J302" s="4">
        <v>41365</v>
      </c>
      <c r="K302" s="3">
        <v>1.694</v>
      </c>
      <c r="L302" s="2">
        <f t="shared" si="22"/>
        <v>-0.6338297872340426</v>
      </c>
      <c r="M302" s="4">
        <v>41365</v>
      </c>
      <c r="N302" s="3">
        <v>14565.25</v>
      </c>
      <c r="O302" s="2">
        <f t="shared" si="24"/>
        <v>0.1276863060118705</v>
      </c>
    </row>
    <row r="303" spans="1:15" x14ac:dyDescent="0.25">
      <c r="A303" s="6">
        <v>41372</v>
      </c>
      <c r="B303" s="3">
        <v>1588.849976</v>
      </c>
      <c r="C303" s="2">
        <f t="shared" si="23"/>
        <v>8.5265052383962994E-2</v>
      </c>
      <c r="D303" s="4">
        <v>41386</v>
      </c>
      <c r="E303" s="3">
        <v>13884.129883</v>
      </c>
      <c r="F303" s="2">
        <f t="shared" si="20"/>
        <v>-0.19351275316436478</v>
      </c>
      <c r="G303" s="4">
        <v>41372</v>
      </c>
      <c r="H303" s="3">
        <v>8040.3999020000001</v>
      </c>
      <c r="I303" s="2">
        <f t="shared" si="21"/>
        <v>-0.45539172122505978</v>
      </c>
      <c r="J303" s="4">
        <v>41372</v>
      </c>
      <c r="K303" s="3">
        <v>1.7210000000000001</v>
      </c>
      <c r="L303" s="2">
        <f t="shared" si="22"/>
        <v>-0.63765957446808508</v>
      </c>
      <c r="M303" s="4">
        <v>41372</v>
      </c>
      <c r="N303" s="3">
        <v>14865.059569999999</v>
      </c>
      <c r="O303" s="2">
        <f t="shared" si="24"/>
        <v>0.10359648896396251</v>
      </c>
    </row>
    <row r="304" spans="1:15" x14ac:dyDescent="0.25">
      <c r="A304" s="6">
        <v>41379</v>
      </c>
      <c r="B304" s="3">
        <v>1555.25</v>
      </c>
      <c r="C304" s="2">
        <f t="shared" si="23"/>
        <v>0.10409886875508832</v>
      </c>
      <c r="D304" s="4">
        <v>41394</v>
      </c>
      <c r="E304" s="3">
        <v>13694.040039</v>
      </c>
      <c r="F304" s="2">
        <f t="shared" si="20"/>
        <v>-0.13971372103898833</v>
      </c>
      <c r="G304" s="4">
        <v>41379</v>
      </c>
      <c r="H304" s="3">
        <v>7915.5</v>
      </c>
      <c r="I304" s="2">
        <f t="shared" si="21"/>
        <v>-0.42914346674301318</v>
      </c>
      <c r="J304" s="4">
        <v>41379</v>
      </c>
      <c r="K304" s="3">
        <v>1.7030000000000001</v>
      </c>
      <c r="L304" s="2">
        <f t="shared" si="22"/>
        <v>-0.64617021276595743</v>
      </c>
      <c r="M304" s="4">
        <v>41379</v>
      </c>
      <c r="N304" s="3">
        <v>14547.509765999999</v>
      </c>
      <c r="O304" s="2">
        <f t="shared" si="24"/>
        <v>0.11611668042687277</v>
      </c>
    </row>
    <row r="305" spans="1:15" x14ac:dyDescent="0.25">
      <c r="A305" s="6">
        <v>41386</v>
      </c>
      <c r="B305" s="3">
        <v>1582.23999</v>
      </c>
      <c r="C305" s="2">
        <f t="shared" si="23"/>
        <v>0.12655435050402172</v>
      </c>
      <c r="D305" s="4">
        <v>41401</v>
      </c>
      <c r="E305" s="3">
        <v>14607.540039</v>
      </c>
      <c r="F305" s="2">
        <f t="shared" si="20"/>
        <v>-0.10846610783547786</v>
      </c>
      <c r="G305" s="4">
        <v>41386</v>
      </c>
      <c r="H305" s="3">
        <v>8297</v>
      </c>
      <c r="I305" s="2">
        <f t="shared" si="21"/>
        <v>-0.4120941552299292</v>
      </c>
      <c r="J305" s="4">
        <v>41386</v>
      </c>
      <c r="K305" s="3">
        <v>1.663</v>
      </c>
      <c r="L305" s="2">
        <f t="shared" si="22"/>
        <v>-0.6272340425531916</v>
      </c>
      <c r="M305" s="4">
        <v>41386</v>
      </c>
      <c r="N305" s="3">
        <v>14712.549805000001</v>
      </c>
      <c r="O305" s="2">
        <f t="shared" si="24"/>
        <v>0.13594765734193043</v>
      </c>
    </row>
    <row r="306" spans="1:15" x14ac:dyDescent="0.25">
      <c r="A306" s="6">
        <v>41393</v>
      </c>
      <c r="B306" s="3">
        <v>1614.420044</v>
      </c>
      <c r="C306" s="2">
        <f t="shared" si="23"/>
        <v>0.14000801343944241</v>
      </c>
      <c r="D306" s="4">
        <v>41407</v>
      </c>
      <c r="E306" s="3">
        <v>15138.120117</v>
      </c>
      <c r="F306" s="2">
        <f t="shared" si="20"/>
        <v>-0.1394245457347906</v>
      </c>
      <c r="G306" s="4">
        <v>41393</v>
      </c>
      <c r="H306" s="3">
        <v>8544.7998050000006</v>
      </c>
      <c r="I306" s="2">
        <f t="shared" si="21"/>
        <v>-0.41211478264260287</v>
      </c>
      <c r="J306" s="4">
        <v>41393</v>
      </c>
      <c r="K306" s="3">
        <v>1.752</v>
      </c>
      <c r="L306" s="2">
        <f t="shared" si="22"/>
        <v>-0.59574468085106391</v>
      </c>
      <c r="M306" s="4">
        <v>41393</v>
      </c>
      <c r="N306" s="3">
        <v>14973.959961</v>
      </c>
      <c r="O306" s="2">
        <f t="shared" si="24"/>
        <v>0.14691194637816046</v>
      </c>
    </row>
    <row r="307" spans="1:15" x14ac:dyDescent="0.25">
      <c r="A307" s="6">
        <v>41400</v>
      </c>
      <c r="B307" s="3">
        <v>1633.6999510000001</v>
      </c>
      <c r="C307" s="2">
        <f t="shared" si="23"/>
        <v>0.16357298532454603</v>
      </c>
      <c r="D307" s="4">
        <v>41414</v>
      </c>
      <c r="E307" s="3">
        <v>14612.450194999999</v>
      </c>
      <c r="F307" s="2">
        <f t="shared" si="20"/>
        <v>-0.18877184228741592</v>
      </c>
      <c r="G307" s="4">
        <v>41400</v>
      </c>
      <c r="H307" s="3">
        <v>8544.5</v>
      </c>
      <c r="I307" s="2">
        <f t="shared" si="21"/>
        <v>-0.40950713098352803</v>
      </c>
      <c r="J307" s="4">
        <v>41400</v>
      </c>
      <c r="K307" s="3">
        <v>1.9</v>
      </c>
      <c r="L307" s="2">
        <f t="shared" si="22"/>
        <v>-0.58531914893617021</v>
      </c>
      <c r="M307" s="4">
        <v>41400</v>
      </c>
      <c r="N307" s="3">
        <v>15118.490234000001</v>
      </c>
      <c r="O307" s="2">
        <f t="shared" si="24"/>
        <v>0.1648084541079313</v>
      </c>
    </row>
    <row r="308" spans="1:15" x14ac:dyDescent="0.25">
      <c r="A308" s="6">
        <v>41407</v>
      </c>
      <c r="B308" s="3">
        <v>1667.469971</v>
      </c>
      <c r="C308" s="2">
        <f t="shared" si="23"/>
        <v>0.15110316950086741</v>
      </c>
      <c r="D308" s="4">
        <v>41421</v>
      </c>
      <c r="E308" s="3">
        <v>13774.540039</v>
      </c>
      <c r="F308" s="2">
        <f t="shared" si="20"/>
        <v>-0.24159971006827019</v>
      </c>
      <c r="G308" s="4">
        <v>41407</v>
      </c>
      <c r="H308" s="3">
        <v>8582.4003909999992</v>
      </c>
      <c r="I308" s="2">
        <f t="shared" si="21"/>
        <v>-0.43137270319985666</v>
      </c>
      <c r="J308" s="4">
        <v>41407</v>
      </c>
      <c r="K308" s="3">
        <v>1.9490000000000001</v>
      </c>
      <c r="L308" s="2">
        <f t="shared" si="22"/>
        <v>-0.57212765957446809</v>
      </c>
      <c r="M308" s="4">
        <v>41407</v>
      </c>
      <c r="N308" s="3">
        <v>15354.400390999999</v>
      </c>
      <c r="O308" s="2">
        <f t="shared" si="24"/>
        <v>0.16091669780001502</v>
      </c>
    </row>
    <row r="309" spans="1:15" x14ac:dyDescent="0.25">
      <c r="A309" s="6">
        <v>41414</v>
      </c>
      <c r="B309" s="3">
        <v>1649.599976</v>
      </c>
      <c r="C309" s="2">
        <f t="shared" si="23"/>
        <v>0.13794253057191663</v>
      </c>
      <c r="D309" s="4">
        <v>41428</v>
      </c>
      <c r="E309" s="3">
        <v>12877.530273</v>
      </c>
      <c r="F309" s="2">
        <f t="shared" si="20"/>
        <v>-0.25284896353860409</v>
      </c>
      <c r="G309" s="4">
        <v>41414</v>
      </c>
      <c r="H309" s="3">
        <v>8264.5996090000008</v>
      </c>
      <c r="I309" s="2">
        <f t="shared" si="21"/>
        <v>-0.42751974841350121</v>
      </c>
      <c r="J309" s="4">
        <v>41414</v>
      </c>
      <c r="K309" s="3">
        <v>2.0110000000000001</v>
      </c>
      <c r="L309" s="2">
        <f t="shared" si="22"/>
        <v>-0.53957446808510634</v>
      </c>
      <c r="M309" s="4">
        <v>41414</v>
      </c>
      <c r="N309" s="3">
        <v>15303.099609000001</v>
      </c>
      <c r="O309" s="2">
        <f t="shared" si="24"/>
        <v>0.14669043659957409</v>
      </c>
    </row>
    <row r="310" spans="1:15" x14ac:dyDescent="0.25">
      <c r="A310" s="6">
        <v>41422</v>
      </c>
      <c r="B310" s="3">
        <v>1630.73999</v>
      </c>
      <c r="C310" s="2">
        <f t="shared" si="23"/>
        <v>0.14676282733520807</v>
      </c>
      <c r="D310" s="4">
        <v>41435</v>
      </c>
      <c r="E310" s="3">
        <v>12686.519531</v>
      </c>
      <c r="F310" s="2">
        <f t="shared" si="20"/>
        <v>-0.22083395446259405</v>
      </c>
      <c r="G310" s="4">
        <v>41421</v>
      </c>
      <c r="H310" s="3">
        <v>8320.5996090000008</v>
      </c>
      <c r="I310" s="2">
        <f t="shared" si="21"/>
        <v>-0.43123509767177254</v>
      </c>
      <c r="J310" s="4">
        <v>41422</v>
      </c>
      <c r="K310" s="3">
        <v>2.1640000000000001</v>
      </c>
      <c r="L310" s="2">
        <f t="shared" si="22"/>
        <v>-0.54021276595744683</v>
      </c>
      <c r="M310" s="4">
        <v>41422</v>
      </c>
      <c r="N310" s="3">
        <v>15115.570312</v>
      </c>
      <c r="O310" s="2">
        <f t="shared" si="24"/>
        <v>0.1567458688875622</v>
      </c>
    </row>
    <row r="311" spans="1:15" x14ac:dyDescent="0.25">
      <c r="A311" s="6">
        <v>41428</v>
      </c>
      <c r="B311" s="3">
        <v>1643.380005</v>
      </c>
      <c r="C311" s="2">
        <f t="shared" si="23"/>
        <v>0.13514431567867749</v>
      </c>
      <c r="D311" s="4">
        <v>41442</v>
      </c>
      <c r="E311" s="3">
        <v>13230.129883</v>
      </c>
      <c r="F311" s="2">
        <f t="shared" si="20"/>
        <v>-0.1944974331096308</v>
      </c>
      <c r="G311" s="4">
        <v>41428</v>
      </c>
      <c r="H311" s="3">
        <v>8266.5996090000008</v>
      </c>
      <c r="I311" s="2">
        <f t="shared" si="21"/>
        <v>-0.44469977843559422</v>
      </c>
      <c r="J311" s="4">
        <v>41428</v>
      </c>
      <c r="K311" s="3">
        <v>2.161</v>
      </c>
      <c r="L311" s="2">
        <f t="shared" si="22"/>
        <v>-0.54765957446808511</v>
      </c>
      <c r="M311" s="4">
        <v>41428</v>
      </c>
      <c r="N311" s="3">
        <v>15248.120117</v>
      </c>
      <c r="O311" s="2">
        <f t="shared" si="24"/>
        <v>0.14324703397712948</v>
      </c>
    </row>
    <row r="312" spans="1:15" x14ac:dyDescent="0.25">
      <c r="A312" s="6">
        <v>41435</v>
      </c>
      <c r="B312" s="3">
        <v>1626.7299800000001</v>
      </c>
      <c r="C312" s="2">
        <f t="shared" si="23"/>
        <v>0.11120957143360034</v>
      </c>
      <c r="D312" s="4">
        <v>41449</v>
      </c>
      <c r="E312" s="3">
        <v>13677.320312</v>
      </c>
      <c r="F312" s="2">
        <f t="shared" si="20"/>
        <v>-0.15723861953362028</v>
      </c>
      <c r="G312" s="4">
        <v>41435</v>
      </c>
      <c r="H312" s="3">
        <v>8070.8999020000001</v>
      </c>
      <c r="I312" s="2">
        <f t="shared" si="21"/>
        <v>-0.47020494290677667</v>
      </c>
      <c r="J312" s="4">
        <v>41435</v>
      </c>
      <c r="K312" s="3">
        <v>2.1259999999999999</v>
      </c>
      <c r="L312" s="2">
        <f t="shared" si="22"/>
        <v>-0.46510638297872348</v>
      </c>
      <c r="M312" s="4">
        <v>41435</v>
      </c>
      <c r="N312" s="3">
        <v>15070.179688</v>
      </c>
      <c r="O312" s="2">
        <f t="shared" si="24"/>
        <v>0.1227052996005869</v>
      </c>
    </row>
    <row r="313" spans="1:15" x14ac:dyDescent="0.25">
      <c r="A313" s="6">
        <v>41442</v>
      </c>
      <c r="B313" s="3">
        <v>1592.4300539999999</v>
      </c>
      <c r="C313" s="2">
        <f t="shared" si="23"/>
        <v>0.12087418731136385</v>
      </c>
      <c r="D313" s="4">
        <v>41456</v>
      </c>
      <c r="E313" s="3">
        <v>14309.969727</v>
      </c>
      <c r="F313" s="2">
        <f t="shared" si="20"/>
        <v>-0.145679025978388</v>
      </c>
      <c r="G313" s="4">
        <v>41442</v>
      </c>
      <c r="H313" s="3">
        <v>7700.2001950000003</v>
      </c>
      <c r="I313" s="2">
        <f t="shared" si="21"/>
        <v>-0.46590477015414777</v>
      </c>
      <c r="J313" s="4">
        <v>41442</v>
      </c>
      <c r="K313" s="3">
        <v>2.5139999999999998</v>
      </c>
      <c r="L313" s="2">
        <f t="shared" si="22"/>
        <v>-0.47276595744680849</v>
      </c>
      <c r="M313" s="4">
        <v>41442</v>
      </c>
      <c r="N313" s="3">
        <v>14799.400390999999</v>
      </c>
      <c r="O313" s="2">
        <f t="shared" si="24"/>
        <v>0.1310651819466096</v>
      </c>
    </row>
    <row r="314" spans="1:15" x14ac:dyDescent="0.25">
      <c r="A314" s="6">
        <v>41449</v>
      </c>
      <c r="B314" s="3">
        <v>1606.280029</v>
      </c>
      <c r="C314" s="2">
        <f t="shared" si="23"/>
        <v>0.13874502659626498</v>
      </c>
      <c r="D314" s="4">
        <v>41463</v>
      </c>
      <c r="E314" s="3">
        <v>14506.25</v>
      </c>
      <c r="F314" s="2">
        <f t="shared" si="20"/>
        <v>-0.14075200307717509</v>
      </c>
      <c r="G314" s="4">
        <v>41449</v>
      </c>
      <c r="H314" s="3">
        <v>7762.7001950000003</v>
      </c>
      <c r="I314" s="2">
        <f t="shared" si="21"/>
        <v>-0.45863233815411175</v>
      </c>
      <c r="J314" s="4">
        <v>41449</v>
      </c>
      <c r="K314" s="3">
        <v>2.4780000000000002</v>
      </c>
      <c r="L314" s="2">
        <f t="shared" si="22"/>
        <v>-0.42234042553191492</v>
      </c>
      <c r="M314" s="4">
        <v>41449</v>
      </c>
      <c r="N314" s="3">
        <v>14909.599609000001</v>
      </c>
      <c r="O314" s="2">
        <f t="shared" si="24"/>
        <v>0.14822811450513729</v>
      </c>
    </row>
    <row r="315" spans="1:15" x14ac:dyDescent="0.25">
      <c r="A315" s="6">
        <v>41456</v>
      </c>
      <c r="B315" s="3">
        <v>1631.8900149999999</v>
      </c>
      <c r="C315" s="2">
        <f t="shared" si="23"/>
        <v>0.17244907528331316</v>
      </c>
      <c r="D315" s="4">
        <v>41471</v>
      </c>
      <c r="E315" s="3">
        <v>14589.910156</v>
      </c>
      <c r="F315" s="2">
        <f t="shared" si="20"/>
        <v>-0.1678387814092247</v>
      </c>
      <c r="G315" s="4">
        <v>41456</v>
      </c>
      <c r="H315" s="3">
        <v>7868.3999020000001</v>
      </c>
      <c r="I315" s="2">
        <f t="shared" si="21"/>
        <v>-0.4602629435026987</v>
      </c>
      <c r="J315" s="4">
        <v>41456</v>
      </c>
      <c r="K315" s="3">
        <v>2.7149999999999999</v>
      </c>
      <c r="L315" s="2">
        <f t="shared" si="22"/>
        <v>-0.44659574468085111</v>
      </c>
      <c r="M315" s="4">
        <v>41456</v>
      </c>
      <c r="N315" s="3">
        <v>15135.839844</v>
      </c>
      <c r="O315" s="2">
        <f t="shared" si="24"/>
        <v>0.17314559286091988</v>
      </c>
    </row>
    <row r="316" spans="1:15" x14ac:dyDescent="0.25">
      <c r="A316" s="6">
        <v>41463</v>
      </c>
      <c r="B316" s="3">
        <v>1680.1899410000001</v>
      </c>
      <c r="C316" s="2">
        <f t="shared" si="23"/>
        <v>0.180753001504175</v>
      </c>
      <c r="D316" s="4">
        <v>41477</v>
      </c>
      <c r="E316" s="3">
        <v>14129.980469</v>
      </c>
      <c r="F316" s="2">
        <f t="shared" si="20"/>
        <v>-0.14804004930105613</v>
      </c>
      <c r="G316" s="4">
        <v>41463</v>
      </c>
      <c r="H316" s="3">
        <v>7844.7001950000003</v>
      </c>
      <c r="I316" s="2">
        <f t="shared" si="21"/>
        <v>-0.45348587124455564</v>
      </c>
      <c r="J316" s="4">
        <v>41463</v>
      </c>
      <c r="K316" s="3">
        <v>2.601</v>
      </c>
      <c r="L316" s="2">
        <f t="shared" si="22"/>
        <v>-0.47</v>
      </c>
      <c r="M316" s="4">
        <v>41463</v>
      </c>
      <c r="N316" s="3">
        <v>15464.299805000001</v>
      </c>
      <c r="O316" s="2">
        <f t="shared" si="24"/>
        <v>0.17917206611554459</v>
      </c>
    </row>
    <row r="317" spans="1:15" x14ac:dyDescent="0.25">
      <c r="A317" s="6">
        <v>41470</v>
      </c>
      <c r="B317" s="3">
        <v>1692.089966</v>
      </c>
      <c r="C317" s="2">
        <f t="shared" si="23"/>
        <v>0.18044600669454575</v>
      </c>
      <c r="D317" s="4">
        <v>41484</v>
      </c>
      <c r="E317" s="3">
        <v>14466.160156</v>
      </c>
      <c r="F317" s="2">
        <f t="shared" si="20"/>
        <v>-0.19815646706438048</v>
      </c>
      <c r="G317" s="4">
        <v>41470</v>
      </c>
      <c r="H317" s="3">
        <v>7943.2001950000003</v>
      </c>
      <c r="I317" s="2">
        <f t="shared" si="21"/>
        <v>-0.42524925720011314</v>
      </c>
      <c r="J317" s="4">
        <v>41470</v>
      </c>
      <c r="K317" s="3">
        <v>2.4910000000000001</v>
      </c>
      <c r="L317" s="2">
        <f t="shared" si="22"/>
        <v>-0.45510638297872341</v>
      </c>
      <c r="M317" s="4">
        <v>41470</v>
      </c>
      <c r="N317" s="3">
        <v>15543.740234000001</v>
      </c>
      <c r="O317" s="2">
        <f t="shared" si="24"/>
        <v>0.18031680491450627</v>
      </c>
    </row>
    <row r="318" spans="1:15" x14ac:dyDescent="0.25">
      <c r="A318" s="6">
        <v>41477</v>
      </c>
      <c r="B318" s="3">
        <v>1691.650024</v>
      </c>
      <c r="C318" s="2">
        <f t="shared" si="23"/>
        <v>0.19302051108243193</v>
      </c>
      <c r="D318" s="4">
        <v>41491</v>
      </c>
      <c r="E318" s="3">
        <v>13615.190430000001</v>
      </c>
      <c r="F318" s="2">
        <f t="shared" si="20"/>
        <v>-0.19609991752361025</v>
      </c>
      <c r="G318" s="4">
        <v>41477</v>
      </c>
      <c r="H318" s="3">
        <v>8353.5996090000008</v>
      </c>
      <c r="I318" s="2">
        <f t="shared" si="21"/>
        <v>-0.41008510110336205</v>
      </c>
      <c r="J318" s="4">
        <v>41477</v>
      </c>
      <c r="K318" s="3">
        <v>2.5609999999999999</v>
      </c>
      <c r="L318" s="2">
        <f t="shared" si="22"/>
        <v>-0.44638297872340432</v>
      </c>
      <c r="M318" s="4">
        <v>41477</v>
      </c>
      <c r="N318" s="3">
        <v>15558.830078000001</v>
      </c>
      <c r="O318" s="2">
        <f t="shared" si="24"/>
        <v>0.18786732474221848</v>
      </c>
    </row>
    <row r="319" spans="1:15" x14ac:dyDescent="0.25">
      <c r="A319" s="6">
        <v>41484</v>
      </c>
      <c r="B319" s="3">
        <v>1709.670044</v>
      </c>
      <c r="C319" s="2">
        <f t="shared" si="23"/>
        <v>0.18028552493486252</v>
      </c>
      <c r="D319" s="4">
        <v>41498</v>
      </c>
      <c r="E319" s="3">
        <v>13650.110352</v>
      </c>
      <c r="F319" s="2">
        <f t="shared" si="20"/>
        <v>-0.19548510365681396</v>
      </c>
      <c r="G319" s="4">
        <v>41484</v>
      </c>
      <c r="H319" s="3">
        <v>8574</v>
      </c>
      <c r="I319" s="2">
        <f t="shared" si="21"/>
        <v>-0.39897345471056905</v>
      </c>
      <c r="J319" s="4">
        <v>41484</v>
      </c>
      <c r="K319" s="3">
        <v>2.6019999999999999</v>
      </c>
      <c r="L319" s="2">
        <f t="shared" si="22"/>
        <v>-0.45106382978723403</v>
      </c>
      <c r="M319" s="4">
        <v>41484</v>
      </c>
      <c r="N319" s="3">
        <v>15658.360352</v>
      </c>
      <c r="O319" s="2">
        <f t="shared" si="24"/>
        <v>0.17020292077918478</v>
      </c>
    </row>
    <row r="320" spans="1:15" x14ac:dyDescent="0.25">
      <c r="A320" s="6">
        <v>41491</v>
      </c>
      <c r="B320" s="3">
        <v>1691.420044</v>
      </c>
      <c r="C320" s="2">
        <f t="shared" si="23"/>
        <v>0.15545049602139538</v>
      </c>
      <c r="D320" s="4">
        <v>41505</v>
      </c>
      <c r="E320" s="3">
        <v>13660.549805000001</v>
      </c>
      <c r="F320" s="2">
        <f t="shared" si="20"/>
        <v>-0.21148579288513691</v>
      </c>
      <c r="G320" s="4">
        <v>41491</v>
      </c>
      <c r="H320" s="3">
        <v>8735.5</v>
      </c>
      <c r="I320" s="2">
        <f t="shared" si="21"/>
        <v>-0.39307019097229912</v>
      </c>
      <c r="J320" s="4">
        <v>41491</v>
      </c>
      <c r="K320" s="3">
        <v>2.58</v>
      </c>
      <c r="L320" s="2">
        <f t="shared" si="22"/>
        <v>-0.39808510638297873</v>
      </c>
      <c r="M320" s="4">
        <v>41491</v>
      </c>
      <c r="N320" s="3">
        <v>15425.509765999999</v>
      </c>
      <c r="O320" s="2">
        <f t="shared" si="24"/>
        <v>0.14410351371841043</v>
      </c>
    </row>
    <row r="321" spans="1:15" x14ac:dyDescent="0.25">
      <c r="A321" s="6">
        <v>41498</v>
      </c>
      <c r="B321" s="3">
        <v>1655.829956</v>
      </c>
      <c r="C321" s="2">
        <f t="shared" si="23"/>
        <v>0.16080270994420345</v>
      </c>
      <c r="D321" s="4">
        <v>41512</v>
      </c>
      <c r="E321" s="3">
        <v>13388.860352</v>
      </c>
      <c r="F321" s="2">
        <f t="shared" si="20"/>
        <v>-0.18369114467415903</v>
      </c>
      <c r="G321" s="4">
        <v>41498</v>
      </c>
      <c r="H321" s="3">
        <v>8821.2998050000006</v>
      </c>
      <c r="I321" s="2">
        <f t="shared" si="21"/>
        <v>-0.40232416273595645</v>
      </c>
      <c r="J321" s="4">
        <v>41498</v>
      </c>
      <c r="K321" s="3">
        <v>2.8290000000000002</v>
      </c>
      <c r="L321" s="2">
        <f t="shared" si="22"/>
        <v>-0.40042553191489361</v>
      </c>
      <c r="M321" s="4">
        <v>41498</v>
      </c>
      <c r="N321" s="3">
        <v>15081.469727</v>
      </c>
      <c r="O321" s="2">
        <f t="shared" si="24"/>
        <v>0.13872038182324259</v>
      </c>
    </row>
    <row r="322" spans="1:15" x14ac:dyDescent="0.25">
      <c r="A322" s="6">
        <v>41505</v>
      </c>
      <c r="B322" s="3">
        <v>1663.5</v>
      </c>
      <c r="C322" s="2">
        <f t="shared" si="23"/>
        <v>0.13949862794968881</v>
      </c>
      <c r="D322" s="4">
        <v>41519</v>
      </c>
      <c r="E322" s="3">
        <v>13860.809569999999</v>
      </c>
      <c r="F322" s="2">
        <f t="shared" si="20"/>
        <v>-0.15166141227244415</v>
      </c>
      <c r="G322" s="4">
        <v>41505</v>
      </c>
      <c r="H322" s="3">
        <v>8686.7998050000006</v>
      </c>
      <c r="I322" s="2">
        <f t="shared" si="21"/>
        <v>-0.42959068470928657</v>
      </c>
      <c r="J322" s="4">
        <v>41505</v>
      </c>
      <c r="K322" s="3">
        <v>2.8180000000000001</v>
      </c>
      <c r="L322" s="2">
        <f t="shared" si="22"/>
        <v>-0.41510638297872338</v>
      </c>
      <c r="M322" s="4">
        <v>41505</v>
      </c>
      <c r="N322" s="3">
        <v>15010.509765999999</v>
      </c>
      <c r="O322" s="2">
        <f t="shared" si="24"/>
        <v>0.12353288671587571</v>
      </c>
    </row>
    <row r="323" spans="1:15" x14ac:dyDescent="0.25">
      <c r="A323" s="6">
        <v>41512</v>
      </c>
      <c r="B323" s="3">
        <v>1632.969971</v>
      </c>
      <c r="C323" s="2">
        <f t="shared" si="23"/>
        <v>0.15499000450475892</v>
      </c>
      <c r="D323" s="4">
        <v>41526</v>
      </c>
      <c r="E323" s="3">
        <v>14404.669921999999</v>
      </c>
      <c r="F323" s="2">
        <f t="shared" si="20"/>
        <v>-0.13177019924524558</v>
      </c>
      <c r="G323" s="4">
        <v>41512</v>
      </c>
      <c r="H323" s="3">
        <v>8290.5</v>
      </c>
      <c r="I323" s="2">
        <f t="shared" si="21"/>
        <v>-0.40451207721595506</v>
      </c>
      <c r="J323" s="4">
        <v>41512</v>
      </c>
      <c r="K323" s="3">
        <v>2.7490000000000001</v>
      </c>
      <c r="L323" s="2">
        <f t="shared" si="22"/>
        <v>-0.3748936170212766</v>
      </c>
      <c r="M323" s="4">
        <v>41512</v>
      </c>
      <c r="N323" s="3">
        <v>14810.309569999999</v>
      </c>
      <c r="O323" s="2">
        <f t="shared" si="24"/>
        <v>0.1320438254699936</v>
      </c>
    </row>
    <row r="324" spans="1:15" x14ac:dyDescent="0.25">
      <c r="A324" s="6">
        <v>41520</v>
      </c>
      <c r="B324" s="3">
        <v>1655.170044</v>
      </c>
      <c r="C324" s="2">
        <f t="shared" si="23"/>
        <v>0.17789200766497681</v>
      </c>
      <c r="D324" s="4">
        <v>41534</v>
      </c>
      <c r="E324" s="3">
        <v>14742.419921999999</v>
      </c>
      <c r="F324" s="2">
        <f t="shared" si="20"/>
        <v>-0.13073070948209783</v>
      </c>
      <c r="G324" s="4">
        <v>41519</v>
      </c>
      <c r="H324" s="3">
        <v>8655</v>
      </c>
      <c r="I324" s="2">
        <f t="shared" si="21"/>
        <v>-0.38479323194338083</v>
      </c>
      <c r="J324" s="4">
        <v>41520</v>
      </c>
      <c r="K324" s="3">
        <v>2.9380000000000002</v>
      </c>
      <c r="L324" s="2">
        <f t="shared" si="22"/>
        <v>-0.38340425531914896</v>
      </c>
      <c r="M324" s="4">
        <v>41520</v>
      </c>
      <c r="N324" s="3">
        <v>14922.5</v>
      </c>
      <c r="O324" s="2">
        <f t="shared" si="24"/>
        <v>0.16645155277448848</v>
      </c>
    </row>
    <row r="325" spans="1:15" x14ac:dyDescent="0.25">
      <c r="A325" s="6">
        <v>41526</v>
      </c>
      <c r="B325" s="3">
        <v>1687.98999</v>
      </c>
      <c r="C325" s="2">
        <f t="shared" si="23"/>
        <v>0.19318797789479114</v>
      </c>
      <c r="D325" s="4">
        <v>41540</v>
      </c>
      <c r="E325" s="3">
        <v>14760.070312</v>
      </c>
      <c r="F325" s="2">
        <f t="shared" si="20"/>
        <v>-0.17406208966321315</v>
      </c>
      <c r="G325" s="4">
        <v>41526</v>
      </c>
      <c r="H325" s="3">
        <v>8941.5996090000008</v>
      </c>
      <c r="I325" s="2">
        <f t="shared" si="21"/>
        <v>-0.36895482217555647</v>
      </c>
      <c r="J325" s="4">
        <v>41526</v>
      </c>
      <c r="K325" s="3">
        <v>2.8980000000000001</v>
      </c>
      <c r="L325" s="2">
        <f t="shared" si="22"/>
        <v>-0.41872340425531912</v>
      </c>
      <c r="M325" s="4">
        <v>41526</v>
      </c>
      <c r="N325" s="3">
        <v>15376.059569999999</v>
      </c>
      <c r="O325" s="2">
        <f t="shared" si="24"/>
        <v>0.17214346488070542</v>
      </c>
    </row>
    <row r="326" spans="1:15" x14ac:dyDescent="0.25">
      <c r="A326" s="6">
        <v>41533</v>
      </c>
      <c r="B326" s="3">
        <v>1709.910034</v>
      </c>
      <c r="C326" s="2">
        <f t="shared" si="23"/>
        <v>0.18051577069318078</v>
      </c>
      <c r="D326" s="4">
        <v>41547</v>
      </c>
      <c r="E326" s="3">
        <v>14024.309569999999</v>
      </c>
      <c r="F326" s="2">
        <f t="shared" ref="F326:F389" si="25">(E327-$E$6)/$E$6</f>
        <v>-0.15165727136653623</v>
      </c>
      <c r="G326" s="4">
        <v>41533</v>
      </c>
      <c r="H326" s="3">
        <v>9171.7998050000006</v>
      </c>
      <c r="I326" s="2">
        <f t="shared" ref="I326:I389" si="26">(H327-$H$6)/$H$6</f>
        <v>-0.36506054541235611</v>
      </c>
      <c r="J326" s="4">
        <v>41533</v>
      </c>
      <c r="K326" s="3">
        <v>2.7320000000000002</v>
      </c>
      <c r="L326" s="2">
        <f t="shared" ref="L326:L389" si="27">(K327-$K$6)/$K$6</f>
        <v>-0.44276595744680847</v>
      </c>
      <c r="M326" s="4">
        <v>41533</v>
      </c>
      <c r="N326" s="3">
        <v>15451.089844</v>
      </c>
      <c r="O326" s="2">
        <f t="shared" si="24"/>
        <v>0.15751359654464944</v>
      </c>
    </row>
    <row r="327" spans="1:15" x14ac:dyDescent="0.25">
      <c r="A327" s="6">
        <v>41540</v>
      </c>
      <c r="B327" s="3">
        <v>1691.75</v>
      </c>
      <c r="C327" s="2">
        <f t="shared" ref="C327:C390" si="28">(B328-$B$6)/$B$6</f>
        <v>0.17964351136800477</v>
      </c>
      <c r="D327" s="4">
        <v>41554</v>
      </c>
      <c r="E327" s="3">
        <v>14404.740234000001</v>
      </c>
      <c r="F327" s="2">
        <f t="shared" si="25"/>
        <v>-0.1424228129686734</v>
      </c>
      <c r="G327" s="4">
        <v>41540</v>
      </c>
      <c r="H327" s="3">
        <v>9228.4003909999992</v>
      </c>
      <c r="I327" s="2">
        <f t="shared" si="26"/>
        <v>-0.35181601333425921</v>
      </c>
      <c r="J327" s="4">
        <v>41540</v>
      </c>
      <c r="K327" s="3">
        <v>2.6190000000000002</v>
      </c>
      <c r="L327" s="2">
        <f t="shared" si="27"/>
        <v>-0.43574468085106383</v>
      </c>
      <c r="M327" s="4">
        <v>41540</v>
      </c>
      <c r="N327" s="3">
        <v>15258.240234000001</v>
      </c>
      <c r="O327" s="2">
        <f t="shared" ref="O327:O390" si="29">(N328-$N$6)/$N$6</f>
        <v>0.1434291312582969</v>
      </c>
    </row>
    <row r="328" spans="1:15" x14ac:dyDescent="0.25">
      <c r="A328" s="6">
        <v>41547</v>
      </c>
      <c r="B328" s="3">
        <v>1690.5</v>
      </c>
      <c r="C328" s="2">
        <f t="shared" si="28"/>
        <v>0.18850563191922731</v>
      </c>
      <c r="D328" s="4">
        <v>41561</v>
      </c>
      <c r="E328" s="3">
        <v>14561.540039</v>
      </c>
      <c r="F328" s="2">
        <f t="shared" si="25"/>
        <v>-0.17029993483087957</v>
      </c>
      <c r="G328" s="4">
        <v>41547</v>
      </c>
      <c r="H328" s="3">
        <v>9420.9003909999992</v>
      </c>
      <c r="I328" s="2">
        <f t="shared" si="26"/>
        <v>-0.33478047585932541</v>
      </c>
      <c r="J328" s="4">
        <v>41547</v>
      </c>
      <c r="K328" s="3">
        <v>2.6520000000000001</v>
      </c>
      <c r="L328" s="2">
        <f t="shared" si="27"/>
        <v>-0.42936170212765962</v>
      </c>
      <c r="M328" s="4">
        <v>41547</v>
      </c>
      <c r="N328" s="3">
        <v>15072.580078000001</v>
      </c>
      <c r="O328" s="2">
        <f t="shared" si="29"/>
        <v>0.15591065116344582</v>
      </c>
    </row>
    <row r="329" spans="1:15" x14ac:dyDescent="0.25">
      <c r="A329" s="6">
        <v>41554</v>
      </c>
      <c r="B329" s="3">
        <v>1703.1999510000001</v>
      </c>
      <c r="C329" s="2">
        <f t="shared" si="28"/>
        <v>0.21732511421560743</v>
      </c>
      <c r="D329" s="4">
        <v>41568</v>
      </c>
      <c r="E329" s="3">
        <v>14088.190430000001</v>
      </c>
      <c r="F329" s="2">
        <f t="shared" si="25"/>
        <v>-0.16362261910664383</v>
      </c>
      <c r="G329" s="4">
        <v>41554</v>
      </c>
      <c r="H329" s="3">
        <v>9668.5</v>
      </c>
      <c r="I329" s="2">
        <f t="shared" si="26"/>
        <v>-0.31184852802064517</v>
      </c>
      <c r="J329" s="4">
        <v>41554</v>
      </c>
      <c r="K329" s="3">
        <v>2.6819999999999999</v>
      </c>
      <c r="L329" s="2">
        <f t="shared" si="27"/>
        <v>-0.44914893617021279</v>
      </c>
      <c r="M329" s="4">
        <v>41554</v>
      </c>
      <c r="N329" s="3">
        <v>15237.110352</v>
      </c>
      <c r="O329" s="2">
        <f t="shared" si="29"/>
        <v>0.16824118877722377</v>
      </c>
    </row>
    <row r="330" spans="1:15" x14ac:dyDescent="0.25">
      <c r="A330" s="6">
        <v>41561</v>
      </c>
      <c r="B330" s="3">
        <v>1744.5</v>
      </c>
      <c r="C330" s="2">
        <f t="shared" si="28"/>
        <v>0.22798064808810642</v>
      </c>
      <c r="D330" s="4">
        <v>41575</v>
      </c>
      <c r="E330" s="3">
        <v>14201.570312</v>
      </c>
      <c r="F330" s="2">
        <f t="shared" si="25"/>
        <v>-0.17038183333011259</v>
      </c>
      <c r="G330" s="4">
        <v>41561</v>
      </c>
      <c r="H330" s="3">
        <v>10001.799805000001</v>
      </c>
      <c r="I330" s="2">
        <f t="shared" si="26"/>
        <v>-0.32466646954514233</v>
      </c>
      <c r="J330" s="4">
        <v>41561</v>
      </c>
      <c r="K330" s="3">
        <v>2.589</v>
      </c>
      <c r="L330" s="2">
        <f t="shared" si="27"/>
        <v>-0.4674468085106383</v>
      </c>
      <c r="M330" s="4">
        <v>41561</v>
      </c>
      <c r="N330" s="3">
        <v>15399.650390999999</v>
      </c>
      <c r="O330" s="2">
        <f t="shared" si="29"/>
        <v>0.18118543433653186</v>
      </c>
    </row>
    <row r="331" spans="1:15" x14ac:dyDescent="0.25">
      <c r="A331" s="6">
        <v>41568</v>
      </c>
      <c r="B331" s="3">
        <v>1759.7700199999999</v>
      </c>
      <c r="C331" s="2">
        <f t="shared" si="28"/>
        <v>0.22928554454953243</v>
      </c>
      <c r="D331" s="4">
        <v>41583</v>
      </c>
      <c r="E331" s="3">
        <v>14086.799805000001</v>
      </c>
      <c r="F331" s="2">
        <f t="shared" si="25"/>
        <v>-0.10682888550129709</v>
      </c>
      <c r="G331" s="4">
        <v>41568</v>
      </c>
      <c r="H331" s="3">
        <v>9815.5</v>
      </c>
      <c r="I331" s="2">
        <f t="shared" si="26"/>
        <v>-0.32309777994152228</v>
      </c>
      <c r="J331" s="4">
        <v>41568</v>
      </c>
      <c r="K331" s="3">
        <v>2.5030000000000001</v>
      </c>
      <c r="L331" s="2">
        <f t="shared" si="27"/>
        <v>-0.44255319148936167</v>
      </c>
      <c r="M331" s="4">
        <v>41568</v>
      </c>
      <c r="N331" s="3">
        <v>15570.280273</v>
      </c>
      <c r="O331" s="2">
        <f t="shared" si="29"/>
        <v>0.18461965073341688</v>
      </c>
    </row>
    <row r="332" spans="1:15" x14ac:dyDescent="0.25">
      <c r="A332" s="6">
        <v>41575</v>
      </c>
      <c r="B332" s="3">
        <v>1761.6400149999999</v>
      </c>
      <c r="C332" s="2">
        <f t="shared" si="28"/>
        <v>0.23554485653277157</v>
      </c>
      <c r="D332" s="4">
        <v>41589</v>
      </c>
      <c r="E332" s="3">
        <v>15165.919921999999</v>
      </c>
      <c r="F332" s="2">
        <f t="shared" si="25"/>
        <v>-9.4119722237098941E-2</v>
      </c>
      <c r="G332" s="4">
        <v>41575</v>
      </c>
      <c r="H332" s="3">
        <v>9838.2998050000006</v>
      </c>
      <c r="I332" s="2">
        <f t="shared" si="26"/>
        <v>-0.3293656849126762</v>
      </c>
      <c r="J332" s="4">
        <v>41575</v>
      </c>
      <c r="K332" s="3">
        <v>2.62</v>
      </c>
      <c r="L332" s="2">
        <f t="shared" si="27"/>
        <v>-0.41574468085106386</v>
      </c>
      <c r="M332" s="4">
        <v>41575</v>
      </c>
      <c r="N332" s="3">
        <v>15615.549805000001</v>
      </c>
      <c r="O332" s="2">
        <f t="shared" si="29"/>
        <v>0.19571291918005698</v>
      </c>
    </row>
    <row r="333" spans="1:15" x14ac:dyDescent="0.25">
      <c r="A333" s="6">
        <v>41582</v>
      </c>
      <c r="B333" s="3">
        <v>1770.6099850000001</v>
      </c>
      <c r="C333" s="2">
        <f t="shared" si="28"/>
        <v>0.25478345635756783</v>
      </c>
      <c r="D333" s="4">
        <v>41596</v>
      </c>
      <c r="E333" s="3">
        <v>15381.719727</v>
      </c>
      <c r="F333" s="2">
        <f t="shared" si="25"/>
        <v>-7.7620740483900483E-2</v>
      </c>
      <c r="G333" s="4">
        <v>41582</v>
      </c>
      <c r="H333" s="3">
        <v>9747.2001949999994</v>
      </c>
      <c r="I333" s="2">
        <f t="shared" si="26"/>
        <v>-0.3328952532226922</v>
      </c>
      <c r="J333" s="4">
        <v>41582</v>
      </c>
      <c r="K333" s="3">
        <v>2.746</v>
      </c>
      <c r="L333" s="2">
        <f t="shared" si="27"/>
        <v>-0.42361702127659573</v>
      </c>
      <c r="M333" s="4">
        <v>41582</v>
      </c>
      <c r="N333" s="3">
        <v>15761.780273</v>
      </c>
      <c r="O333" s="2">
        <f t="shared" si="29"/>
        <v>0.21087915227025916</v>
      </c>
    </row>
    <row r="334" spans="1:15" x14ac:dyDescent="0.25">
      <c r="A334" s="6">
        <v>41589</v>
      </c>
      <c r="B334" s="3">
        <v>1798.1800539999999</v>
      </c>
      <c r="C334" s="2">
        <f t="shared" si="28"/>
        <v>0.25937499874176601</v>
      </c>
      <c r="D334" s="4">
        <v>41603</v>
      </c>
      <c r="E334" s="3">
        <v>15661.870117</v>
      </c>
      <c r="F334" s="2">
        <f t="shared" si="25"/>
        <v>-9.8940691197567723E-2</v>
      </c>
      <c r="G334" s="4">
        <v>41589</v>
      </c>
      <c r="H334" s="3">
        <v>9695.9003909999992</v>
      </c>
      <c r="I334" s="2">
        <f t="shared" si="26"/>
        <v>-0.33416810435747035</v>
      </c>
      <c r="J334" s="4">
        <v>41589</v>
      </c>
      <c r="K334" s="3">
        <v>2.7090000000000001</v>
      </c>
      <c r="L334" s="2">
        <f t="shared" si="27"/>
        <v>-0.41446808510638306</v>
      </c>
      <c r="M334" s="4">
        <v>41589</v>
      </c>
      <c r="N334" s="3">
        <v>15961.700194999999</v>
      </c>
      <c r="O334" s="2">
        <f t="shared" si="29"/>
        <v>0.21869815079021845</v>
      </c>
    </row>
    <row r="335" spans="1:15" x14ac:dyDescent="0.25">
      <c r="A335" s="6">
        <v>41596</v>
      </c>
      <c r="B335" s="3">
        <v>1804.76001</v>
      </c>
      <c r="C335" s="2">
        <f t="shared" si="28"/>
        <v>0.26010773076747934</v>
      </c>
      <c r="D335" s="4">
        <v>41610</v>
      </c>
      <c r="E335" s="3">
        <v>15299.860352</v>
      </c>
      <c r="F335" s="2">
        <f t="shared" si="25"/>
        <v>-9.2859957681481115E-2</v>
      </c>
      <c r="G335" s="4">
        <v>41596</v>
      </c>
      <c r="H335" s="3">
        <v>9677.4003909999992</v>
      </c>
      <c r="I335" s="2">
        <f t="shared" si="26"/>
        <v>-0.32314595536169344</v>
      </c>
      <c r="J335" s="4">
        <v>41596</v>
      </c>
      <c r="K335" s="3">
        <v>2.7519999999999998</v>
      </c>
      <c r="L335" s="2">
        <f t="shared" si="27"/>
        <v>-0.41680851063829788</v>
      </c>
      <c r="M335" s="4">
        <v>41596</v>
      </c>
      <c r="N335" s="3">
        <v>16064.769531</v>
      </c>
      <c r="O335" s="2">
        <f t="shared" si="29"/>
        <v>0.22033984192176889</v>
      </c>
    </row>
    <row r="336" spans="1:15" x14ac:dyDescent="0.25">
      <c r="A336" s="6">
        <v>41603</v>
      </c>
      <c r="B336" s="3">
        <v>1805.8100589999999</v>
      </c>
      <c r="C336" s="2">
        <f t="shared" si="28"/>
        <v>0.25960524450008421</v>
      </c>
      <c r="D336" s="4">
        <v>41617</v>
      </c>
      <c r="E336" s="3">
        <v>15403.110352</v>
      </c>
      <c r="F336" s="2">
        <f t="shared" si="25"/>
        <v>-6.5338553665141935E-2</v>
      </c>
      <c r="G336" s="4">
        <v>41603</v>
      </c>
      <c r="H336" s="3">
        <v>9837.5996090000008</v>
      </c>
      <c r="I336" s="2">
        <f t="shared" si="26"/>
        <v>-0.35321961662259799</v>
      </c>
      <c r="J336" s="4">
        <v>41603</v>
      </c>
      <c r="K336" s="3">
        <v>2.7410000000000001</v>
      </c>
      <c r="L336" s="2">
        <f t="shared" si="27"/>
        <v>-0.38659574468085106</v>
      </c>
      <c r="M336" s="4">
        <v>41603</v>
      </c>
      <c r="N336" s="3">
        <v>16086.410156</v>
      </c>
      <c r="O336" s="2">
        <f t="shared" si="29"/>
        <v>0.21531705233995221</v>
      </c>
    </row>
    <row r="337" spans="1:15" x14ac:dyDescent="0.25">
      <c r="A337" s="6">
        <v>41610</v>
      </c>
      <c r="B337" s="3">
        <v>1805.089966</v>
      </c>
      <c r="C337" s="2">
        <f t="shared" si="28"/>
        <v>0.23883150245554377</v>
      </c>
      <c r="D337" s="4">
        <v>41624</v>
      </c>
      <c r="E337" s="3">
        <v>15870.419921999999</v>
      </c>
      <c r="F337" s="2">
        <f t="shared" si="25"/>
        <v>-4.7168761961551842E-2</v>
      </c>
      <c r="G337" s="4">
        <v>41610</v>
      </c>
      <c r="H337" s="3">
        <v>9400.5</v>
      </c>
      <c r="I337" s="2">
        <f t="shared" si="26"/>
        <v>-0.36201259645063449</v>
      </c>
      <c r="J337" s="4">
        <v>41610</v>
      </c>
      <c r="K337" s="3">
        <v>2.883</v>
      </c>
      <c r="L337" s="2">
        <f t="shared" si="27"/>
        <v>-0.38978723404255322</v>
      </c>
      <c r="M337" s="4">
        <v>41610</v>
      </c>
      <c r="N337" s="3">
        <v>16020.200194999999</v>
      </c>
      <c r="O337" s="2">
        <f t="shared" si="29"/>
        <v>0.19522589408854713</v>
      </c>
    </row>
    <row r="338" spans="1:15" x14ac:dyDescent="0.25">
      <c r="A338" s="6">
        <v>41617</v>
      </c>
      <c r="B338" s="3">
        <v>1775.3199460000001</v>
      </c>
      <c r="C338" s="2">
        <f t="shared" si="28"/>
        <v>0.2688372232415977</v>
      </c>
      <c r="D338" s="4">
        <v>41631</v>
      </c>
      <c r="E338" s="3">
        <v>16178.940430000001</v>
      </c>
      <c r="F338" s="2">
        <f t="shared" si="25"/>
        <v>-6.288625726619132E-2</v>
      </c>
      <c r="G338" s="4">
        <v>41617</v>
      </c>
      <c r="H338" s="3">
        <v>9272.7001949999994</v>
      </c>
      <c r="I338" s="2">
        <f t="shared" si="26"/>
        <v>-0.33330806980694461</v>
      </c>
      <c r="J338" s="4">
        <v>41617</v>
      </c>
      <c r="K338" s="3">
        <v>2.8679999999999999</v>
      </c>
      <c r="L338" s="2">
        <f t="shared" si="27"/>
        <v>-0.38574468085106384</v>
      </c>
      <c r="M338" s="4">
        <v>41617</v>
      </c>
      <c r="N338" s="3">
        <v>15755.360352</v>
      </c>
      <c r="O338" s="2">
        <f t="shared" si="29"/>
        <v>0.23056062862153834</v>
      </c>
    </row>
    <row r="339" spans="1:15" x14ac:dyDescent="0.25">
      <c r="A339" s="6">
        <v>41624</v>
      </c>
      <c r="B339" s="3">
        <v>1818.3199460000001</v>
      </c>
      <c r="C339" s="2">
        <f t="shared" si="28"/>
        <v>0.28494267385062899</v>
      </c>
      <c r="D339" s="4">
        <v>41638</v>
      </c>
      <c r="E339" s="3">
        <v>15912.059569999999</v>
      </c>
      <c r="F339" s="2">
        <f t="shared" si="25"/>
        <v>-7.3345684819607029E-2</v>
      </c>
      <c r="G339" s="4">
        <v>41624</v>
      </c>
      <c r="H339" s="3">
        <v>9689.9003909999992</v>
      </c>
      <c r="I339" s="2">
        <f t="shared" si="26"/>
        <v>-0.3188457826090646</v>
      </c>
      <c r="J339" s="4">
        <v>41624</v>
      </c>
      <c r="K339" s="3">
        <v>2.887</v>
      </c>
      <c r="L339" s="2">
        <f t="shared" si="27"/>
        <v>-0.36042553191489368</v>
      </c>
      <c r="M339" s="4">
        <v>41624</v>
      </c>
      <c r="N339" s="3">
        <v>16221.139648</v>
      </c>
      <c r="O339" s="2">
        <f t="shared" si="29"/>
        <v>0.25007756546569515</v>
      </c>
    </row>
    <row r="340" spans="1:15" x14ac:dyDescent="0.25">
      <c r="A340" s="6">
        <v>41631</v>
      </c>
      <c r="B340" s="3">
        <v>1841.400024</v>
      </c>
      <c r="C340" s="2">
        <f t="shared" si="28"/>
        <v>0.27794364478900052</v>
      </c>
      <c r="D340" s="4">
        <v>41652</v>
      </c>
      <c r="E340" s="3">
        <v>15734.459961</v>
      </c>
      <c r="F340" s="2">
        <f t="shared" si="25"/>
        <v>-9.3540221383606167E-2</v>
      </c>
      <c r="G340" s="4">
        <v>41631</v>
      </c>
      <c r="H340" s="3">
        <v>9900.0996090000008</v>
      </c>
      <c r="I340" s="2">
        <f t="shared" si="26"/>
        <v>-0.3258705179158784</v>
      </c>
      <c r="J340" s="4">
        <v>41631</v>
      </c>
      <c r="K340" s="3">
        <v>3.0059999999999998</v>
      </c>
      <c r="L340" s="2">
        <f t="shared" si="27"/>
        <v>-0.36276595744680851</v>
      </c>
      <c r="M340" s="4">
        <v>41631</v>
      </c>
      <c r="N340" s="3">
        <v>16478.410156000002</v>
      </c>
      <c r="O340" s="2">
        <f t="shared" si="29"/>
        <v>0.24943881721901798</v>
      </c>
    </row>
    <row r="341" spans="1:15" x14ac:dyDescent="0.25">
      <c r="A341" s="6">
        <v>41638</v>
      </c>
      <c r="B341" s="3">
        <v>1831.369995</v>
      </c>
      <c r="C341" s="2">
        <f t="shared" si="28"/>
        <v>0.2856195268505492</v>
      </c>
      <c r="D341" s="4">
        <v>41659</v>
      </c>
      <c r="E341" s="3">
        <v>15391.559569999999</v>
      </c>
      <c r="F341" s="2">
        <f t="shared" si="25"/>
        <v>-0.12163405222547667</v>
      </c>
      <c r="G341" s="4">
        <v>41638</v>
      </c>
      <c r="H341" s="3">
        <v>9798</v>
      </c>
      <c r="I341" s="2">
        <f t="shared" si="26"/>
        <v>-0.29197830325063945</v>
      </c>
      <c r="J341" s="4">
        <v>41638</v>
      </c>
      <c r="K341" s="3">
        <v>2.9950000000000001</v>
      </c>
      <c r="L341" s="2">
        <f t="shared" si="27"/>
        <v>-0.39148936170212773</v>
      </c>
      <c r="M341" s="4">
        <v>41638</v>
      </c>
      <c r="N341" s="3">
        <v>16469.990234000001</v>
      </c>
      <c r="O341" s="2">
        <f t="shared" si="29"/>
        <v>0.24693997959911462</v>
      </c>
    </row>
    <row r="342" spans="1:15" x14ac:dyDescent="0.25">
      <c r="A342" s="6">
        <v>41645</v>
      </c>
      <c r="B342" s="3">
        <v>1842.369995</v>
      </c>
      <c r="C342" s="2">
        <f t="shared" si="28"/>
        <v>0.28305854276830428</v>
      </c>
      <c r="D342" s="4">
        <v>41666</v>
      </c>
      <c r="E342" s="3">
        <v>14914.530273</v>
      </c>
      <c r="F342" s="2">
        <f t="shared" si="25"/>
        <v>-0.14826089918662827</v>
      </c>
      <c r="G342" s="4">
        <v>41645</v>
      </c>
      <c r="H342" s="3">
        <v>10290.599609000001</v>
      </c>
      <c r="I342" s="2">
        <f t="shared" si="26"/>
        <v>-0.2799308989484548</v>
      </c>
      <c r="J342" s="4">
        <v>41645</v>
      </c>
      <c r="K342" s="3">
        <v>2.86</v>
      </c>
      <c r="L342" s="2">
        <f t="shared" si="27"/>
        <v>-0.39851063829787237</v>
      </c>
      <c r="M342" s="4">
        <v>41645</v>
      </c>
      <c r="N342" s="3">
        <v>16437.050781000002</v>
      </c>
      <c r="O342" s="2">
        <f t="shared" si="29"/>
        <v>0.24857174356544759</v>
      </c>
    </row>
    <row r="343" spans="1:15" x14ac:dyDescent="0.25">
      <c r="A343" s="6">
        <v>41652</v>
      </c>
      <c r="B343" s="3">
        <v>1838.6999510000001</v>
      </c>
      <c r="C343" s="2">
        <f t="shared" si="28"/>
        <v>0.2492777450299451</v>
      </c>
      <c r="D343" s="4">
        <v>41673</v>
      </c>
      <c r="E343" s="3">
        <v>14462.410156</v>
      </c>
      <c r="F343" s="2">
        <f t="shared" si="25"/>
        <v>-0.15705837387125002</v>
      </c>
      <c r="G343" s="4">
        <v>41652</v>
      </c>
      <c r="H343" s="3">
        <v>10465.700194999999</v>
      </c>
      <c r="I343" s="2">
        <f t="shared" si="26"/>
        <v>-0.32099237504341555</v>
      </c>
      <c r="J343" s="4">
        <v>41652</v>
      </c>
      <c r="K343" s="3">
        <v>2.827</v>
      </c>
      <c r="L343" s="2">
        <f t="shared" si="27"/>
        <v>-0.4180851063829788</v>
      </c>
      <c r="M343" s="4">
        <v>41652</v>
      </c>
      <c r="N343" s="3">
        <v>16458.560547000001</v>
      </c>
      <c r="O343" s="2">
        <f t="shared" si="29"/>
        <v>0.20461375962059014</v>
      </c>
    </row>
    <row r="344" spans="1:15" x14ac:dyDescent="0.25">
      <c r="A344" s="6">
        <v>41660</v>
      </c>
      <c r="B344" s="3">
        <v>1790.290039</v>
      </c>
      <c r="C344" s="2">
        <f t="shared" si="28"/>
        <v>0.24390457664691645</v>
      </c>
      <c r="D344" s="4">
        <v>41680</v>
      </c>
      <c r="E344" s="3">
        <v>14313.030273</v>
      </c>
      <c r="F344" s="2">
        <f t="shared" si="25"/>
        <v>-0.12451159967277414</v>
      </c>
      <c r="G344" s="4">
        <v>41659</v>
      </c>
      <c r="H344" s="3">
        <v>9868.9003909999992</v>
      </c>
      <c r="I344" s="2">
        <f t="shared" si="26"/>
        <v>-0.31746280673339949</v>
      </c>
      <c r="J344" s="4">
        <v>41660</v>
      </c>
      <c r="K344" s="3">
        <v>2.7349999999999999</v>
      </c>
      <c r="L344" s="2">
        <f t="shared" si="27"/>
        <v>-0.43234042553191487</v>
      </c>
      <c r="M344" s="4">
        <v>41660</v>
      </c>
      <c r="N344" s="3">
        <v>15879.110352</v>
      </c>
      <c r="O344" s="2">
        <f t="shared" si="29"/>
        <v>0.19093890211763942</v>
      </c>
    </row>
    <row r="345" spans="1:15" x14ac:dyDescent="0.25">
      <c r="A345" s="6">
        <v>41666</v>
      </c>
      <c r="B345" s="3">
        <v>1782.589966</v>
      </c>
      <c r="C345" s="2">
        <f t="shared" si="28"/>
        <v>0.25397397597835086</v>
      </c>
      <c r="D345" s="4">
        <v>41687</v>
      </c>
      <c r="E345" s="3">
        <v>14865.669921999999</v>
      </c>
      <c r="F345" s="2">
        <f t="shared" si="25"/>
        <v>-0.12596035195373931</v>
      </c>
      <c r="G345" s="4">
        <v>41666</v>
      </c>
      <c r="H345" s="3">
        <v>9920.2001949999994</v>
      </c>
      <c r="I345" s="2">
        <f t="shared" si="26"/>
        <v>-0.30699101256085592</v>
      </c>
      <c r="J345" s="4">
        <v>41666</v>
      </c>
      <c r="K345" s="3">
        <v>2.6680000000000001</v>
      </c>
      <c r="L345" s="2">
        <f t="shared" si="27"/>
        <v>-0.43085106382978727</v>
      </c>
      <c r="M345" s="4">
        <v>41666</v>
      </c>
      <c r="N345" s="3">
        <v>15698.849609000001</v>
      </c>
      <c r="O345" s="2">
        <f t="shared" si="29"/>
        <v>0.19816323211784459</v>
      </c>
    </row>
    <row r="346" spans="1:15" x14ac:dyDescent="0.25">
      <c r="A346" s="6">
        <v>41673</v>
      </c>
      <c r="B346" s="3">
        <v>1797.0200199999999</v>
      </c>
      <c r="C346" s="2">
        <f t="shared" si="28"/>
        <v>0.28300973392769724</v>
      </c>
      <c r="D346" s="4">
        <v>41694</v>
      </c>
      <c r="E346" s="3">
        <v>14841.070312</v>
      </c>
      <c r="F346" s="2">
        <f t="shared" si="25"/>
        <v>-0.10045955183300805</v>
      </c>
      <c r="G346" s="4">
        <v>41673</v>
      </c>
      <c r="H346" s="3">
        <v>10072.400390999999</v>
      </c>
      <c r="I346" s="2">
        <f t="shared" si="26"/>
        <v>-0.30283536593113503</v>
      </c>
      <c r="J346" s="4">
        <v>41673</v>
      </c>
      <c r="K346" s="3">
        <v>2.6749999999999998</v>
      </c>
      <c r="L346" s="2">
        <f t="shared" si="27"/>
        <v>-0.41574468085106386</v>
      </c>
      <c r="M346" s="4">
        <v>41673</v>
      </c>
      <c r="N346" s="3">
        <v>15794.080078000001</v>
      </c>
      <c r="O346" s="2">
        <f t="shared" si="29"/>
        <v>0.22549687084970907</v>
      </c>
    </row>
    <row r="347" spans="1:15" x14ac:dyDescent="0.25">
      <c r="A347" s="6">
        <v>41680</v>
      </c>
      <c r="B347" s="3">
        <v>1838.630005</v>
      </c>
      <c r="C347" s="2">
        <f t="shared" si="28"/>
        <v>0.28134894868352489</v>
      </c>
      <c r="D347" s="4">
        <v>41701</v>
      </c>
      <c r="E347" s="3">
        <v>15274.070312</v>
      </c>
      <c r="F347" s="2">
        <f t="shared" si="25"/>
        <v>-0.15619677174152097</v>
      </c>
      <c r="G347" s="4">
        <v>41680</v>
      </c>
      <c r="H347" s="3">
        <v>10132.799805000001</v>
      </c>
      <c r="I347" s="2">
        <f t="shared" si="26"/>
        <v>-0.3070873633323955</v>
      </c>
      <c r="J347" s="4">
        <v>41680</v>
      </c>
      <c r="K347" s="3">
        <v>2.746</v>
      </c>
      <c r="L347" s="2">
        <f t="shared" si="27"/>
        <v>-0.41829787234042554</v>
      </c>
      <c r="M347" s="4">
        <v>41680</v>
      </c>
      <c r="N347" s="3">
        <v>16154.389648</v>
      </c>
      <c r="O347" s="2">
        <f t="shared" si="29"/>
        <v>0.22162111669910556</v>
      </c>
    </row>
    <row r="348" spans="1:15" x14ac:dyDescent="0.25">
      <c r="A348" s="6">
        <v>41688</v>
      </c>
      <c r="B348" s="3">
        <v>1836.25</v>
      </c>
      <c r="C348" s="2">
        <f t="shared" si="28"/>
        <v>0.29753804756622565</v>
      </c>
      <c r="D348" s="4">
        <v>41708</v>
      </c>
      <c r="E348" s="3">
        <v>14327.660156</v>
      </c>
      <c r="F348" s="2">
        <f t="shared" si="25"/>
        <v>-0.16228808761851127</v>
      </c>
      <c r="G348" s="4">
        <v>41687</v>
      </c>
      <c r="H348" s="3">
        <v>10071</v>
      </c>
      <c r="I348" s="2">
        <f t="shared" si="26"/>
        <v>-0.30411507050923953</v>
      </c>
      <c r="J348" s="4">
        <v>41688</v>
      </c>
      <c r="K348" s="3">
        <v>2.734</v>
      </c>
      <c r="L348" s="2">
        <f t="shared" si="27"/>
        <v>-0.43446808510638302</v>
      </c>
      <c r="M348" s="4">
        <v>41688</v>
      </c>
      <c r="N348" s="3">
        <v>16103.299805000001</v>
      </c>
      <c r="O348" s="2">
        <f t="shared" si="29"/>
        <v>0.23819004740908967</v>
      </c>
    </row>
    <row r="349" spans="1:15" x14ac:dyDescent="0.25">
      <c r="A349" s="6">
        <v>41694</v>
      </c>
      <c r="B349" s="3">
        <v>1859.4499510000001</v>
      </c>
      <c r="C349" s="2">
        <f t="shared" si="28"/>
        <v>0.3105103496572994</v>
      </c>
      <c r="D349" s="4">
        <v>41715</v>
      </c>
      <c r="E349" s="3">
        <v>14224.230469</v>
      </c>
      <c r="F349" s="2">
        <f t="shared" si="25"/>
        <v>-0.1345022388914808</v>
      </c>
      <c r="G349" s="4">
        <v>41694</v>
      </c>
      <c r="H349" s="3">
        <v>10114.200194999999</v>
      </c>
      <c r="I349" s="2">
        <f t="shared" si="26"/>
        <v>-0.30067493230713643</v>
      </c>
      <c r="J349" s="4">
        <v>41694</v>
      </c>
      <c r="K349" s="3">
        <v>2.6579999999999999</v>
      </c>
      <c r="L349" s="2">
        <f t="shared" si="27"/>
        <v>-0.40638297872340429</v>
      </c>
      <c r="M349" s="4">
        <v>41694</v>
      </c>
      <c r="N349" s="3">
        <v>16321.709961</v>
      </c>
      <c r="O349" s="2">
        <f t="shared" si="29"/>
        <v>0.24812872400827485</v>
      </c>
    </row>
    <row r="350" spans="1:15" x14ac:dyDescent="0.25">
      <c r="A350" s="6">
        <v>41701</v>
      </c>
      <c r="B350" s="3">
        <v>1878.040039</v>
      </c>
      <c r="C350" s="2">
        <f t="shared" si="28"/>
        <v>0.28475425257804921</v>
      </c>
      <c r="D350" s="4">
        <v>41722</v>
      </c>
      <c r="E350" s="3">
        <v>14696.030273</v>
      </c>
      <c r="F350" s="2">
        <f t="shared" si="25"/>
        <v>-0.11284485941156389</v>
      </c>
      <c r="G350" s="4">
        <v>41701</v>
      </c>
      <c r="H350" s="3">
        <v>10164.200194999999</v>
      </c>
      <c r="I350" s="2">
        <f t="shared" si="26"/>
        <v>-0.32490727921928952</v>
      </c>
      <c r="J350" s="4">
        <v>41701</v>
      </c>
      <c r="K350" s="3">
        <v>2.79</v>
      </c>
      <c r="L350" s="2">
        <f t="shared" si="27"/>
        <v>-0.43723404255319148</v>
      </c>
      <c r="M350" s="4">
        <v>41701</v>
      </c>
      <c r="N350" s="3">
        <v>16452.720702999999</v>
      </c>
      <c r="O350" s="2">
        <f t="shared" si="29"/>
        <v>0.21876645583776799</v>
      </c>
    </row>
    <row r="351" spans="1:15" x14ac:dyDescent="0.25">
      <c r="A351" s="6">
        <v>41708</v>
      </c>
      <c r="B351" s="3">
        <v>1841.130005</v>
      </c>
      <c r="C351" s="2">
        <f t="shared" si="28"/>
        <v>0.30247159445813571</v>
      </c>
      <c r="D351" s="4">
        <v>41729</v>
      </c>
      <c r="E351" s="3">
        <v>15063.769531</v>
      </c>
      <c r="F351" s="2">
        <f t="shared" si="25"/>
        <v>-0.17784655946245134</v>
      </c>
      <c r="G351" s="4">
        <v>41708</v>
      </c>
      <c r="H351" s="3">
        <v>9812</v>
      </c>
      <c r="I351" s="2">
        <f t="shared" si="26"/>
        <v>-0.30831895971062911</v>
      </c>
      <c r="J351" s="4">
        <v>41708</v>
      </c>
      <c r="K351" s="3">
        <v>2.645</v>
      </c>
      <c r="L351" s="2">
        <f t="shared" si="27"/>
        <v>-0.41489361702127664</v>
      </c>
      <c r="M351" s="4">
        <v>41708</v>
      </c>
      <c r="N351" s="3">
        <v>16065.669921999999</v>
      </c>
      <c r="O351" s="2">
        <f t="shared" si="29"/>
        <v>0.23675319722760216</v>
      </c>
    </row>
    <row r="352" spans="1:15" x14ac:dyDescent="0.25">
      <c r="A352" s="6">
        <v>41715</v>
      </c>
      <c r="B352" s="3">
        <v>1866.5200199999999</v>
      </c>
      <c r="C352" s="2">
        <f t="shared" si="28"/>
        <v>0.29626109061769623</v>
      </c>
      <c r="D352" s="4">
        <v>41736</v>
      </c>
      <c r="E352" s="3">
        <v>13960.049805000001</v>
      </c>
      <c r="F352" s="2">
        <f t="shared" si="25"/>
        <v>-0.14508894270509823</v>
      </c>
      <c r="G352" s="4">
        <v>41715</v>
      </c>
      <c r="H352" s="3">
        <v>10053.099609000001</v>
      </c>
      <c r="I352" s="2">
        <f t="shared" si="26"/>
        <v>-0.28934310358406712</v>
      </c>
      <c r="J352" s="4">
        <v>41715</v>
      </c>
      <c r="K352" s="3">
        <v>2.75</v>
      </c>
      <c r="L352" s="2">
        <f t="shared" si="27"/>
        <v>-0.4229787234042553</v>
      </c>
      <c r="M352" s="4">
        <v>41715</v>
      </c>
      <c r="N352" s="3">
        <v>16302.769531</v>
      </c>
      <c r="O352" s="2">
        <f t="shared" si="29"/>
        <v>0.23829243082575896</v>
      </c>
    </row>
    <row r="353" spans="1:15" x14ac:dyDescent="0.25">
      <c r="A353" s="6">
        <v>41722</v>
      </c>
      <c r="B353" s="3">
        <v>1857.619995</v>
      </c>
      <c r="C353" s="2">
        <f t="shared" si="28"/>
        <v>0.30147369210853159</v>
      </c>
      <c r="D353" s="4">
        <v>41743</v>
      </c>
      <c r="E353" s="3">
        <v>14516.269531</v>
      </c>
      <c r="F353" s="2">
        <f t="shared" si="25"/>
        <v>-0.15021323514347426</v>
      </c>
      <c r="G353" s="4">
        <v>41722</v>
      </c>
      <c r="H353" s="3">
        <v>10328.900390999999</v>
      </c>
      <c r="I353" s="2">
        <f t="shared" si="26"/>
        <v>-0.26537911435355871</v>
      </c>
      <c r="J353" s="4">
        <v>41722</v>
      </c>
      <c r="K353" s="3">
        <v>2.7120000000000002</v>
      </c>
      <c r="L353" s="2">
        <f t="shared" si="27"/>
        <v>-0.42000000000000004</v>
      </c>
      <c r="M353" s="4">
        <v>41722</v>
      </c>
      <c r="N353" s="3">
        <v>16323.059569999999</v>
      </c>
      <c r="O353" s="2">
        <f t="shared" si="29"/>
        <v>0.24509352163422529</v>
      </c>
    </row>
    <row r="354" spans="1:15" x14ac:dyDescent="0.25">
      <c r="A354" s="6">
        <v>41729</v>
      </c>
      <c r="B354" s="3">
        <v>1865.089966</v>
      </c>
      <c r="C354" s="2">
        <f t="shared" si="28"/>
        <v>0.26700198613239012</v>
      </c>
      <c r="D354" s="4">
        <v>41750</v>
      </c>
      <c r="E354" s="3">
        <v>14429.259765999999</v>
      </c>
      <c r="F354" s="2">
        <f t="shared" si="25"/>
        <v>-0.14854949933883072</v>
      </c>
      <c r="G354" s="4">
        <v>41729</v>
      </c>
      <c r="H354" s="3">
        <v>10677.200194999999</v>
      </c>
      <c r="I354" s="2">
        <f t="shared" si="26"/>
        <v>-0.29784024494326172</v>
      </c>
      <c r="J354" s="4">
        <v>41729</v>
      </c>
      <c r="K354" s="3">
        <v>2.726</v>
      </c>
      <c r="L354" s="2">
        <f t="shared" si="27"/>
        <v>-0.44276595744680847</v>
      </c>
      <c r="M354" s="4">
        <v>41729</v>
      </c>
      <c r="N354" s="3">
        <v>16412.710938</v>
      </c>
      <c r="O354" s="2">
        <f t="shared" si="29"/>
        <v>0.21581393063167834</v>
      </c>
    </row>
    <row r="355" spans="1:15" x14ac:dyDescent="0.25">
      <c r="A355" s="6">
        <v>41736</v>
      </c>
      <c r="B355" s="3">
        <v>1815.6899410000001</v>
      </c>
      <c r="C355" s="2">
        <f t="shared" si="28"/>
        <v>0.3013062252961724</v>
      </c>
      <c r="D355" s="4">
        <v>41757</v>
      </c>
      <c r="E355" s="3">
        <v>14457.509765999999</v>
      </c>
      <c r="F355" s="2">
        <f t="shared" si="25"/>
        <v>-0.16373925540829162</v>
      </c>
      <c r="G355" s="4">
        <v>41736</v>
      </c>
      <c r="H355" s="3">
        <v>10205.400390999999</v>
      </c>
      <c r="I355" s="2">
        <f t="shared" si="26"/>
        <v>-0.29185440447160232</v>
      </c>
      <c r="J355" s="4">
        <v>41736</v>
      </c>
      <c r="K355" s="3">
        <v>2.6190000000000002</v>
      </c>
      <c r="L355" s="2">
        <f t="shared" si="27"/>
        <v>-0.42106382978723406</v>
      </c>
      <c r="M355" s="4">
        <v>41736</v>
      </c>
      <c r="N355" s="3">
        <v>16026.75</v>
      </c>
      <c r="O355" s="2">
        <f t="shared" si="29"/>
        <v>0.24477703669762441</v>
      </c>
    </row>
    <row r="356" spans="1:15" x14ac:dyDescent="0.25">
      <c r="A356" s="6">
        <v>41743</v>
      </c>
      <c r="B356" s="3">
        <v>1864.849976</v>
      </c>
      <c r="C356" s="2">
        <f t="shared" si="28"/>
        <v>0.30029443797372635</v>
      </c>
      <c r="D356" s="4">
        <v>41765</v>
      </c>
      <c r="E356" s="3">
        <v>14199.589844</v>
      </c>
      <c r="F356" s="2">
        <f t="shared" si="25"/>
        <v>-0.16980526559867343</v>
      </c>
      <c r="G356" s="4">
        <v>41743</v>
      </c>
      <c r="H356" s="3">
        <v>10292.400390999999</v>
      </c>
      <c r="I356" s="2">
        <f t="shared" si="26"/>
        <v>-0.29090493981316362</v>
      </c>
      <c r="J356" s="4">
        <v>41743</v>
      </c>
      <c r="K356" s="3">
        <v>2.7210000000000001</v>
      </c>
      <c r="L356" s="2">
        <f t="shared" si="27"/>
        <v>-0.43276595744680857</v>
      </c>
      <c r="M356" s="4">
        <v>41743</v>
      </c>
      <c r="N356" s="3">
        <v>16408.539062</v>
      </c>
      <c r="O356" s="2">
        <f t="shared" si="29"/>
        <v>0.24120554361029137</v>
      </c>
    </row>
    <row r="357" spans="1:15" x14ac:dyDescent="0.25">
      <c r="A357" s="6">
        <v>41750</v>
      </c>
      <c r="B357" s="3">
        <v>1863.400024</v>
      </c>
      <c r="C357" s="2">
        <f t="shared" si="28"/>
        <v>0.31267353603635678</v>
      </c>
      <c r="D357" s="4">
        <v>41771</v>
      </c>
      <c r="E357" s="3">
        <v>14096.589844</v>
      </c>
      <c r="F357" s="2">
        <f t="shared" si="25"/>
        <v>-0.14827504736033781</v>
      </c>
      <c r="G357" s="4">
        <v>41751</v>
      </c>
      <c r="H357" s="3">
        <v>10306.200194999999</v>
      </c>
      <c r="I357" s="2">
        <f t="shared" si="26"/>
        <v>-0.27932544804142356</v>
      </c>
      <c r="J357" s="4">
        <v>41750</v>
      </c>
      <c r="K357" s="3">
        <v>2.6659999999999999</v>
      </c>
      <c r="L357" s="2">
        <f t="shared" si="27"/>
        <v>-0.44872340425531915</v>
      </c>
      <c r="M357" s="4">
        <v>41750</v>
      </c>
      <c r="N357" s="3">
        <v>16361.459961</v>
      </c>
      <c r="O357" s="2">
        <f t="shared" si="29"/>
        <v>0.25269330693198816</v>
      </c>
    </row>
    <row r="358" spans="1:15" x14ac:dyDescent="0.25">
      <c r="A358" s="6">
        <v>41757</v>
      </c>
      <c r="B358" s="3">
        <v>1881.1400149999999</v>
      </c>
      <c r="C358" s="2">
        <f t="shared" si="28"/>
        <v>0.31081734376912123</v>
      </c>
      <c r="D358" s="4">
        <v>41778</v>
      </c>
      <c r="E358" s="3">
        <v>14462.169921999999</v>
      </c>
      <c r="F358" s="2">
        <f t="shared" si="25"/>
        <v>-0.13825082058431359</v>
      </c>
      <c r="G358" s="4">
        <v>41757</v>
      </c>
      <c r="H358" s="3">
        <v>10474.5</v>
      </c>
      <c r="I358" s="2">
        <f t="shared" si="26"/>
        <v>-0.27845163952155044</v>
      </c>
      <c r="J358" s="4">
        <v>41757</v>
      </c>
      <c r="K358" s="3">
        <v>2.5910000000000002</v>
      </c>
      <c r="L358" s="2">
        <f t="shared" si="27"/>
        <v>-0.44191489361702124</v>
      </c>
      <c r="M358" s="4">
        <v>41757</v>
      </c>
      <c r="N358" s="3">
        <v>16512.890625</v>
      </c>
      <c r="O358" s="2">
        <f t="shared" si="29"/>
        <v>0.25803769315267044</v>
      </c>
    </row>
    <row r="359" spans="1:15" x14ac:dyDescent="0.25">
      <c r="A359" s="6">
        <v>41764</v>
      </c>
      <c r="B359" s="3">
        <v>1878.4799800000001</v>
      </c>
      <c r="C359" s="2">
        <f t="shared" si="28"/>
        <v>0.31038470663287127</v>
      </c>
      <c r="D359" s="4">
        <v>41785</v>
      </c>
      <c r="E359" s="3">
        <v>14632.379883</v>
      </c>
      <c r="F359" s="2">
        <f t="shared" si="25"/>
        <v>-0.11205152522059678</v>
      </c>
      <c r="G359" s="4">
        <v>41764</v>
      </c>
      <c r="H359" s="3">
        <v>10487.200194999999</v>
      </c>
      <c r="I359" s="2">
        <f t="shared" si="26"/>
        <v>-0.27903646301590795</v>
      </c>
      <c r="J359" s="4">
        <v>41764</v>
      </c>
      <c r="K359" s="3">
        <v>2.6230000000000002</v>
      </c>
      <c r="L359" s="2">
        <f t="shared" si="27"/>
        <v>-0.46425531914893625</v>
      </c>
      <c r="M359" s="4">
        <v>41764</v>
      </c>
      <c r="N359" s="3">
        <v>16583.339843999998</v>
      </c>
      <c r="O359" s="2">
        <f t="shared" si="29"/>
        <v>0.25105620898907915</v>
      </c>
    </row>
    <row r="360" spans="1:15" x14ac:dyDescent="0.25">
      <c r="A360" s="6">
        <v>41771</v>
      </c>
      <c r="B360" s="3">
        <v>1877.8599850000001</v>
      </c>
      <c r="C360" s="2">
        <f t="shared" si="28"/>
        <v>0.32620403245779117</v>
      </c>
      <c r="D360" s="4">
        <v>41792</v>
      </c>
      <c r="E360" s="3">
        <v>15077.240234000001</v>
      </c>
      <c r="F360" s="2">
        <f t="shared" si="25"/>
        <v>-0.11083834615090857</v>
      </c>
      <c r="G360" s="4">
        <v>41771</v>
      </c>
      <c r="H360" s="3">
        <v>10478.700194999999</v>
      </c>
      <c r="I360" s="2">
        <f t="shared" si="26"/>
        <v>-0.27351846785439288</v>
      </c>
      <c r="J360" s="4">
        <v>41771</v>
      </c>
      <c r="K360" s="3">
        <v>2.5179999999999998</v>
      </c>
      <c r="L360" s="2">
        <f t="shared" si="27"/>
        <v>-0.4604255319148936</v>
      </c>
      <c r="M360" s="4">
        <v>41771</v>
      </c>
      <c r="N360" s="3">
        <v>16491.310547000001</v>
      </c>
      <c r="O360" s="2">
        <f t="shared" si="29"/>
        <v>0.25977717451224919</v>
      </c>
    </row>
    <row r="361" spans="1:15" x14ac:dyDescent="0.25">
      <c r="A361" s="6">
        <v>41778</v>
      </c>
      <c r="B361" s="3">
        <v>1900.530029</v>
      </c>
      <c r="C361" s="2">
        <f t="shared" si="28"/>
        <v>0.34228145842141583</v>
      </c>
      <c r="D361" s="4">
        <v>41799</v>
      </c>
      <c r="E361" s="3">
        <v>15097.839844</v>
      </c>
      <c r="F361" s="2">
        <f t="shared" si="25"/>
        <v>-9.6021964433966392E-2</v>
      </c>
      <c r="G361" s="4">
        <v>41778</v>
      </c>
      <c r="H361" s="3">
        <v>10558.900390999999</v>
      </c>
      <c r="I361" s="2">
        <f t="shared" si="26"/>
        <v>-0.25701957852244817</v>
      </c>
      <c r="J361" s="4">
        <v>41778</v>
      </c>
      <c r="K361" s="3">
        <v>2.536</v>
      </c>
      <c r="L361" s="2">
        <f t="shared" si="27"/>
        <v>-0.47723404255319152</v>
      </c>
      <c r="M361" s="4">
        <v>41778</v>
      </c>
      <c r="N361" s="3">
        <v>16606.269531000002</v>
      </c>
      <c r="O361" s="2">
        <f t="shared" si="29"/>
        <v>0.26819024892161469</v>
      </c>
    </row>
    <row r="362" spans="1:15" x14ac:dyDescent="0.25">
      <c r="A362" s="6">
        <v>41786</v>
      </c>
      <c r="B362" s="3">
        <v>1923.5699460000001</v>
      </c>
      <c r="C362" s="2">
        <f t="shared" si="28"/>
        <v>0.36033373392622076</v>
      </c>
      <c r="D362" s="4">
        <v>41806</v>
      </c>
      <c r="E362" s="3">
        <v>15349.419921999999</v>
      </c>
      <c r="F362" s="2">
        <f t="shared" si="25"/>
        <v>-0.11100559394355997</v>
      </c>
      <c r="G362" s="4">
        <v>41785</v>
      </c>
      <c r="H362" s="3">
        <v>10798.700194999999</v>
      </c>
      <c r="I362" s="2">
        <f t="shared" si="26"/>
        <v>-0.23874559122595448</v>
      </c>
      <c r="J362" s="4">
        <v>41786</v>
      </c>
      <c r="K362" s="3">
        <v>2.4569999999999999</v>
      </c>
      <c r="L362" s="2">
        <f t="shared" si="27"/>
        <v>-0.44744680851063834</v>
      </c>
      <c r="M362" s="4">
        <v>41786</v>
      </c>
      <c r="N362" s="3">
        <v>16717.169922000001</v>
      </c>
      <c r="O362" s="2">
        <f t="shared" si="29"/>
        <v>0.28390188498565888</v>
      </c>
    </row>
    <row r="363" spans="1:15" x14ac:dyDescent="0.25">
      <c r="A363" s="6">
        <v>41792</v>
      </c>
      <c r="B363" s="3">
        <v>1949.4399410000001</v>
      </c>
      <c r="C363" s="2">
        <f t="shared" si="28"/>
        <v>0.35106691575164478</v>
      </c>
      <c r="D363" s="4">
        <v>41813</v>
      </c>
      <c r="E363" s="3">
        <v>15095</v>
      </c>
      <c r="F363" s="2">
        <f t="shared" si="25"/>
        <v>-9.0856435140529559E-2</v>
      </c>
      <c r="G363" s="4">
        <v>41792</v>
      </c>
      <c r="H363" s="3">
        <v>11064.299805000001</v>
      </c>
      <c r="I363" s="2">
        <f t="shared" si="26"/>
        <v>-0.23534670784919873</v>
      </c>
      <c r="J363" s="4">
        <v>41792</v>
      </c>
      <c r="K363" s="3">
        <v>2.597</v>
      </c>
      <c r="L363" s="2">
        <f t="shared" si="27"/>
        <v>-0.44595744680851063</v>
      </c>
      <c r="M363" s="4">
        <v>41792</v>
      </c>
      <c r="N363" s="3">
        <v>16924.279297000001</v>
      </c>
      <c r="O363" s="2">
        <f t="shared" si="29"/>
        <v>0.27263348296788381</v>
      </c>
    </row>
    <row r="364" spans="1:15" x14ac:dyDescent="0.25">
      <c r="A364" s="6">
        <v>41799</v>
      </c>
      <c r="B364" s="3">
        <v>1936.160034</v>
      </c>
      <c r="C364" s="2">
        <f t="shared" si="28"/>
        <v>0.36970532579751436</v>
      </c>
      <c r="D364" s="4">
        <v>41820</v>
      </c>
      <c r="E364" s="3">
        <v>15437.129883</v>
      </c>
      <c r="F364" s="2">
        <f t="shared" si="25"/>
        <v>-0.10693959802008081</v>
      </c>
      <c r="G364" s="4">
        <v>41799</v>
      </c>
      <c r="H364" s="3">
        <v>11113.700194999999</v>
      </c>
      <c r="I364" s="2">
        <f t="shared" si="26"/>
        <v>-0.232498313736277</v>
      </c>
      <c r="J364" s="4">
        <v>41799</v>
      </c>
      <c r="K364" s="3">
        <v>2.6040000000000001</v>
      </c>
      <c r="L364" s="2">
        <f t="shared" si="27"/>
        <v>-0.44170212765957445</v>
      </c>
      <c r="M364" s="4">
        <v>41799</v>
      </c>
      <c r="N364" s="3">
        <v>16775.740234000001</v>
      </c>
      <c r="O364" s="2">
        <f t="shared" si="29"/>
        <v>0.28563158733760674</v>
      </c>
    </row>
    <row r="365" spans="1:15" x14ac:dyDescent="0.25">
      <c r="A365" s="6">
        <v>41806</v>
      </c>
      <c r="B365" s="3">
        <v>1962.869995</v>
      </c>
      <c r="C365" s="2">
        <f t="shared" si="28"/>
        <v>0.36837248982319182</v>
      </c>
      <c r="D365" s="4">
        <v>41827</v>
      </c>
      <c r="E365" s="3">
        <v>15164.040039</v>
      </c>
      <c r="F365" s="2">
        <f t="shared" si="25"/>
        <v>-0.10389658565708819</v>
      </c>
      <c r="G365" s="4">
        <v>41806</v>
      </c>
      <c r="H365" s="3">
        <v>11155.099609000001</v>
      </c>
      <c r="I365" s="2">
        <f t="shared" si="26"/>
        <v>-0.2459285594735261</v>
      </c>
      <c r="J365" s="4">
        <v>41806</v>
      </c>
      <c r="K365" s="3">
        <v>2.6240000000000001</v>
      </c>
      <c r="L365" s="2">
        <f t="shared" si="27"/>
        <v>-0.46127659574468088</v>
      </c>
      <c r="M365" s="4">
        <v>41806</v>
      </c>
      <c r="N365" s="3">
        <v>16947.080077999999</v>
      </c>
      <c r="O365" s="2">
        <f t="shared" si="29"/>
        <v>0.2784065165494668</v>
      </c>
    </row>
    <row r="366" spans="1:15" x14ac:dyDescent="0.25">
      <c r="A366" s="6">
        <v>41813</v>
      </c>
      <c r="B366" s="3">
        <v>1960.959961</v>
      </c>
      <c r="C366" s="2">
        <f t="shared" si="28"/>
        <v>0.38545480249128916</v>
      </c>
      <c r="D366" s="4">
        <v>41834</v>
      </c>
      <c r="E366" s="3">
        <v>15215.709961</v>
      </c>
      <c r="F366" s="2">
        <f t="shared" si="25"/>
        <v>-8.9634974259025599E-2</v>
      </c>
      <c r="G366" s="4">
        <v>41813</v>
      </c>
      <c r="H366" s="3">
        <v>10959.900390999999</v>
      </c>
      <c r="I366" s="2">
        <f t="shared" si="26"/>
        <v>-0.24252282265344405</v>
      </c>
      <c r="J366" s="4">
        <v>41813</v>
      </c>
      <c r="K366" s="3">
        <v>2.532</v>
      </c>
      <c r="L366" s="2">
        <f t="shared" si="27"/>
        <v>-0.43659574468085105</v>
      </c>
      <c r="M366" s="4">
        <v>41813</v>
      </c>
      <c r="N366" s="3">
        <v>16851.839843999998</v>
      </c>
      <c r="O366" s="2">
        <f t="shared" si="29"/>
        <v>0.2948244650439415</v>
      </c>
    </row>
    <row r="367" spans="1:15" x14ac:dyDescent="0.25">
      <c r="A367" s="6">
        <v>41820</v>
      </c>
      <c r="B367" s="3">
        <v>1985.4399410000001</v>
      </c>
      <c r="C367" s="2">
        <f t="shared" si="28"/>
        <v>0.37298498666761054</v>
      </c>
      <c r="D367" s="4">
        <v>41841</v>
      </c>
      <c r="E367" s="3">
        <v>15457.870117</v>
      </c>
      <c r="F367" s="2">
        <f t="shared" si="25"/>
        <v>-8.5792761343172208E-2</v>
      </c>
      <c r="G367" s="4">
        <v>41820</v>
      </c>
      <c r="H367" s="3">
        <v>11009.400390999999</v>
      </c>
      <c r="I367" s="2">
        <f t="shared" si="26"/>
        <v>-0.27490144373005798</v>
      </c>
      <c r="J367" s="4">
        <v>41820</v>
      </c>
      <c r="K367" s="3">
        <v>2.6480000000000001</v>
      </c>
      <c r="L367" s="2">
        <f t="shared" si="27"/>
        <v>-0.46382978723404256</v>
      </c>
      <c r="M367" s="4">
        <v>41820</v>
      </c>
      <c r="N367" s="3">
        <v>17068.259765999999</v>
      </c>
      <c r="O367" s="2">
        <f t="shared" si="29"/>
        <v>0.28538355568200408</v>
      </c>
    </row>
    <row r="368" spans="1:15" x14ac:dyDescent="0.25">
      <c r="A368" s="6">
        <v>41827</v>
      </c>
      <c r="B368" s="3">
        <v>1967.5699460000001</v>
      </c>
      <c r="C368" s="2">
        <f t="shared" si="28"/>
        <v>0.3804166535632964</v>
      </c>
      <c r="D368" s="4">
        <v>41848</v>
      </c>
      <c r="E368" s="3">
        <v>15523.110352</v>
      </c>
      <c r="F368" s="2">
        <f t="shared" si="25"/>
        <v>-0.12965297352469973</v>
      </c>
      <c r="G368" s="4">
        <v>41827</v>
      </c>
      <c r="H368" s="3">
        <v>10538.799805000001</v>
      </c>
      <c r="I368" s="2">
        <f t="shared" si="26"/>
        <v>-0.27571330292921536</v>
      </c>
      <c r="J368" s="4">
        <v>41827</v>
      </c>
      <c r="K368" s="3">
        <v>2.52</v>
      </c>
      <c r="L368" s="2">
        <f t="shared" si="27"/>
        <v>-0.47148936170212769</v>
      </c>
      <c r="M368" s="4">
        <v>41827</v>
      </c>
      <c r="N368" s="3">
        <v>16943.810547000001</v>
      </c>
      <c r="O368" s="2">
        <f t="shared" si="29"/>
        <v>0.29724595947246119</v>
      </c>
    </row>
    <row r="369" spans="1:15" x14ac:dyDescent="0.25">
      <c r="A369" s="6">
        <v>41834</v>
      </c>
      <c r="B369" s="3">
        <v>1978.219971</v>
      </c>
      <c r="C369" s="2">
        <f t="shared" si="28"/>
        <v>0.38050038696947602</v>
      </c>
      <c r="D369" s="4">
        <v>41855</v>
      </c>
      <c r="E369" s="3">
        <v>14778.370117</v>
      </c>
      <c r="F369" s="2">
        <f t="shared" si="25"/>
        <v>-9.7852372879265959E-2</v>
      </c>
      <c r="G369" s="4">
        <v>41834</v>
      </c>
      <c r="H369" s="3">
        <v>10527</v>
      </c>
      <c r="I369" s="2">
        <f t="shared" si="26"/>
        <v>-0.25086865173550749</v>
      </c>
      <c r="J369" s="4">
        <v>41834</v>
      </c>
      <c r="K369" s="3">
        <v>2.484</v>
      </c>
      <c r="L369" s="2">
        <f t="shared" si="27"/>
        <v>-0.47468085106382985</v>
      </c>
      <c r="M369" s="4">
        <v>41834</v>
      </c>
      <c r="N369" s="3">
        <v>17100.179688</v>
      </c>
      <c r="O369" s="2">
        <f t="shared" si="29"/>
        <v>0.28665497725912431</v>
      </c>
    </row>
    <row r="370" spans="1:15" x14ac:dyDescent="0.25">
      <c r="A370" s="6">
        <v>41841</v>
      </c>
      <c r="B370" s="3">
        <v>1978.339966</v>
      </c>
      <c r="C370" s="2">
        <f t="shared" si="28"/>
        <v>0.34338404863742011</v>
      </c>
      <c r="D370" s="4">
        <v>41862</v>
      </c>
      <c r="E370" s="3">
        <v>15318.339844</v>
      </c>
      <c r="F370" s="2">
        <f t="shared" si="25"/>
        <v>-8.4845752440161154E-2</v>
      </c>
      <c r="G370" s="4">
        <v>41841</v>
      </c>
      <c r="H370" s="3">
        <v>10888.099609000001</v>
      </c>
      <c r="I370" s="2">
        <f t="shared" si="26"/>
        <v>-0.27660773886176215</v>
      </c>
      <c r="J370" s="4">
        <v>41841</v>
      </c>
      <c r="K370" s="3">
        <v>2.4689999999999999</v>
      </c>
      <c r="L370" s="2">
        <f t="shared" si="27"/>
        <v>-0.46702127659574472</v>
      </c>
      <c r="M370" s="4">
        <v>41841</v>
      </c>
      <c r="N370" s="3">
        <v>16960.570312</v>
      </c>
      <c r="O370" s="2">
        <f t="shared" si="29"/>
        <v>0.25121237709943917</v>
      </c>
    </row>
    <row r="371" spans="1:15" x14ac:dyDescent="0.25">
      <c r="A371" s="6">
        <v>41848</v>
      </c>
      <c r="B371" s="3">
        <v>1925.150024</v>
      </c>
      <c r="C371" s="2">
        <f t="shared" si="28"/>
        <v>0.34787788820789411</v>
      </c>
      <c r="D371" s="4">
        <v>41869</v>
      </c>
      <c r="E371" s="3">
        <v>15539.190430000001</v>
      </c>
      <c r="F371" s="2">
        <f t="shared" si="25"/>
        <v>-9.1594959454721625E-2</v>
      </c>
      <c r="G371" s="4">
        <v>41848</v>
      </c>
      <c r="H371" s="3">
        <v>10514</v>
      </c>
      <c r="I371" s="2">
        <f t="shared" si="26"/>
        <v>-0.30476184332431278</v>
      </c>
      <c r="J371" s="4">
        <v>41848</v>
      </c>
      <c r="K371" s="3">
        <v>2.5049999999999999</v>
      </c>
      <c r="L371" s="2">
        <f t="shared" si="27"/>
        <v>-0.48617021276595745</v>
      </c>
      <c r="M371" s="4">
        <v>41848</v>
      </c>
      <c r="N371" s="3">
        <v>16493.369140999999</v>
      </c>
      <c r="O371" s="2">
        <f t="shared" si="29"/>
        <v>0.25580659343707945</v>
      </c>
    </row>
    <row r="372" spans="1:15" x14ac:dyDescent="0.25">
      <c r="A372" s="6">
        <v>41855</v>
      </c>
      <c r="B372" s="3">
        <v>1931.589966</v>
      </c>
      <c r="C372" s="2">
        <f t="shared" si="28"/>
        <v>0.36425549419349218</v>
      </c>
      <c r="D372" s="4">
        <v>41876</v>
      </c>
      <c r="E372" s="3">
        <v>15424.589844</v>
      </c>
      <c r="F372" s="2">
        <f t="shared" si="25"/>
        <v>-7.7219702356928377E-2</v>
      </c>
      <c r="G372" s="4">
        <v>41855</v>
      </c>
      <c r="H372" s="3">
        <v>10104.799805000001</v>
      </c>
      <c r="I372" s="2">
        <f t="shared" si="26"/>
        <v>-0.29668437199269682</v>
      </c>
      <c r="J372" s="4">
        <v>41855</v>
      </c>
      <c r="K372" s="3">
        <v>2.415</v>
      </c>
      <c r="L372" s="2">
        <f t="shared" si="27"/>
        <v>-0.50106382978723407</v>
      </c>
      <c r="M372" s="4">
        <v>41855</v>
      </c>
      <c r="N372" s="3">
        <v>16553.929688</v>
      </c>
      <c r="O372" s="2">
        <f t="shared" si="29"/>
        <v>0.26407401953165016</v>
      </c>
    </row>
    <row r="373" spans="1:15" x14ac:dyDescent="0.25">
      <c r="A373" s="6">
        <v>41862</v>
      </c>
      <c r="B373" s="3">
        <v>1955.0600589999999</v>
      </c>
      <c r="C373" s="2">
        <f t="shared" si="28"/>
        <v>0.38752037049132504</v>
      </c>
      <c r="D373" s="4">
        <v>41883</v>
      </c>
      <c r="E373" s="3">
        <v>15668.679688</v>
      </c>
      <c r="F373" s="2">
        <f t="shared" si="25"/>
        <v>-6.0752525284091197E-2</v>
      </c>
      <c r="G373" s="4">
        <v>41862</v>
      </c>
      <c r="H373" s="3">
        <v>10222.200194999999</v>
      </c>
      <c r="I373" s="2">
        <f t="shared" si="26"/>
        <v>-0.27755720358900365</v>
      </c>
      <c r="J373" s="4">
        <v>41862</v>
      </c>
      <c r="K373" s="3">
        <v>2.3450000000000002</v>
      </c>
      <c r="L373" s="2">
        <f t="shared" si="27"/>
        <v>-0.48872340425531918</v>
      </c>
      <c r="M373" s="4">
        <v>41862</v>
      </c>
      <c r="N373" s="3">
        <v>16662.910156000002</v>
      </c>
      <c r="O373" s="2">
        <f t="shared" si="29"/>
        <v>0.28973877850787555</v>
      </c>
    </row>
    <row r="374" spans="1:15" x14ac:dyDescent="0.25">
      <c r="A374" s="6">
        <v>41869</v>
      </c>
      <c r="B374" s="3">
        <v>1988.400024</v>
      </c>
      <c r="C374" s="2">
        <f t="shared" si="28"/>
        <v>0.39796652793321635</v>
      </c>
      <c r="D374" s="4">
        <v>41890</v>
      </c>
      <c r="E374" s="3">
        <v>15948.290039</v>
      </c>
      <c r="F374" s="2">
        <f t="shared" si="25"/>
        <v>-3.8792397419369136E-2</v>
      </c>
      <c r="G374" s="4">
        <v>41869</v>
      </c>
      <c r="H374" s="3">
        <v>10500.200194999999</v>
      </c>
      <c r="I374" s="2">
        <f t="shared" si="26"/>
        <v>-0.26182891856206619</v>
      </c>
      <c r="J374" s="4">
        <v>41869</v>
      </c>
      <c r="K374" s="3">
        <v>2.403</v>
      </c>
      <c r="L374" s="2">
        <f t="shared" si="27"/>
        <v>-0.50148936170212766</v>
      </c>
      <c r="M374" s="4">
        <v>41869</v>
      </c>
      <c r="N374" s="3">
        <v>17001.220702999999</v>
      </c>
      <c r="O374" s="2">
        <f t="shared" si="29"/>
        <v>0.29711468342979946</v>
      </c>
    </row>
    <row r="375" spans="1:15" x14ac:dyDescent="0.25">
      <c r="A375" s="6">
        <v>41876</v>
      </c>
      <c r="B375" s="3">
        <v>2003.369995</v>
      </c>
      <c r="C375" s="2">
        <f t="shared" si="28"/>
        <v>0.40099498858477373</v>
      </c>
      <c r="D375" s="4">
        <v>41897</v>
      </c>
      <c r="E375" s="3">
        <v>16321.169921999999</v>
      </c>
      <c r="F375" s="2">
        <f t="shared" si="25"/>
        <v>-4.4169919575673774E-2</v>
      </c>
      <c r="G375" s="4">
        <v>41876</v>
      </c>
      <c r="H375" s="3">
        <v>10728.799805000001</v>
      </c>
      <c r="I375" s="2">
        <f t="shared" si="26"/>
        <v>-0.23292483706957642</v>
      </c>
      <c r="J375" s="4">
        <v>41876</v>
      </c>
      <c r="K375" s="3">
        <v>2.343</v>
      </c>
      <c r="L375" s="2">
        <f t="shared" si="27"/>
        <v>-0.47638297872340429</v>
      </c>
      <c r="M375" s="4">
        <v>41876</v>
      </c>
      <c r="N375" s="3">
        <v>17098.449218999998</v>
      </c>
      <c r="O375" s="2">
        <f t="shared" si="29"/>
        <v>0.30006646777209306</v>
      </c>
    </row>
    <row r="376" spans="1:15" x14ac:dyDescent="0.25">
      <c r="A376" s="6">
        <v>41884</v>
      </c>
      <c r="B376" s="3">
        <v>2007.709961</v>
      </c>
      <c r="C376" s="2">
        <f t="shared" si="28"/>
        <v>0.38552465162243427</v>
      </c>
      <c r="D376" s="4">
        <v>41904</v>
      </c>
      <c r="E376" s="3">
        <v>16229.860352</v>
      </c>
      <c r="F376" s="2">
        <f t="shared" si="25"/>
        <v>-7.4865695641251492E-2</v>
      </c>
      <c r="G376" s="4">
        <v>41883</v>
      </c>
      <c r="H376" s="3">
        <v>11148.900390999999</v>
      </c>
      <c r="I376" s="2">
        <f t="shared" si="26"/>
        <v>-0.2508135557205125</v>
      </c>
      <c r="J376" s="4">
        <v>41884</v>
      </c>
      <c r="K376" s="3">
        <v>2.4609999999999999</v>
      </c>
      <c r="L376" s="2">
        <f t="shared" si="27"/>
        <v>-0.44382978723404259</v>
      </c>
      <c r="M376" s="4">
        <v>41884</v>
      </c>
      <c r="N376" s="3">
        <v>17137.359375</v>
      </c>
      <c r="O376" s="2">
        <f t="shared" si="29"/>
        <v>0.28869864571697201</v>
      </c>
    </row>
    <row r="377" spans="1:15" x14ac:dyDescent="0.25">
      <c r="A377" s="6">
        <v>41890</v>
      </c>
      <c r="B377" s="3">
        <v>1985.540039</v>
      </c>
      <c r="C377" s="2">
        <f t="shared" si="28"/>
        <v>0.40287213461442245</v>
      </c>
      <c r="D377" s="4">
        <v>41911</v>
      </c>
      <c r="E377" s="3">
        <v>15708.650390999999</v>
      </c>
      <c r="F377" s="2">
        <f t="shared" si="25"/>
        <v>-9.8900087033259046E-2</v>
      </c>
      <c r="G377" s="4">
        <v>41890</v>
      </c>
      <c r="H377" s="3">
        <v>10888.900390999999</v>
      </c>
      <c r="I377" s="2">
        <f t="shared" si="26"/>
        <v>-0.2430388433837595</v>
      </c>
      <c r="J377" s="4">
        <v>41890</v>
      </c>
      <c r="K377" s="3">
        <v>2.6139999999999999</v>
      </c>
      <c r="L377" s="2">
        <f t="shared" si="27"/>
        <v>-0.44957446808510637</v>
      </c>
      <c r="M377" s="4">
        <v>41890</v>
      </c>
      <c r="N377" s="3">
        <v>16987.509765999999</v>
      </c>
      <c r="O377" s="2">
        <f t="shared" si="29"/>
        <v>0.3108676989529317</v>
      </c>
    </row>
    <row r="378" spans="1:15" x14ac:dyDescent="0.25">
      <c r="A378" s="6">
        <v>41897</v>
      </c>
      <c r="B378" s="3">
        <v>2010.400024</v>
      </c>
      <c r="C378" s="2">
        <f t="shared" si="28"/>
        <v>0.38364750559278554</v>
      </c>
      <c r="D378" s="4">
        <v>41918</v>
      </c>
      <c r="E378" s="3">
        <v>15300.549805000001</v>
      </c>
      <c r="F378" s="2">
        <f t="shared" si="25"/>
        <v>-0.14413250162738764</v>
      </c>
      <c r="G378" s="4">
        <v>41897</v>
      </c>
      <c r="H378" s="3">
        <v>11001.900390999999</v>
      </c>
      <c r="I378" s="2">
        <f t="shared" si="26"/>
        <v>-0.2533936593720898</v>
      </c>
      <c r="J378" s="4">
        <v>41897</v>
      </c>
      <c r="K378" s="3">
        <v>2.5870000000000002</v>
      </c>
      <c r="L378" s="2">
        <f t="shared" si="27"/>
        <v>-0.4606382978723404</v>
      </c>
      <c r="M378" s="4">
        <v>41897</v>
      </c>
      <c r="N378" s="3">
        <v>17279.740234000001</v>
      </c>
      <c r="O378" s="2">
        <f t="shared" si="29"/>
        <v>0.29822993697242123</v>
      </c>
    </row>
    <row r="379" spans="1:15" x14ac:dyDescent="0.25">
      <c r="A379" s="6">
        <v>41904</v>
      </c>
      <c r="B379" s="3">
        <v>1982.849976</v>
      </c>
      <c r="C379" s="2">
        <f t="shared" si="28"/>
        <v>0.3732153175584389</v>
      </c>
      <c r="D379" s="4">
        <v>41925</v>
      </c>
      <c r="E379" s="3">
        <v>14532.509765999999</v>
      </c>
      <c r="F379" s="2">
        <f t="shared" si="25"/>
        <v>-9.9424835607627035E-2</v>
      </c>
      <c r="G379" s="4">
        <v>41904</v>
      </c>
      <c r="H379" s="3">
        <v>10851.400390999999</v>
      </c>
      <c r="I379" s="2">
        <f t="shared" si="26"/>
        <v>-0.27291993761098832</v>
      </c>
      <c r="J379" s="4">
        <v>41904</v>
      </c>
      <c r="K379" s="3">
        <v>2.5350000000000001</v>
      </c>
      <c r="L379" s="2">
        <f t="shared" si="27"/>
        <v>-0.47936170212765961</v>
      </c>
      <c r="M379" s="4">
        <v>41904</v>
      </c>
      <c r="N379" s="3">
        <v>17113.150390999999</v>
      </c>
      <c r="O379" s="2">
        <f t="shared" si="29"/>
        <v>0.29038123092181078</v>
      </c>
    </row>
    <row r="380" spans="1:15" x14ac:dyDescent="0.25">
      <c r="A380" s="6">
        <v>41911</v>
      </c>
      <c r="B380" s="3">
        <v>1967.900024</v>
      </c>
      <c r="C380" s="2">
        <f t="shared" si="28"/>
        <v>0.33011173748720052</v>
      </c>
      <c r="D380" s="4">
        <v>41932</v>
      </c>
      <c r="E380" s="3">
        <v>15291.639648</v>
      </c>
      <c r="F380" s="2">
        <f t="shared" si="25"/>
        <v>-3.3339475698690869E-2</v>
      </c>
      <c r="G380" s="4">
        <v>41911</v>
      </c>
      <c r="H380" s="3">
        <v>10567.599609000001</v>
      </c>
      <c r="I380" s="2">
        <f t="shared" si="26"/>
        <v>-0.30161754359105158</v>
      </c>
      <c r="J380" s="4">
        <v>41911</v>
      </c>
      <c r="K380" s="3">
        <v>2.4470000000000001</v>
      </c>
      <c r="L380" s="2">
        <f t="shared" si="27"/>
        <v>-0.50914893617021284</v>
      </c>
      <c r="M380" s="4">
        <v>41911</v>
      </c>
      <c r="N380" s="3">
        <v>17009.689452999999</v>
      </c>
      <c r="O380" s="2">
        <f t="shared" si="29"/>
        <v>0.2550608685092301</v>
      </c>
    </row>
    <row r="381" spans="1:15" x14ac:dyDescent="0.25">
      <c r="A381" s="6">
        <v>41918</v>
      </c>
      <c r="B381" s="3">
        <v>1906.130005</v>
      </c>
      <c r="C381" s="2">
        <f t="shared" si="28"/>
        <v>0.31659521047331074</v>
      </c>
      <c r="D381" s="4">
        <v>41939</v>
      </c>
      <c r="E381" s="3">
        <v>16413.759765999999</v>
      </c>
      <c r="F381" s="2">
        <f t="shared" si="25"/>
        <v>-5.8586183667966463E-3</v>
      </c>
      <c r="G381" s="4">
        <v>41918</v>
      </c>
      <c r="H381" s="3">
        <v>10150.5</v>
      </c>
      <c r="I381" s="2">
        <f t="shared" si="26"/>
        <v>-0.31494465240253794</v>
      </c>
      <c r="J381" s="4">
        <v>41918</v>
      </c>
      <c r="K381" s="3">
        <v>2.3069999999999999</v>
      </c>
      <c r="L381" s="2">
        <f t="shared" si="27"/>
        <v>-0.53212765957446817</v>
      </c>
      <c r="M381" s="4">
        <v>41918</v>
      </c>
      <c r="N381" s="3">
        <v>16544.099609000001</v>
      </c>
      <c r="O381" s="2">
        <f t="shared" si="29"/>
        <v>0.24264313457971348</v>
      </c>
    </row>
    <row r="382" spans="1:15" x14ac:dyDescent="0.25">
      <c r="A382" s="6">
        <v>41925</v>
      </c>
      <c r="B382" s="3">
        <v>1886.76001</v>
      </c>
      <c r="C382" s="2">
        <f t="shared" si="28"/>
        <v>0.37089854933986416</v>
      </c>
      <c r="D382" s="4">
        <v>41947</v>
      </c>
      <c r="E382" s="3">
        <v>16880.380859000001</v>
      </c>
      <c r="F382" s="2">
        <f t="shared" si="25"/>
        <v>3.0092752343539302E-2</v>
      </c>
      <c r="G382" s="4">
        <v>41925</v>
      </c>
      <c r="H382" s="3">
        <v>9956.7998050000006</v>
      </c>
      <c r="I382" s="2">
        <f t="shared" si="26"/>
        <v>-0.28862759515644931</v>
      </c>
      <c r="J382" s="4">
        <v>41925</v>
      </c>
      <c r="K382" s="3">
        <v>2.1989999999999998</v>
      </c>
      <c r="L382" s="2">
        <f t="shared" si="27"/>
        <v>-0.51638297872340422</v>
      </c>
      <c r="M382" s="4">
        <v>41925</v>
      </c>
      <c r="N382" s="3">
        <v>16380.410156</v>
      </c>
      <c r="O382" s="2">
        <f t="shared" si="29"/>
        <v>0.27488428893218453</v>
      </c>
    </row>
    <row r="383" spans="1:15" x14ac:dyDescent="0.25">
      <c r="A383" s="6">
        <v>41932</v>
      </c>
      <c r="B383" s="3">
        <v>1964.579956</v>
      </c>
      <c r="C383" s="2">
        <f t="shared" si="28"/>
        <v>0.40821037912968594</v>
      </c>
      <c r="D383" s="4">
        <v>41953</v>
      </c>
      <c r="E383" s="3">
        <v>17490.830077999999</v>
      </c>
      <c r="F383" s="2">
        <f t="shared" si="25"/>
        <v>2.2241078836967649E-2</v>
      </c>
      <c r="G383" s="4">
        <v>41932</v>
      </c>
      <c r="H383" s="3">
        <v>10339.299805000001</v>
      </c>
      <c r="I383" s="2">
        <f t="shared" si="26"/>
        <v>-0.27909841233662375</v>
      </c>
      <c r="J383" s="4">
        <v>41932</v>
      </c>
      <c r="K383" s="3">
        <v>2.2730000000000001</v>
      </c>
      <c r="L383" s="2">
        <f t="shared" si="27"/>
        <v>-0.5031914893617021</v>
      </c>
      <c r="M383" s="4">
        <v>41932</v>
      </c>
      <c r="N383" s="3">
        <v>16805.410156000002</v>
      </c>
      <c r="O383" s="2">
        <f t="shared" si="29"/>
        <v>0.31927158698501462</v>
      </c>
    </row>
    <row r="384" spans="1:15" x14ac:dyDescent="0.25">
      <c r="A384" s="6">
        <v>41939</v>
      </c>
      <c r="B384" s="3">
        <v>2018.0500489999999</v>
      </c>
      <c r="C384" s="2">
        <f t="shared" si="28"/>
        <v>0.41788896511280138</v>
      </c>
      <c r="D384" s="4">
        <v>41960</v>
      </c>
      <c r="E384" s="3">
        <v>17357.509765999999</v>
      </c>
      <c r="F384" s="2">
        <f t="shared" si="25"/>
        <v>2.8268210201240301E-2</v>
      </c>
      <c r="G384" s="4">
        <v>41939</v>
      </c>
      <c r="H384" s="3">
        <v>10477.799805000001</v>
      </c>
      <c r="I384" s="2">
        <f t="shared" si="26"/>
        <v>-0.30328258389740848</v>
      </c>
      <c r="J384" s="4">
        <v>41939</v>
      </c>
      <c r="K384" s="3">
        <v>2.335</v>
      </c>
      <c r="L384" s="2">
        <f t="shared" si="27"/>
        <v>-0.50808510638297877</v>
      </c>
      <c r="M384" s="4">
        <v>41939</v>
      </c>
      <c r="N384" s="3">
        <v>17390.519531000002</v>
      </c>
      <c r="O384" s="2">
        <f t="shared" si="29"/>
        <v>0.33318536388300962</v>
      </c>
    </row>
    <row r="385" spans="1:15" x14ac:dyDescent="0.25">
      <c r="A385" s="6">
        <v>41946</v>
      </c>
      <c r="B385" s="3">
        <v>2031.920044</v>
      </c>
      <c r="C385" s="2">
        <f t="shared" si="28"/>
        <v>0.42340157566278258</v>
      </c>
      <c r="D385" s="4">
        <v>41967</v>
      </c>
      <c r="E385" s="3">
        <v>17459.849609000001</v>
      </c>
      <c r="F385" s="2">
        <f t="shared" si="25"/>
        <v>5.5394442511394373E-2</v>
      </c>
      <c r="G385" s="4">
        <v>41946</v>
      </c>
      <c r="H385" s="3">
        <v>10126.299805000001</v>
      </c>
      <c r="I385" s="2">
        <f t="shared" si="26"/>
        <v>-0.30178955050115674</v>
      </c>
      <c r="J385" s="4">
        <v>41946</v>
      </c>
      <c r="K385" s="3">
        <v>2.3119999999999998</v>
      </c>
      <c r="L385" s="2">
        <f t="shared" si="27"/>
        <v>-0.50638297872340432</v>
      </c>
      <c r="M385" s="4">
        <v>41946</v>
      </c>
      <c r="N385" s="3">
        <v>17573.929688</v>
      </c>
      <c r="O385" s="2">
        <f t="shared" si="29"/>
        <v>0.33779854552970151</v>
      </c>
    </row>
    <row r="386" spans="1:15" x14ac:dyDescent="0.25">
      <c r="A386" s="6">
        <v>41953</v>
      </c>
      <c r="B386" s="3">
        <v>2039.8199460000001</v>
      </c>
      <c r="C386" s="2">
        <f t="shared" si="28"/>
        <v>0.43992569400051929</v>
      </c>
      <c r="D386" s="4">
        <v>41974</v>
      </c>
      <c r="E386" s="3">
        <v>17920.449218999998</v>
      </c>
      <c r="F386" s="2">
        <f t="shared" si="25"/>
        <v>2.3069725982344837E-2</v>
      </c>
      <c r="G386" s="4">
        <v>41953</v>
      </c>
      <c r="H386" s="3">
        <v>10148</v>
      </c>
      <c r="I386" s="2">
        <f t="shared" si="26"/>
        <v>-0.27613989348281509</v>
      </c>
      <c r="J386" s="4">
        <v>41953</v>
      </c>
      <c r="K386" s="3">
        <v>2.3199999999999998</v>
      </c>
      <c r="L386" s="2">
        <f t="shared" si="27"/>
        <v>-0.50744680851063828</v>
      </c>
      <c r="M386" s="4">
        <v>41953</v>
      </c>
      <c r="N386" s="3">
        <v>17634.740234000001</v>
      </c>
      <c r="O386" s="2">
        <f t="shared" si="29"/>
        <v>0.35109861440630508</v>
      </c>
    </row>
    <row r="387" spans="1:15" x14ac:dyDescent="0.25">
      <c r="A387" s="6">
        <v>41960</v>
      </c>
      <c r="B387" s="3">
        <v>2063.5</v>
      </c>
      <c r="C387" s="2">
        <f t="shared" si="28"/>
        <v>0.44275883345933098</v>
      </c>
      <c r="D387" s="4">
        <v>41981</v>
      </c>
      <c r="E387" s="3">
        <v>17371.580077999999</v>
      </c>
      <c r="F387" s="2">
        <f t="shared" si="25"/>
        <v>3.7782469326251365E-2</v>
      </c>
      <c r="G387" s="4">
        <v>41960</v>
      </c>
      <c r="H387" s="3">
        <v>10520.799805000001</v>
      </c>
      <c r="I387" s="2">
        <f t="shared" si="26"/>
        <v>-0.25894605591562592</v>
      </c>
      <c r="J387" s="4">
        <v>41960</v>
      </c>
      <c r="K387" s="3">
        <v>2.3149999999999999</v>
      </c>
      <c r="L387" s="2">
        <f t="shared" si="27"/>
        <v>-0.53319148936170213</v>
      </c>
      <c r="M387" s="4">
        <v>41960</v>
      </c>
      <c r="N387" s="3">
        <v>17810.060547000001</v>
      </c>
      <c r="O387" s="2">
        <f t="shared" si="29"/>
        <v>0.35247775345253241</v>
      </c>
    </row>
    <row r="388" spans="1:15" x14ac:dyDescent="0.25">
      <c r="A388" s="6">
        <v>41967</v>
      </c>
      <c r="B388" s="3">
        <v>2067.5600589999999</v>
      </c>
      <c r="C388" s="2">
        <f t="shared" si="28"/>
        <v>0.44820875019586326</v>
      </c>
      <c r="D388" s="4">
        <v>41988</v>
      </c>
      <c r="E388" s="3">
        <v>17621.400390999999</v>
      </c>
      <c r="F388" s="2">
        <f t="shared" si="25"/>
        <v>4.9417462445857277E-2</v>
      </c>
      <c r="G388" s="4">
        <v>41967</v>
      </c>
      <c r="H388" s="3">
        <v>10770.700194999999</v>
      </c>
      <c r="I388" s="2">
        <f t="shared" si="26"/>
        <v>-0.25000169659015786</v>
      </c>
      <c r="J388" s="4">
        <v>41967</v>
      </c>
      <c r="K388" s="3">
        <v>2.194</v>
      </c>
      <c r="L388" s="2">
        <f t="shared" si="27"/>
        <v>-0.50914893617021284</v>
      </c>
      <c r="M388" s="4">
        <v>41967</v>
      </c>
      <c r="N388" s="3">
        <v>17828.240234000001</v>
      </c>
      <c r="O388" s="2">
        <f t="shared" si="29"/>
        <v>0.36238138854449037</v>
      </c>
    </row>
    <row r="389" spans="1:15" x14ac:dyDescent="0.25">
      <c r="A389" s="6">
        <v>41974</v>
      </c>
      <c r="B389" s="3">
        <v>2075.3701169999999</v>
      </c>
      <c r="C389" s="2">
        <f t="shared" si="28"/>
        <v>0.39724078096017895</v>
      </c>
      <c r="D389" s="4">
        <v>41995</v>
      </c>
      <c r="E389" s="3">
        <v>17818.960938</v>
      </c>
      <c r="F389" s="2">
        <f t="shared" si="25"/>
        <v>2.7733454417964033E-2</v>
      </c>
      <c r="G389" s="4">
        <v>41974</v>
      </c>
      <c r="H389" s="3">
        <v>10900.700194999999</v>
      </c>
      <c r="I389" s="2">
        <f t="shared" si="26"/>
        <v>-0.30199595879328295</v>
      </c>
      <c r="J389" s="4">
        <v>41974</v>
      </c>
      <c r="K389" s="3">
        <v>2.3069999999999999</v>
      </c>
      <c r="L389" s="2">
        <f t="shared" si="27"/>
        <v>-0.55255319148936166</v>
      </c>
      <c r="M389" s="4">
        <v>41974</v>
      </c>
      <c r="N389" s="3">
        <v>17958.789062</v>
      </c>
      <c r="O389" s="2">
        <f t="shared" si="29"/>
        <v>0.31095037619675303</v>
      </c>
    </row>
    <row r="390" spans="1:15" x14ac:dyDescent="0.25">
      <c r="A390" s="6">
        <v>41981</v>
      </c>
      <c r="B390" s="3">
        <v>2002.329956</v>
      </c>
      <c r="C390" s="2">
        <f t="shared" si="28"/>
        <v>0.44491494895539491</v>
      </c>
      <c r="D390" s="4">
        <v>42002</v>
      </c>
      <c r="E390" s="3">
        <v>17450.769531000002</v>
      </c>
      <c r="F390" s="2">
        <f t="shared" ref="F390:F453" si="30">(E391-$E$6)/$E$6</f>
        <v>1.2831148314501177E-2</v>
      </c>
      <c r="G390" s="4">
        <v>41981</v>
      </c>
      <c r="H390" s="3">
        <v>10145</v>
      </c>
      <c r="I390" s="2">
        <f t="shared" ref="I390:I453" si="31">(H391-$H$6)/$H$6</f>
        <v>-0.28695570147556893</v>
      </c>
      <c r="J390" s="4">
        <v>41981</v>
      </c>
      <c r="K390" s="3">
        <v>2.1030000000000002</v>
      </c>
      <c r="L390" s="2">
        <f t="shared" ref="L390:L453" si="32">(K391-$K$6)/$K$6</f>
        <v>-0.53702127659574461</v>
      </c>
      <c r="M390" s="4">
        <v>41981</v>
      </c>
      <c r="N390" s="3">
        <v>17280.830077999999</v>
      </c>
      <c r="O390" s="2">
        <f t="shared" si="29"/>
        <v>0.35069960045933135</v>
      </c>
    </row>
    <row r="391" spans="1:15" x14ac:dyDescent="0.25">
      <c r="A391" s="6">
        <v>41988</v>
      </c>
      <c r="B391" s="3">
        <v>2070.6499020000001</v>
      </c>
      <c r="C391" s="2">
        <f t="shared" ref="C391:C454" si="33">(B392-$B$6)/$B$6</f>
        <v>0.45755930247442622</v>
      </c>
      <c r="D391" s="4">
        <v>42009</v>
      </c>
      <c r="E391" s="3">
        <v>17197.730468999998</v>
      </c>
      <c r="F391" s="2">
        <f t="shared" si="30"/>
        <v>-6.8139091405165575E-3</v>
      </c>
      <c r="G391" s="4">
        <v>41988</v>
      </c>
      <c r="H391" s="3">
        <v>10363.599609000001</v>
      </c>
      <c r="I391" s="2">
        <f t="shared" si="31"/>
        <v>-0.27882320128045546</v>
      </c>
      <c r="J391" s="4">
        <v>41988</v>
      </c>
      <c r="K391" s="3">
        <v>2.1760000000000002</v>
      </c>
      <c r="L391" s="2">
        <f t="shared" si="32"/>
        <v>-0.52127659574468088</v>
      </c>
      <c r="M391" s="4">
        <v>41988</v>
      </c>
      <c r="N391" s="3">
        <v>17804.800781000002</v>
      </c>
      <c r="O391" s="2">
        <f t="shared" ref="O391:O454" si="34">(N392-$N$6)/$N$6</f>
        <v>0.36958230820458948</v>
      </c>
    </row>
    <row r="392" spans="1:15" x14ac:dyDescent="0.25">
      <c r="A392" s="6">
        <v>41995</v>
      </c>
      <c r="B392" s="3">
        <v>2088.7700199999999</v>
      </c>
      <c r="C392" s="2">
        <f t="shared" si="33"/>
        <v>0.4362272802692076</v>
      </c>
      <c r="D392" s="4">
        <v>42017</v>
      </c>
      <c r="E392" s="3">
        <v>16864.160156000002</v>
      </c>
      <c r="F392" s="2">
        <f t="shared" si="30"/>
        <v>3.1324795644840253E-2</v>
      </c>
      <c r="G392" s="4">
        <v>41995</v>
      </c>
      <c r="H392" s="3">
        <v>10481.799805000001</v>
      </c>
      <c r="I392" s="2">
        <f t="shared" si="31"/>
        <v>-0.2878363633699656</v>
      </c>
      <c r="J392" s="4">
        <v>41995</v>
      </c>
      <c r="K392" s="3">
        <v>2.25</v>
      </c>
      <c r="L392" s="2">
        <f t="shared" si="32"/>
        <v>-0.54829787234042549</v>
      </c>
      <c r="M392" s="4">
        <v>41995</v>
      </c>
      <c r="N392" s="3">
        <v>18053.710938</v>
      </c>
      <c r="O392" s="2">
        <f t="shared" si="34"/>
        <v>0.35283809576588354</v>
      </c>
    </row>
    <row r="393" spans="1:15" x14ac:dyDescent="0.25">
      <c r="A393" s="6">
        <v>42002</v>
      </c>
      <c r="B393" s="3">
        <v>2058.1999510000001</v>
      </c>
      <c r="C393" s="2">
        <f t="shared" si="33"/>
        <v>0.42688371374112805</v>
      </c>
      <c r="D393" s="4">
        <v>42023</v>
      </c>
      <c r="E393" s="3">
        <v>17511.75</v>
      </c>
      <c r="F393" s="2">
        <f t="shared" si="30"/>
        <v>4.0903239223675843E-2</v>
      </c>
      <c r="G393" s="4">
        <v>42002</v>
      </c>
      <c r="H393" s="3">
        <v>10350.799805000001</v>
      </c>
      <c r="I393" s="2">
        <f t="shared" si="31"/>
        <v>-0.33130593627520127</v>
      </c>
      <c r="J393" s="4">
        <v>42002</v>
      </c>
      <c r="K393" s="3">
        <v>2.1230000000000002</v>
      </c>
      <c r="L393" s="2">
        <f t="shared" si="32"/>
        <v>-0.58063829787234045</v>
      </c>
      <c r="M393" s="4">
        <v>42002</v>
      </c>
      <c r="N393" s="3">
        <v>17832.990234000001</v>
      </c>
      <c r="O393" s="2">
        <f t="shared" si="34"/>
        <v>0.34558413242761288</v>
      </c>
    </row>
    <row r="394" spans="1:15" x14ac:dyDescent="0.25">
      <c r="A394" s="6">
        <v>42009</v>
      </c>
      <c r="B394" s="3">
        <v>2044.8100589999999</v>
      </c>
      <c r="C394" s="2">
        <f t="shared" si="33"/>
        <v>0.40916637186104149</v>
      </c>
      <c r="D394" s="4">
        <v>42030</v>
      </c>
      <c r="E394" s="3">
        <v>17674.390625</v>
      </c>
      <c r="F394" s="2">
        <f t="shared" si="30"/>
        <v>3.9378454805371436E-2</v>
      </c>
      <c r="G394" s="4">
        <v>42009</v>
      </c>
      <c r="H394" s="3">
        <v>9719</v>
      </c>
      <c r="I394" s="2">
        <f t="shared" si="31"/>
        <v>-0.30929590515626504</v>
      </c>
      <c r="J394" s="4">
        <v>42009</v>
      </c>
      <c r="K394" s="3">
        <v>1.9710000000000001</v>
      </c>
      <c r="L394" s="2">
        <f t="shared" si="32"/>
        <v>-0.61382978723404258</v>
      </c>
      <c r="M394" s="4">
        <v>42009</v>
      </c>
      <c r="N394" s="3">
        <v>17737.369140999999</v>
      </c>
      <c r="O394" s="2">
        <f t="shared" si="34"/>
        <v>0.32845468560785723</v>
      </c>
    </row>
    <row r="395" spans="1:15" x14ac:dyDescent="0.25">
      <c r="A395" s="6">
        <v>42016</v>
      </c>
      <c r="B395" s="3">
        <v>2019.420044</v>
      </c>
      <c r="C395" s="2">
        <f t="shared" si="33"/>
        <v>0.43177535031698216</v>
      </c>
      <c r="D395" s="4">
        <v>42037</v>
      </c>
      <c r="E395" s="3">
        <v>17648.5</v>
      </c>
      <c r="F395" s="2">
        <f t="shared" si="30"/>
        <v>5.4976898181761297E-2</v>
      </c>
      <c r="G395" s="4">
        <v>42016</v>
      </c>
      <c r="H395" s="3">
        <v>10038.900390999999</v>
      </c>
      <c r="I395" s="2">
        <f t="shared" si="31"/>
        <v>-0.27196355228892299</v>
      </c>
      <c r="J395" s="4">
        <v>42016</v>
      </c>
      <c r="K395" s="3">
        <v>1.8149999999999999</v>
      </c>
      <c r="L395" s="2">
        <f t="shared" si="32"/>
        <v>-0.61340425531914888</v>
      </c>
      <c r="M395" s="4">
        <v>42016</v>
      </c>
      <c r="N395" s="3">
        <v>17511.570312</v>
      </c>
      <c r="O395" s="2">
        <f t="shared" si="34"/>
        <v>0.34067061600749698</v>
      </c>
    </row>
    <row r="396" spans="1:15" x14ac:dyDescent="0.25">
      <c r="A396" s="6">
        <v>42024</v>
      </c>
      <c r="B396" s="3">
        <v>2051.820068</v>
      </c>
      <c r="C396" s="2">
        <f t="shared" si="33"/>
        <v>0.39211889792819921</v>
      </c>
      <c r="D396" s="4">
        <v>42044</v>
      </c>
      <c r="E396" s="3">
        <v>17913.359375</v>
      </c>
      <c r="F396" s="2">
        <f t="shared" si="30"/>
        <v>7.9649741268837906E-2</v>
      </c>
      <c r="G396" s="4">
        <v>42023</v>
      </c>
      <c r="H396" s="3">
        <v>10581.5</v>
      </c>
      <c r="I396" s="2">
        <f t="shared" si="31"/>
        <v>-0.28422421825775734</v>
      </c>
      <c r="J396" s="4">
        <v>42024</v>
      </c>
      <c r="K396" s="3">
        <v>1.8169999999999999</v>
      </c>
      <c r="L396" s="2">
        <f t="shared" si="32"/>
        <v>-0.64361702127659581</v>
      </c>
      <c r="M396" s="4">
        <v>42024</v>
      </c>
      <c r="N396" s="3">
        <v>17672.599609000001</v>
      </c>
      <c r="O396" s="2">
        <f t="shared" si="34"/>
        <v>0.30215947581671548</v>
      </c>
    </row>
    <row r="397" spans="1:15" x14ac:dyDescent="0.25">
      <c r="A397" s="6">
        <v>42030</v>
      </c>
      <c r="B397" s="3">
        <v>1994.98999</v>
      </c>
      <c r="C397" s="2">
        <f t="shared" si="33"/>
        <v>0.43432227985917238</v>
      </c>
      <c r="D397" s="4">
        <v>42051</v>
      </c>
      <c r="E397" s="3">
        <v>18332.300781000002</v>
      </c>
      <c r="F397" s="2">
        <f t="shared" si="30"/>
        <v>0.10707274058328289</v>
      </c>
      <c r="G397" s="4">
        <v>42030</v>
      </c>
      <c r="H397" s="3">
        <v>10403.299805000001</v>
      </c>
      <c r="I397" s="2">
        <f t="shared" si="31"/>
        <v>-0.27254152240875695</v>
      </c>
      <c r="J397" s="4">
        <v>42030</v>
      </c>
      <c r="K397" s="3">
        <v>1.675</v>
      </c>
      <c r="L397" s="2">
        <f t="shared" si="32"/>
        <v>-0.58765957446808514</v>
      </c>
      <c r="M397" s="4">
        <v>42030</v>
      </c>
      <c r="N397" s="3">
        <v>17164.949218999998</v>
      </c>
      <c r="O397" s="2">
        <f t="shared" si="34"/>
        <v>0.352178011461179</v>
      </c>
    </row>
    <row r="398" spans="1:15" x14ac:dyDescent="0.25">
      <c r="A398" s="6">
        <v>42037</v>
      </c>
      <c r="B398" s="3">
        <v>2055.469971</v>
      </c>
      <c r="C398" s="2">
        <f t="shared" si="33"/>
        <v>0.46329525886255979</v>
      </c>
      <c r="D398" s="4">
        <v>42058</v>
      </c>
      <c r="E398" s="3">
        <v>18797.939452999999</v>
      </c>
      <c r="F398" s="2">
        <f t="shared" si="30"/>
        <v>0.11726484778381741</v>
      </c>
      <c r="G398" s="4">
        <v>42037</v>
      </c>
      <c r="H398" s="3">
        <v>10573.099609000001</v>
      </c>
      <c r="I398" s="2">
        <f t="shared" si="31"/>
        <v>-0.26109271557027719</v>
      </c>
      <c r="J398" s="4">
        <v>42037</v>
      </c>
      <c r="K398" s="3">
        <v>1.9379999999999999</v>
      </c>
      <c r="L398" s="2">
        <f t="shared" si="32"/>
        <v>-0.57000000000000006</v>
      </c>
      <c r="M398" s="4">
        <v>42037</v>
      </c>
      <c r="N398" s="3">
        <v>17824.289062</v>
      </c>
      <c r="O398" s="2">
        <f t="shared" si="34"/>
        <v>0.3669756048821306</v>
      </c>
    </row>
    <row r="399" spans="1:15" x14ac:dyDescent="0.25">
      <c r="A399" s="6">
        <v>42044</v>
      </c>
      <c r="B399" s="3">
        <v>2096.98999</v>
      </c>
      <c r="C399" s="2">
        <f t="shared" si="33"/>
        <v>0.47258311732767377</v>
      </c>
      <c r="D399" s="4">
        <v>42065</v>
      </c>
      <c r="E399" s="3">
        <v>18971</v>
      </c>
      <c r="F399" s="2">
        <f t="shared" si="30"/>
        <v>0.13394637580736737</v>
      </c>
      <c r="G399" s="4">
        <v>42044</v>
      </c>
      <c r="H399" s="3">
        <v>10739.5</v>
      </c>
      <c r="I399" s="2">
        <f t="shared" si="31"/>
        <v>-0.25147410257373592</v>
      </c>
      <c r="J399" s="4">
        <v>42044</v>
      </c>
      <c r="K399" s="3">
        <v>2.0209999999999999</v>
      </c>
      <c r="L399" s="2">
        <f t="shared" si="32"/>
        <v>-0.54617021276595745</v>
      </c>
      <c r="M399" s="4">
        <v>42044</v>
      </c>
      <c r="N399" s="3">
        <v>18019.349609000001</v>
      </c>
      <c r="O399" s="2">
        <f t="shared" si="34"/>
        <v>0.3761616668842967</v>
      </c>
    </row>
    <row r="400" spans="1:15" x14ac:dyDescent="0.25">
      <c r="A400" s="6">
        <v>42052</v>
      </c>
      <c r="B400" s="3">
        <v>2110.3000489999999</v>
      </c>
      <c r="C400" s="2">
        <f t="shared" si="33"/>
        <v>0.46853579986629168</v>
      </c>
      <c r="D400" s="4">
        <v>42072</v>
      </c>
      <c r="E400" s="3">
        <v>19254.25</v>
      </c>
      <c r="F400" s="2">
        <f t="shared" si="30"/>
        <v>0.15196600107296229</v>
      </c>
      <c r="G400" s="4">
        <v>42051</v>
      </c>
      <c r="H400" s="3">
        <v>10879.299805000001</v>
      </c>
      <c r="I400" s="2">
        <f t="shared" si="31"/>
        <v>-0.23090207612515942</v>
      </c>
      <c r="J400" s="4">
        <v>42052</v>
      </c>
      <c r="K400" s="3">
        <v>2.133</v>
      </c>
      <c r="L400" s="2">
        <f t="shared" si="32"/>
        <v>-0.57404255319148945</v>
      </c>
      <c r="M400" s="4">
        <v>42052</v>
      </c>
      <c r="N400" s="3">
        <v>18140.439452999999</v>
      </c>
      <c r="O400" s="2">
        <f t="shared" si="34"/>
        <v>0.3755744808157831</v>
      </c>
    </row>
    <row r="401" spans="1:15" x14ac:dyDescent="0.25">
      <c r="A401" s="6">
        <v>42058</v>
      </c>
      <c r="B401" s="3">
        <v>2104.5</v>
      </c>
      <c r="C401" s="2">
        <f t="shared" si="33"/>
        <v>0.44534068686928641</v>
      </c>
      <c r="D401" s="4">
        <v>42079</v>
      </c>
      <c r="E401" s="3">
        <v>19560.220702999999</v>
      </c>
      <c r="F401" s="2">
        <f t="shared" si="30"/>
        <v>0.13579449823918233</v>
      </c>
      <c r="G401" s="4">
        <v>42058</v>
      </c>
      <c r="H401" s="3">
        <v>11178.299805000001</v>
      </c>
      <c r="I401" s="2">
        <f t="shared" si="31"/>
        <v>-0.23684659461997393</v>
      </c>
      <c r="J401" s="4">
        <v>42058</v>
      </c>
      <c r="K401" s="3">
        <v>2.0019999999999998</v>
      </c>
      <c r="L401" s="2">
        <f t="shared" si="32"/>
        <v>-0.52340425531914891</v>
      </c>
      <c r="M401" s="4">
        <v>42058</v>
      </c>
      <c r="N401" s="3">
        <v>18132.699218999998</v>
      </c>
      <c r="O401" s="2">
        <f t="shared" si="34"/>
        <v>0.35464277071196276</v>
      </c>
    </row>
    <row r="402" spans="1:15" x14ac:dyDescent="0.25">
      <c r="A402" s="6">
        <v>42065</v>
      </c>
      <c r="B402" s="3">
        <v>2071.26001</v>
      </c>
      <c r="C402" s="2">
        <f t="shared" si="33"/>
        <v>0.43287777026796631</v>
      </c>
      <c r="D402" s="4">
        <v>42086</v>
      </c>
      <c r="E402" s="3">
        <v>19285.630859000001</v>
      </c>
      <c r="F402" s="2">
        <f t="shared" si="30"/>
        <v>0.14459605634984823</v>
      </c>
      <c r="G402" s="4">
        <v>42065</v>
      </c>
      <c r="H402" s="3">
        <v>11091.900390999999</v>
      </c>
      <c r="I402" s="2">
        <f t="shared" si="31"/>
        <v>-0.24084407552923737</v>
      </c>
      <c r="J402" s="4">
        <v>42065</v>
      </c>
      <c r="K402" s="3">
        <v>2.2400000000000002</v>
      </c>
      <c r="L402" s="2">
        <f t="shared" si="32"/>
        <v>-0.55063829787234042</v>
      </c>
      <c r="M402" s="4">
        <v>42065</v>
      </c>
      <c r="N402" s="3">
        <v>17856.779297000001</v>
      </c>
      <c r="O402" s="2">
        <f t="shared" si="34"/>
        <v>0.34649002587239308</v>
      </c>
    </row>
    <row r="403" spans="1:15" x14ac:dyDescent="0.25">
      <c r="A403" s="6">
        <v>42072</v>
      </c>
      <c r="B403" s="3">
        <v>2053.3999020000001</v>
      </c>
      <c r="C403" s="2">
        <f t="shared" si="33"/>
        <v>0.47104797510792951</v>
      </c>
      <c r="D403" s="4">
        <v>42093</v>
      </c>
      <c r="E403" s="3">
        <v>19435.080077999999</v>
      </c>
      <c r="F403" s="2">
        <f t="shared" si="30"/>
        <v>0.17242613259275011</v>
      </c>
      <c r="G403" s="4">
        <v>42072</v>
      </c>
      <c r="H403" s="3">
        <v>11033.799805000001</v>
      </c>
      <c r="I403" s="2">
        <f t="shared" si="31"/>
        <v>-0.21429998264715167</v>
      </c>
      <c r="J403" s="4">
        <v>42072</v>
      </c>
      <c r="K403" s="3">
        <v>2.1120000000000001</v>
      </c>
      <c r="L403" s="2">
        <f t="shared" si="32"/>
        <v>-0.5893617021276597</v>
      </c>
      <c r="M403" s="4">
        <v>42072</v>
      </c>
      <c r="N403" s="3">
        <v>17749.310547000001</v>
      </c>
      <c r="O403" s="2">
        <f t="shared" si="34"/>
        <v>0.37519146895026062</v>
      </c>
    </row>
    <row r="404" spans="1:15" x14ac:dyDescent="0.25">
      <c r="A404" s="6">
        <v>42079</v>
      </c>
      <c r="B404" s="3">
        <v>2108.1000979999999</v>
      </c>
      <c r="C404" s="2">
        <f t="shared" si="33"/>
        <v>0.4381951454555193</v>
      </c>
      <c r="D404" s="4">
        <v>42100</v>
      </c>
      <c r="E404" s="3">
        <v>19907.630859000001</v>
      </c>
      <c r="F404" s="2">
        <f t="shared" si="30"/>
        <v>0.1574230636995485</v>
      </c>
      <c r="G404" s="4">
        <v>42079</v>
      </c>
      <c r="H404" s="3">
        <v>11419.599609000001</v>
      </c>
      <c r="I404" s="2">
        <f t="shared" si="31"/>
        <v>-0.21376326728386219</v>
      </c>
      <c r="J404" s="4">
        <v>42079</v>
      </c>
      <c r="K404" s="3">
        <v>1.93</v>
      </c>
      <c r="L404" s="2">
        <f t="shared" si="32"/>
        <v>-0.585531914893617</v>
      </c>
      <c r="M404" s="4">
        <v>42079</v>
      </c>
      <c r="N404" s="3">
        <v>18127.650390999999</v>
      </c>
      <c r="O404" s="2">
        <f t="shared" si="34"/>
        <v>0.34370967078225334</v>
      </c>
    </row>
    <row r="405" spans="1:15" x14ac:dyDescent="0.25">
      <c r="A405" s="6">
        <v>42086</v>
      </c>
      <c r="B405" s="3">
        <v>2061.0200199999999</v>
      </c>
      <c r="C405" s="2">
        <f t="shared" si="33"/>
        <v>0.44234008059811547</v>
      </c>
      <c r="D405" s="4">
        <v>42107</v>
      </c>
      <c r="E405" s="3">
        <v>19652.880859000001</v>
      </c>
      <c r="F405" s="2">
        <f t="shared" si="30"/>
        <v>0.17904622293139574</v>
      </c>
      <c r="G405" s="4">
        <v>42086</v>
      </c>
      <c r="H405" s="3">
        <v>11427.400390999999</v>
      </c>
      <c r="I405" s="2">
        <f t="shared" si="31"/>
        <v>-0.19954864313465293</v>
      </c>
      <c r="J405" s="4">
        <v>42086</v>
      </c>
      <c r="K405" s="3">
        <v>1.948</v>
      </c>
      <c r="L405" s="2">
        <f t="shared" si="32"/>
        <v>-0.59489361702127663</v>
      </c>
      <c r="M405" s="4">
        <v>42086</v>
      </c>
      <c r="N405" s="3">
        <v>17712.660156000002</v>
      </c>
      <c r="O405" s="2">
        <f t="shared" si="34"/>
        <v>0.34754675337509566</v>
      </c>
    </row>
    <row r="406" spans="1:15" x14ac:dyDescent="0.25">
      <c r="A406" s="6">
        <v>42093</v>
      </c>
      <c r="B406" s="3">
        <v>2066.959961</v>
      </c>
      <c r="C406" s="2">
        <f t="shared" si="33"/>
        <v>0.46683319083418823</v>
      </c>
      <c r="D406" s="4">
        <v>42114</v>
      </c>
      <c r="E406" s="3">
        <v>20020.039062</v>
      </c>
      <c r="F406" s="2">
        <f t="shared" si="30"/>
        <v>0.15028225073271556</v>
      </c>
      <c r="G406" s="4">
        <v>42093</v>
      </c>
      <c r="H406" s="3">
        <v>11634</v>
      </c>
      <c r="I406" s="2">
        <f t="shared" si="31"/>
        <v>-0.19161569785714214</v>
      </c>
      <c r="J406" s="4">
        <v>42093</v>
      </c>
      <c r="K406" s="3">
        <v>1.9039999999999999</v>
      </c>
      <c r="L406" s="2">
        <f t="shared" si="32"/>
        <v>-0.58489361702127662</v>
      </c>
      <c r="M406" s="4">
        <v>42093</v>
      </c>
      <c r="N406" s="3">
        <v>17763.240234000001</v>
      </c>
      <c r="O406" s="2">
        <f t="shared" si="34"/>
        <v>0.36988116117455955</v>
      </c>
    </row>
    <row r="407" spans="1:15" x14ac:dyDescent="0.25">
      <c r="A407" s="6">
        <v>42100</v>
      </c>
      <c r="B407" s="3">
        <v>2102.0600589999999</v>
      </c>
      <c r="C407" s="2">
        <f t="shared" si="33"/>
        <v>0.45226288244490115</v>
      </c>
      <c r="D407" s="4">
        <v>42121</v>
      </c>
      <c r="E407" s="3">
        <v>19531.630859000001</v>
      </c>
      <c r="F407" s="2">
        <f t="shared" si="30"/>
        <v>0.14130447284696662</v>
      </c>
      <c r="G407" s="4">
        <v>42101</v>
      </c>
      <c r="H407" s="3">
        <v>11749.299805000001</v>
      </c>
      <c r="I407" s="2">
        <f t="shared" si="31"/>
        <v>-0.21844185523872239</v>
      </c>
      <c r="J407" s="4">
        <v>42100</v>
      </c>
      <c r="K407" s="3">
        <v>1.9510000000000001</v>
      </c>
      <c r="L407" s="2">
        <f t="shared" si="32"/>
        <v>-0.6063829787234043</v>
      </c>
      <c r="M407" s="4">
        <v>42100</v>
      </c>
      <c r="N407" s="3">
        <v>18057.650390999999</v>
      </c>
      <c r="O407" s="2">
        <f t="shared" si="34"/>
        <v>0.35233062356186806</v>
      </c>
    </row>
    <row r="408" spans="1:15" x14ac:dyDescent="0.25">
      <c r="A408" s="6">
        <v>42107</v>
      </c>
      <c r="B408" s="3">
        <v>2081.179932</v>
      </c>
      <c r="C408" s="2">
        <f t="shared" si="33"/>
        <v>0.47773983909490858</v>
      </c>
      <c r="D408" s="4">
        <v>42129</v>
      </c>
      <c r="E408" s="3">
        <v>19379.189452999999</v>
      </c>
      <c r="F408" s="2">
        <f t="shared" si="30"/>
        <v>0.16213682847417579</v>
      </c>
      <c r="G408" s="4">
        <v>42107</v>
      </c>
      <c r="H408" s="3">
        <v>11359.400390999999</v>
      </c>
      <c r="I408" s="2">
        <f t="shared" si="31"/>
        <v>-0.20839665168858137</v>
      </c>
      <c r="J408" s="4">
        <v>42107</v>
      </c>
      <c r="K408" s="3">
        <v>1.85</v>
      </c>
      <c r="L408" s="2">
        <f t="shared" si="32"/>
        <v>-0.59212765957446811</v>
      </c>
      <c r="M408" s="4">
        <v>42107</v>
      </c>
      <c r="N408" s="3">
        <v>17826.300781000002</v>
      </c>
      <c r="O408" s="2">
        <f t="shared" si="34"/>
        <v>0.371587304952953</v>
      </c>
    </row>
    <row r="409" spans="1:15" x14ac:dyDescent="0.25">
      <c r="A409" s="6">
        <v>42114</v>
      </c>
      <c r="B409" s="3">
        <v>2117.6899410000001</v>
      </c>
      <c r="C409" s="2">
        <f t="shared" si="33"/>
        <v>0.47118051735471617</v>
      </c>
      <c r="D409" s="4">
        <v>42135</v>
      </c>
      <c r="E409" s="3">
        <v>19732.919922000001</v>
      </c>
      <c r="F409" s="2">
        <f t="shared" si="30"/>
        <v>0.193438043770607</v>
      </c>
      <c r="G409" s="4">
        <v>42114</v>
      </c>
      <c r="H409" s="3">
        <v>11505.400390999999</v>
      </c>
      <c r="I409" s="2">
        <f t="shared" si="31"/>
        <v>-0.21668053138112631</v>
      </c>
      <c r="J409" s="4">
        <v>42114</v>
      </c>
      <c r="K409" s="3">
        <v>1.917</v>
      </c>
      <c r="L409" s="2">
        <f t="shared" si="32"/>
        <v>-0.54957446808510635</v>
      </c>
      <c r="M409" s="4">
        <v>42114</v>
      </c>
      <c r="N409" s="3">
        <v>18080.140625</v>
      </c>
      <c r="O409" s="2">
        <f t="shared" si="34"/>
        <v>0.36733298389201985</v>
      </c>
    </row>
    <row r="410" spans="1:15" x14ac:dyDescent="0.25">
      <c r="A410" s="6">
        <v>42121</v>
      </c>
      <c r="B410" s="3">
        <v>2108.290039</v>
      </c>
      <c r="C410" s="2">
        <f t="shared" si="33"/>
        <v>0.47663043478905587</v>
      </c>
      <c r="D410" s="4">
        <v>42142</v>
      </c>
      <c r="E410" s="3">
        <v>20264.410156000002</v>
      </c>
      <c r="F410" s="2">
        <f t="shared" si="30"/>
        <v>0.21103184289475302</v>
      </c>
      <c r="G410" s="4">
        <v>42121</v>
      </c>
      <c r="H410" s="3">
        <v>11385</v>
      </c>
      <c r="I410" s="2">
        <f t="shared" si="31"/>
        <v>-0.21394904823211749</v>
      </c>
      <c r="J410" s="4">
        <v>42121</v>
      </c>
      <c r="K410" s="3">
        <v>2.117</v>
      </c>
      <c r="L410" s="2">
        <f t="shared" si="32"/>
        <v>-0.54255319148936176</v>
      </c>
      <c r="M410" s="4">
        <v>42121</v>
      </c>
      <c r="N410" s="3">
        <v>18024.060547000001</v>
      </c>
      <c r="O410" s="2">
        <f t="shared" si="34"/>
        <v>0.38000556518130774</v>
      </c>
    </row>
    <row r="411" spans="1:15" x14ac:dyDescent="0.25">
      <c r="A411" s="6">
        <v>42128</v>
      </c>
      <c r="B411" s="3">
        <v>2116.1000979999999</v>
      </c>
      <c r="C411" s="2">
        <f t="shared" si="33"/>
        <v>0.48125681590850911</v>
      </c>
      <c r="D411" s="4">
        <v>42149</v>
      </c>
      <c r="E411" s="3">
        <v>20563.150390999999</v>
      </c>
      <c r="F411" s="2">
        <f t="shared" si="30"/>
        <v>0.20501000268148564</v>
      </c>
      <c r="G411" s="4">
        <v>42128</v>
      </c>
      <c r="H411" s="3">
        <v>11424.700194999999</v>
      </c>
      <c r="I411" s="2">
        <f t="shared" si="31"/>
        <v>-0.22133849192331284</v>
      </c>
      <c r="J411" s="4">
        <v>42128</v>
      </c>
      <c r="K411" s="3">
        <v>2.15</v>
      </c>
      <c r="L411" s="2">
        <f t="shared" si="32"/>
        <v>-0.544468085106383</v>
      </c>
      <c r="M411" s="4">
        <v>42128</v>
      </c>
      <c r="N411" s="3">
        <v>18191.109375</v>
      </c>
      <c r="O411" s="2">
        <f t="shared" si="34"/>
        <v>0.38618457649575877</v>
      </c>
    </row>
    <row r="412" spans="1:15" x14ac:dyDescent="0.25">
      <c r="A412" s="6">
        <v>42135</v>
      </c>
      <c r="B412" s="3">
        <v>2122.7299800000001</v>
      </c>
      <c r="C412" s="2">
        <f t="shared" si="33"/>
        <v>0.4835805698775672</v>
      </c>
      <c r="D412" s="4">
        <v>42156</v>
      </c>
      <c r="E412" s="3">
        <v>20460.900390999999</v>
      </c>
      <c r="F412" s="2">
        <f t="shared" si="30"/>
        <v>0.2018403466901503</v>
      </c>
      <c r="G412" s="4">
        <v>42135</v>
      </c>
      <c r="H412" s="3">
        <v>11317.299805000001</v>
      </c>
      <c r="I412" s="2">
        <f t="shared" si="31"/>
        <v>-0.20503909028867051</v>
      </c>
      <c r="J412" s="4">
        <v>42135</v>
      </c>
      <c r="K412" s="3">
        <v>2.141</v>
      </c>
      <c r="L412" s="2">
        <f t="shared" si="32"/>
        <v>-0.52872340425531916</v>
      </c>
      <c r="M412" s="4">
        <v>42135</v>
      </c>
      <c r="N412" s="3">
        <v>18272.560547000001</v>
      </c>
      <c r="O412" s="2">
        <f t="shared" si="34"/>
        <v>0.38310907260290705</v>
      </c>
    </row>
    <row r="413" spans="1:15" x14ac:dyDescent="0.25">
      <c r="A413" s="6">
        <v>42142</v>
      </c>
      <c r="B413" s="3">
        <v>2126.0600589999999</v>
      </c>
      <c r="C413" s="2">
        <f t="shared" si="33"/>
        <v>0.47055238876070032</v>
      </c>
      <c r="D413" s="4">
        <v>42163</v>
      </c>
      <c r="E413" s="3">
        <v>20407.080077999999</v>
      </c>
      <c r="F413" s="2">
        <f t="shared" si="30"/>
        <v>0.18812763924907364</v>
      </c>
      <c r="G413" s="4">
        <v>42142</v>
      </c>
      <c r="H413" s="3">
        <v>11554.200194999999</v>
      </c>
      <c r="I413" s="2">
        <f t="shared" si="31"/>
        <v>-0.22819814098364813</v>
      </c>
      <c r="J413" s="4">
        <v>42142</v>
      </c>
      <c r="K413" s="3">
        <v>2.2149999999999999</v>
      </c>
      <c r="L413" s="2">
        <f t="shared" si="32"/>
        <v>-0.55425531914893611</v>
      </c>
      <c r="M413" s="4">
        <v>42142</v>
      </c>
      <c r="N413" s="3">
        <v>18232.019531000002</v>
      </c>
      <c r="O413" s="2">
        <f t="shared" si="34"/>
        <v>0.3663178913264018</v>
      </c>
    </row>
    <row r="414" spans="1:15" x14ac:dyDescent="0.25">
      <c r="A414" s="6">
        <v>42150</v>
      </c>
      <c r="B414" s="3">
        <v>2107.389893</v>
      </c>
      <c r="C414" s="2">
        <f t="shared" si="33"/>
        <v>0.46039244123543049</v>
      </c>
      <c r="D414" s="4">
        <v>42170</v>
      </c>
      <c r="E414" s="3">
        <v>20174.240234000001</v>
      </c>
      <c r="F414" s="2">
        <f t="shared" si="30"/>
        <v>0.21945358519790445</v>
      </c>
      <c r="G414" s="4">
        <v>42149</v>
      </c>
      <c r="H414" s="3">
        <v>11217.599609000001</v>
      </c>
      <c r="I414" s="2">
        <f t="shared" si="31"/>
        <v>-0.23890382416671227</v>
      </c>
      <c r="J414" s="4">
        <v>42150</v>
      </c>
      <c r="K414" s="3">
        <v>2.0950000000000002</v>
      </c>
      <c r="L414" s="2">
        <f t="shared" si="32"/>
        <v>-0.48893617021276597</v>
      </c>
      <c r="M414" s="4">
        <v>42150</v>
      </c>
      <c r="N414" s="3">
        <v>18010.679688</v>
      </c>
      <c r="O414" s="2">
        <f t="shared" si="34"/>
        <v>0.35408758873049023</v>
      </c>
    </row>
    <row r="415" spans="1:15" x14ac:dyDescent="0.25">
      <c r="A415" s="6">
        <v>42156</v>
      </c>
      <c r="B415" s="3">
        <v>2092.830078</v>
      </c>
      <c r="C415" s="2">
        <f t="shared" si="33"/>
        <v>0.46128565502082708</v>
      </c>
      <c r="D415" s="4">
        <v>42177</v>
      </c>
      <c r="E415" s="3">
        <v>20706.150390999999</v>
      </c>
      <c r="F415" s="2">
        <f t="shared" si="30"/>
        <v>0.20965601707169615</v>
      </c>
      <c r="G415" s="4">
        <v>42156</v>
      </c>
      <c r="H415" s="3">
        <v>11062</v>
      </c>
      <c r="I415" s="2">
        <f t="shared" si="31"/>
        <v>-0.24107111123403721</v>
      </c>
      <c r="J415" s="4">
        <v>42156</v>
      </c>
      <c r="K415" s="3">
        <v>2.4020000000000001</v>
      </c>
      <c r="L415" s="2">
        <f t="shared" si="32"/>
        <v>-0.49255319148936177</v>
      </c>
      <c r="M415" s="4">
        <v>42156</v>
      </c>
      <c r="N415" s="3">
        <v>17849.460938</v>
      </c>
      <c r="O415" s="2">
        <f t="shared" si="34"/>
        <v>0.35783354856602456</v>
      </c>
    </row>
    <row r="416" spans="1:15" x14ac:dyDescent="0.25">
      <c r="A416" s="6">
        <v>42163</v>
      </c>
      <c r="B416" s="3">
        <v>2094.110107</v>
      </c>
      <c r="C416" s="2">
        <f t="shared" si="33"/>
        <v>0.47236675584439003</v>
      </c>
      <c r="D416" s="4">
        <v>42184</v>
      </c>
      <c r="E416" s="3">
        <v>20539.789062</v>
      </c>
      <c r="F416" s="2">
        <f t="shared" si="30"/>
        <v>0.16489952249678153</v>
      </c>
      <c r="G416" s="4">
        <v>42163</v>
      </c>
      <c r="H416" s="3">
        <v>11030.5</v>
      </c>
      <c r="I416" s="2">
        <f t="shared" si="31"/>
        <v>-0.2470019229110019</v>
      </c>
      <c r="J416" s="4">
        <v>42163</v>
      </c>
      <c r="K416" s="3">
        <v>2.3849999999999998</v>
      </c>
      <c r="L416" s="2">
        <f t="shared" si="32"/>
        <v>-0.51765957446808519</v>
      </c>
      <c r="M416" s="4">
        <v>42163</v>
      </c>
      <c r="N416" s="3">
        <v>17898.839843999998</v>
      </c>
      <c r="O416" s="2">
        <f t="shared" si="34"/>
        <v>0.36671764606131019</v>
      </c>
    </row>
    <row r="417" spans="1:15" x14ac:dyDescent="0.25">
      <c r="A417" s="6">
        <v>42170</v>
      </c>
      <c r="B417" s="3">
        <v>2109.98999</v>
      </c>
      <c r="C417" s="2">
        <f t="shared" si="33"/>
        <v>0.46643539243319332</v>
      </c>
      <c r="D417" s="4">
        <v>42191</v>
      </c>
      <c r="E417" s="3">
        <v>19779.830077999999</v>
      </c>
      <c r="F417" s="2">
        <f t="shared" si="30"/>
        <v>0.21620088046223887</v>
      </c>
      <c r="G417" s="4">
        <v>42170</v>
      </c>
      <c r="H417" s="3">
        <v>10944.299805000001</v>
      </c>
      <c r="I417" s="2">
        <f t="shared" si="31"/>
        <v>-0.21755433990099943</v>
      </c>
      <c r="J417" s="4">
        <v>42170</v>
      </c>
      <c r="K417" s="3">
        <v>2.2669999999999999</v>
      </c>
      <c r="L417" s="2">
        <f t="shared" si="32"/>
        <v>-0.47319148936170213</v>
      </c>
      <c r="M417" s="4">
        <v>42170</v>
      </c>
      <c r="N417" s="3">
        <v>18015.949218999998</v>
      </c>
      <c r="O417" s="2">
        <f t="shared" si="34"/>
        <v>0.36146275278861795</v>
      </c>
    </row>
    <row r="418" spans="1:15" x14ac:dyDescent="0.25">
      <c r="A418" s="6">
        <v>42177</v>
      </c>
      <c r="B418" s="3">
        <v>2101.48999</v>
      </c>
      <c r="C418" s="2">
        <f t="shared" si="33"/>
        <v>0.44919259730760536</v>
      </c>
      <c r="D418" s="4">
        <v>42198</v>
      </c>
      <c r="E418" s="3">
        <v>20650.919922000001</v>
      </c>
      <c r="F418" s="2">
        <f t="shared" si="30"/>
        <v>0.20993518516698559</v>
      </c>
      <c r="G418" s="4">
        <v>42177</v>
      </c>
      <c r="H418" s="3">
        <v>11372.299805000001</v>
      </c>
      <c r="I418" s="2">
        <f t="shared" si="31"/>
        <v>-0.25831997759592107</v>
      </c>
      <c r="J418" s="4">
        <v>42177</v>
      </c>
      <c r="K418" s="3">
        <v>2.476</v>
      </c>
      <c r="L418" s="2">
        <f t="shared" si="32"/>
        <v>-0.49085106382978727</v>
      </c>
      <c r="M418" s="4">
        <v>42177</v>
      </c>
      <c r="N418" s="3">
        <v>17946.679688</v>
      </c>
      <c r="O418" s="2">
        <f t="shared" si="34"/>
        <v>0.34503339540133338</v>
      </c>
    </row>
    <row r="419" spans="1:15" x14ac:dyDescent="0.25">
      <c r="A419" s="6">
        <v>42184</v>
      </c>
      <c r="B419" s="3">
        <v>2076.780029</v>
      </c>
      <c r="C419" s="2">
        <f t="shared" si="33"/>
        <v>0.44908100952103924</v>
      </c>
      <c r="D419" s="4">
        <v>42206</v>
      </c>
      <c r="E419" s="3">
        <v>20544.529297000001</v>
      </c>
      <c r="F419" s="2">
        <f t="shared" si="30"/>
        <v>0.21233278670778161</v>
      </c>
      <c r="G419" s="4">
        <v>42184</v>
      </c>
      <c r="H419" s="3">
        <v>10779.799805000001</v>
      </c>
      <c r="I419" s="2">
        <f t="shared" si="31"/>
        <v>-0.24068584265728235</v>
      </c>
      <c r="J419" s="4">
        <v>42184</v>
      </c>
      <c r="K419" s="3">
        <v>2.3929999999999998</v>
      </c>
      <c r="L419" s="2">
        <f t="shared" si="32"/>
        <v>-0.48574468085106387</v>
      </c>
      <c r="M419" s="4">
        <v>42184</v>
      </c>
      <c r="N419" s="3">
        <v>17730.109375</v>
      </c>
      <c r="O419" s="2">
        <f t="shared" si="34"/>
        <v>0.34733205930067801</v>
      </c>
    </row>
    <row r="420" spans="1:15" x14ac:dyDescent="0.25">
      <c r="A420" s="6">
        <v>42191</v>
      </c>
      <c r="B420" s="3">
        <v>2076.6201169999999</v>
      </c>
      <c r="C420" s="2">
        <f t="shared" si="33"/>
        <v>0.48398518236841054</v>
      </c>
      <c r="D420" s="4">
        <v>42212</v>
      </c>
      <c r="E420" s="3">
        <v>20585.240234000001</v>
      </c>
      <c r="F420" s="2">
        <f t="shared" si="30"/>
        <v>0.22053782009016201</v>
      </c>
      <c r="G420" s="4">
        <v>42191</v>
      </c>
      <c r="H420" s="3">
        <v>11036.099609000001</v>
      </c>
      <c r="I420" s="2">
        <f t="shared" si="31"/>
        <v>-0.21009609344576205</v>
      </c>
      <c r="J420" s="4">
        <v>42191</v>
      </c>
      <c r="K420" s="3">
        <v>2.4169999999999998</v>
      </c>
      <c r="L420" s="2">
        <f t="shared" si="32"/>
        <v>-0.50021276595744679</v>
      </c>
      <c r="M420" s="4">
        <v>42191</v>
      </c>
      <c r="N420" s="3">
        <v>17760.410156000002</v>
      </c>
      <c r="O420" s="2">
        <f t="shared" si="34"/>
        <v>0.37206588460683776</v>
      </c>
    </row>
    <row r="421" spans="1:15" x14ac:dyDescent="0.25">
      <c r="A421" s="6">
        <v>42198</v>
      </c>
      <c r="B421" s="3">
        <v>2126.639893</v>
      </c>
      <c r="C421" s="2">
        <f t="shared" si="33"/>
        <v>0.45119521609666202</v>
      </c>
      <c r="D421" s="4">
        <v>42219</v>
      </c>
      <c r="E421" s="3">
        <v>20724.560547000001</v>
      </c>
      <c r="F421" s="2">
        <f t="shared" si="30"/>
        <v>0.20845813653860124</v>
      </c>
      <c r="G421" s="4">
        <v>42198</v>
      </c>
      <c r="H421" s="3">
        <v>11480.700194999999</v>
      </c>
      <c r="I421" s="2">
        <f t="shared" si="31"/>
        <v>-0.22188891403564934</v>
      </c>
      <c r="J421" s="4">
        <v>42198</v>
      </c>
      <c r="K421" s="3">
        <v>2.3490000000000002</v>
      </c>
      <c r="L421" s="2">
        <f t="shared" si="32"/>
        <v>-0.51680851063829791</v>
      </c>
      <c r="M421" s="4">
        <v>42198</v>
      </c>
      <c r="N421" s="3">
        <v>18086.449218999998</v>
      </c>
      <c r="O421" s="2">
        <f t="shared" si="34"/>
        <v>0.33277568190702217</v>
      </c>
    </row>
    <row r="422" spans="1:15" x14ac:dyDescent="0.25">
      <c r="A422" s="6">
        <v>42205</v>
      </c>
      <c r="B422" s="3">
        <v>2079.6499020000001</v>
      </c>
      <c r="C422" s="2">
        <f t="shared" si="33"/>
        <v>0.46807530834965516</v>
      </c>
      <c r="D422" s="4">
        <v>42226</v>
      </c>
      <c r="E422" s="3">
        <v>20519.449218999998</v>
      </c>
      <c r="F422" s="2">
        <f t="shared" si="30"/>
        <v>0.14464022632696269</v>
      </c>
      <c r="G422" s="4">
        <v>42205</v>
      </c>
      <c r="H422" s="3">
        <v>11309.299805000001</v>
      </c>
      <c r="I422" s="2">
        <f t="shared" si="31"/>
        <v>-0.23073692265838058</v>
      </c>
      <c r="J422" s="4">
        <v>42205</v>
      </c>
      <c r="K422" s="3">
        <v>2.2709999999999999</v>
      </c>
      <c r="L422" s="2">
        <f t="shared" si="32"/>
        <v>-0.5308510638297872</v>
      </c>
      <c r="M422" s="4">
        <v>42205</v>
      </c>
      <c r="N422" s="3">
        <v>17568.529297000001</v>
      </c>
      <c r="O422" s="2">
        <f t="shared" si="34"/>
        <v>0.34197996843030526</v>
      </c>
    </row>
    <row r="423" spans="1:15" x14ac:dyDescent="0.25">
      <c r="A423" s="6">
        <v>42212</v>
      </c>
      <c r="B423" s="3">
        <v>2103.8400879999999</v>
      </c>
      <c r="C423" s="2">
        <f t="shared" si="33"/>
        <v>0.44974389241560747</v>
      </c>
      <c r="D423" s="4">
        <v>42233</v>
      </c>
      <c r="E423" s="3">
        <v>19435.830077999999</v>
      </c>
      <c r="F423" s="2">
        <f t="shared" si="30"/>
        <v>0.12700110698060477</v>
      </c>
      <c r="G423" s="4">
        <v>42212</v>
      </c>
      <c r="H423" s="3">
        <v>11180.700194999999</v>
      </c>
      <c r="I423" s="2">
        <f t="shared" si="31"/>
        <v>-0.23090892956848574</v>
      </c>
      <c r="J423" s="4">
        <v>42212</v>
      </c>
      <c r="K423" s="3">
        <v>2.2050000000000001</v>
      </c>
      <c r="L423" s="2">
        <f t="shared" si="32"/>
        <v>-0.53723404255319152</v>
      </c>
      <c r="M423" s="4">
        <v>42212</v>
      </c>
      <c r="N423" s="3">
        <v>17689.859375</v>
      </c>
      <c r="O423" s="2">
        <f t="shared" si="34"/>
        <v>0.31797142093948899</v>
      </c>
    </row>
    <row r="424" spans="1:15" x14ac:dyDescent="0.25">
      <c r="A424" s="6">
        <v>42219</v>
      </c>
      <c r="B424" s="3">
        <v>2077.570068</v>
      </c>
      <c r="C424" s="2">
        <f t="shared" si="33"/>
        <v>0.45949224239735798</v>
      </c>
      <c r="D424" s="4">
        <v>42240</v>
      </c>
      <c r="E424" s="3">
        <v>19136.320312</v>
      </c>
      <c r="F424" s="2">
        <f t="shared" si="30"/>
        <v>4.7839075875738914E-2</v>
      </c>
      <c r="G424" s="4">
        <v>42219</v>
      </c>
      <c r="H424" s="3">
        <v>11178.200194999999</v>
      </c>
      <c r="I424" s="2">
        <f t="shared" si="31"/>
        <v>-0.25147410257373592</v>
      </c>
      <c r="J424" s="4">
        <v>42219</v>
      </c>
      <c r="K424" s="3">
        <v>2.1749999999999998</v>
      </c>
      <c r="L424" s="2">
        <f t="shared" si="32"/>
        <v>-0.53276595744680844</v>
      </c>
      <c r="M424" s="4">
        <v>42219</v>
      </c>
      <c r="N424" s="3">
        <v>17373.380859000001</v>
      </c>
      <c r="O424" s="2">
        <f t="shared" si="34"/>
        <v>0.32586250279098011</v>
      </c>
    </row>
    <row r="425" spans="1:15" x14ac:dyDescent="0.25">
      <c r="A425" s="6">
        <v>42226</v>
      </c>
      <c r="B425" s="3">
        <v>2091.540039</v>
      </c>
      <c r="C425" s="2">
        <f t="shared" si="33"/>
        <v>0.37530175558399265</v>
      </c>
      <c r="D425" s="4">
        <v>42247</v>
      </c>
      <c r="E425" s="3">
        <v>17792.160156000002</v>
      </c>
      <c r="F425" s="2">
        <f t="shared" si="30"/>
        <v>7.5640280619226216E-2</v>
      </c>
      <c r="G425" s="4">
        <v>42226</v>
      </c>
      <c r="H425" s="3">
        <v>10879.299805000001</v>
      </c>
      <c r="I425" s="2">
        <f t="shared" si="31"/>
        <v>-0.29327863517261477</v>
      </c>
      <c r="J425" s="4">
        <v>42226</v>
      </c>
      <c r="K425" s="3">
        <v>2.1960000000000002</v>
      </c>
      <c r="L425" s="2">
        <f t="shared" si="32"/>
        <v>-0.56297872340425537</v>
      </c>
      <c r="M425" s="4">
        <v>42226</v>
      </c>
      <c r="N425" s="3">
        <v>17477.400390999999</v>
      </c>
      <c r="O425" s="2">
        <f t="shared" si="34"/>
        <v>0.24866197730137224</v>
      </c>
    </row>
    <row r="426" spans="1:15" x14ac:dyDescent="0.25">
      <c r="A426" s="6">
        <v>42233</v>
      </c>
      <c r="B426" s="3">
        <v>1970.8900149999999</v>
      </c>
      <c r="C426" s="2">
        <f t="shared" si="33"/>
        <v>0.3878483197611749</v>
      </c>
      <c r="D426" s="4">
        <v>42254</v>
      </c>
      <c r="E426" s="3">
        <v>18264.220702999999</v>
      </c>
      <c r="F426" s="2">
        <f t="shared" si="30"/>
        <v>6.4214404779191533E-2</v>
      </c>
      <c r="G426" s="4">
        <v>42233</v>
      </c>
      <c r="H426" s="3">
        <v>10271.700194999999</v>
      </c>
      <c r="I426" s="2">
        <f t="shared" si="31"/>
        <v>-0.2876918372470576</v>
      </c>
      <c r="J426" s="4">
        <v>42233</v>
      </c>
      <c r="K426" s="3">
        <v>2.0539999999999998</v>
      </c>
      <c r="L426" s="2">
        <f t="shared" si="32"/>
        <v>-0.53489361702127658</v>
      </c>
      <c r="M426" s="4">
        <v>42233</v>
      </c>
      <c r="N426" s="3">
        <v>16459.75</v>
      </c>
      <c r="O426" s="2">
        <f t="shared" si="34"/>
        <v>0.26256434530655737</v>
      </c>
    </row>
    <row r="427" spans="1:15" x14ac:dyDescent="0.25">
      <c r="A427" s="6">
        <v>42240</v>
      </c>
      <c r="B427" s="3">
        <v>1988.869995</v>
      </c>
      <c r="C427" s="2">
        <f t="shared" si="33"/>
        <v>0.3406416283352714</v>
      </c>
      <c r="D427" s="4">
        <v>42261</v>
      </c>
      <c r="E427" s="3">
        <v>18070.210938</v>
      </c>
      <c r="F427" s="2">
        <f t="shared" si="30"/>
        <v>5.3042276211430595E-2</v>
      </c>
      <c r="G427" s="4">
        <v>42240</v>
      </c>
      <c r="H427" s="3">
        <v>10352.900390999999</v>
      </c>
      <c r="I427" s="2">
        <f t="shared" si="31"/>
        <v>-0.32423302554821626</v>
      </c>
      <c r="J427" s="4">
        <v>42240</v>
      </c>
      <c r="K427" s="3">
        <v>2.1859999999999999</v>
      </c>
      <c r="L427" s="2">
        <f t="shared" si="32"/>
        <v>-0.54723404255319152</v>
      </c>
      <c r="M427" s="4">
        <v>42240</v>
      </c>
      <c r="N427" s="3">
        <v>16643.009765999999</v>
      </c>
      <c r="O427" s="2">
        <f t="shared" si="34"/>
        <v>0.22155132999982494</v>
      </c>
    </row>
    <row r="428" spans="1:15" x14ac:dyDescent="0.25">
      <c r="A428" s="6">
        <v>42247</v>
      </c>
      <c r="B428" s="3">
        <v>1921.219971</v>
      </c>
      <c r="C428" s="2">
        <f t="shared" si="33"/>
        <v>0.36843535390166093</v>
      </c>
      <c r="D428" s="4">
        <v>42271</v>
      </c>
      <c r="E428" s="3">
        <v>17880.509765999999</v>
      </c>
      <c r="F428" s="2">
        <f t="shared" si="30"/>
        <v>4.389149918975703E-2</v>
      </c>
      <c r="G428" s="4">
        <v>42247</v>
      </c>
      <c r="H428" s="3">
        <v>9821.7998050000006</v>
      </c>
      <c r="I428" s="2">
        <f t="shared" si="31"/>
        <v>-0.33000553713292563</v>
      </c>
      <c r="J428" s="4">
        <v>42247</v>
      </c>
      <c r="K428" s="3">
        <v>2.1280000000000001</v>
      </c>
      <c r="L428" s="2">
        <f t="shared" si="32"/>
        <v>-0.53553191489361707</v>
      </c>
      <c r="M428" s="4">
        <v>42247</v>
      </c>
      <c r="N428" s="3">
        <v>16102.379883</v>
      </c>
      <c r="O428" s="2">
        <f t="shared" si="34"/>
        <v>0.24663949681982633</v>
      </c>
    </row>
    <row r="429" spans="1:15" x14ac:dyDescent="0.25">
      <c r="A429" s="6">
        <v>42255</v>
      </c>
      <c r="B429" s="3">
        <v>1961.0500489999999</v>
      </c>
      <c r="C429" s="2">
        <f t="shared" si="33"/>
        <v>0.36632796141588658</v>
      </c>
      <c r="D429" s="4">
        <v>42275</v>
      </c>
      <c r="E429" s="3">
        <v>17725.130859000001</v>
      </c>
      <c r="F429" s="2">
        <f t="shared" si="30"/>
        <v>8.591417130037339E-2</v>
      </c>
      <c r="G429" s="4">
        <v>42254</v>
      </c>
      <c r="H429" s="3">
        <v>9737.9003909999992</v>
      </c>
      <c r="I429" s="2">
        <f t="shared" si="31"/>
        <v>-0.32248540850847002</v>
      </c>
      <c r="J429" s="4">
        <v>42255</v>
      </c>
      <c r="K429" s="3">
        <v>2.1829999999999998</v>
      </c>
      <c r="L429" s="2">
        <f t="shared" si="32"/>
        <v>-0.54680851063829794</v>
      </c>
      <c r="M429" s="4">
        <v>42255</v>
      </c>
      <c r="N429" s="3">
        <v>16433.089843999998</v>
      </c>
      <c r="O429" s="2">
        <f t="shared" si="34"/>
        <v>0.2429594712828658</v>
      </c>
    </row>
    <row r="430" spans="1:15" x14ac:dyDescent="0.25">
      <c r="A430" s="6">
        <v>42261</v>
      </c>
      <c r="B430" s="3">
        <v>1958.030029</v>
      </c>
      <c r="C430" s="2">
        <f t="shared" si="33"/>
        <v>0.34770343634285888</v>
      </c>
      <c r="D430" s="4">
        <v>42282</v>
      </c>
      <c r="E430" s="3">
        <v>18438.669922000001</v>
      </c>
      <c r="F430" s="2">
        <f t="shared" si="30"/>
        <v>7.7264562504658657E-2</v>
      </c>
      <c r="G430" s="4">
        <v>42261</v>
      </c>
      <c r="H430" s="3">
        <v>9847.2001949999994</v>
      </c>
      <c r="I430" s="2">
        <f t="shared" si="31"/>
        <v>-0.3450320877015926</v>
      </c>
      <c r="J430" s="4">
        <v>42261</v>
      </c>
      <c r="K430" s="3">
        <v>2.13</v>
      </c>
      <c r="L430" s="2">
        <f t="shared" si="32"/>
        <v>-0.53872340425531917</v>
      </c>
      <c r="M430" s="4">
        <v>42261</v>
      </c>
      <c r="N430" s="3">
        <v>16384.580077999999</v>
      </c>
      <c r="O430" s="2">
        <f t="shared" si="34"/>
        <v>0.2376559792113333</v>
      </c>
    </row>
    <row r="431" spans="1:15" x14ac:dyDescent="0.25">
      <c r="A431" s="6">
        <v>42268</v>
      </c>
      <c r="B431" s="3">
        <v>1931.339966</v>
      </c>
      <c r="C431" s="2">
        <f t="shared" si="33"/>
        <v>0.36167355495321929</v>
      </c>
      <c r="D431" s="4">
        <v>42290</v>
      </c>
      <c r="E431" s="3">
        <v>18291.800781000002</v>
      </c>
      <c r="F431" s="2">
        <f t="shared" si="30"/>
        <v>0.10868413955872362</v>
      </c>
      <c r="G431" s="4">
        <v>42268</v>
      </c>
      <c r="H431" s="3">
        <v>9519.5</v>
      </c>
      <c r="I431" s="2">
        <f t="shared" si="31"/>
        <v>-0.33924580214753591</v>
      </c>
      <c r="J431" s="4">
        <v>42268</v>
      </c>
      <c r="K431" s="3">
        <v>2.1680000000000001</v>
      </c>
      <c r="L431" s="2">
        <f t="shared" si="32"/>
        <v>-0.57680851063829797</v>
      </c>
      <c r="M431" s="4">
        <v>42268</v>
      </c>
      <c r="N431" s="3">
        <v>16314.669921999999</v>
      </c>
      <c r="O431" s="2">
        <f t="shared" si="34"/>
        <v>0.24961928476672887</v>
      </c>
    </row>
    <row r="432" spans="1:15" x14ac:dyDescent="0.25">
      <c r="A432" s="6">
        <v>42275</v>
      </c>
      <c r="B432" s="3">
        <v>1951.3599850000001</v>
      </c>
      <c r="C432" s="2">
        <f t="shared" si="33"/>
        <v>0.40600528383018736</v>
      </c>
      <c r="D432" s="4">
        <v>42296</v>
      </c>
      <c r="E432" s="3">
        <v>18825.300781000002</v>
      </c>
      <c r="F432" s="2">
        <f t="shared" si="30"/>
        <v>0.12386676400257295</v>
      </c>
      <c r="G432" s="4">
        <v>42275</v>
      </c>
      <c r="H432" s="3">
        <v>9603.5996090000008</v>
      </c>
      <c r="I432" s="2">
        <f t="shared" si="31"/>
        <v>-0.29067105073384025</v>
      </c>
      <c r="J432" s="4">
        <v>42275</v>
      </c>
      <c r="K432" s="3">
        <v>1.9890000000000001</v>
      </c>
      <c r="L432" s="2">
        <f t="shared" si="32"/>
        <v>-0.55340425531914894</v>
      </c>
      <c r="M432" s="4">
        <v>42275</v>
      </c>
      <c r="N432" s="3">
        <v>16472.369140999999</v>
      </c>
      <c r="O432" s="2">
        <f t="shared" si="34"/>
        <v>0.29605573333570828</v>
      </c>
    </row>
    <row r="433" spans="1:15" x14ac:dyDescent="0.25">
      <c r="A433" s="6">
        <v>42282</v>
      </c>
      <c r="B433" s="3">
        <v>2014.8900149999999</v>
      </c>
      <c r="C433" s="2">
        <f t="shared" si="33"/>
        <v>0.41871931481972885</v>
      </c>
      <c r="D433" s="4">
        <v>42303</v>
      </c>
      <c r="E433" s="3">
        <v>19083.099609000001</v>
      </c>
      <c r="F433" s="2">
        <f t="shared" si="30"/>
        <v>0.13461479176708441</v>
      </c>
      <c r="G433" s="4">
        <v>42282</v>
      </c>
      <c r="H433" s="3">
        <v>10309.599609000001</v>
      </c>
      <c r="I433" s="2">
        <f t="shared" si="31"/>
        <v>-0.29604451970364459</v>
      </c>
      <c r="J433" s="4">
        <v>42282</v>
      </c>
      <c r="K433" s="3">
        <v>2.0990000000000002</v>
      </c>
      <c r="L433" s="2">
        <f t="shared" si="32"/>
        <v>-0.56957446808510637</v>
      </c>
      <c r="M433" s="4">
        <v>42282</v>
      </c>
      <c r="N433" s="3">
        <v>17084.490234000001</v>
      </c>
      <c r="O433" s="2">
        <f t="shared" si="34"/>
        <v>0.30603004414832996</v>
      </c>
    </row>
    <row r="434" spans="1:15" x14ac:dyDescent="0.25">
      <c r="A434" s="6">
        <v>42289</v>
      </c>
      <c r="B434" s="3">
        <v>2033.1099850000001</v>
      </c>
      <c r="C434" s="2">
        <f t="shared" si="33"/>
        <v>0.44805508252602849</v>
      </c>
      <c r="D434" s="4">
        <v>42310</v>
      </c>
      <c r="E434" s="3">
        <v>19265.599609000001</v>
      </c>
      <c r="F434" s="2">
        <f t="shared" si="30"/>
        <v>0.15412676413876378</v>
      </c>
      <c r="G434" s="4">
        <v>42289</v>
      </c>
      <c r="H434" s="3">
        <v>10231.5</v>
      </c>
      <c r="I434" s="2">
        <f t="shared" si="31"/>
        <v>-0.27920161648268682</v>
      </c>
      <c r="J434" s="4">
        <v>42289</v>
      </c>
      <c r="K434" s="3">
        <v>2.0230000000000001</v>
      </c>
      <c r="L434" s="2">
        <f t="shared" si="32"/>
        <v>-0.55680851063829784</v>
      </c>
      <c r="M434" s="4">
        <v>42289</v>
      </c>
      <c r="N434" s="3">
        <v>17215.970702999999</v>
      </c>
      <c r="O434" s="2">
        <f t="shared" si="34"/>
        <v>0.33870577254448692</v>
      </c>
    </row>
    <row r="435" spans="1:15" x14ac:dyDescent="0.25">
      <c r="A435" s="6">
        <v>42296</v>
      </c>
      <c r="B435" s="3">
        <v>2075.1499020000001</v>
      </c>
      <c r="C435" s="2">
        <f t="shared" si="33"/>
        <v>0.45099299498375045</v>
      </c>
      <c r="D435" s="4">
        <v>42317</v>
      </c>
      <c r="E435" s="3">
        <v>19596.910156000002</v>
      </c>
      <c r="F435" s="2">
        <f t="shared" si="30"/>
        <v>0.17078770253360834</v>
      </c>
      <c r="G435" s="4">
        <v>42296</v>
      </c>
      <c r="H435" s="3">
        <v>10476.299805000001</v>
      </c>
      <c r="I435" s="2">
        <f t="shared" si="31"/>
        <v>-0.28715518917287125</v>
      </c>
      <c r="J435" s="4">
        <v>42296</v>
      </c>
      <c r="K435" s="3">
        <v>2.0830000000000002</v>
      </c>
      <c r="L435" s="2">
        <f t="shared" si="32"/>
        <v>-0.54234042553191497</v>
      </c>
      <c r="M435" s="4">
        <v>42296</v>
      </c>
      <c r="N435" s="3">
        <v>17646.699218999998</v>
      </c>
      <c r="O435" s="2">
        <f t="shared" si="34"/>
        <v>0.33998326896197972</v>
      </c>
    </row>
    <row r="436" spans="1:15" x14ac:dyDescent="0.25">
      <c r="A436" s="6">
        <v>42303</v>
      </c>
      <c r="B436" s="3">
        <v>2079.360107</v>
      </c>
      <c r="C436" s="2">
        <f t="shared" si="33"/>
        <v>0.46483738613497999</v>
      </c>
      <c r="D436" s="4">
        <v>42324</v>
      </c>
      <c r="E436" s="3">
        <v>19879.810547000001</v>
      </c>
      <c r="F436" s="2">
        <f t="shared" si="30"/>
        <v>0.17103086744497842</v>
      </c>
      <c r="G436" s="4">
        <v>42303</v>
      </c>
      <c r="H436" s="3">
        <v>10360.700194999999</v>
      </c>
      <c r="I436" s="2">
        <f t="shared" si="31"/>
        <v>-0.28079093349898054</v>
      </c>
      <c r="J436" s="4">
        <v>42303</v>
      </c>
      <c r="K436" s="3">
        <v>2.1509999999999998</v>
      </c>
      <c r="L436" s="2">
        <f t="shared" si="32"/>
        <v>-0.50361702127659569</v>
      </c>
      <c r="M436" s="4">
        <v>42303</v>
      </c>
      <c r="N436" s="3">
        <v>17663.539062</v>
      </c>
      <c r="O436" s="2">
        <f t="shared" si="34"/>
        <v>0.35870521540823641</v>
      </c>
    </row>
    <row r="437" spans="1:15" x14ac:dyDescent="0.25">
      <c r="A437" s="6">
        <v>42310</v>
      </c>
      <c r="B437" s="3">
        <v>2099.1999510000001</v>
      </c>
      <c r="C437" s="2">
        <f t="shared" si="33"/>
        <v>0.41169243137771389</v>
      </c>
      <c r="D437" s="4">
        <v>42332</v>
      </c>
      <c r="E437" s="3">
        <v>19883.939452999999</v>
      </c>
      <c r="F437" s="2">
        <f t="shared" si="30"/>
        <v>0.14868327459278491</v>
      </c>
      <c r="G437" s="4">
        <v>42310</v>
      </c>
      <c r="H437" s="3">
        <v>10453.200194999999</v>
      </c>
      <c r="I437" s="2">
        <f t="shared" si="31"/>
        <v>-0.30430770476321556</v>
      </c>
      <c r="J437" s="4">
        <v>42310</v>
      </c>
      <c r="K437" s="3">
        <v>2.3330000000000002</v>
      </c>
      <c r="L437" s="2">
        <f t="shared" si="32"/>
        <v>-0.51489361702127667</v>
      </c>
      <c r="M437" s="4">
        <v>42310</v>
      </c>
      <c r="N437" s="3">
        <v>17910.330077999999</v>
      </c>
      <c r="O437" s="2">
        <f t="shared" si="34"/>
        <v>0.30825047583490761</v>
      </c>
    </row>
    <row r="438" spans="1:15" x14ac:dyDescent="0.25">
      <c r="A438" s="6">
        <v>42317</v>
      </c>
      <c r="B438" s="3">
        <v>2023.040039</v>
      </c>
      <c r="C438" s="2">
        <f t="shared" si="33"/>
        <v>0.45783835707335152</v>
      </c>
      <c r="D438" s="4">
        <v>42338</v>
      </c>
      <c r="E438" s="3">
        <v>19504.480468999998</v>
      </c>
      <c r="F438" s="2">
        <f t="shared" si="30"/>
        <v>0.13254650962031295</v>
      </c>
      <c r="G438" s="4">
        <v>42317</v>
      </c>
      <c r="H438" s="3">
        <v>10111.400390999999</v>
      </c>
      <c r="I438" s="2">
        <f t="shared" si="31"/>
        <v>-0.29199893059451032</v>
      </c>
      <c r="J438" s="4">
        <v>42317</v>
      </c>
      <c r="K438" s="3">
        <v>2.2799999999999998</v>
      </c>
      <c r="L438" s="2">
        <f t="shared" si="32"/>
        <v>-0.51872340425531915</v>
      </c>
      <c r="M438" s="4">
        <v>42317</v>
      </c>
      <c r="N438" s="3">
        <v>17245.240234000001</v>
      </c>
      <c r="O438" s="2">
        <f t="shared" si="34"/>
        <v>0.3521417105765321</v>
      </c>
    </row>
    <row r="439" spans="1:15" x14ac:dyDescent="0.25">
      <c r="A439" s="6">
        <v>42324</v>
      </c>
      <c r="B439" s="3">
        <v>2089.169922</v>
      </c>
      <c r="C439" s="2">
        <f t="shared" si="33"/>
        <v>0.4584944251802639</v>
      </c>
      <c r="D439" s="4">
        <v>42345</v>
      </c>
      <c r="E439" s="3">
        <v>19230.480468999998</v>
      </c>
      <c r="F439" s="2">
        <f t="shared" si="30"/>
        <v>0.11819540796403102</v>
      </c>
      <c r="G439" s="4">
        <v>42324</v>
      </c>
      <c r="H439" s="3">
        <v>10290.299805000001</v>
      </c>
      <c r="I439" s="2">
        <f t="shared" si="31"/>
        <v>-0.29059532737497434</v>
      </c>
      <c r="J439" s="4">
        <v>42324</v>
      </c>
      <c r="K439" s="3">
        <v>2.262</v>
      </c>
      <c r="L439" s="2">
        <f t="shared" si="32"/>
        <v>-0.52659574468085102</v>
      </c>
      <c r="M439" s="4">
        <v>42324</v>
      </c>
      <c r="N439" s="3">
        <v>17823.810547000001</v>
      </c>
      <c r="O439" s="2">
        <f t="shared" si="34"/>
        <v>0.35135123925054917</v>
      </c>
    </row>
    <row r="440" spans="1:15" x14ac:dyDescent="0.25">
      <c r="A440" s="6">
        <v>42331</v>
      </c>
      <c r="B440" s="3">
        <v>2090.110107</v>
      </c>
      <c r="C440" s="2">
        <f t="shared" si="33"/>
        <v>0.45959684513124804</v>
      </c>
      <c r="D440" s="4">
        <v>42352</v>
      </c>
      <c r="E440" s="3">
        <v>18986.800781000002</v>
      </c>
      <c r="F440" s="2">
        <f t="shared" si="30"/>
        <v>0.10537196642713662</v>
      </c>
      <c r="G440" s="4">
        <v>42331</v>
      </c>
      <c r="H440" s="3">
        <v>10310.700194999999</v>
      </c>
      <c r="I440" s="2">
        <f t="shared" si="31"/>
        <v>-0.3065575686327327</v>
      </c>
      <c r="J440" s="4">
        <v>42331</v>
      </c>
      <c r="K440" s="3">
        <v>2.2250000000000001</v>
      </c>
      <c r="L440" s="2">
        <f t="shared" si="32"/>
        <v>-0.51595744680851063</v>
      </c>
      <c r="M440" s="4">
        <v>42331</v>
      </c>
      <c r="N440" s="3">
        <v>17813.390625</v>
      </c>
      <c r="O440" s="2">
        <f t="shared" si="34"/>
        <v>0.35394875611986387</v>
      </c>
    </row>
    <row r="441" spans="1:15" x14ac:dyDescent="0.25">
      <c r="A441" s="6">
        <v>42338</v>
      </c>
      <c r="B441" s="3">
        <v>2091.6899410000001</v>
      </c>
      <c r="C441" s="2">
        <f t="shared" si="33"/>
        <v>0.40424679507448341</v>
      </c>
      <c r="D441" s="4">
        <v>42359</v>
      </c>
      <c r="E441" s="3">
        <v>18769.060547000001</v>
      </c>
      <c r="F441" s="2">
        <f t="shared" si="30"/>
        <v>0.12095810204553005</v>
      </c>
      <c r="G441" s="4">
        <v>42338</v>
      </c>
      <c r="H441" s="3">
        <v>10078.700194999999</v>
      </c>
      <c r="I441" s="2">
        <f t="shared" si="31"/>
        <v>-0.33738120692357637</v>
      </c>
      <c r="J441" s="4">
        <v>42338</v>
      </c>
      <c r="K441" s="3">
        <v>2.2749999999999999</v>
      </c>
      <c r="L441" s="2">
        <f t="shared" si="32"/>
        <v>-0.5448936170212767</v>
      </c>
      <c r="M441" s="4">
        <v>42338</v>
      </c>
      <c r="N441" s="3">
        <v>17847.630859000001</v>
      </c>
      <c r="O441" s="2">
        <f t="shared" si="34"/>
        <v>0.3097654841882993</v>
      </c>
    </row>
    <row r="442" spans="1:15" x14ac:dyDescent="0.25">
      <c r="A442" s="6">
        <v>42345</v>
      </c>
      <c r="B442" s="3">
        <v>2012.369995</v>
      </c>
      <c r="C442" s="2">
        <f t="shared" si="33"/>
        <v>0.39948778587792605</v>
      </c>
      <c r="D442" s="4">
        <v>42366</v>
      </c>
      <c r="E442" s="3">
        <v>19033.710938</v>
      </c>
      <c r="F442" s="2">
        <f t="shared" si="30"/>
        <v>4.2291372804729145E-2</v>
      </c>
      <c r="G442" s="4">
        <v>42345</v>
      </c>
      <c r="H442" s="3">
        <v>9630.7001949999994</v>
      </c>
      <c r="I442" s="2">
        <f t="shared" si="31"/>
        <v>-0.33143668842876189</v>
      </c>
      <c r="J442" s="4">
        <v>42345</v>
      </c>
      <c r="K442" s="3">
        <v>2.1389999999999998</v>
      </c>
      <c r="L442" s="2">
        <f t="shared" si="32"/>
        <v>-0.53212765957446817</v>
      </c>
      <c r="M442" s="4">
        <v>42345</v>
      </c>
      <c r="N442" s="3">
        <v>17265.210938</v>
      </c>
      <c r="O442" s="2">
        <f t="shared" si="34"/>
        <v>0.29939823426907614</v>
      </c>
    </row>
    <row r="443" spans="1:15" x14ac:dyDescent="0.25">
      <c r="A443" s="6">
        <v>42352</v>
      </c>
      <c r="B443" s="3">
        <v>2005.5500489999999</v>
      </c>
      <c r="C443" s="2">
        <f t="shared" si="33"/>
        <v>0.43817419029749133</v>
      </c>
      <c r="D443" s="4">
        <v>42373</v>
      </c>
      <c r="E443" s="3">
        <v>17697.960938</v>
      </c>
      <c r="F443" s="2">
        <f t="shared" si="30"/>
        <v>9.8499048965180261E-3</v>
      </c>
      <c r="G443" s="4">
        <v>42352</v>
      </c>
      <c r="H443" s="3">
        <v>9717.0996090000008</v>
      </c>
      <c r="I443" s="2">
        <f t="shared" si="31"/>
        <v>-0.33378968915523904</v>
      </c>
      <c r="J443" s="4">
        <v>42352</v>
      </c>
      <c r="K443" s="3">
        <v>2.1989999999999998</v>
      </c>
      <c r="L443" s="2">
        <f t="shared" si="32"/>
        <v>-0.52276595744680854</v>
      </c>
      <c r="M443" s="4">
        <v>42352</v>
      </c>
      <c r="N443" s="3">
        <v>17128.550781000002</v>
      </c>
      <c r="O443" s="2">
        <f t="shared" si="34"/>
        <v>0.33153463453176346</v>
      </c>
    </row>
    <row r="444" spans="1:15" x14ac:dyDescent="0.25">
      <c r="A444" s="6">
        <v>42359</v>
      </c>
      <c r="B444" s="3">
        <v>2060.98999</v>
      </c>
      <c r="C444" s="2">
        <f t="shared" si="33"/>
        <v>0.42627653890952538</v>
      </c>
      <c r="D444" s="4">
        <v>42381</v>
      </c>
      <c r="E444" s="3">
        <v>17147.109375</v>
      </c>
      <c r="F444" s="2">
        <f t="shared" si="30"/>
        <v>-1.2561987428119704E-3</v>
      </c>
      <c r="G444" s="4">
        <v>42359</v>
      </c>
      <c r="H444" s="3">
        <v>9682.9003909999992</v>
      </c>
      <c r="I444" s="2">
        <f t="shared" si="31"/>
        <v>-0.34333264601321473</v>
      </c>
      <c r="J444" s="4">
        <v>42359</v>
      </c>
      <c r="K444" s="3">
        <v>2.2429999999999999</v>
      </c>
      <c r="L444" s="2">
        <f t="shared" si="32"/>
        <v>-0.5172340425531915</v>
      </c>
      <c r="M444" s="4">
        <v>42359</v>
      </c>
      <c r="N444" s="3">
        <v>17552.169922000001</v>
      </c>
      <c r="O444" s="2">
        <f t="shared" si="34"/>
        <v>0.32188955096683491</v>
      </c>
    </row>
    <row r="445" spans="1:15" x14ac:dyDescent="0.25">
      <c r="A445" s="6">
        <v>42366</v>
      </c>
      <c r="B445" s="3">
        <v>2043.9399410000001</v>
      </c>
      <c r="C445" s="2">
        <f t="shared" si="33"/>
        <v>0.34120689285081812</v>
      </c>
      <c r="D445" s="4">
        <v>42387</v>
      </c>
      <c r="E445" s="3">
        <v>16958.529297000001</v>
      </c>
      <c r="F445" s="2">
        <f t="shared" si="30"/>
        <v>3.1710592773975886E-2</v>
      </c>
      <c r="G445" s="4">
        <v>42366</v>
      </c>
      <c r="H445" s="3">
        <v>9544.2001949999994</v>
      </c>
      <c r="I445" s="2">
        <f t="shared" si="31"/>
        <v>-0.38702240117992398</v>
      </c>
      <c r="J445" s="4">
        <v>42366</v>
      </c>
      <c r="K445" s="3">
        <v>2.2690000000000001</v>
      </c>
      <c r="L445" s="2">
        <f t="shared" si="32"/>
        <v>-0.54680851063829794</v>
      </c>
      <c r="M445" s="4">
        <v>42366</v>
      </c>
      <c r="N445" s="3">
        <v>17425.029297000001</v>
      </c>
      <c r="O445" s="2">
        <f t="shared" si="34"/>
        <v>0.24006687965170195</v>
      </c>
    </row>
    <row r="446" spans="1:15" x14ac:dyDescent="0.25">
      <c r="A446" s="6">
        <v>42373</v>
      </c>
      <c r="B446" s="3">
        <v>1922.030029</v>
      </c>
      <c r="C446" s="2">
        <f t="shared" si="33"/>
        <v>0.31210827082300263</v>
      </c>
      <c r="D446" s="4">
        <v>42394</v>
      </c>
      <c r="E446" s="3">
        <v>17518.300781000002</v>
      </c>
      <c r="F446" s="2">
        <f t="shared" si="30"/>
        <v>-9.4388020218808041E-3</v>
      </c>
      <c r="G446" s="4">
        <v>42373</v>
      </c>
      <c r="H446" s="3">
        <v>8909.2001949999994</v>
      </c>
      <c r="I446" s="2">
        <f t="shared" si="31"/>
        <v>-0.41217673203212141</v>
      </c>
      <c r="J446" s="4">
        <v>42373</v>
      </c>
      <c r="K446" s="3">
        <v>2.13</v>
      </c>
      <c r="L446" s="2">
        <f t="shared" si="32"/>
        <v>-0.56744680851063833</v>
      </c>
      <c r="M446" s="4">
        <v>42373</v>
      </c>
      <c r="N446" s="3">
        <v>16346.450194999999</v>
      </c>
      <c r="O446" s="2">
        <f t="shared" si="34"/>
        <v>0.2128803708105019</v>
      </c>
    </row>
    <row r="447" spans="1:15" x14ac:dyDescent="0.25">
      <c r="A447" s="6">
        <v>42380</v>
      </c>
      <c r="B447" s="3">
        <v>1880.329956</v>
      </c>
      <c r="C447" s="2">
        <f t="shared" si="33"/>
        <v>0.33064906248985071</v>
      </c>
      <c r="D447" s="4">
        <v>42401</v>
      </c>
      <c r="E447" s="3">
        <v>16819.589843999998</v>
      </c>
      <c r="F447" s="2">
        <f t="shared" si="30"/>
        <v>-0.1193913906015491</v>
      </c>
      <c r="G447" s="4">
        <v>42380</v>
      </c>
      <c r="H447" s="3">
        <v>8543.5996090000008</v>
      </c>
      <c r="I447" s="2">
        <f t="shared" si="31"/>
        <v>-0.39984034263561835</v>
      </c>
      <c r="J447" s="4">
        <v>42380</v>
      </c>
      <c r="K447" s="3">
        <v>2.0329999999999999</v>
      </c>
      <c r="L447" s="2">
        <f t="shared" si="32"/>
        <v>-0.56425531914893623</v>
      </c>
      <c r="M447" s="4">
        <v>42380</v>
      </c>
      <c r="N447" s="3">
        <v>15988.080078000001</v>
      </c>
      <c r="O447" s="2">
        <f t="shared" si="34"/>
        <v>0.22087842926730378</v>
      </c>
    </row>
    <row r="448" spans="1:15" x14ac:dyDescent="0.25">
      <c r="A448" s="6">
        <v>42388</v>
      </c>
      <c r="B448" s="3">
        <v>1906.900024</v>
      </c>
      <c r="C448" s="2">
        <f t="shared" si="33"/>
        <v>0.35391393948549099</v>
      </c>
      <c r="D448" s="4">
        <v>42408</v>
      </c>
      <c r="E448" s="3">
        <v>14952.610352</v>
      </c>
      <c r="F448" s="2">
        <f t="shared" si="30"/>
        <v>-5.9640626617380385E-2</v>
      </c>
      <c r="G448" s="4">
        <v>42387</v>
      </c>
      <c r="H448" s="3">
        <v>8722.9003909999992</v>
      </c>
      <c r="I448" s="2">
        <f t="shared" si="31"/>
        <v>-0.39344860617453048</v>
      </c>
      <c r="J448" s="4">
        <v>42388</v>
      </c>
      <c r="K448" s="3">
        <v>2.048</v>
      </c>
      <c r="L448" s="2">
        <f t="shared" si="32"/>
        <v>-0.5891489361702128</v>
      </c>
      <c r="M448" s="4">
        <v>42388</v>
      </c>
      <c r="N448" s="3">
        <v>16093.509765999999</v>
      </c>
      <c r="O448" s="2">
        <f t="shared" si="34"/>
        <v>0.24915892963396116</v>
      </c>
    </row>
    <row r="449" spans="1:15" x14ac:dyDescent="0.25">
      <c r="A449" s="6">
        <v>42394</v>
      </c>
      <c r="B449" s="3">
        <v>1940.23999</v>
      </c>
      <c r="C449" s="2">
        <f t="shared" si="33"/>
        <v>0.31191294963025695</v>
      </c>
      <c r="D449" s="4">
        <v>42415</v>
      </c>
      <c r="E449" s="3">
        <v>15967.169921999999</v>
      </c>
      <c r="F449" s="2">
        <f t="shared" si="30"/>
        <v>-4.6611058520618642E-2</v>
      </c>
      <c r="G449" s="4">
        <v>42394</v>
      </c>
      <c r="H449" s="3">
        <v>8815.7998050000006</v>
      </c>
      <c r="I449" s="2">
        <f t="shared" si="31"/>
        <v>-0.41521090702449565</v>
      </c>
      <c r="J449" s="4">
        <v>42394</v>
      </c>
      <c r="K449" s="3">
        <v>1.931</v>
      </c>
      <c r="L449" s="2">
        <f t="shared" si="32"/>
        <v>-0.60680851063829788</v>
      </c>
      <c r="M449" s="4">
        <v>42394</v>
      </c>
      <c r="N449" s="3">
        <v>16466.300781000002</v>
      </c>
      <c r="O449" s="2">
        <f t="shared" si="34"/>
        <v>0.22933395351841296</v>
      </c>
    </row>
    <row r="450" spans="1:15" x14ac:dyDescent="0.25">
      <c r="A450" s="6">
        <v>42401</v>
      </c>
      <c r="B450" s="3">
        <v>1880.0500489999999</v>
      </c>
      <c r="C450" s="2">
        <f t="shared" si="33"/>
        <v>0.30125741575775794</v>
      </c>
      <c r="D450" s="4">
        <v>42422</v>
      </c>
      <c r="E450" s="3">
        <v>16188.410156</v>
      </c>
      <c r="F450" s="2">
        <f t="shared" si="30"/>
        <v>2.0565495407703252E-3</v>
      </c>
      <c r="G450" s="4">
        <v>42401</v>
      </c>
      <c r="H450" s="3">
        <v>8499.5</v>
      </c>
      <c r="I450" s="2">
        <f t="shared" si="31"/>
        <v>-0.45502707999217584</v>
      </c>
      <c r="J450" s="4">
        <v>42401</v>
      </c>
      <c r="K450" s="3">
        <v>1.8480000000000001</v>
      </c>
      <c r="L450" s="2">
        <f t="shared" si="32"/>
        <v>-0.62808510638297865</v>
      </c>
      <c r="M450" s="4">
        <v>42401</v>
      </c>
      <c r="N450" s="3">
        <v>16204.969727</v>
      </c>
      <c r="O450" s="2">
        <f t="shared" si="34"/>
        <v>0.21180008473424466</v>
      </c>
    </row>
    <row r="451" spans="1:15" x14ac:dyDescent="0.25">
      <c r="A451" s="6">
        <v>42408</v>
      </c>
      <c r="B451" s="3">
        <v>1864.780029</v>
      </c>
      <c r="C451" s="2">
        <f t="shared" si="33"/>
        <v>0.33824121114521977</v>
      </c>
      <c r="D451" s="4">
        <v>42429</v>
      </c>
      <c r="E451" s="3">
        <v>17014.779297000001</v>
      </c>
      <c r="F451" s="2">
        <f t="shared" si="30"/>
        <v>-2.4140502635935867E-3</v>
      </c>
      <c r="G451" s="4">
        <v>42408</v>
      </c>
      <c r="H451" s="3">
        <v>7920.7998049999997</v>
      </c>
      <c r="I451" s="2">
        <f t="shared" si="31"/>
        <v>-0.4362163774699982</v>
      </c>
      <c r="J451" s="4">
        <v>42408</v>
      </c>
      <c r="K451" s="3">
        <v>1.748</v>
      </c>
      <c r="L451" s="2">
        <f t="shared" si="32"/>
        <v>-0.62808510638297865</v>
      </c>
      <c r="M451" s="4">
        <v>42408</v>
      </c>
      <c r="N451" s="3">
        <v>15973.839844</v>
      </c>
      <c r="O451" s="2">
        <f t="shared" si="34"/>
        <v>0.24352161712609391</v>
      </c>
    </row>
    <row r="452" spans="1:15" x14ac:dyDescent="0.25">
      <c r="A452" s="6">
        <v>42416</v>
      </c>
      <c r="B452" s="3">
        <v>1917.780029</v>
      </c>
      <c r="C452" s="2">
        <f t="shared" si="33"/>
        <v>0.35936385691983064</v>
      </c>
      <c r="D452" s="4">
        <v>42436</v>
      </c>
      <c r="E452" s="3">
        <v>16938.869140999999</v>
      </c>
      <c r="F452" s="2">
        <f t="shared" si="30"/>
        <v>-1.5020667861096409E-2</v>
      </c>
      <c r="G452" s="4">
        <v>42415</v>
      </c>
      <c r="H452" s="3">
        <v>8194.2001949999994</v>
      </c>
      <c r="I452" s="2">
        <f t="shared" si="31"/>
        <v>-0.42555194904347859</v>
      </c>
      <c r="J452" s="4">
        <v>42416</v>
      </c>
      <c r="K452" s="3">
        <v>1.748</v>
      </c>
      <c r="L452" s="2">
        <f t="shared" si="32"/>
        <v>-0.62510638297872345</v>
      </c>
      <c r="M452" s="4">
        <v>42416</v>
      </c>
      <c r="N452" s="3">
        <v>16391.990234000001</v>
      </c>
      <c r="O452" s="2">
        <f t="shared" si="34"/>
        <v>0.26233379730827527</v>
      </c>
    </row>
    <row r="453" spans="1:15" x14ac:dyDescent="0.25">
      <c r="A453" s="6">
        <v>42422</v>
      </c>
      <c r="B453" s="3">
        <v>1948.0500489999999</v>
      </c>
      <c r="C453" s="2">
        <f t="shared" si="33"/>
        <v>0.3956079352289032</v>
      </c>
      <c r="D453" s="4">
        <v>42443</v>
      </c>
      <c r="E453" s="3">
        <v>16724.810547000001</v>
      </c>
      <c r="F453" s="2">
        <f t="shared" si="30"/>
        <v>1.3481045098466841E-3</v>
      </c>
      <c r="G453" s="4">
        <v>42422</v>
      </c>
      <c r="H453" s="3">
        <v>8349.2001949999994</v>
      </c>
      <c r="I453" s="2">
        <f t="shared" si="31"/>
        <v>-0.39373759126884883</v>
      </c>
      <c r="J453" s="4">
        <v>42422</v>
      </c>
      <c r="K453" s="3">
        <v>1.762</v>
      </c>
      <c r="L453" s="2">
        <f t="shared" si="32"/>
        <v>-0.5993617021276596</v>
      </c>
      <c r="M453" s="4">
        <v>42422</v>
      </c>
      <c r="N453" s="3">
        <v>16639.970702999999</v>
      </c>
      <c r="O453" s="2">
        <f t="shared" si="34"/>
        <v>0.29015972114322469</v>
      </c>
    </row>
    <row r="454" spans="1:15" x14ac:dyDescent="0.25">
      <c r="A454" s="6">
        <v>42429</v>
      </c>
      <c r="B454" s="3">
        <v>1999.98999</v>
      </c>
      <c r="C454" s="2">
        <f t="shared" si="33"/>
        <v>0.4110992266514632</v>
      </c>
      <c r="D454" s="4">
        <v>42451</v>
      </c>
      <c r="E454" s="3">
        <v>17002.75</v>
      </c>
      <c r="F454" s="2">
        <f t="shared" ref="F454:F493" si="35">(E455-$E$6)/$E$6</f>
        <v>-4.8039221113985231E-2</v>
      </c>
      <c r="G454" s="4">
        <v>42429</v>
      </c>
      <c r="H454" s="3">
        <v>8811.5996090000008</v>
      </c>
      <c r="I454" s="2">
        <f t="shared" ref="I454:I496" si="36">(H455-$H$6)/$H$6</f>
        <v>-0.37454162010111358</v>
      </c>
      <c r="J454" s="4">
        <v>42429</v>
      </c>
      <c r="K454" s="3">
        <v>1.883</v>
      </c>
      <c r="L454" s="2">
        <f t="shared" ref="L454:L496" si="37">(K455-$K$6)/$K$6</f>
        <v>-0.57936170212765947</v>
      </c>
      <c r="M454" s="4">
        <v>42429</v>
      </c>
      <c r="N454" s="3">
        <v>17006.769531000002</v>
      </c>
      <c r="O454" s="2">
        <f t="shared" si="34"/>
        <v>0.30582824061845326</v>
      </c>
    </row>
    <row r="455" spans="1:15" x14ac:dyDescent="0.25">
      <c r="A455" s="6">
        <v>42436</v>
      </c>
      <c r="B455" s="3">
        <v>2022.1899410000001</v>
      </c>
      <c r="C455" s="2">
        <f t="shared" ref="C455:C495" si="38">(B456-$B$6)/$B$6</f>
        <v>0.43021226858434136</v>
      </c>
      <c r="D455" s="4">
        <v>42457</v>
      </c>
      <c r="E455" s="3">
        <v>16164.160156</v>
      </c>
      <c r="F455" s="2">
        <f t="shared" si="35"/>
        <v>-6.8218459200284159E-2</v>
      </c>
      <c r="G455" s="4">
        <v>42436</v>
      </c>
      <c r="H455" s="3">
        <v>9090.5996090000008</v>
      </c>
      <c r="I455" s="2">
        <f t="shared" si="36"/>
        <v>-0.37725932928077505</v>
      </c>
      <c r="J455" s="4">
        <v>42436</v>
      </c>
      <c r="K455" s="3">
        <v>1.9770000000000001</v>
      </c>
      <c r="L455" s="2">
        <f t="shared" si="37"/>
        <v>-0.60191489361702133</v>
      </c>
      <c r="M455" s="4">
        <v>42436</v>
      </c>
      <c r="N455" s="3">
        <v>17213.310547000001</v>
      </c>
      <c r="O455" s="2">
        <f t="shared" ref="O455:O496" si="39">(N456-$N$6)/$N$6</f>
        <v>0.33533763867962457</v>
      </c>
    </row>
    <row r="456" spans="1:15" x14ac:dyDescent="0.25">
      <c r="A456" s="6">
        <v>42443</v>
      </c>
      <c r="B456" s="3">
        <v>2049.580078</v>
      </c>
      <c r="C456" s="2">
        <f t="shared" si="38"/>
        <v>0.42069407922839908</v>
      </c>
      <c r="D456" s="4">
        <v>42464</v>
      </c>
      <c r="E456" s="3">
        <v>15821.519531</v>
      </c>
      <c r="F456" s="2">
        <f t="shared" si="35"/>
        <v>-7.76390870433808E-3</v>
      </c>
      <c r="G456" s="4">
        <v>42443</v>
      </c>
      <c r="H456" s="3">
        <v>9051.0996090000008</v>
      </c>
      <c r="I456" s="2">
        <f t="shared" si="36"/>
        <v>-0.39523747803962406</v>
      </c>
      <c r="J456" s="4">
        <v>42443</v>
      </c>
      <c r="K456" s="3">
        <v>1.871</v>
      </c>
      <c r="L456" s="2">
        <f t="shared" si="37"/>
        <v>-0.59574468085106391</v>
      </c>
      <c r="M456" s="4">
        <v>42443</v>
      </c>
      <c r="N456" s="3">
        <v>17602.300781000002</v>
      </c>
      <c r="O456" s="2">
        <f t="shared" si="39"/>
        <v>0.32877028152307475</v>
      </c>
    </row>
    <row r="457" spans="1:15" x14ac:dyDescent="0.25">
      <c r="A457" s="6">
        <v>42450</v>
      </c>
      <c r="B457" s="3">
        <v>2035.9399410000001</v>
      </c>
      <c r="C457" s="2">
        <f t="shared" si="38"/>
        <v>0.44640136746704218</v>
      </c>
      <c r="D457" s="4">
        <v>42471</v>
      </c>
      <c r="E457" s="3">
        <v>16848.029297000001</v>
      </c>
      <c r="F457" s="2">
        <f t="shared" si="35"/>
        <v>3.4901988639113847E-2</v>
      </c>
      <c r="G457" s="4">
        <v>42450</v>
      </c>
      <c r="H457" s="3">
        <v>8789.7998050000006</v>
      </c>
      <c r="I457" s="2">
        <f t="shared" si="36"/>
        <v>-0.40813799629751063</v>
      </c>
      <c r="J457" s="4">
        <v>42450</v>
      </c>
      <c r="K457" s="3">
        <v>1.9</v>
      </c>
      <c r="L457" s="2">
        <f t="shared" si="37"/>
        <v>-0.61872340425531924</v>
      </c>
      <c r="M457" s="4">
        <v>42450</v>
      </c>
      <c r="N457" s="3">
        <v>17515.730468999998</v>
      </c>
      <c r="O457" s="2">
        <f t="shared" si="39"/>
        <v>0.34978540965865162</v>
      </c>
    </row>
    <row r="458" spans="1:15" x14ac:dyDescent="0.25">
      <c r="A458" s="6">
        <v>42457</v>
      </c>
      <c r="B458" s="3">
        <v>2072.780029</v>
      </c>
      <c r="C458" s="2">
        <f t="shared" si="38"/>
        <v>0.42883053863690168</v>
      </c>
      <c r="D458" s="4">
        <v>42478</v>
      </c>
      <c r="E458" s="3">
        <v>17572.490234000001</v>
      </c>
      <c r="F458" s="2">
        <f t="shared" si="35"/>
        <v>-1.8481224553722093E-2</v>
      </c>
      <c r="G458" s="4">
        <v>42458</v>
      </c>
      <c r="H458" s="3">
        <v>8602.2998050000006</v>
      </c>
      <c r="I458" s="2">
        <f t="shared" si="36"/>
        <v>-0.42015785266100059</v>
      </c>
      <c r="J458" s="4">
        <v>42457</v>
      </c>
      <c r="K458" s="3">
        <v>1.792</v>
      </c>
      <c r="L458" s="2">
        <f t="shared" si="37"/>
        <v>-0.63404255319148939</v>
      </c>
      <c r="M458" s="4">
        <v>42457</v>
      </c>
      <c r="N458" s="3">
        <v>17792.75</v>
      </c>
      <c r="O458" s="2">
        <f t="shared" si="39"/>
        <v>0.33341531917508238</v>
      </c>
    </row>
    <row r="459" spans="1:15" x14ac:dyDescent="0.25">
      <c r="A459" s="6">
        <v>42464</v>
      </c>
      <c r="B459" s="3">
        <v>2047.599976</v>
      </c>
      <c r="C459" s="2">
        <f t="shared" si="38"/>
        <v>0.45194890258259596</v>
      </c>
      <c r="D459" s="4">
        <v>42485</v>
      </c>
      <c r="E459" s="3">
        <v>16666.050781000002</v>
      </c>
      <c r="F459" s="2">
        <f t="shared" si="35"/>
        <v>-5.1422077693149347E-2</v>
      </c>
      <c r="G459" s="4">
        <v>42464</v>
      </c>
      <c r="H459" s="3">
        <v>8427.5996090000008</v>
      </c>
      <c r="I459" s="2">
        <f t="shared" si="36"/>
        <v>-0.39103358883823447</v>
      </c>
      <c r="J459" s="4">
        <v>42464</v>
      </c>
      <c r="K459" s="3">
        <v>1.72</v>
      </c>
      <c r="L459" s="2">
        <f t="shared" si="37"/>
        <v>-0.6272340425531916</v>
      </c>
      <c r="M459" s="4">
        <v>42464</v>
      </c>
      <c r="N459" s="3">
        <v>17576.960938</v>
      </c>
      <c r="O459" s="2">
        <f t="shared" si="39"/>
        <v>0.3577289426338281</v>
      </c>
    </row>
    <row r="460" spans="1:15" x14ac:dyDescent="0.25">
      <c r="A460" s="6">
        <v>42471</v>
      </c>
      <c r="B460" s="3">
        <v>2080.7299800000001</v>
      </c>
      <c r="C460" s="2">
        <f t="shared" si="38"/>
        <v>0.45952018191025451</v>
      </c>
      <c r="D460" s="4">
        <v>42492</v>
      </c>
      <c r="E460" s="3">
        <v>16106.719727</v>
      </c>
      <c r="F460" s="2">
        <f t="shared" si="35"/>
        <v>-3.3430691295109727E-2</v>
      </c>
      <c r="G460" s="4">
        <v>42471</v>
      </c>
      <c r="H460" s="3">
        <v>8850.9003909999992</v>
      </c>
      <c r="I460" s="2">
        <f t="shared" si="36"/>
        <v>-0.36475785356899065</v>
      </c>
      <c r="J460" s="4">
        <v>42471</v>
      </c>
      <c r="K460" s="3">
        <v>1.752</v>
      </c>
      <c r="L460" s="2">
        <f t="shared" si="37"/>
        <v>-0.59829787234042553</v>
      </c>
      <c r="M460" s="4">
        <v>42471</v>
      </c>
      <c r="N460" s="3">
        <v>17897.460938</v>
      </c>
      <c r="O460" s="2">
        <f t="shared" si="39"/>
        <v>0.36579219452540773</v>
      </c>
    </row>
    <row r="461" spans="1:15" x14ac:dyDescent="0.25">
      <c r="A461" s="6">
        <v>42478</v>
      </c>
      <c r="B461" s="3">
        <v>2091.580078</v>
      </c>
      <c r="C461" s="2">
        <f t="shared" si="38"/>
        <v>0.44118178162133825</v>
      </c>
      <c r="D461" s="4">
        <v>42499</v>
      </c>
      <c r="E461" s="3">
        <v>16412.210938</v>
      </c>
      <c r="F461" s="2">
        <f t="shared" si="35"/>
        <v>-1.4341094388480424E-2</v>
      </c>
      <c r="G461" s="4">
        <v>42478</v>
      </c>
      <c r="H461" s="3">
        <v>9232.7998050000006</v>
      </c>
      <c r="I461" s="2">
        <f t="shared" si="36"/>
        <v>-0.37900687916902376</v>
      </c>
      <c r="J461" s="4">
        <v>42478</v>
      </c>
      <c r="K461" s="3">
        <v>1.8879999999999999</v>
      </c>
      <c r="L461" s="2">
        <f t="shared" si="37"/>
        <v>-0.6129787234042553</v>
      </c>
      <c r="M461" s="4">
        <v>42478</v>
      </c>
      <c r="N461" s="3">
        <v>18003.75</v>
      </c>
      <c r="O461" s="2">
        <f t="shared" si="39"/>
        <v>0.3483357430493475</v>
      </c>
    </row>
    <row r="462" spans="1:15" x14ac:dyDescent="0.25">
      <c r="A462" s="6">
        <v>42485</v>
      </c>
      <c r="B462" s="3">
        <v>2065.3000489999999</v>
      </c>
      <c r="C462" s="2">
        <f t="shared" si="38"/>
        <v>0.43548756388862564</v>
      </c>
      <c r="D462" s="4">
        <v>42506</v>
      </c>
      <c r="E462" s="3">
        <v>16736.349609000001</v>
      </c>
      <c r="F462" s="2">
        <f t="shared" si="35"/>
        <v>-8.5406791538873827E-3</v>
      </c>
      <c r="G462" s="4">
        <v>42485</v>
      </c>
      <c r="H462" s="3">
        <v>9025.7001949999994</v>
      </c>
      <c r="I462" s="2">
        <f t="shared" si="36"/>
        <v>-0.40127149393145461</v>
      </c>
      <c r="J462" s="4">
        <v>42485</v>
      </c>
      <c r="K462" s="3">
        <v>1.819</v>
      </c>
      <c r="L462" s="2">
        <f t="shared" si="37"/>
        <v>-0.62148936170212765</v>
      </c>
      <c r="M462" s="4">
        <v>42485</v>
      </c>
      <c r="N462" s="3">
        <v>17773.640625</v>
      </c>
      <c r="O462" s="2">
        <f t="shared" si="39"/>
        <v>0.34583157137700649</v>
      </c>
    </row>
    <row r="463" spans="1:15" x14ac:dyDescent="0.25">
      <c r="A463" s="6">
        <v>42492</v>
      </c>
      <c r="B463" s="3">
        <v>2057.139893</v>
      </c>
      <c r="C463" s="2">
        <f t="shared" si="38"/>
        <v>0.42813971553162949</v>
      </c>
      <c r="D463" s="4">
        <v>42513</v>
      </c>
      <c r="E463" s="3">
        <v>16834.839843999998</v>
      </c>
      <c r="F463" s="2">
        <f t="shared" si="35"/>
        <v>-1.9884081401587091E-2</v>
      </c>
      <c r="G463" s="4">
        <v>42492</v>
      </c>
      <c r="H463" s="3">
        <v>8702.0996090000008</v>
      </c>
      <c r="I463" s="2">
        <f t="shared" si="36"/>
        <v>-0.39993669340715793</v>
      </c>
      <c r="J463" s="4">
        <v>42492</v>
      </c>
      <c r="K463" s="3">
        <v>1.7789999999999999</v>
      </c>
      <c r="L463" s="2">
        <f t="shared" si="37"/>
        <v>-0.63723404255319149</v>
      </c>
      <c r="M463" s="4">
        <v>42492</v>
      </c>
      <c r="N463" s="3">
        <v>17740.630859000001</v>
      </c>
      <c r="O463" s="2">
        <f t="shared" si="39"/>
        <v>0.33025639717461291</v>
      </c>
    </row>
    <row r="464" spans="1:15" x14ac:dyDescent="0.25">
      <c r="A464" s="6">
        <v>42499</v>
      </c>
      <c r="B464" s="3">
        <v>2046.6099850000001</v>
      </c>
      <c r="C464" s="2">
        <f t="shared" si="38"/>
        <v>0.43212425404705257</v>
      </c>
      <c r="D464" s="4">
        <v>42520</v>
      </c>
      <c r="E464" s="3">
        <v>16642.230468999998</v>
      </c>
      <c r="F464" s="2">
        <f t="shared" si="35"/>
        <v>-2.2291115117082646E-2</v>
      </c>
      <c r="G464" s="4">
        <v>42499</v>
      </c>
      <c r="H464" s="3">
        <v>8721.5</v>
      </c>
      <c r="I464" s="2">
        <f t="shared" si="36"/>
        <v>-0.3965171826177285</v>
      </c>
      <c r="J464" s="4">
        <v>42499</v>
      </c>
      <c r="K464" s="3">
        <v>1.7050000000000001</v>
      </c>
      <c r="L464" s="2">
        <f t="shared" si="37"/>
        <v>-0.60659574468085109</v>
      </c>
      <c r="M464" s="4">
        <v>42499</v>
      </c>
      <c r="N464" s="3">
        <v>17535.320312</v>
      </c>
      <c r="O464" s="2">
        <f t="shared" si="39"/>
        <v>0.32764821227628455</v>
      </c>
    </row>
    <row r="465" spans="1:15" x14ac:dyDescent="0.25">
      <c r="A465" s="6">
        <v>42506</v>
      </c>
      <c r="B465" s="3">
        <v>2052.320068</v>
      </c>
      <c r="C465" s="2">
        <f t="shared" si="38"/>
        <v>0.46473976845376586</v>
      </c>
      <c r="D465" s="4">
        <v>42527</v>
      </c>
      <c r="E465" s="3">
        <v>16601.359375</v>
      </c>
      <c r="F465" s="2">
        <f t="shared" si="35"/>
        <v>-8.1284490555446676E-2</v>
      </c>
      <c r="G465" s="4">
        <v>42506</v>
      </c>
      <c r="H465" s="3">
        <v>8771.2001949999994</v>
      </c>
      <c r="I465" s="2">
        <f t="shared" si="36"/>
        <v>-0.37339260045626943</v>
      </c>
      <c r="J465" s="4">
        <v>42506</v>
      </c>
      <c r="K465" s="3">
        <v>1.849</v>
      </c>
      <c r="L465" s="2">
        <f t="shared" si="37"/>
        <v>-0.60617021276595751</v>
      </c>
      <c r="M465" s="4">
        <v>42506</v>
      </c>
      <c r="N465" s="3">
        <v>17500.939452999999</v>
      </c>
      <c r="O465" s="2">
        <f t="shared" si="39"/>
        <v>0.35589004108518058</v>
      </c>
    </row>
    <row r="466" spans="1:15" x14ac:dyDescent="0.25">
      <c r="A466" s="6">
        <v>42513</v>
      </c>
      <c r="B466" s="3">
        <v>2099.0600589999999</v>
      </c>
      <c r="C466" s="2">
        <f t="shared" si="38"/>
        <v>0.46478849216186285</v>
      </c>
      <c r="D466" s="4">
        <v>42534</v>
      </c>
      <c r="E466" s="3">
        <v>15599.660156</v>
      </c>
      <c r="F466" s="2">
        <f t="shared" si="35"/>
        <v>-0.11942618600161405</v>
      </c>
      <c r="G466" s="4">
        <v>42513</v>
      </c>
      <c r="H466" s="3">
        <v>9107.2998050000006</v>
      </c>
      <c r="I466" s="2">
        <f t="shared" si="36"/>
        <v>-0.39442561890926947</v>
      </c>
      <c r="J466" s="4">
        <v>42513</v>
      </c>
      <c r="K466" s="3">
        <v>1.851</v>
      </c>
      <c r="L466" s="2">
        <f t="shared" si="37"/>
        <v>-0.6374468085106384</v>
      </c>
      <c r="M466" s="4">
        <v>42513</v>
      </c>
      <c r="N466" s="3">
        <v>17873.220702999999</v>
      </c>
      <c r="O466" s="2">
        <f t="shared" si="39"/>
        <v>0.35087102978734647</v>
      </c>
    </row>
    <row r="467" spans="1:15" x14ac:dyDescent="0.25">
      <c r="A467" s="6">
        <v>42521</v>
      </c>
      <c r="B467" s="3">
        <v>2099.1298830000001</v>
      </c>
      <c r="C467" s="2">
        <f t="shared" si="38"/>
        <v>0.46265333042821211</v>
      </c>
      <c r="D467" s="4">
        <v>42541</v>
      </c>
      <c r="E467" s="3">
        <v>14952.019531</v>
      </c>
      <c r="F467" s="2">
        <f t="shared" si="35"/>
        <v>-7.6406928782353348E-2</v>
      </c>
      <c r="G467" s="4">
        <v>42520</v>
      </c>
      <c r="H467" s="3">
        <v>8801.5996090000008</v>
      </c>
      <c r="I467" s="2">
        <f t="shared" si="36"/>
        <v>-0.4158301319008742</v>
      </c>
      <c r="J467" s="4">
        <v>42521</v>
      </c>
      <c r="K467" s="3">
        <v>1.704</v>
      </c>
      <c r="L467" s="2">
        <f t="shared" si="37"/>
        <v>-0.65127659574468078</v>
      </c>
      <c r="M467" s="4">
        <v>42521</v>
      </c>
      <c r="N467" s="3">
        <v>17807.060547000001</v>
      </c>
      <c r="O467" s="2">
        <f t="shared" si="39"/>
        <v>0.3552921869876533</v>
      </c>
    </row>
    <row r="468" spans="1:15" x14ac:dyDescent="0.25">
      <c r="A468" s="6">
        <v>42527</v>
      </c>
      <c r="B468" s="3">
        <v>2096.070068</v>
      </c>
      <c r="C468" s="2">
        <f t="shared" si="38"/>
        <v>0.44531274735638982</v>
      </c>
      <c r="D468" s="4">
        <v>42548</v>
      </c>
      <c r="E468" s="3">
        <v>15682.480469</v>
      </c>
      <c r="F468" s="2">
        <f t="shared" si="35"/>
        <v>-0.11030002455482645</v>
      </c>
      <c r="G468" s="4">
        <v>42527</v>
      </c>
      <c r="H468" s="3">
        <v>8490.5</v>
      </c>
      <c r="I468" s="2">
        <f t="shared" si="36"/>
        <v>-0.42467128708027918</v>
      </c>
      <c r="J468" s="4">
        <v>42527</v>
      </c>
      <c r="K468" s="3">
        <v>1.639</v>
      </c>
      <c r="L468" s="2">
        <f t="shared" si="37"/>
        <v>-0.65574468085106374</v>
      </c>
      <c r="M468" s="4">
        <v>42527</v>
      </c>
      <c r="N468" s="3">
        <v>17865.339843999998</v>
      </c>
      <c r="O468" s="2">
        <f t="shared" si="39"/>
        <v>0.34086486304527064</v>
      </c>
    </row>
    <row r="469" spans="1:15" x14ac:dyDescent="0.25">
      <c r="A469" s="6">
        <v>42534</v>
      </c>
      <c r="B469" s="3">
        <v>2071.219971</v>
      </c>
      <c r="C469" s="2">
        <f t="shared" si="38"/>
        <v>0.42171992109089973</v>
      </c>
      <c r="D469" s="4">
        <v>42555</v>
      </c>
      <c r="E469" s="3">
        <v>15106.980469</v>
      </c>
      <c r="F469" s="2">
        <f t="shared" si="35"/>
        <v>-2.8387147110869357E-2</v>
      </c>
      <c r="G469" s="4">
        <v>42534</v>
      </c>
      <c r="H469" s="3">
        <v>8362</v>
      </c>
      <c r="I469" s="2">
        <f t="shared" si="36"/>
        <v>-0.46418470105309623</v>
      </c>
      <c r="J469" s="4">
        <v>42534</v>
      </c>
      <c r="K469" s="3">
        <v>1.6180000000000001</v>
      </c>
      <c r="L469" s="2">
        <f t="shared" si="37"/>
        <v>-0.66404255319148942</v>
      </c>
      <c r="M469" s="4">
        <v>42534</v>
      </c>
      <c r="N469" s="3">
        <v>17675.160156000002</v>
      </c>
      <c r="O469" s="2">
        <f t="shared" si="39"/>
        <v>0.3200476861147255</v>
      </c>
    </row>
    <row r="470" spans="1:15" x14ac:dyDescent="0.25">
      <c r="A470" s="6">
        <v>42541</v>
      </c>
      <c r="B470" s="3">
        <v>2037.410034</v>
      </c>
      <c r="C470" s="2">
        <f t="shared" si="38"/>
        <v>0.46745416411050794</v>
      </c>
      <c r="D470" s="4">
        <v>42562</v>
      </c>
      <c r="E470" s="3">
        <v>16497.849609000001</v>
      </c>
      <c r="F470" s="2">
        <f t="shared" si="35"/>
        <v>-2.076633069877824E-2</v>
      </c>
      <c r="G470" s="4">
        <v>42541</v>
      </c>
      <c r="H470" s="3">
        <v>7787.7001950000003</v>
      </c>
      <c r="I470" s="2">
        <f t="shared" si="36"/>
        <v>-0.43107679751071443</v>
      </c>
      <c r="J470" s="4">
        <v>42541</v>
      </c>
      <c r="K470" s="3">
        <v>1.579</v>
      </c>
      <c r="L470" s="2">
        <f t="shared" si="37"/>
        <v>-0.69021276595744685</v>
      </c>
      <c r="M470" s="4">
        <v>42541</v>
      </c>
      <c r="N470" s="3">
        <v>17400.75</v>
      </c>
      <c r="O470" s="2">
        <f t="shared" si="39"/>
        <v>0.36166677883402193</v>
      </c>
    </row>
    <row r="471" spans="1:15" x14ac:dyDescent="0.25">
      <c r="A471" s="6">
        <v>42548</v>
      </c>
      <c r="B471" s="3">
        <v>2102.9499510000001</v>
      </c>
      <c r="C471" s="2">
        <f t="shared" si="38"/>
        <v>0.48626004096873671</v>
      </c>
      <c r="D471" s="4">
        <v>42570</v>
      </c>
      <c r="E471" s="3">
        <v>16627.25</v>
      </c>
      <c r="F471" s="2">
        <f t="shared" si="35"/>
        <v>-2.4180992017196742E-2</v>
      </c>
      <c r="G471" s="4">
        <v>42548</v>
      </c>
      <c r="H471" s="3">
        <v>8268.9003909999992</v>
      </c>
      <c r="I471" s="2">
        <f t="shared" si="36"/>
        <v>-0.43678746057075712</v>
      </c>
      <c r="J471" s="4">
        <v>42548</v>
      </c>
      <c r="K471" s="3">
        <v>1.456</v>
      </c>
      <c r="L471" s="2">
        <f t="shared" si="37"/>
        <v>-0.70936170212765959</v>
      </c>
      <c r="M471" s="4">
        <v>42548</v>
      </c>
      <c r="N471" s="3">
        <v>17949.369140999999</v>
      </c>
      <c r="O471" s="2">
        <f t="shared" si="39"/>
        <v>0.37663965383197234</v>
      </c>
    </row>
    <row r="472" spans="1:15" x14ac:dyDescent="0.25">
      <c r="A472" s="6">
        <v>42556</v>
      </c>
      <c r="B472" s="3">
        <v>2129.8999020000001</v>
      </c>
      <c r="C472" s="2">
        <f t="shared" si="38"/>
        <v>0.50847829190667593</v>
      </c>
      <c r="D472" s="4">
        <v>42576</v>
      </c>
      <c r="E472" s="3">
        <v>16569.269531000002</v>
      </c>
      <c r="F472" s="2">
        <f t="shared" si="35"/>
        <v>-4.2721742505597196E-2</v>
      </c>
      <c r="G472" s="4">
        <v>42555</v>
      </c>
      <c r="H472" s="3">
        <v>8185.8999020000001</v>
      </c>
      <c r="I472" s="2">
        <f t="shared" si="36"/>
        <v>-0.4130436199571707</v>
      </c>
      <c r="J472" s="4">
        <v>42556</v>
      </c>
      <c r="K472" s="3">
        <v>1.3660000000000001</v>
      </c>
      <c r="L472" s="2">
        <f t="shared" si="37"/>
        <v>-0.6608510638297872</v>
      </c>
      <c r="M472" s="4">
        <v>42556</v>
      </c>
      <c r="N472" s="3">
        <v>18146.740234000001</v>
      </c>
      <c r="O472" s="2">
        <f t="shared" si="39"/>
        <v>0.40469405130726349</v>
      </c>
    </row>
    <row r="473" spans="1:15" x14ac:dyDescent="0.25">
      <c r="A473" s="6">
        <v>42562</v>
      </c>
      <c r="B473" s="3">
        <v>2161.73999</v>
      </c>
      <c r="C473" s="2">
        <f t="shared" si="38"/>
        <v>0.51775218026643788</v>
      </c>
      <c r="D473" s="4">
        <v>42583</v>
      </c>
      <c r="E473" s="3">
        <v>16254.450194999999</v>
      </c>
      <c r="F473" s="2">
        <f t="shared" si="35"/>
        <v>-3.5300323563485958E-3</v>
      </c>
      <c r="G473" s="4">
        <v>42562</v>
      </c>
      <c r="H473" s="3">
        <v>8531</v>
      </c>
      <c r="I473" s="2">
        <f t="shared" si="36"/>
        <v>-0.40830308261279197</v>
      </c>
      <c r="J473" s="4">
        <v>42562</v>
      </c>
      <c r="K473" s="3">
        <v>1.5940000000000001</v>
      </c>
      <c r="L473" s="2">
        <f t="shared" si="37"/>
        <v>-0.66595744680851054</v>
      </c>
      <c r="M473" s="4">
        <v>42562</v>
      </c>
      <c r="N473" s="3">
        <v>18516.550781000002</v>
      </c>
      <c r="O473" s="2">
        <f t="shared" si="39"/>
        <v>0.40881324400068997</v>
      </c>
    </row>
    <row r="474" spans="1:15" x14ac:dyDescent="0.25">
      <c r="A474" s="6">
        <v>42569</v>
      </c>
      <c r="B474" s="3">
        <v>2175.030029</v>
      </c>
      <c r="C474" s="2">
        <f t="shared" si="38"/>
        <v>0.51675436374715122</v>
      </c>
      <c r="D474" s="4">
        <v>42590</v>
      </c>
      <c r="E474" s="3">
        <v>16919.919922000001</v>
      </c>
      <c r="F474" s="2">
        <f t="shared" si="35"/>
        <v>-2.5561993972638551E-2</v>
      </c>
      <c r="G474" s="4">
        <v>42569</v>
      </c>
      <c r="H474" s="3">
        <v>8599.9003909999992</v>
      </c>
      <c r="I474" s="2">
        <f t="shared" si="36"/>
        <v>-0.40917689120146788</v>
      </c>
      <c r="J474" s="4">
        <v>42569</v>
      </c>
      <c r="K474" s="3">
        <v>1.57</v>
      </c>
      <c r="L474" s="2">
        <f t="shared" si="37"/>
        <v>-0.68978723404255315</v>
      </c>
      <c r="M474" s="4">
        <v>42569</v>
      </c>
      <c r="N474" s="3">
        <v>18570.849609000001</v>
      </c>
      <c r="O474" s="2">
        <f t="shared" si="39"/>
        <v>0.39829812340286752</v>
      </c>
    </row>
    <row r="475" spans="1:15" x14ac:dyDescent="0.25">
      <c r="A475" s="6">
        <v>42576</v>
      </c>
      <c r="B475" s="3">
        <v>2173.6000979999999</v>
      </c>
      <c r="C475" s="2">
        <f t="shared" si="38"/>
        <v>0.52322305216099818</v>
      </c>
      <c r="D475" s="4">
        <v>42597</v>
      </c>
      <c r="E475" s="3">
        <v>16545.820312</v>
      </c>
      <c r="F475" s="2">
        <f t="shared" si="35"/>
        <v>-3.6463753929057464E-2</v>
      </c>
      <c r="G475" s="4">
        <v>42576</v>
      </c>
      <c r="H475" s="3">
        <v>8587.2001949999994</v>
      </c>
      <c r="I475" s="2">
        <f t="shared" si="36"/>
        <v>-0.41246564983733669</v>
      </c>
      <c r="J475" s="4">
        <v>42576</v>
      </c>
      <c r="K475" s="3">
        <v>1.458</v>
      </c>
      <c r="L475" s="2">
        <f t="shared" si="37"/>
        <v>-0.66340425531914893</v>
      </c>
      <c r="M475" s="4">
        <v>42576</v>
      </c>
      <c r="N475" s="3">
        <v>18432.240234000001</v>
      </c>
      <c r="O475" s="2">
        <f t="shared" si="39"/>
        <v>0.40674068306857308</v>
      </c>
    </row>
    <row r="476" spans="1:15" x14ac:dyDescent="0.25">
      <c r="A476" s="6">
        <v>42583</v>
      </c>
      <c r="B476" s="3">
        <v>2182.8701169999999</v>
      </c>
      <c r="C476" s="2">
        <f t="shared" si="38"/>
        <v>0.52404641751305703</v>
      </c>
      <c r="D476" s="4">
        <v>42604</v>
      </c>
      <c r="E476" s="3">
        <v>16360.709961</v>
      </c>
      <c r="F476" s="2">
        <f t="shared" si="35"/>
        <v>-3.1908207131426747E-3</v>
      </c>
      <c r="G476" s="4">
        <v>42583</v>
      </c>
      <c r="H476" s="3">
        <v>8539.4003909999992</v>
      </c>
      <c r="I476" s="2">
        <f t="shared" si="36"/>
        <v>-0.40028756060189175</v>
      </c>
      <c r="J476" s="4">
        <v>42583</v>
      </c>
      <c r="K476" s="3">
        <v>1.5820000000000001</v>
      </c>
      <c r="L476" s="2">
        <f t="shared" si="37"/>
        <v>-0.67765957446808522</v>
      </c>
      <c r="M476" s="4">
        <v>42583</v>
      </c>
      <c r="N476" s="3">
        <v>18543.529297000001</v>
      </c>
      <c r="O476" s="2">
        <f t="shared" si="39"/>
        <v>0.40923966884606333</v>
      </c>
    </row>
    <row r="477" spans="1:15" x14ac:dyDescent="0.25">
      <c r="A477" s="6">
        <v>42590</v>
      </c>
      <c r="B477" s="3">
        <v>2184.0500489999999</v>
      </c>
      <c r="C477" s="2">
        <f t="shared" si="38"/>
        <v>0.52392085962113888</v>
      </c>
      <c r="D477" s="4">
        <v>42611</v>
      </c>
      <c r="E477" s="3">
        <v>16925.679688</v>
      </c>
      <c r="F477" s="2">
        <f t="shared" si="35"/>
        <v>-8.3037254246993921E-4</v>
      </c>
      <c r="G477" s="4">
        <v>42590</v>
      </c>
      <c r="H477" s="3">
        <v>8716.4003909999992</v>
      </c>
      <c r="I477" s="2">
        <f t="shared" si="36"/>
        <v>-0.41857538908803316</v>
      </c>
      <c r="J477" s="4">
        <v>42590</v>
      </c>
      <c r="K477" s="3">
        <v>1.5149999999999999</v>
      </c>
      <c r="L477" s="2">
        <f t="shared" si="37"/>
        <v>-0.6642553191489361</v>
      </c>
      <c r="M477" s="4">
        <v>42590</v>
      </c>
      <c r="N477" s="3">
        <v>18576.470702999999</v>
      </c>
      <c r="O477" s="2">
        <f t="shared" si="39"/>
        <v>0.40742654838649772</v>
      </c>
    </row>
    <row r="478" spans="1:15" x14ac:dyDescent="0.25">
      <c r="A478" s="6">
        <v>42597</v>
      </c>
      <c r="B478" s="3">
        <v>2183.8701169999999</v>
      </c>
      <c r="C478" s="2">
        <f t="shared" si="38"/>
        <v>0.51357232055826918</v>
      </c>
      <c r="D478" s="4">
        <v>42618</v>
      </c>
      <c r="E478" s="3">
        <v>16965.759765999999</v>
      </c>
      <c r="F478" s="2">
        <f t="shared" si="35"/>
        <v>-2.7124506913061532E-2</v>
      </c>
      <c r="G478" s="4">
        <v>42597</v>
      </c>
      <c r="H478" s="3">
        <v>8450.5996090000008</v>
      </c>
      <c r="I478" s="2">
        <f t="shared" si="36"/>
        <v>-0.40420246477776578</v>
      </c>
      <c r="J478" s="4">
        <v>42597</v>
      </c>
      <c r="K478" s="3">
        <v>1.5780000000000001</v>
      </c>
      <c r="L478" s="2">
        <f t="shared" si="37"/>
        <v>-0.65212765957446817</v>
      </c>
      <c r="M478" s="4">
        <v>42597</v>
      </c>
      <c r="N478" s="3">
        <v>18552.570312</v>
      </c>
      <c r="O478" s="2">
        <f t="shared" si="39"/>
        <v>0.39550339619231734</v>
      </c>
    </row>
    <row r="479" spans="1:15" x14ac:dyDescent="0.25">
      <c r="A479" s="6">
        <v>42604</v>
      </c>
      <c r="B479" s="3">
        <v>2169.040039</v>
      </c>
      <c r="C479" s="2">
        <f t="shared" si="38"/>
        <v>0.52120629300156929</v>
      </c>
      <c r="D479" s="4">
        <v>42625</v>
      </c>
      <c r="E479" s="3">
        <v>16519.289062</v>
      </c>
      <c r="F479" s="2">
        <f t="shared" si="35"/>
        <v>-1.3300454321342003E-2</v>
      </c>
      <c r="G479" s="4">
        <v>42604</v>
      </c>
      <c r="H479" s="3">
        <v>8659.5</v>
      </c>
      <c r="I479" s="2">
        <f t="shared" si="36"/>
        <v>-0.38704302852379485</v>
      </c>
      <c r="J479" s="4">
        <v>42604</v>
      </c>
      <c r="K479" s="3">
        <v>1.635</v>
      </c>
      <c r="L479" s="2">
        <f t="shared" si="37"/>
        <v>-0.66042553191489362</v>
      </c>
      <c r="M479" s="4">
        <v>42604</v>
      </c>
      <c r="N479" s="3">
        <v>18395.400390999999</v>
      </c>
      <c r="O479" s="2">
        <f t="shared" si="39"/>
        <v>0.40282862795746099</v>
      </c>
    </row>
    <row r="480" spans="1:15" x14ac:dyDescent="0.25">
      <c r="A480" s="6">
        <v>42611</v>
      </c>
      <c r="B480" s="3">
        <v>2179.9799800000001</v>
      </c>
      <c r="C480" s="2">
        <f t="shared" si="38"/>
        <v>0.48480173293281353</v>
      </c>
      <c r="D480" s="4">
        <v>42633</v>
      </c>
      <c r="E480" s="3">
        <v>16754.019531000002</v>
      </c>
      <c r="F480" s="2">
        <f t="shared" si="35"/>
        <v>-3.1214600739295092E-2</v>
      </c>
      <c r="G480" s="4">
        <v>42611</v>
      </c>
      <c r="H480" s="3">
        <v>8908.9003909999992</v>
      </c>
      <c r="I480" s="2">
        <f t="shared" si="36"/>
        <v>-0.37902065313837113</v>
      </c>
      <c r="J480" s="4">
        <v>42611</v>
      </c>
      <c r="K480" s="3">
        <v>1.5960000000000001</v>
      </c>
      <c r="L480" s="2">
        <f t="shared" si="37"/>
        <v>-0.6442553191489363</v>
      </c>
      <c r="M480" s="4">
        <v>42611</v>
      </c>
      <c r="N480" s="3">
        <v>18491.960938</v>
      </c>
      <c r="O480" s="2">
        <f t="shared" si="39"/>
        <v>0.37199002306718487</v>
      </c>
    </row>
    <row r="481" spans="1:15" x14ac:dyDescent="0.25">
      <c r="A481" s="6">
        <v>42619</v>
      </c>
      <c r="B481" s="3">
        <v>2127.8100589999999</v>
      </c>
      <c r="C481" s="2">
        <f t="shared" si="38"/>
        <v>0.49272174502771499</v>
      </c>
      <c r="D481" s="4">
        <v>42639</v>
      </c>
      <c r="E481" s="3">
        <v>16449.839843999998</v>
      </c>
      <c r="F481" s="2">
        <f t="shared" si="35"/>
        <v>-7.0536232577015521E-3</v>
      </c>
      <c r="G481" s="4">
        <v>42618</v>
      </c>
      <c r="H481" s="3">
        <v>9025.5</v>
      </c>
      <c r="I481" s="2">
        <f t="shared" si="36"/>
        <v>-0.40599819001738291</v>
      </c>
      <c r="J481" s="4">
        <v>42619</v>
      </c>
      <c r="K481" s="3">
        <v>1.6719999999999999</v>
      </c>
      <c r="L481" s="2">
        <f t="shared" si="37"/>
        <v>-0.63808510638297877</v>
      </c>
      <c r="M481" s="4">
        <v>42619</v>
      </c>
      <c r="N481" s="3">
        <v>18085.449218999998</v>
      </c>
      <c r="O481" s="2">
        <f t="shared" si="39"/>
        <v>0.37489943160859773</v>
      </c>
    </row>
    <row r="482" spans="1:15" x14ac:dyDescent="0.25">
      <c r="A482" s="6">
        <v>42625</v>
      </c>
      <c r="B482" s="3">
        <v>2139.1599120000001</v>
      </c>
      <c r="C482" s="2">
        <f t="shared" si="38"/>
        <v>0.51053678972152572</v>
      </c>
      <c r="D482" s="4">
        <v>42646</v>
      </c>
      <c r="E482" s="3">
        <v>16860.089843999998</v>
      </c>
      <c r="F482" s="2">
        <f t="shared" si="35"/>
        <v>-7.2727477461809534E-3</v>
      </c>
      <c r="G482" s="4">
        <v>42625</v>
      </c>
      <c r="H482" s="3">
        <v>8633.4003909999992</v>
      </c>
      <c r="I482" s="2">
        <f t="shared" si="36"/>
        <v>-0.39291195810034413</v>
      </c>
      <c r="J482" s="4">
        <v>42625</v>
      </c>
      <c r="K482" s="3">
        <v>1.7010000000000001</v>
      </c>
      <c r="L482" s="2">
        <f t="shared" si="37"/>
        <v>-0.65638297872340423</v>
      </c>
      <c r="M482" s="4">
        <v>42625</v>
      </c>
      <c r="N482" s="3">
        <v>18123.800781000002</v>
      </c>
      <c r="O482" s="2">
        <f t="shared" si="39"/>
        <v>0.38534165404609044</v>
      </c>
    </row>
    <row r="483" spans="1:15" x14ac:dyDescent="0.25">
      <c r="A483" s="6">
        <v>42632</v>
      </c>
      <c r="B483" s="3">
        <v>2164.6899410000001</v>
      </c>
      <c r="C483" s="2">
        <f t="shared" si="38"/>
        <v>0.51303499555561893</v>
      </c>
      <c r="D483" s="4">
        <v>42654</v>
      </c>
      <c r="E483" s="3">
        <v>16856.369140999999</v>
      </c>
      <c r="F483" s="2">
        <f t="shared" si="35"/>
        <v>1.2057253507142091E-2</v>
      </c>
      <c r="G483" s="4">
        <v>42632</v>
      </c>
      <c r="H483" s="3">
        <v>8823.5996090000008</v>
      </c>
      <c r="I483" s="2">
        <f t="shared" si="36"/>
        <v>-0.39595298646724186</v>
      </c>
      <c r="J483" s="4">
        <v>42632</v>
      </c>
      <c r="K483" s="3">
        <v>1.615</v>
      </c>
      <c r="L483" s="2">
        <f t="shared" si="37"/>
        <v>-0.65787234042553189</v>
      </c>
      <c r="M483" s="4">
        <v>42632</v>
      </c>
      <c r="N483" s="3">
        <v>18261.449218999998</v>
      </c>
      <c r="O483" s="2">
        <f t="shared" si="39"/>
        <v>0.38888447685760419</v>
      </c>
    </row>
    <row r="484" spans="1:15" x14ac:dyDescent="0.25">
      <c r="A484" s="6">
        <v>42639</v>
      </c>
      <c r="B484" s="3">
        <v>2168.2700199999999</v>
      </c>
      <c r="C484" s="2">
        <f t="shared" si="38"/>
        <v>0.50289583222554957</v>
      </c>
      <c r="D484" s="4">
        <v>42660</v>
      </c>
      <c r="E484" s="3">
        <v>17184.589843999998</v>
      </c>
      <c r="F484" s="2">
        <f t="shared" si="35"/>
        <v>2.7476716425986404E-2</v>
      </c>
      <c r="G484" s="4">
        <v>42639</v>
      </c>
      <c r="H484" s="3">
        <v>8779.4003909999992</v>
      </c>
      <c r="I484" s="2">
        <f t="shared" si="36"/>
        <v>-0.40662433548858529</v>
      </c>
      <c r="J484" s="4">
        <v>42639</v>
      </c>
      <c r="K484" s="3">
        <v>1.6080000000000001</v>
      </c>
      <c r="L484" s="2">
        <f t="shared" si="37"/>
        <v>-0.63063829787234049</v>
      </c>
      <c r="M484" s="4">
        <v>42639</v>
      </c>
      <c r="N484" s="3">
        <v>18308.150390999999</v>
      </c>
      <c r="O484" s="2">
        <f t="shared" si="39"/>
        <v>0.38375167317442921</v>
      </c>
    </row>
    <row r="485" spans="1:15" x14ac:dyDescent="0.25">
      <c r="A485" s="6">
        <v>42646</v>
      </c>
      <c r="B485" s="3">
        <v>2153.73999</v>
      </c>
      <c r="C485" s="2">
        <f t="shared" si="38"/>
        <v>0.4884093423749522</v>
      </c>
      <c r="D485" s="4">
        <v>42667</v>
      </c>
      <c r="E485" s="3">
        <v>17446.410156000002</v>
      </c>
      <c r="F485" s="2">
        <f t="shared" si="35"/>
        <v>-4.38755106003344E-3</v>
      </c>
      <c r="G485" s="4">
        <v>42646</v>
      </c>
      <c r="H485" s="3">
        <v>8624.2998050000006</v>
      </c>
      <c r="I485" s="2">
        <f t="shared" si="36"/>
        <v>-0.39674421825372558</v>
      </c>
      <c r="J485" s="4">
        <v>42646</v>
      </c>
      <c r="K485" s="3">
        <v>1.736</v>
      </c>
      <c r="L485" s="2">
        <f t="shared" si="37"/>
        <v>-0.61829787234042555</v>
      </c>
      <c r="M485" s="4">
        <v>42646</v>
      </c>
      <c r="N485" s="3">
        <v>18240.490234000001</v>
      </c>
      <c r="O485" s="2">
        <f t="shared" si="39"/>
        <v>0.37600549877393663</v>
      </c>
    </row>
    <row r="486" spans="1:15" x14ac:dyDescent="0.25">
      <c r="A486" s="6">
        <v>42653</v>
      </c>
      <c r="B486" s="3">
        <v>2132.9799800000001</v>
      </c>
      <c r="C486" s="2">
        <f t="shared" si="38"/>
        <v>0.4941173599479966</v>
      </c>
      <c r="D486" s="4">
        <v>42674</v>
      </c>
      <c r="E486" s="3">
        <v>16905.359375</v>
      </c>
      <c r="F486" s="2">
        <f t="shared" si="35"/>
        <v>2.325871364879898E-2</v>
      </c>
      <c r="G486" s="4">
        <v>42653</v>
      </c>
      <c r="H486" s="3">
        <v>8767.9003909999992</v>
      </c>
      <c r="I486" s="2">
        <f t="shared" si="36"/>
        <v>-0.37386729920974004</v>
      </c>
      <c r="J486" s="4">
        <v>42653</v>
      </c>
      <c r="K486" s="3">
        <v>1.794</v>
      </c>
      <c r="L486" s="2">
        <f t="shared" si="37"/>
        <v>-0.62978723404255321</v>
      </c>
      <c r="M486" s="4">
        <v>42653</v>
      </c>
      <c r="N486" s="3">
        <v>18138.380859000001</v>
      </c>
      <c r="O486" s="2">
        <f t="shared" si="39"/>
        <v>0.37656156985265377</v>
      </c>
    </row>
    <row r="487" spans="1:15" x14ac:dyDescent="0.25">
      <c r="A487" s="6">
        <v>42660</v>
      </c>
      <c r="B487" s="3">
        <v>2141.1599120000001</v>
      </c>
      <c r="C487" s="2">
        <f t="shared" si="38"/>
        <v>0.48382469991091992</v>
      </c>
      <c r="D487" s="4">
        <v>42681</v>
      </c>
      <c r="E487" s="3">
        <v>17374.789062</v>
      </c>
      <c r="F487" s="2">
        <f t="shared" si="35"/>
        <v>5.8160127194810868E-2</v>
      </c>
      <c r="G487" s="4">
        <v>42660</v>
      </c>
      <c r="H487" s="3">
        <v>9100.4003909999992</v>
      </c>
      <c r="I487" s="2">
        <f t="shared" si="36"/>
        <v>-0.36692514063631565</v>
      </c>
      <c r="J487" s="4">
        <v>42660</v>
      </c>
      <c r="K487" s="3">
        <v>1.74</v>
      </c>
      <c r="L487" s="2">
        <f t="shared" si="37"/>
        <v>-0.60744680851063837</v>
      </c>
      <c r="M487" s="4">
        <v>42660</v>
      </c>
      <c r="N487" s="3">
        <v>18145.710938</v>
      </c>
      <c r="O487" s="2">
        <f t="shared" si="39"/>
        <v>0.37773579383209377</v>
      </c>
    </row>
    <row r="488" spans="1:15" x14ac:dyDescent="0.25">
      <c r="A488" s="6">
        <v>42667</v>
      </c>
      <c r="B488" s="3">
        <v>2126.4099120000001</v>
      </c>
      <c r="C488" s="2">
        <f t="shared" si="38"/>
        <v>0.45505411228546433</v>
      </c>
      <c r="D488" s="4">
        <v>42688</v>
      </c>
      <c r="E488" s="3">
        <v>17967.410156000002</v>
      </c>
      <c r="F488" s="2">
        <f t="shared" si="35"/>
        <v>8.2530797049077384E-2</v>
      </c>
      <c r="G488" s="4">
        <v>42667</v>
      </c>
      <c r="H488" s="3">
        <v>9201.2998050000006</v>
      </c>
      <c r="I488" s="2">
        <f t="shared" si="36"/>
        <v>-0.39511364654969011</v>
      </c>
      <c r="J488" s="4">
        <v>42667</v>
      </c>
      <c r="K488" s="3">
        <v>1.845</v>
      </c>
      <c r="L488" s="2">
        <f t="shared" si="37"/>
        <v>-0.62063829787234048</v>
      </c>
      <c r="M488" s="4">
        <v>42667</v>
      </c>
      <c r="N488" s="3">
        <v>18161.189452999999</v>
      </c>
      <c r="O488" s="2">
        <f t="shared" si="39"/>
        <v>0.35703240921102825</v>
      </c>
    </row>
    <row r="489" spans="1:15" x14ac:dyDescent="0.25">
      <c r="A489" s="6">
        <v>42674</v>
      </c>
      <c r="B489" s="3">
        <v>2085.179932</v>
      </c>
      <c r="C489" s="2">
        <f t="shared" si="38"/>
        <v>0.51036932290916648</v>
      </c>
      <c r="D489" s="4">
        <v>42695</v>
      </c>
      <c r="E489" s="3">
        <v>18381.220702999999</v>
      </c>
      <c r="F489" s="2">
        <f t="shared" si="35"/>
        <v>8.5172713805234265E-2</v>
      </c>
      <c r="G489" s="4">
        <v>42674</v>
      </c>
      <c r="H489" s="3">
        <v>8791.5996090000008</v>
      </c>
      <c r="I489" s="2">
        <f t="shared" si="36"/>
        <v>-0.40559914747128067</v>
      </c>
      <c r="J489" s="4">
        <v>42674</v>
      </c>
      <c r="K489" s="3">
        <v>1.7829999999999999</v>
      </c>
      <c r="L489" s="2">
        <f t="shared" si="37"/>
        <v>-0.54957446808510635</v>
      </c>
      <c r="M489" s="4">
        <v>42674</v>
      </c>
      <c r="N489" s="3">
        <v>17888.279297000001</v>
      </c>
      <c r="O489" s="2">
        <f t="shared" si="39"/>
        <v>0.42981251828826389</v>
      </c>
    </row>
    <row r="490" spans="1:15" x14ac:dyDescent="0.25">
      <c r="A490" s="6">
        <v>42681</v>
      </c>
      <c r="B490" s="3">
        <v>2164.4499510000001</v>
      </c>
      <c r="C490" s="2">
        <f t="shared" si="38"/>
        <v>0.52254602889605772</v>
      </c>
      <c r="D490" s="4">
        <v>42702</v>
      </c>
      <c r="E490" s="3">
        <v>18426.080077999999</v>
      </c>
      <c r="F490" s="2">
        <f t="shared" si="35"/>
        <v>0.11875892028699438</v>
      </c>
      <c r="G490" s="4">
        <v>42681</v>
      </c>
      <c r="H490" s="3">
        <v>8639.2001949999994</v>
      </c>
      <c r="I490" s="2">
        <f t="shared" si="36"/>
        <v>-0.40672061903982454</v>
      </c>
      <c r="J490" s="4">
        <v>42681</v>
      </c>
      <c r="K490" s="3">
        <v>2.117</v>
      </c>
      <c r="L490" s="2">
        <f t="shared" si="37"/>
        <v>-0.5031914893617021</v>
      </c>
      <c r="M490" s="4">
        <v>42681</v>
      </c>
      <c r="N490" s="3">
        <v>18847.660156000002</v>
      </c>
      <c r="O490" s="2">
        <f t="shared" si="39"/>
        <v>0.43135019619382697</v>
      </c>
    </row>
    <row r="491" spans="1:15" x14ac:dyDescent="0.25">
      <c r="A491" s="6">
        <v>42688</v>
      </c>
      <c r="B491" s="3">
        <v>2181.8999020000001</v>
      </c>
      <c r="C491" s="2">
        <f t="shared" si="38"/>
        <v>0.54449221028774764</v>
      </c>
      <c r="D491" s="4">
        <v>42709</v>
      </c>
      <c r="E491" s="3">
        <v>18996.369140999999</v>
      </c>
      <c r="F491" s="2">
        <f t="shared" si="35"/>
        <v>0.1425978250187952</v>
      </c>
      <c r="G491" s="4">
        <v>42688</v>
      </c>
      <c r="H491" s="3">
        <v>8622.9003909999992</v>
      </c>
      <c r="I491" s="2">
        <f t="shared" si="36"/>
        <v>-0.40317727669165837</v>
      </c>
      <c r="J491" s="4">
        <v>42688</v>
      </c>
      <c r="K491" s="3">
        <v>2.335</v>
      </c>
      <c r="L491" s="2">
        <f t="shared" si="37"/>
        <v>-0.49531914893617024</v>
      </c>
      <c r="M491" s="4">
        <v>42688</v>
      </c>
      <c r="N491" s="3">
        <v>18867.929688</v>
      </c>
      <c r="O491" s="2">
        <f t="shared" si="39"/>
        <v>0.45291087546083258</v>
      </c>
    </row>
    <row r="492" spans="1:15" x14ac:dyDescent="0.25">
      <c r="A492" s="6">
        <v>42695</v>
      </c>
      <c r="B492" s="3">
        <v>2213.3500979999999</v>
      </c>
      <c r="C492" s="2">
        <f t="shared" si="38"/>
        <v>0.52955902806303823</v>
      </c>
      <c r="D492" s="4">
        <v>42716</v>
      </c>
      <c r="E492" s="3">
        <v>19401.150390999999</v>
      </c>
      <c r="F492" s="2">
        <f t="shared" si="35"/>
        <v>0.14415964778860255</v>
      </c>
      <c r="G492" s="4">
        <v>42695</v>
      </c>
      <c r="H492" s="3">
        <v>8674.4003909999992</v>
      </c>
      <c r="I492" s="2">
        <f t="shared" si="36"/>
        <v>-0.40780775651545048</v>
      </c>
      <c r="J492" s="4">
        <v>42695</v>
      </c>
      <c r="K492" s="3">
        <v>2.3719999999999999</v>
      </c>
      <c r="L492" s="2">
        <f t="shared" si="37"/>
        <v>-0.49148936170212765</v>
      </c>
      <c r="M492" s="4">
        <v>42695</v>
      </c>
      <c r="N492" s="3">
        <v>19152.140625</v>
      </c>
      <c r="O492" s="2">
        <f t="shared" si="39"/>
        <v>0.45429757107502478</v>
      </c>
    </row>
    <row r="493" spans="1:15" x14ac:dyDescent="0.25">
      <c r="A493" s="6">
        <v>42702</v>
      </c>
      <c r="B493" s="3">
        <v>2191.9499510000001</v>
      </c>
      <c r="C493" s="2">
        <f t="shared" si="38"/>
        <v>0.57671691064833464</v>
      </c>
      <c r="D493" s="4">
        <v>42723</v>
      </c>
      <c r="E493" s="3">
        <v>19427.669922000001</v>
      </c>
      <c r="F493" s="2">
        <f t="shared" si="35"/>
        <v>0.1257083300196648</v>
      </c>
      <c r="G493" s="4">
        <v>42702</v>
      </c>
      <c r="H493" s="3">
        <v>8607.0996090000008</v>
      </c>
      <c r="I493" s="2">
        <f t="shared" si="36"/>
        <v>-0.36910620174179071</v>
      </c>
      <c r="J493" s="4">
        <v>42702</v>
      </c>
      <c r="K493" s="3">
        <v>2.39</v>
      </c>
      <c r="L493" s="2">
        <f t="shared" si="37"/>
        <v>-0.47574468085106386</v>
      </c>
      <c r="M493" s="4">
        <v>42702</v>
      </c>
      <c r="N493" s="3">
        <v>19170.419922000001</v>
      </c>
      <c r="O493" s="2">
        <f t="shared" si="39"/>
        <v>0.49878503002899705</v>
      </c>
    </row>
    <row r="494" spans="1:15" x14ac:dyDescent="0.25">
      <c r="A494" s="6">
        <v>42709</v>
      </c>
      <c r="B494" s="3">
        <v>2259.530029</v>
      </c>
      <c r="C494" s="2">
        <f t="shared" si="38"/>
        <v>0.57569813897101996</v>
      </c>
      <c r="D494" s="4">
        <v>42730</v>
      </c>
      <c r="E494" s="3">
        <v>19114.369140999999</v>
      </c>
      <c r="F494" s="2"/>
      <c r="G494" s="4">
        <v>42709</v>
      </c>
      <c r="H494" s="3">
        <v>9169.5996090000008</v>
      </c>
      <c r="I494" s="2">
        <f t="shared" si="36"/>
        <v>-0.35237335604141956</v>
      </c>
      <c r="J494" s="4">
        <v>42709</v>
      </c>
      <c r="K494" s="3">
        <v>2.464</v>
      </c>
      <c r="L494" s="2">
        <f t="shared" si="37"/>
        <v>-0.44744680851063834</v>
      </c>
      <c r="M494" s="4">
        <v>42709</v>
      </c>
      <c r="N494" s="3">
        <v>19756.849609000001</v>
      </c>
      <c r="O494" s="2">
        <f t="shared" si="39"/>
        <v>0.50535164639761199</v>
      </c>
    </row>
    <row r="495" spans="1:15" x14ac:dyDescent="0.25">
      <c r="A495" s="6">
        <v>42716</v>
      </c>
      <c r="B495" s="3">
        <v>2258.070068</v>
      </c>
      <c r="C495" s="2">
        <f t="shared" si="38"/>
        <v>0.57968957740660898</v>
      </c>
      <c r="F495" s="2"/>
      <c r="G495" s="4">
        <v>42716</v>
      </c>
      <c r="H495" s="3">
        <v>9412.7998050000006</v>
      </c>
      <c r="I495" s="2">
        <f t="shared" si="36"/>
        <v>-0.35547633386663863</v>
      </c>
      <c r="J495" s="4">
        <v>42716</v>
      </c>
      <c r="K495" s="3">
        <v>2.597</v>
      </c>
      <c r="L495" s="2">
        <f t="shared" si="37"/>
        <v>-0.45893617021276595</v>
      </c>
      <c r="M495" s="4">
        <v>42716</v>
      </c>
      <c r="N495" s="3">
        <v>19843.410156000002</v>
      </c>
      <c r="O495" s="2">
        <f t="shared" si="39"/>
        <v>0.51220955924409362</v>
      </c>
    </row>
    <row r="496" spans="1:15" x14ac:dyDescent="0.25">
      <c r="A496" s="6">
        <v>42723</v>
      </c>
      <c r="B496" s="3">
        <v>2263.790039</v>
      </c>
      <c r="C496" s="2">
        <f>(B497-$B$6)/$B$6</f>
        <v>0.56227233041598579</v>
      </c>
      <c r="F496" s="2"/>
      <c r="G496" s="4">
        <v>42723</v>
      </c>
      <c r="H496" s="3">
        <v>9367.7001949999994</v>
      </c>
      <c r="I496" s="2">
        <f t="shared" si="36"/>
        <v>-0.35654969730411445</v>
      </c>
      <c r="J496" s="4">
        <v>42723</v>
      </c>
      <c r="K496" s="3">
        <v>2.5430000000000001</v>
      </c>
      <c r="L496" s="2">
        <f t="shared" si="37"/>
        <v>-0.47957446808510634</v>
      </c>
      <c r="M496" s="4">
        <v>42723</v>
      </c>
      <c r="N496" s="3">
        <v>19933.810547000001</v>
      </c>
      <c r="O496" s="2">
        <f t="shared" si="39"/>
        <v>0.49922123388200107</v>
      </c>
    </row>
    <row r="497" spans="1:15" x14ac:dyDescent="0.25">
      <c r="A497" s="6">
        <v>42731</v>
      </c>
      <c r="B497" s="3">
        <v>2238.830078</v>
      </c>
      <c r="C497" s="2"/>
      <c r="F497" s="2"/>
      <c r="G497" s="4">
        <v>42731</v>
      </c>
      <c r="H497" s="3">
        <v>9352.0996090000008</v>
      </c>
      <c r="I497" s="2"/>
      <c r="J497" s="4">
        <v>42731</v>
      </c>
      <c r="K497" s="3">
        <v>2.4460000000000002</v>
      </c>
      <c r="L497" s="2"/>
      <c r="M497" s="4">
        <v>42731</v>
      </c>
      <c r="N497" s="3">
        <v>19762.599609000001</v>
      </c>
      <c r="O497" s="2"/>
    </row>
  </sheetData>
  <sortState xmlns:xlrd2="http://schemas.microsoft.com/office/spreadsheetml/2017/richdata2" ref="M3:N494">
    <sortCondition ref="M1"/>
  </sortState>
  <mergeCells count="15">
    <mergeCell ref="A1:C1"/>
    <mergeCell ref="D1:F1"/>
    <mergeCell ref="G1:I1"/>
    <mergeCell ref="J1:L1"/>
    <mergeCell ref="M1:O1"/>
    <mergeCell ref="N3:O3"/>
    <mergeCell ref="B3:C3"/>
    <mergeCell ref="E2:F2"/>
    <mergeCell ref="E3:F3"/>
    <mergeCell ref="H2:I2"/>
    <mergeCell ref="H3:I3"/>
    <mergeCell ref="K2:L2"/>
    <mergeCell ref="K3:L3"/>
    <mergeCell ref="B2:C2"/>
    <mergeCell ref="N2:O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Sheet1</vt:lpstr>
      <vt:lpstr>Sheet3</vt:lpstr>
      <vt:lpstr>Sheet4</vt:lpstr>
      <vt:lpstr>Sheet2</vt:lpstr>
      <vt:lpstr>Bi_Weekly</vt:lpstr>
      <vt:lpstr>Sheet1!int</vt:lpstr>
      <vt:lpstr>Monthly</vt:lpstr>
      <vt:lpstr>None</vt:lpstr>
      <vt:lpstr>Quarterly</vt:lpstr>
      <vt:lpstr>Weekly</vt:lpstr>
      <vt:lpstr>Yearly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tweak</dc:creator>
  <cp:lastModifiedBy>Keith Fleming</cp:lastModifiedBy>
  <dcterms:created xsi:type="dcterms:W3CDTF">2017-01-01T01:45:43Z</dcterms:created>
  <dcterms:modified xsi:type="dcterms:W3CDTF">2025-12-15T16:34:10Z</dcterms:modified>
</cp:coreProperties>
</file>